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0" yWindow="0" windowWidth="28800" windowHeight="11385" tabRatio="500" firstSheet="0" activeTab="1" autoFilterDateGrouping="1"/>
  </bookViews>
  <sheets>
    <sheet name="Final Calculation Sheet" sheetId="1" state="visible" r:id="rId1"/>
    <sheet name="Live Search" sheetId="2" state="visible" r:id="rId2"/>
    <sheet name="Buyer Groups" sheetId="3" state="visible" r:id="rId3"/>
    <sheet name="Lists" sheetId="4" state="hidden" r:id="rId4"/>
    <sheet name="LS_Backup" sheetId="5" state="hidden" r:id="rId5"/>
  </sheets>
  <definedNames>
    <definedName name="SUG_A">Lists!$J$4:INDEX(Lists!$J$4:$J$40,MAX(Lists!$I$4:$I$40))</definedName>
    <definedName name="SUG_AA">Lists!$EJ$4:INDEX(Lists!$EJ$4:$EJ$42,MAX(Lists!$EI$4:$EI$40)+2)</definedName>
    <definedName name="SUG_AB">Lists!$EO$4:INDEX(Lists!$EO$4:$EO$42,MAX(Lists!$EN$4:$EN$40)+2)</definedName>
    <definedName name="SUG_AC">Lists!$ET$4:INDEX(Lists!$ET$4:$ET$42,MAX(Lists!$ES$4:$ES$40)+2)</definedName>
    <definedName name="SUG_AD">Lists!$EY$4:INDEX(Lists!$EY$4:$EY$42,MAX(Lists!$EX$4:$EX$40)+2)</definedName>
    <definedName name="SUG_AE">Lists!$FD$4:INDEX(Lists!$FD$4:$FD$42,MAX(Lists!$FC$4:$FC$40)+2)</definedName>
    <definedName name="SUG_AF">Lists!$FI$4:INDEX(Lists!$FI$4:$FI$42,MAX(Lists!$FH$4:$FH$40)+2)</definedName>
    <definedName name="SUG_AG">Lists!$FN$4:INDEX(Lists!$FN$4:$FN$42,MAX(Lists!$FM$4:$FM$40)+2)</definedName>
    <definedName name="SUG_AH">Lists!$FS$4:INDEX(Lists!$FS$4:$FS$42,MAX(Lists!$FR$4:$FR$40)+2)</definedName>
    <definedName name="SUG_AI">Lists!$FX$4:INDEX(Lists!$FX$4:$FX$40,MAX(Lists!$FW$4:$FW$40))</definedName>
    <definedName name="SUG_B">Lists!$O$4:INDEX(Lists!$O$4:$O$42,MAX(Lists!$N$4:$N$40)+2)</definedName>
    <definedName name="SUG_C">Lists!$T$4:INDEX(Lists!$T$4:$T$42,MAX(Lists!$S$4:$S$40)+2)</definedName>
    <definedName name="SUG_D">Lists!$Y$4:INDEX(Lists!$Y$4:$Y$42,MAX(Lists!$X$4:$X$40)+2)</definedName>
    <definedName name="SUG_E">Lists!$AD$4:INDEX(Lists!$AD$4:$AD$42,MAX(Lists!$AC$4:$AC$40)+2)</definedName>
    <definedName name="SUG_F">Lists!$AI$4:INDEX(Lists!$AI$4:$AI$42,MAX(Lists!$AH$4:$AH$40)+2)</definedName>
    <definedName name="SUG_G">Lists!$AN$4:INDEX(Lists!$AN$4:$AN$42,MAX(Lists!$AM$4:$AM$40)+2)</definedName>
    <definedName name="SUG_H">Lists!$AS$4:INDEX(Lists!$AS$4:$AS$42,MAX(Lists!$AR$4:$AR$40)+2)</definedName>
    <definedName name="SUG_I">Lists!$AX$4:INDEX(Lists!$AX$4:$AX$42,MAX(Lists!$AW$4:$AW$40)+2)</definedName>
    <definedName name="SUG_J">Lists!$BC$4:INDEX(Lists!$BC$4:$BC$42,MAX(Lists!$BB$4:$BB$40)+2)</definedName>
    <definedName name="SUG_K">Lists!$BH$4:INDEX(Lists!$BH$4:$BH$42,MAX(Lists!$BG$4:$BG$40)+2)</definedName>
    <definedName name="SUG_L">Lists!$BM$4:INDEX(Lists!$BM$4:$BM$42,MAX(Lists!$BL$4:$BL$40)+2)</definedName>
    <definedName name="SUG_M">Lists!$BR$4:INDEX(Lists!$BR$4:$BR$42,MAX(Lists!$BQ$4:$BQ$40)+2)</definedName>
    <definedName name="SUG_MAIN">Lists!$E$4:INDEX(Lists!$E$4:$E$114,MAX(Lists!$D$4:$D$114))</definedName>
    <definedName name="SUG_N">Lists!$BW$4:INDEX(Lists!$BW$4:$BW$42,MAX(Lists!$BV$4:$BV$40)+2)</definedName>
    <definedName name="SUG_O">Lists!$CB$4:INDEX(Lists!$CB$4:$CB$42,MAX(Lists!$CA$4:$CA$40)+2)</definedName>
    <definedName name="SUG_P">Lists!$CG$4:INDEX(Lists!$CG$4:$CG$42,MAX(Lists!$CF$4:$CF$40)+2)</definedName>
    <definedName name="SUG_Q">Lists!$CL$4:INDEX(Lists!$CL$4:$CL$42,MAX(Lists!$CK$4:$CK$40)+2)</definedName>
    <definedName name="SUG_R">Lists!$CQ$4:INDEX(Lists!$CQ$4:$CQ$42,MAX(Lists!$CP$4:$CP$40)+2)</definedName>
    <definedName name="SUG_S">Lists!$CV$4:INDEX(Lists!$CV$4:$CV$42,MAX(Lists!$CU$4:$CU$40)+2)</definedName>
    <definedName name="SUG_T">Lists!$DA$4:INDEX(Lists!$DA$4:$DA$42,MAX(Lists!$CZ$4:$CZ$40)+2)</definedName>
    <definedName name="SUG_U">Lists!$DF$4:INDEX(Lists!$DF$4:$DF$42,MAX(Lists!$DE$4:$DE$40)+2)</definedName>
    <definedName name="SUG_V">Lists!$DK$4:INDEX(Lists!$DK$4:$DK$42,MAX(Lists!$DJ$4:$DJ$40)+2)</definedName>
    <definedName name="SUG_W">Lists!$DP$4:INDEX(Lists!$DP$4:$DP$42,MAX(Lists!$DO$4:$DO$40)+2)</definedName>
    <definedName name="SUG_X">Lists!$DU$4:INDEX(Lists!$DU$4:$DU$42,MAX(Lists!$DT$4:$DT$40)+2)</definedName>
    <definedName name="SUG_Y">Lists!$DZ$4:INDEX(Lists!$DZ$4:$DZ$42,MAX(Lists!$DY$4:$DY$40)+2)</definedName>
    <definedName name="SUG_Z">Lists!$EE$4:INDEX(Lists!$EE$4:$EE$42,MAX(Lists!$ED$4:$ED$40)+2)</definedName>
    <definedName name="SUGN_AA">none</definedName>
    <definedName name="SUGN_AB">none</definedName>
    <definedName name="SUGN_AC">none</definedName>
    <definedName name="SUGN_AD">none</definedName>
    <definedName name="SUGN_AE">none</definedName>
    <definedName name="SUGN_AF">none</definedName>
    <definedName name="SUGN_AG">none</definedName>
    <definedName name="SUGN_AH">none</definedName>
    <definedName name="SUGN_AI">none</definedName>
    <definedName name="SUGN_B">none</definedName>
    <definedName name="SUGN_C">none</definedName>
    <definedName name="SUGN_D">none</definedName>
    <definedName name="SUGN_E">none</definedName>
    <definedName name="SUGN_F">none</definedName>
    <definedName name="SUGN_G">none</definedName>
    <definedName name="SUGN_H">none</definedName>
    <definedName name="SUGN_I">none</definedName>
    <definedName name="SUGN_J">none</definedName>
    <definedName name="SUGN_K">none</definedName>
    <definedName name="SUGN_L">none</definedName>
    <definedName name="SUGN_M">none</definedName>
    <definedName name="SUGN_N">none</definedName>
    <definedName name="SUGN_O">none</definedName>
    <definedName name="SUGN_P">none</definedName>
    <definedName name="SUGN_Q">none</definedName>
    <definedName name="SUGN_R">none</definedName>
    <definedName name="SUGN_S">none</definedName>
    <definedName name="SUGN_T">none</definedName>
    <definedName name="SUGN_U">none</definedName>
    <definedName name="SUGN_V">none</definedName>
    <definedName name="SUGN_W">none</definedName>
    <definedName name="SUGN_X">none</definedName>
    <definedName name="SUGN_Y">none</definedName>
    <definedName name="SUGN_Z">none</definedName>
    <definedName name="_xlnm._FilterDatabase" localSheetId="0" hidden="1">'Final Calculation Sheet'!$A$3:$AG$43</definedName>
    <definedName name="_xlnm.Print_Titles" localSheetId="1">'Live Search'!$5:$5</definedName>
  </definedNames>
  <calcPr calcId="191029" fullCalcOnLoad="1" iterateDelta="0.0001"/>
</workbook>
</file>

<file path=xl/styles.xml><?xml version="1.0" encoding="utf-8"?>
<styleSheet xmlns="http://schemas.openxmlformats.org/spreadsheetml/2006/main">
  <numFmts count="2">
    <numFmt numFmtId="164" formatCode="#,##0;\(#,##0\)"/>
    <numFmt numFmtId="165" formatCode="_ * #,##0_ ;_ * \-#,##0_ ;_ * \-??_ ;_ @_ "/>
  </numFmts>
  <fonts count="22">
    <font>
      <name val="Calibri"/>
      <charset val="1"/>
      <family val="2"/>
      <color theme="1"/>
      <sz val="11"/>
    </font>
    <font>
      <name val="Arial"/>
      <charset val="1"/>
      <family val="2"/>
      <b val="1"/>
      <sz val="13"/>
    </font>
    <font>
      <name val="Calibri"/>
      <charset val="1"/>
      <family val="2"/>
      <b val="1"/>
      <color theme="1"/>
      <sz val="11"/>
    </font>
    <font>
      <name val="Calibri"/>
      <charset val="1"/>
      <family val="2"/>
      <b val="1"/>
      <color theme="1"/>
      <sz val="9"/>
    </font>
    <font>
      <name val="Arial"/>
      <charset val="1"/>
      <family val="2"/>
      <b val="1"/>
      <color theme="1"/>
      <sz val="10"/>
    </font>
    <font>
      <name val="Arial"/>
      <charset val="1"/>
      <family val="2"/>
      <sz val="10"/>
    </font>
    <font>
      <name val="Arial"/>
      <charset val="1"/>
      <family val="2"/>
      <color theme="1"/>
      <sz val="10"/>
    </font>
    <font>
      <name val="Calibri"/>
      <charset val="1"/>
      <b val="1"/>
      <color rgb="FFFFFFFF"/>
      <sz val="15"/>
    </font>
    <font>
      <name val="Calibri"/>
      <charset val="1"/>
      <i val="1"/>
      <color rgb="FF1F3864"/>
      <sz val="9"/>
    </font>
    <font>
      <name val="Calibri"/>
      <charset val="1"/>
      <b val="1"/>
      <color rgb="FFFFFFFF"/>
      <sz val="11"/>
    </font>
    <font>
      <name val="Calibri"/>
      <charset val="1"/>
      <b val="1"/>
      <color rgb="FF1F3864"/>
      <sz val="12"/>
    </font>
    <font>
      <name val="Calibri"/>
      <charset val="1"/>
      <b val="1"/>
      <color rgb="FFFFFFFF"/>
      <sz val="10"/>
    </font>
    <font>
      <name val="Calibri"/>
      <charset val="1"/>
      <b val="1"/>
      <color rgb="FF1F3864"/>
      <sz val="10"/>
    </font>
    <font>
      <name val="Calibri"/>
      <charset val="1"/>
      <i val="1"/>
      <color rgb="FF808080"/>
      <sz val="8"/>
    </font>
    <font>
      <name val="Cambria"/>
      <charset val="1"/>
      <sz val="11"/>
    </font>
    <font>
      <name val="Calibri"/>
      <charset val="1"/>
      <b val="1"/>
      <color rgb="FF666666"/>
      <sz val="9"/>
    </font>
    <font>
      <name val="Calibri"/>
      <charset val="1"/>
      <b val="1"/>
      <color rgb="FF333333"/>
      <sz val="10"/>
    </font>
    <font>
      <name val="Calibri"/>
      <charset val="1"/>
      <color rgb="FF333333"/>
      <sz val="10"/>
    </font>
    <font>
      <name val="Calibri"/>
      <charset val="1"/>
      <b val="1"/>
      <sz val="10"/>
    </font>
    <font>
      <name val="Cambria"/>
      <charset val="1"/>
      <b val="1"/>
      <color rgb="FFFFFFFF"/>
      <sz val="9"/>
    </font>
    <font>
      <name val="Calibri"/>
      <charset val="1"/>
      <b val="1"/>
      <color rgb="FFFFFFFF"/>
      <sz val="9"/>
    </font>
    <font>
      <name val="Calibri"/>
      <charset val="1"/>
      <i val="1"/>
      <color rgb="FF666666"/>
      <sz val="10"/>
    </font>
  </fonts>
  <fills count="10">
    <fill>
      <patternFill/>
    </fill>
    <fill>
      <patternFill patternType="gray125"/>
    </fill>
    <fill>
      <patternFill patternType="solid">
        <fgColor theme="0"/>
        <bgColor rgb="FFF4F9FD"/>
      </patternFill>
    </fill>
    <fill>
      <patternFill patternType="solid">
        <fgColor theme="2" tint="-0.09997863704336681"/>
        <bgColor rgb="FFD0D0D0"/>
      </patternFill>
    </fill>
    <fill>
      <patternFill patternType="solid">
        <fgColor rgb="FF1F3864"/>
        <bgColor rgb="FF333333"/>
      </patternFill>
    </fill>
    <fill>
      <patternFill patternType="solid">
        <fgColor rgb="FFDDEBF7"/>
        <bgColor rgb="FFEDEDED"/>
      </patternFill>
    </fill>
    <fill>
      <patternFill patternType="solid">
        <fgColor rgb="FFFFE699"/>
        <bgColor rgb="FFFFD966"/>
      </patternFill>
    </fill>
    <fill>
      <patternFill patternType="solid">
        <fgColor rgb="FF2F5496"/>
        <bgColor rgb="FF2E75B6"/>
      </patternFill>
    </fill>
    <fill>
      <patternFill patternType="solid">
        <fgColor rgb="FFF4F9FD"/>
        <bgColor rgb="FFFFFFFF"/>
      </patternFill>
    </fill>
    <fill>
      <patternFill patternType="solid">
        <fgColor rgb="FF375623"/>
        <bgColor rgb="FF333333"/>
      </patternFill>
    </fill>
  </fills>
  <borders count="25">
    <border>
      <left/>
      <right/>
      <top/>
      <bottom/>
      <diagonal/>
    </border>
    <border>
      <left style="medium">
        <color auto="1"/>
      </left>
      <right style="thin">
        <color auto="1"/>
      </right>
      <top style="medium">
        <color auto="1"/>
      </top>
      <bottom style="medium">
        <color auto="1"/>
      </bottom>
      <diagonal/>
    </border>
    <border>
      <left style="thin">
        <color auto="1"/>
      </left>
      <right style="thin">
        <color auto="1"/>
      </right>
      <top style="medium">
        <color auto="1"/>
      </top>
      <bottom style="medium">
        <color auto="1"/>
      </bottom>
      <diagonal/>
    </border>
    <border>
      <left style="thin">
        <color auto="1"/>
      </left>
      <right style="medium">
        <color auto="1"/>
      </right>
      <top style="medium">
        <color auto="1"/>
      </top>
      <bottom style="medium">
        <color auto="1"/>
      </bottom>
      <diagonal/>
    </border>
    <border>
      <left style="medium">
        <color auto="1"/>
      </left>
      <right style="thin">
        <color auto="1"/>
      </right>
      <top/>
      <bottom style="thin">
        <color auto="1"/>
      </bottom>
      <diagonal/>
    </border>
    <border>
      <left style="thin">
        <color auto="1"/>
      </left>
      <right style="thin">
        <color auto="1"/>
      </right>
      <top/>
      <bottom style="thin">
        <color auto="1"/>
      </bottom>
      <diagonal/>
    </border>
    <border>
      <left style="thin">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style="thin">
        <color auto="1"/>
      </right>
      <top style="thin">
        <color auto="1"/>
      </top>
      <bottom style="thin">
        <color auto="1"/>
      </bottom>
      <diagonal/>
    </border>
    <border>
      <left style="medium">
        <color auto="1"/>
      </left>
      <right style="thin">
        <color auto="1"/>
      </right>
      <top style="thin">
        <color auto="1"/>
      </top>
      <bottom/>
      <diagonal/>
    </border>
    <border>
      <left style="thin">
        <color auto="1"/>
      </left>
      <right style="thin">
        <color auto="1"/>
      </right>
      <top style="thin">
        <color auto="1"/>
      </top>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medium">
        <color auto="1"/>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medium">
        <color rgb="FF808080"/>
      </left>
      <right style="medium">
        <color rgb="FF808080"/>
      </right>
      <top style="medium">
        <color rgb="FF808080"/>
      </top>
      <bottom style="medium">
        <color rgb="FF808080"/>
      </bottom>
      <diagonal/>
    </border>
    <border>
      <left style="thin">
        <color rgb="FFD0D0D0"/>
      </left>
      <right style="thin">
        <color rgb="FFD0D0D0"/>
      </right>
      <top style="medium">
        <color rgb="FF808080"/>
      </top>
      <bottom style="medium">
        <color rgb="FF808080"/>
      </bottom>
      <diagonal/>
    </border>
    <border>
      <left style="thin">
        <color rgb="FFB0B0B0"/>
      </left>
      <right style="thin">
        <color rgb="FFB0B0B0"/>
      </right>
      <top style="thin">
        <color rgb="FFB0B0B0"/>
      </top>
      <bottom style="thin">
        <color rgb="FFB0B0B0"/>
      </bottom>
      <diagonal/>
    </border>
    <border>
      <left/>
      <right/>
      <top style="double">
        <color rgb="FFFFFFFF"/>
      </top>
      <bottom/>
      <diagonal/>
    </border>
    <border>
      <left/>
      <right/>
      <top style="medium">
        <color rgb="FF808080"/>
      </top>
      <bottom/>
      <diagonal/>
    </border>
    <border>
      <left/>
      <right style="medium">
        <color rgb="FF808080"/>
      </right>
      <top style="medium">
        <color rgb="FF808080"/>
      </top>
      <bottom/>
      <diagonal/>
    </border>
    <border>
      <left/>
      <right/>
      <top style="medium">
        <color rgb="FF808080"/>
      </top>
      <bottom style="medium">
        <color rgb="FF808080"/>
      </bottom>
      <diagonal/>
    </border>
    <border>
      <left/>
      <right style="medium">
        <color rgb="FF808080"/>
      </right>
      <top style="medium">
        <color rgb="FF808080"/>
      </top>
      <bottom style="medium">
        <color rgb="FF808080"/>
      </bottom>
      <diagonal/>
    </border>
  </borders>
  <cellStyleXfs count="1">
    <xf numFmtId="0" fontId="0" fillId="0" borderId="0"/>
  </cellStyleXfs>
  <cellXfs count="148">
    <xf numFmtId="0" fontId="0" fillId="0" borderId="0" pivotButton="0" quotePrefix="0" xfId="0"/>
    <xf numFmtId="0" fontId="0" fillId="0" borderId="0" applyAlignment="1" pivotButton="0" quotePrefix="0" xfId="0">
      <alignment wrapText="1"/>
    </xf>
    <xf numFmtId="0" fontId="0" fillId="2" borderId="0" pivotButton="0" quotePrefix="0" xfId="0"/>
    <xf numFmtId="0" fontId="1" fillId="0" borderId="0" applyAlignment="1" pivotButton="0" quotePrefix="0" xfId="0">
      <alignment vertical="center"/>
    </xf>
    <xf numFmtId="0" fontId="2" fillId="3" borderId="1" applyAlignment="1" pivotButton="0" quotePrefix="0" xfId="0">
      <alignment horizontal="center" vertical="center"/>
    </xf>
    <xf numFmtId="0" fontId="2" fillId="3" borderId="2" applyAlignment="1" pivotButton="0" quotePrefix="0" xfId="0">
      <alignment horizontal="center" vertical="center"/>
    </xf>
    <xf numFmtId="0" fontId="2" fillId="3" borderId="2" applyAlignment="1" pivotButton="0" quotePrefix="0" xfId="0">
      <alignment horizontal="center" vertical="center" wrapText="1"/>
    </xf>
    <xf numFmtId="0" fontId="3" fillId="3" borderId="2" applyAlignment="1" pivotButton="0" quotePrefix="0" xfId="0">
      <alignment horizontal="center" vertical="center" wrapText="1"/>
    </xf>
    <xf numFmtId="0" fontId="4" fillId="3" borderId="2" applyAlignment="1" pivotButton="0" quotePrefix="0" xfId="0">
      <alignment horizontal="center" vertical="center" wrapText="1"/>
    </xf>
    <xf numFmtId="0" fontId="2" fillId="3" borderId="3" applyAlignment="1" pivotButton="0" quotePrefix="0" xfId="0">
      <alignment horizontal="center" vertical="center" wrapText="1"/>
    </xf>
    <xf numFmtId="0" fontId="5" fillId="0" borderId="4" applyAlignment="1" pivotButton="0" quotePrefix="0" xfId="0">
      <alignment horizontal="center" vertical="center" wrapText="1"/>
    </xf>
    <xf numFmtId="0" fontId="5" fillId="0" borderId="5" applyAlignment="1" pivotButton="0" quotePrefix="0" xfId="0">
      <alignment horizontal="left" vertical="center" wrapText="1"/>
    </xf>
    <xf numFmtId="164" fontId="5" fillId="0" borderId="5" applyAlignment="1" pivotButton="0" quotePrefix="0" xfId="0">
      <alignment horizontal="center" vertical="center" wrapText="1"/>
    </xf>
    <xf numFmtId="0" fontId="5" fillId="0" borderId="5" applyAlignment="1" pivotButton="0" quotePrefix="0" xfId="0">
      <alignment horizontal="center" vertical="center" wrapText="1"/>
    </xf>
    <xf numFmtId="164" fontId="5" fillId="0" borderId="5" applyAlignment="1" pivotButton="0" quotePrefix="0" xfId="0">
      <alignment horizontal="right" vertical="center" wrapText="1"/>
    </xf>
    <xf numFmtId="164" fontId="5" fillId="0" borderId="5" applyAlignment="1" pivotButton="0" quotePrefix="0" xfId="0">
      <alignment horizontal="right" vertical="center"/>
    </xf>
    <xf numFmtId="3" fontId="5" fillId="0" borderId="5" applyAlignment="1" pivotButton="0" quotePrefix="0" xfId="0">
      <alignment horizontal="right" vertical="center"/>
    </xf>
    <xf numFmtId="9" fontId="5" fillId="0" borderId="5" applyAlignment="1" pivotButton="0" quotePrefix="0" xfId="0">
      <alignment horizontal="right" vertical="center"/>
    </xf>
    <xf numFmtId="165" fontId="6" fillId="2" borderId="5" applyAlignment="1" pivotButton="0" quotePrefix="0" xfId="0">
      <alignment vertical="center"/>
    </xf>
    <xf numFmtId="164" fontId="5" fillId="2" borderId="5" applyAlignment="1" pivotButton="0" quotePrefix="0" xfId="0">
      <alignment horizontal="right" vertical="center"/>
    </xf>
    <xf numFmtId="164" fontId="5" fillId="2" borderId="6" applyAlignment="1" pivotButton="0" quotePrefix="0" xfId="0">
      <alignment horizontal="right" vertical="center"/>
    </xf>
    <xf numFmtId="1" fontId="5" fillId="2" borderId="6" applyAlignment="1" pivotButton="0" quotePrefix="0" xfId="0">
      <alignment horizontal="center" vertical="center"/>
    </xf>
    <xf numFmtId="164" fontId="5" fillId="2" borderId="7" applyAlignment="1" pivotButton="0" quotePrefix="0" xfId="0">
      <alignment horizontal="right" vertical="center"/>
    </xf>
    <xf numFmtId="0" fontId="5" fillId="0" borderId="8" applyAlignment="1" pivotButton="0" quotePrefix="0" xfId="0">
      <alignment horizontal="center" vertical="center" wrapText="1"/>
    </xf>
    <xf numFmtId="0" fontId="5" fillId="0" borderId="6" applyAlignment="1" pivotButton="0" quotePrefix="0" xfId="0">
      <alignment horizontal="left" vertical="center" wrapText="1"/>
    </xf>
    <xf numFmtId="164" fontId="5" fillId="0" borderId="6" applyAlignment="1" pivotButton="0" quotePrefix="0" xfId="0">
      <alignment horizontal="center" vertical="center" wrapText="1"/>
    </xf>
    <xf numFmtId="0" fontId="5" fillId="0" borderId="6" applyAlignment="1" pivotButton="0" quotePrefix="0" xfId="0">
      <alignment horizontal="center" vertical="center" wrapText="1"/>
    </xf>
    <xf numFmtId="164" fontId="5" fillId="0" borderId="6" applyAlignment="1" pivotButton="0" quotePrefix="0" xfId="0">
      <alignment horizontal="right" vertical="center" wrapText="1"/>
    </xf>
    <xf numFmtId="164" fontId="5" fillId="0" borderId="6" applyAlignment="1" pivotButton="0" quotePrefix="0" xfId="0">
      <alignment horizontal="right" vertical="center"/>
    </xf>
    <xf numFmtId="3" fontId="5" fillId="0" borderId="6" applyAlignment="1" pivotButton="0" quotePrefix="0" xfId="0">
      <alignment horizontal="right" vertical="center"/>
    </xf>
    <xf numFmtId="9" fontId="5" fillId="0" borderId="6" applyAlignment="1" pivotButton="0" quotePrefix="0" xfId="0">
      <alignment horizontal="right" vertical="center"/>
    </xf>
    <xf numFmtId="165" fontId="6" fillId="2" borderId="6" applyAlignment="1" pivotButton="0" quotePrefix="0" xfId="0">
      <alignment vertical="center"/>
    </xf>
    <xf numFmtId="0" fontId="5" fillId="0" borderId="9" applyAlignment="1" pivotButton="0" quotePrefix="0" xfId="0">
      <alignment horizontal="center" vertical="center" wrapText="1"/>
    </xf>
    <xf numFmtId="0" fontId="5" fillId="0" borderId="10" applyAlignment="1" pivotButton="0" quotePrefix="0" xfId="0">
      <alignment horizontal="left" vertical="center" wrapText="1"/>
    </xf>
    <xf numFmtId="164" fontId="5" fillId="0" borderId="10" applyAlignment="1" pivotButton="0" quotePrefix="0" xfId="0">
      <alignment horizontal="center" vertical="center" wrapText="1"/>
    </xf>
    <xf numFmtId="0" fontId="5" fillId="0" borderId="10" applyAlignment="1" pivotButton="0" quotePrefix="0" xfId="0">
      <alignment horizontal="center" vertical="center" wrapText="1"/>
    </xf>
    <xf numFmtId="164" fontId="5" fillId="0" borderId="10" applyAlignment="1" pivotButton="0" quotePrefix="0" xfId="0">
      <alignment horizontal="right" vertical="center" wrapText="1"/>
    </xf>
    <xf numFmtId="164" fontId="5" fillId="0" borderId="10" applyAlignment="1" pivotButton="0" quotePrefix="0" xfId="0">
      <alignment horizontal="right" vertical="center"/>
    </xf>
    <xf numFmtId="3" fontId="5" fillId="0" borderId="10" applyAlignment="1" pivotButton="0" quotePrefix="0" xfId="0">
      <alignment horizontal="right" vertical="center"/>
    </xf>
    <xf numFmtId="9" fontId="5" fillId="0" borderId="10" applyAlignment="1" pivotButton="0" quotePrefix="0" xfId="0">
      <alignment horizontal="right" vertical="center"/>
    </xf>
    <xf numFmtId="165" fontId="6" fillId="2" borderId="10" applyAlignment="1" pivotButton="0" quotePrefix="0" xfId="0">
      <alignment vertical="center"/>
    </xf>
    <xf numFmtId="0" fontId="0" fillId="0" borderId="11" pivotButton="0" quotePrefix="0" xfId="0"/>
    <xf numFmtId="0" fontId="0" fillId="0" borderId="12" pivotButton="0" quotePrefix="0" xfId="0"/>
    <xf numFmtId="164" fontId="5" fillId="0" borderId="12" applyAlignment="1" pivotButton="0" quotePrefix="0" xfId="0">
      <alignment horizontal="right" vertical="center" wrapText="1"/>
    </xf>
    <xf numFmtId="164" fontId="5" fillId="0" borderId="12" applyAlignment="1" pivotButton="0" quotePrefix="0" xfId="0">
      <alignment horizontal="right" vertical="center"/>
    </xf>
    <xf numFmtId="0" fontId="0" fillId="0" borderId="13" pivotButton="0" quotePrefix="0" xfId="0"/>
    <xf numFmtId="0" fontId="0" fillId="0" borderId="14" pivotButton="0" quotePrefix="0" xfId="0"/>
    <xf numFmtId="0" fontId="0" fillId="0" borderId="15" pivotButton="0" quotePrefix="0" xfId="0"/>
    <xf numFmtId="164" fontId="5" fillId="0" borderId="15" applyAlignment="1" pivotButton="0" quotePrefix="0" xfId="0">
      <alignment horizontal="right" vertical="center" wrapText="1"/>
    </xf>
    <xf numFmtId="164" fontId="5" fillId="0" borderId="15" applyAlignment="1" pivotButton="0" quotePrefix="0" xfId="0">
      <alignment horizontal="right" vertical="center"/>
    </xf>
    <xf numFmtId="3" fontId="5" fillId="0" borderId="15" applyAlignment="1" pivotButton="0" quotePrefix="0" xfId="0">
      <alignment horizontal="right" vertical="center"/>
    </xf>
    <xf numFmtId="164" fontId="6" fillId="0" borderId="15" pivotButton="0" quotePrefix="0" xfId="0"/>
    <xf numFmtId="165" fontId="6" fillId="2" borderId="15" applyAlignment="1" pivotButton="0" quotePrefix="0" xfId="0">
      <alignment horizontal="right" vertical="center"/>
    </xf>
    <xf numFmtId="164" fontId="0" fillId="0" borderId="15" pivotButton="0" quotePrefix="0" xfId="0"/>
    <xf numFmtId="0" fontId="0" fillId="0" borderId="16" pivotButton="0" quotePrefix="0" xfId="0"/>
    <xf numFmtId="164" fontId="0" fillId="0" borderId="0" pivotButton="0" quotePrefix="0" xfId="0"/>
    <xf numFmtId="0" fontId="0" fillId="2" borderId="0" applyAlignment="1" pivotButton="0" quotePrefix="0" xfId="0">
      <alignment horizontal="right" vertical="center"/>
    </xf>
    <xf numFmtId="0" fontId="0" fillId="0" borderId="0" applyAlignment="1" pivotButton="0" quotePrefix="0" xfId="0">
      <alignment horizontal="right"/>
    </xf>
    <xf numFmtId="164" fontId="0" fillId="2" borderId="0" pivotButton="0" quotePrefix="0" xfId="0"/>
    <xf numFmtId="0" fontId="9" fillId="4" borderId="0" applyAlignment="1" pivotButton="0" quotePrefix="0" xfId="0">
      <alignment horizontal="right" vertical="center"/>
    </xf>
    <xf numFmtId="0" fontId="11" fillId="4" borderId="0" applyAlignment="1" pivotButton="0" quotePrefix="0" xfId="0">
      <alignment horizontal="right" vertical="center"/>
    </xf>
    <xf numFmtId="0" fontId="12" fillId="6" borderId="17" applyAlignment="1" pivotButton="0" quotePrefix="0" xfId="0">
      <alignment horizontal="center" vertical="center" wrapText="1"/>
    </xf>
    <xf numFmtId="0" fontId="10" fillId="5" borderId="17" applyAlignment="1" pivotButton="0" quotePrefix="0" xfId="0">
      <alignment horizontal="center" vertical="center" wrapText="1"/>
    </xf>
    <xf numFmtId="0" fontId="13" fillId="0" borderId="0" pivotButton="0" quotePrefix="0" xfId="0"/>
    <xf numFmtId="0" fontId="11" fillId="7" borderId="18" applyAlignment="1" pivotButton="0" quotePrefix="0" xfId="0">
      <alignment horizontal="center" vertical="center" wrapText="1"/>
    </xf>
    <xf numFmtId="0" fontId="14" fillId="0" borderId="0" applyAlignment="1" pivotButton="0" quotePrefix="0" xfId="0">
      <alignment horizontal="left" vertical="center"/>
    </xf>
    <xf numFmtId="0" fontId="14" fillId="0" borderId="0" pivotButton="0" quotePrefix="0" xfId="0"/>
    <xf numFmtId="1" fontId="15" fillId="0" borderId="0" applyAlignment="1" pivotButton="0" quotePrefix="0" xfId="0">
      <alignment horizontal="center" vertical="center" wrapText="1"/>
    </xf>
    <xf numFmtId="0" fontId="16" fillId="0" borderId="0" applyAlignment="1" pivotButton="0" quotePrefix="0" xfId="0">
      <alignment horizontal="left" vertical="center"/>
    </xf>
    <xf numFmtId="0" fontId="17" fillId="0" borderId="0" applyAlignment="1" pivotButton="0" quotePrefix="0" xfId="0">
      <alignment horizontal="left" vertical="center"/>
    </xf>
    <xf numFmtId="164" fontId="17" fillId="0" borderId="0" applyAlignment="1" pivotButton="0" quotePrefix="0" xfId="0">
      <alignment horizontal="right" vertical="center"/>
    </xf>
    <xf numFmtId="3" fontId="17" fillId="0" borderId="0" applyAlignment="1" pivotButton="0" quotePrefix="0" xfId="0">
      <alignment horizontal="right" vertical="center"/>
    </xf>
    <xf numFmtId="9" fontId="17" fillId="0" borderId="0" applyAlignment="1" pivotButton="0" quotePrefix="0" xfId="0">
      <alignment horizontal="right" vertical="center"/>
    </xf>
    <xf numFmtId="165" fontId="17" fillId="0" borderId="0" applyAlignment="1" pivotButton="0" quotePrefix="0" xfId="0">
      <alignment horizontal="right" vertical="center"/>
    </xf>
    <xf numFmtId="1" fontId="17" fillId="0" borderId="0" applyAlignment="1" pivotButton="0" quotePrefix="0" xfId="0">
      <alignment horizontal="right" vertical="center"/>
    </xf>
    <xf numFmtId="0" fontId="18" fillId="0" borderId="0" applyAlignment="1" pivotButton="0" quotePrefix="0" xfId="0">
      <alignment horizontal="center" vertical="center" wrapText="1"/>
    </xf>
    <xf numFmtId="0" fontId="16" fillId="0" borderId="0" applyAlignment="1" pivotButton="0" quotePrefix="0" xfId="0">
      <alignment horizontal="left" vertical="center"/>
    </xf>
    <xf numFmtId="0" fontId="19" fillId="4" borderId="19" pivotButton="0" quotePrefix="0" xfId="0"/>
    <xf numFmtId="0" fontId="12" fillId="6" borderId="19" applyProtection="1" pivotButton="0" quotePrefix="0" xfId="0">
      <protection locked="0" hidden="0"/>
    </xf>
    <xf numFmtId="0" fontId="0" fillId="0" borderId="0" pivotButton="0" quotePrefix="0" xfId="0"/>
    <xf numFmtId="0" fontId="17" fillId="0" borderId="0" applyAlignment="1" pivotButton="0" quotePrefix="0" xfId="0">
      <alignment horizontal="left" vertical="center"/>
    </xf>
    <xf numFmtId="1" fontId="20" fillId="4" borderId="0" applyAlignment="1" pivotButton="0" quotePrefix="0" xfId="0">
      <alignment horizontal="center" vertical="center" wrapText="1"/>
    </xf>
    <xf numFmtId="0" fontId="11" fillId="4" borderId="0" applyAlignment="1" pivotButton="0" quotePrefix="0" xfId="0">
      <alignment horizontal="left" vertical="center"/>
    </xf>
    <xf numFmtId="0" fontId="11" fillId="4" borderId="0" applyAlignment="1" pivotButton="0" quotePrefix="0" xfId="0">
      <alignment horizontal="left" vertical="center"/>
    </xf>
    <xf numFmtId="164" fontId="11" fillId="4" borderId="0" applyAlignment="1" pivotButton="0" quotePrefix="0" xfId="0">
      <alignment horizontal="right" vertical="center"/>
    </xf>
    <xf numFmtId="3" fontId="11" fillId="4" borderId="0" applyAlignment="1" pivotButton="0" quotePrefix="0" xfId="0">
      <alignment horizontal="right" vertical="center"/>
    </xf>
    <xf numFmtId="9" fontId="11" fillId="4" borderId="0" applyAlignment="1" pivotButton="0" quotePrefix="0" xfId="0">
      <alignment horizontal="right" vertical="center"/>
    </xf>
    <xf numFmtId="165" fontId="11" fillId="4" borderId="0" applyAlignment="1" pivotButton="0" quotePrefix="0" xfId="0">
      <alignment horizontal="right" vertical="center"/>
    </xf>
    <xf numFmtId="1" fontId="11" fillId="4" borderId="0" applyAlignment="1" pivotButton="0" quotePrefix="0" xfId="0">
      <alignment horizontal="right" vertical="center"/>
    </xf>
    <xf numFmtId="0" fontId="11" fillId="4" borderId="0" applyAlignment="1" pivotButton="0" quotePrefix="0" xfId="0">
      <alignment horizontal="center" vertical="center" wrapText="1"/>
    </xf>
    <xf numFmtId="1" fontId="15" fillId="8" borderId="0" applyAlignment="1" pivotButton="0" quotePrefix="0" xfId="0">
      <alignment horizontal="center" vertical="center" wrapText="1"/>
    </xf>
    <xf numFmtId="0" fontId="16" fillId="8" borderId="0" applyAlignment="1" pivotButton="0" quotePrefix="0" xfId="0">
      <alignment horizontal="left" vertical="center"/>
    </xf>
    <xf numFmtId="0" fontId="16" fillId="8" borderId="0" applyAlignment="1" pivotButton="0" quotePrefix="0" xfId="0">
      <alignment horizontal="left" vertical="center"/>
    </xf>
    <xf numFmtId="0" fontId="17" fillId="8" borderId="0" applyAlignment="1" pivotButton="0" quotePrefix="0" xfId="0">
      <alignment horizontal="left" vertical="center"/>
    </xf>
    <xf numFmtId="0" fontId="17" fillId="8" borderId="0" applyAlignment="1" pivotButton="0" quotePrefix="0" xfId="0">
      <alignment horizontal="left" vertical="center"/>
    </xf>
    <xf numFmtId="164" fontId="17" fillId="8" borderId="0" applyAlignment="1" pivotButton="0" quotePrefix="0" xfId="0">
      <alignment horizontal="right" vertical="center"/>
    </xf>
    <xf numFmtId="3" fontId="17" fillId="8" borderId="0" applyAlignment="1" pivotButton="0" quotePrefix="0" xfId="0">
      <alignment horizontal="right" vertical="center"/>
    </xf>
    <xf numFmtId="9" fontId="17" fillId="8" borderId="0" applyAlignment="1" pivotButton="0" quotePrefix="0" xfId="0">
      <alignment horizontal="right" vertical="center"/>
    </xf>
    <xf numFmtId="165" fontId="17" fillId="8" borderId="0" applyAlignment="1" pivotButton="0" quotePrefix="0" xfId="0">
      <alignment horizontal="right" vertical="center"/>
    </xf>
    <xf numFmtId="1" fontId="17" fillId="8" borderId="0" applyAlignment="1" pivotButton="0" quotePrefix="0" xfId="0">
      <alignment horizontal="right" vertical="center"/>
    </xf>
    <xf numFmtId="0" fontId="18" fillId="8" borderId="0" applyAlignment="1" pivotButton="0" quotePrefix="0" xfId="0">
      <alignment horizontal="center" vertical="center" wrapText="1"/>
    </xf>
    <xf numFmtId="1" fontId="9" fillId="4" borderId="20" applyAlignment="1" pivotButton="0" quotePrefix="0" xfId="0">
      <alignment horizontal="center" vertical="center" wrapText="1"/>
    </xf>
    <xf numFmtId="0" fontId="9" fillId="4" borderId="20" applyAlignment="1" pivotButton="0" quotePrefix="0" xfId="0">
      <alignment horizontal="left" vertical="center"/>
    </xf>
    <xf numFmtId="164" fontId="9" fillId="4" borderId="20" applyAlignment="1" pivotButton="0" quotePrefix="0" xfId="0">
      <alignment horizontal="right" vertical="center"/>
    </xf>
    <xf numFmtId="3" fontId="9" fillId="4" borderId="20" applyAlignment="1" pivotButton="0" quotePrefix="0" xfId="0">
      <alignment horizontal="right" vertical="center"/>
    </xf>
    <xf numFmtId="9" fontId="9" fillId="4" borderId="20" applyAlignment="1" pivotButton="0" quotePrefix="0" xfId="0">
      <alignment horizontal="right" vertical="center"/>
    </xf>
    <xf numFmtId="165" fontId="9" fillId="4" borderId="20" applyAlignment="1" pivotButton="0" quotePrefix="0" xfId="0">
      <alignment horizontal="right" vertical="center"/>
    </xf>
    <xf numFmtId="1" fontId="9" fillId="4" borderId="20" applyAlignment="1" pivotButton="0" quotePrefix="0" xfId="0">
      <alignment horizontal="right" vertical="center"/>
    </xf>
    <xf numFmtId="0" fontId="9" fillId="4" borderId="20" applyAlignment="1" pivotButton="0" quotePrefix="0" xfId="0">
      <alignment horizontal="center" vertical="center" wrapText="1"/>
    </xf>
    <xf numFmtId="1" fontId="9" fillId="9" borderId="0" applyAlignment="1" pivotButton="0" quotePrefix="0" xfId="0">
      <alignment horizontal="center" vertical="center" wrapText="1"/>
    </xf>
    <xf numFmtId="0" fontId="9" fillId="9" borderId="0" applyAlignment="1" pivotButton="0" quotePrefix="0" xfId="0">
      <alignment horizontal="left" vertical="center"/>
    </xf>
    <xf numFmtId="164" fontId="9" fillId="9" borderId="0" applyAlignment="1" pivotButton="0" quotePrefix="0" xfId="0">
      <alignment horizontal="right" vertical="center"/>
    </xf>
    <xf numFmtId="3" fontId="9" fillId="9" borderId="0" applyAlignment="1" pivotButton="0" quotePrefix="0" xfId="0">
      <alignment horizontal="right" vertical="center"/>
    </xf>
    <xf numFmtId="9" fontId="9" fillId="9" borderId="0" applyAlignment="1" pivotButton="0" quotePrefix="0" xfId="0">
      <alignment horizontal="right" vertical="center"/>
    </xf>
    <xf numFmtId="165" fontId="9" fillId="9" borderId="0" applyAlignment="1" pivotButton="0" quotePrefix="0" xfId="0">
      <alignment horizontal="right" vertical="center"/>
    </xf>
    <xf numFmtId="1" fontId="9" fillId="9" borderId="0" applyAlignment="1" pivotButton="0" quotePrefix="0" xfId="0">
      <alignment horizontal="right" vertical="center"/>
    </xf>
    <xf numFmtId="0" fontId="9" fillId="9" borderId="0" applyAlignment="1" pivotButton="0" quotePrefix="0" xfId="0">
      <alignment horizontal="center" vertical="center" wrapText="1"/>
    </xf>
    <xf numFmtId="0" fontId="9" fillId="4" borderId="0" pivotButton="0" quotePrefix="0" xfId="0"/>
    <xf numFmtId="0" fontId="15" fillId="0" borderId="0" pivotButton="0" quotePrefix="0" xfId="0"/>
    <xf numFmtId="0" fontId="16" fillId="0" borderId="0" pivotButton="0" quotePrefix="0" xfId="0"/>
    <xf numFmtId="0" fontId="21" fillId="0" borderId="0" pivotButton="0" quotePrefix="0" xfId="0"/>
    <xf numFmtId="0" fontId="17" fillId="0" borderId="0" pivotButton="0" quotePrefix="0" xfId="0"/>
    <xf numFmtId="164" fontId="17" fillId="0" borderId="0" pivotButton="0" quotePrefix="0" xfId="0"/>
    <xf numFmtId="3" fontId="17" fillId="0" borderId="0" pivotButton="0" quotePrefix="0" xfId="0"/>
    <xf numFmtId="9" fontId="17" fillId="0" borderId="0" pivotButton="0" quotePrefix="0" xfId="0"/>
    <xf numFmtId="165" fontId="17" fillId="0" borderId="0" pivotButton="0" quotePrefix="0" xfId="0"/>
    <xf numFmtId="1" fontId="17" fillId="0" borderId="0" pivotButton="0" quotePrefix="0" xfId="0"/>
    <xf numFmtId="0" fontId="18" fillId="0" borderId="0" pivotButton="0" quotePrefix="0" xfId="0"/>
    <xf numFmtId="0" fontId="15" fillId="8" borderId="0" pivotButton="0" quotePrefix="0" xfId="0"/>
    <xf numFmtId="0" fontId="16" fillId="8" borderId="0" pivotButton="0" quotePrefix="0" xfId="0"/>
    <xf numFmtId="0" fontId="17" fillId="8" borderId="0" pivotButton="0" quotePrefix="0" xfId="0"/>
    <xf numFmtId="164" fontId="17" fillId="8" borderId="0" pivotButton="0" quotePrefix="0" xfId="0"/>
    <xf numFmtId="3" fontId="17" fillId="8" borderId="0" pivotButton="0" quotePrefix="0" xfId="0"/>
    <xf numFmtId="9" fontId="17" fillId="8" borderId="0" pivotButton="0" quotePrefix="0" xfId="0"/>
    <xf numFmtId="165" fontId="17" fillId="8" borderId="0" pivotButton="0" quotePrefix="0" xfId="0"/>
    <xf numFmtId="1" fontId="17" fillId="8" borderId="0" pivotButton="0" quotePrefix="0" xfId="0"/>
    <xf numFmtId="0" fontId="18" fillId="8" borderId="0" pivotButton="0" quotePrefix="0" xfId="0"/>
    <xf numFmtId="0" fontId="0" fillId="0" borderId="0" pivotButton="0" quotePrefix="0" xfId="0"/>
    <xf numFmtId="3" fontId="0" fillId="0" borderId="0" pivotButton="0" quotePrefix="0" xfId="0"/>
    <xf numFmtId="9" fontId="0" fillId="0" borderId="0" pivotButton="0" quotePrefix="0" xfId="0"/>
    <xf numFmtId="165" fontId="0" fillId="0" borderId="0" pivotButton="0" quotePrefix="0" xfId="0"/>
    <xf numFmtId="1" fontId="0" fillId="0" borderId="0" pivotButton="0" quotePrefix="0" xfId="0"/>
    <xf numFmtId="0" fontId="7" fillId="4" borderId="0" applyAlignment="1" pivotButton="0" quotePrefix="0" xfId="0">
      <alignment horizontal="left" vertical="center" indent="1"/>
    </xf>
    <xf numFmtId="0" fontId="8" fillId="5" borderId="0" applyAlignment="1" pivotButton="0" quotePrefix="0" xfId="0">
      <alignment horizontal="left" vertical="center" wrapText="1"/>
    </xf>
    <xf numFmtId="0" fontId="10" fillId="6" borderId="17" applyAlignment="1" pivotButton="0" quotePrefix="0" xfId="0">
      <alignment horizontal="left" vertical="center" indent="1"/>
    </xf>
    <xf numFmtId="0" fontId="12" fillId="5" borderId="0" applyAlignment="1" pivotButton="0" quotePrefix="0" xfId="0">
      <alignment horizontal="left" vertical="center" indent="1"/>
    </xf>
    <xf numFmtId="0" fontId="0" fillId="0" borderId="23" pivotButton="0" quotePrefix="0" xfId="0"/>
    <xf numFmtId="0" fontId="0" fillId="0" borderId="24" pivotButton="0" quotePrefix="0" xfId="0"/>
  </cellXfs>
  <cellStyles count="1">
    <cellStyle name="Normal" xfId="0" builtinId="0"/>
  </cellStyles>
  <dxfs count="51">
    <dxf>
      <font>
        <b val="1"/>
        <color rgb="FF9C0006"/>
      </font>
      <fill>
        <patternFill>
          <bgColor rgb="FFFCE4E4"/>
        </patternFill>
      </fill>
    </dxf>
    <dxf>
      <font>
        <b val="1"/>
        <color rgb="FF9C0006"/>
      </font>
      <fill>
        <patternFill>
          <bgColor rgb="FFFCE4E4"/>
        </patternFill>
      </fill>
    </dxf>
    <dxf>
      <font>
        <b val="1"/>
        <color rgb="FF375623"/>
      </font>
      <fill>
        <patternFill>
          <bgColor rgb="FFE2EFDA"/>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9C0006"/>
      </font>
      <fill>
        <patternFill>
          <bgColor rgb="FFFCE4E4"/>
        </patternFill>
      </fill>
    </dxf>
    <dxf>
      <font>
        <b val="1"/>
        <color rgb="FF375623"/>
      </font>
      <fill>
        <patternFill>
          <bgColor rgb="FFE2EFDA"/>
        </patternFill>
      </fill>
    </dxf>
    <dxf>
      <font>
        <b val="1"/>
        <color rgb="FF9C0006"/>
      </font>
      <fill>
        <patternFill>
          <bgColor rgb="FFFCE4E4"/>
        </patternFill>
      </fill>
    </dxf>
    <dxf>
      <border>
        <left style="thin">
          <color rgb="FFD0D0D0"/>
        </left>
        <right style="thin">
          <color rgb="FFD0D0D0"/>
        </right>
        <top style="thin">
          <color rgb="FFD0D0D0"/>
        </top>
        <bottom style="thin">
          <color rgb="FFD0D0D0"/>
        </bottom>
      </border>
    </dxf>
    <dxf>
      <font>
        <b val="1"/>
        <color rgb="FF9C0006"/>
      </font>
      <fill>
        <patternFill>
          <bgColor rgb="FFFCE4E4"/>
        </patternFill>
      </fill>
    </dxf>
    <dxf>
      <font>
        <b val="1"/>
        <color rgb="FF375623"/>
      </font>
      <fill>
        <patternFill>
          <bgColor rgb="FFE2EFDA"/>
        </patternFill>
      </fill>
    </dxf>
    <dxf>
      <font>
        <b val="1"/>
        <color rgb="FF9C0006"/>
      </font>
      <fill>
        <patternFill>
          <bgColor rgb="FFFCE4E4"/>
        </patternFill>
      </fill>
    </dxf>
    <dxf>
      <fill>
        <patternFill>
          <bgColor rgb="FFF4F9FD"/>
        </patternFill>
      </fill>
    </dxf>
    <dxf>
      <font>
        <b val="1"/>
        <color rgb="FF1F3864"/>
      </font>
      <fill>
        <patternFill>
          <bgColor rgb="FFFFD966"/>
        </patternFill>
      </fill>
    </dxf>
    <dxf>
      <font>
        <b val="1"/>
        <color rgb="FFFFFFFF"/>
      </font>
      <fill>
        <patternFill>
          <bgColor rgb="FF1F3864"/>
        </patternFill>
      </fill>
    </dxf>
    <dxf>
      <font>
        <b val="1"/>
        <color rgb="FFFFFFFF"/>
      </font>
      <fill>
        <patternFill>
          <bgColor rgb="FF2F5496"/>
        </patternFill>
      </fill>
    </dxf>
    <dxf>
      <font>
        <b val="1"/>
        <color rgb="FFFFFFFF"/>
      </font>
      <fill>
        <patternFill>
          <bgColor rgb="FF375623"/>
        </patternFill>
      </fill>
    </dxf>
    <dxf>
      <font>
        <b val="1"/>
        <color rgb="FFFFFFFF"/>
      </font>
      <fill>
        <patternFill>
          <bgColor rgb="FF666666"/>
        </patternFill>
      </fill>
    </dxf>
    <dxf>
      <font>
        <color rgb="FF666666"/>
      </font>
      <fill>
        <patternFill>
          <bgColor rgb="FFEDEDED"/>
        </patternFill>
      </fill>
    </dxf>
  </dxfs>
  <tableStyles count="0" defaultTableStyle="TableStyleMedium2" defaultPivotStyle="PivotStyleLight16"/>
  <colors>
    <indexedColors>
      <rgbColor rgb="FF000000"/>
      <rgbColor rgb="FFFFFFFF"/>
      <rgbColor rgb="FFFF0000"/>
      <rgbColor rgb="FF00FF00"/>
      <rgbColor rgb="FF0000FF"/>
      <rgbColor rgb="FFFFFF00"/>
      <rgbColor rgb="FFFF00FF"/>
      <rgbColor rgb="FF00FFFF"/>
      <rgbColor rgb="FF9C0006"/>
      <rgbColor rgb="FF008000"/>
      <rgbColor rgb="FF000080"/>
      <rgbColor rgb="FF808000"/>
      <rgbColor rgb="FF800080"/>
      <rgbColor rgb="FF008080"/>
      <rgbColor rgb="FFD0CECE"/>
      <rgbColor rgb="FF808080"/>
      <rgbColor rgb="FF9999FF"/>
      <rgbColor rgb="FF993366"/>
      <rgbColor rgb="FFF4F9FD"/>
      <rgbColor rgb="FFDDEBF7"/>
      <rgbColor rgb="FF660066"/>
      <rgbColor rgb="FFFF8080"/>
      <rgbColor rgb="FF0066CC"/>
      <rgbColor rgb="FFD0D0D0"/>
      <rgbColor rgb="FF000080"/>
      <rgbColor rgb="FFFF00FF"/>
      <rgbColor rgb="FFFFFF00"/>
      <rgbColor rgb="FF00FFFF"/>
      <rgbColor rgb="FF800080"/>
      <rgbColor rgb="FF800000"/>
      <rgbColor rgb="FF008080"/>
      <rgbColor rgb="FF0000FF"/>
      <rgbColor rgb="FF00B0F0"/>
      <rgbColor rgb="FFEDEDED"/>
      <rgbColor rgb="FFE2EFDA"/>
      <rgbColor rgb="FFFFE699"/>
      <rgbColor rgb="FFFCE4E4"/>
      <rgbColor rgb="FFFF99CC"/>
      <rgbColor rgb="FFCC99FF"/>
      <rgbColor rgb="FFFFD966"/>
      <rgbColor rgb="FF2E75B6"/>
      <rgbColor rgb="FF33CCCC"/>
      <rgbColor rgb="FF99CC00"/>
      <rgbColor rgb="FFFFCC00"/>
      <rgbColor rgb="FFFF9900"/>
      <rgbColor rgb="FFFF6600"/>
      <rgbColor rgb="FF666666"/>
      <rgbColor rgb="FFB0B0B0"/>
      <rgbColor rgb="FF1F3864"/>
      <rgbColor rgb="FF339966"/>
      <rgbColor rgb="FF003300"/>
      <rgbColor rgb="FF375623"/>
      <rgbColor rgb="FF993300"/>
      <rgbColor rgb="FF993366"/>
      <rgbColor rgb="FF2F5496"/>
      <rgbColor rgb="FF333333"/>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theme/theme1.xml><?xml version="1.0" encoding="utf-8"?>
<a:theme xmlns:a="http://schemas.openxmlformats.org/drawingml/2006/main" name="Office Theme">
  <a:themeElements>
    <a:clrScheme name="Office">
      <a:dk1>
        <a:srgbClr val="000000"/>
      </a:dk1>
      <a:lt1>
        <a:srgbClr val="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majorFont>
      <a:minorFont>
        <a:latin typeface="Calibri" panose="020F0502020204030204"/>
        <a:ea typeface=""/>
        <a:cs typeface=""/>
      </a:minorFont>
    </a:fontScheme>
    <a:fmtScheme>
      <a:fillStyleLst>
        <a:solidFill>
          <a:schemeClr val="phClr"/>
        </a:solidFill>
        <a:gradFill>
          <a:gsLst>
            <a:gs pos="0">
              <a:schemeClr val="phClr">
                <a:lumMod val="110000"/>
                <a:tint val="67000"/>
              </a:schemeClr>
            </a:gs>
            <a:gs pos="50000">
              <a:schemeClr val="phClr">
                <a:lumMod val="105000"/>
                <a:tint val="73000"/>
              </a:schemeClr>
            </a:gs>
            <a:gs pos="100000">
              <a:schemeClr val="phClr">
                <a:lumMod val="105000"/>
                <a:tint val="81000"/>
              </a:schemeClr>
            </a:gs>
          </a:gsLst>
          <a:lin ang="5400000" scaled="0"/>
          <a:tileRect/>
        </a:gradFill>
        <a:gradFill>
          <a:gsLst>
            <a:gs pos="0">
              <a:schemeClr val="phClr">
                <a:lumMod val="102000"/>
                <a:tint val="94000"/>
              </a:schemeClr>
            </a:gs>
            <a:gs pos="50000">
              <a:schemeClr val="phClr">
                <a:lumMod val="100000"/>
                <a:shade val="100000"/>
              </a:schemeClr>
            </a:gs>
            <a:gs pos="100000">
              <a:schemeClr val="phClr">
                <a:lumMod val="99000"/>
                <a:shade val="78000"/>
              </a:schemeClr>
            </a:gs>
          </a:gsLst>
          <a:lin ang="5400000" scaled="0"/>
          <a:tileRect/>
        </a:gradFill>
      </a:fillStyleLst>
      <a:lnStyleLst>
        <a:ln w="6350" cap="flat" cmpd="sng" algn="ctr">
          <a:prstDash val="solid"/>
          <a:miter lim="800000"/>
        </a:ln>
        <a:ln w="12700" cap="flat" cmpd="sng" algn="ctr">
          <a:prstDash val="solid"/>
          <a:miter lim="800000"/>
        </a:ln>
        <a:ln w="19050" cap="flat" cmpd="sng" algn="ctr">
          <a:prstDash val="solid"/>
          <a:miter lim="800000"/>
        </a:ln>
      </a:lnStyleLst>
      <a:effectStyleLst>
        <a:effectStyle>
          <a:effectLst/>
        </a:effectStyle>
        <a:effectStyle>
          <a:effectLst/>
        </a:effectStyle>
        <a:effectStyle>
          <a:effectLst/>
        </a:effectStyle>
      </a:effectStyleLst>
      <a:bgFillStyleLst>
        <a:solidFill>
          <a:schemeClr val="phClr"/>
        </a:solidFill>
        <a:solidFill>
          <a:schemeClr val="phClr">
            <a:tint val="95000"/>
          </a:schemeClr>
        </a:solidFill>
        <a:gradFill>
          <a:gsLst>
            <a:gs pos="0">
              <a:schemeClr val="phClr">
                <a:tint val="93000"/>
                <a:shade val="98000"/>
                <a:lumMod val="102000"/>
              </a:schemeClr>
            </a:gs>
            <a:gs pos="50000">
              <a:schemeClr val="phClr">
                <a:tint val="98000"/>
                <a:shade val="90000"/>
                <a:lumMod val="103000"/>
              </a:schemeClr>
            </a:gs>
            <a:gs pos="100000">
              <a:schemeClr val="phClr">
                <a:shade val="63000"/>
              </a:schemeClr>
            </a:gs>
          </a:gsLst>
          <a:lin ang="5400000" scaled="0"/>
          <a:tileRect/>
        </a:gradFill>
      </a:bgFillStyleLst>
    </a:fmtScheme>
  </a:themeElements>
  <a:objectDefaults/>
  <a:extraClrSchemeLst/>
</a:theme>
</file>

<file path=xl/worksheets/sheet1.xml><?xml version="1.0" encoding="utf-8"?>
<worksheet xmlns="http://schemas.openxmlformats.org/spreadsheetml/2006/main">
  <sheetPr codeName="Sheet1">
    <outlinePr summaryBelow="1" summaryRight="1"/>
    <pageSetUpPr/>
  </sheetPr>
  <dimension ref="A1:AG46"/>
  <sheetViews>
    <sheetView showGridLines="0" zoomScale="85" zoomScaleNormal="85" workbookViewId="0">
      <pane xSplit="7" ySplit="3" topLeftCell="H4" activePane="bottomRight" state="frozen"/>
      <selection pane="topRight" activeCell="H1" sqref="H1"/>
      <selection pane="bottomLeft" activeCell="A4" sqref="A4"/>
      <selection pane="bottomRight" activeCell="B10" sqref="B10"/>
    </sheetView>
  </sheetViews>
  <sheetFormatPr baseColWidth="8" defaultColWidth="8.7109375" defaultRowHeight="15"/>
  <cols>
    <col outlineLevel="1" width="13.7109375" customWidth="1" style="137" min="1" max="1"/>
    <col outlineLevel="1" width="29.42578125" customWidth="1" style="137" min="2" max="2"/>
    <col outlineLevel="1" width="9.140625" customWidth="1" style="137" min="3" max="3"/>
    <col outlineLevel="1" width="9.42578125" customWidth="1" style="137" min="4" max="4"/>
    <col outlineLevel="1" width="10" customWidth="1" style="137" min="5" max="5"/>
    <col width="12.42578125" customWidth="1" style="137" min="6" max="6"/>
    <col width="25" customWidth="1" style="137" min="7" max="7"/>
    <col width="15.5703125" customWidth="1" style="137" min="8" max="8"/>
    <col outlineLevel="1" width="9.85546875" customWidth="1" style="137" min="9" max="9"/>
    <col outlineLevel="1" width="17.140625" customWidth="1" style="137" min="10" max="10"/>
    <col outlineLevel="1" width="9.5703125" customWidth="1" style="137" min="11" max="11"/>
    <col outlineLevel="1" width="6.85546875" customWidth="1" style="137" min="12" max="12"/>
    <col outlineLevel="1" width="8.28515625" customWidth="1" style="137" min="13" max="13"/>
    <col outlineLevel="1" width="6.7109375" customWidth="1" style="137" min="14" max="14"/>
    <col outlineLevel="1" width="9.140625" customWidth="1" style="137" min="15" max="15"/>
    <col width="8.28515625" customWidth="1" style="1" min="16" max="16"/>
    <col outlineLevel="1" width="8.140625" customWidth="1" style="1" min="17" max="17"/>
    <col width="8.140625" customWidth="1" style="137" min="18" max="18"/>
    <col width="11.5703125" customWidth="1" style="137" min="19" max="19"/>
    <col outlineLevel="1" width="9.85546875" customWidth="1" style="137" min="20" max="20"/>
    <col width="10" customWidth="1" style="2" min="21" max="21"/>
    <col width="10.140625" customWidth="1" style="2" min="22" max="22"/>
    <col outlineLevel="1" width="10.7109375" customWidth="1" style="137" min="23" max="23"/>
    <col width="10.5703125" customWidth="1" style="137" min="24" max="24"/>
    <col width="10.140625" customWidth="1" style="137" min="25" max="28"/>
    <col width="14.140625" customWidth="1" style="137" min="29" max="29"/>
    <col width="11.5703125" customWidth="1" style="137" min="30" max="30"/>
    <col width="13.7109375" customWidth="1" style="137" min="31" max="31"/>
    <col width="14.140625" customWidth="1" style="137" min="32" max="32"/>
    <col width="10.140625" customWidth="1" style="137" min="33" max="33"/>
  </cols>
  <sheetData>
    <row r="1" ht="15.75" customHeight="1" s="137">
      <c r="A1" s="3" t="n"/>
      <c r="B1" s="3" t="inlineStr">
        <is>
          <t>MSTC LIMITED - COMBINED BID SHEET (Auctions 21977, 21978, 21979, 21980)</t>
        </is>
      </c>
      <c r="C1" s="3" t="n"/>
      <c r="D1" s="3" t="n"/>
      <c r="E1" s="3" t="n"/>
      <c r="F1" s="3" t="n"/>
      <c r="G1" s="3" t="n"/>
      <c r="H1" s="3" t="n"/>
      <c r="I1" s="3" t="n"/>
      <c r="J1" s="3" t="n"/>
      <c r="K1" s="3" t="n"/>
      <c r="L1" s="3" t="n"/>
      <c r="M1" s="3" t="n"/>
      <c r="N1" s="3" t="n"/>
      <c r="O1" s="3" t="n"/>
      <c r="P1" s="3" t="n"/>
      <c r="Q1" s="3" t="n"/>
      <c r="R1" s="3" t="n"/>
      <c r="S1" s="3" t="n"/>
      <c r="T1" s="3" t="n"/>
      <c r="U1" s="3" t="n"/>
      <c r="V1" s="3" t="n"/>
      <c r="W1" s="3" t="n"/>
      <c r="X1" s="3" t="n"/>
      <c r="Y1" s="3" t="n"/>
      <c r="Z1" s="3" t="n"/>
      <c r="AA1" s="3" t="n"/>
      <c r="AB1" s="3" t="n"/>
      <c r="AC1" s="3" t="n"/>
      <c r="AD1" s="3" t="n"/>
      <c r="AE1" s="3" t="n"/>
      <c r="AF1" s="3" t="n"/>
      <c r="AG1" s="3" t="n"/>
    </row>
    <row r="2" ht="14.25" customHeight="1" s="137">
      <c r="A2" s="3" t="n"/>
      <c r="B2" s="3" t="n"/>
      <c r="C2" s="3" t="n"/>
      <c r="D2" s="3" t="n"/>
      <c r="E2" s="3" t="n"/>
      <c r="F2" s="3" t="n"/>
      <c r="G2" s="3" t="n"/>
      <c r="H2" s="3" t="n"/>
      <c r="I2" s="3" t="n"/>
      <c r="J2" s="3" t="n"/>
      <c r="K2" s="3" t="n"/>
      <c r="L2" s="3" t="n"/>
      <c r="M2" s="3" t="n"/>
      <c r="N2" s="3" t="n"/>
      <c r="O2" s="3" t="n"/>
      <c r="P2" s="3" t="n"/>
      <c r="Q2" s="3" t="n"/>
      <c r="R2" s="3" t="n"/>
      <c r="S2" s="3" t="n"/>
      <c r="T2" s="3" t="n"/>
      <c r="U2" s="3" t="n"/>
      <c r="V2" s="3" t="n"/>
      <c r="W2" s="3" t="n"/>
      <c r="X2" s="3" t="n"/>
      <c r="Y2" s="3" t="n"/>
      <c r="Z2" s="3" t="n"/>
      <c r="AA2" s="3" t="n"/>
      <c r="AB2" s="3" t="n"/>
      <c r="AC2" s="3" t="n"/>
      <c r="AD2" s="3" t="n"/>
      <c r="AE2" s="3" t="n"/>
      <c r="AF2" s="3" t="n"/>
      <c r="AG2" s="3" t="n"/>
    </row>
    <row r="3" ht="57.75" customHeight="1" s="137">
      <c r="A3" s="4" t="inlineStr">
        <is>
          <t>Quantity</t>
        </is>
      </c>
      <c r="B3" s="5" t="inlineStr">
        <is>
          <t>Lot No.</t>
        </is>
      </c>
      <c r="C3" s="5" t="inlineStr">
        <is>
          <t>Rate</t>
        </is>
      </c>
      <c r="D3" s="5" t="inlineStr">
        <is>
          <t>Bid Sheet</t>
        </is>
      </c>
      <c r="E3" s="5" t="inlineStr">
        <is>
          <t>Unit</t>
        </is>
      </c>
      <c r="F3" s="5" t="inlineStr">
        <is>
          <t>Lot No.</t>
        </is>
      </c>
      <c r="G3" s="5" t="inlineStr">
        <is>
          <t>Buyer</t>
        </is>
      </c>
      <c r="H3" s="5" t="inlineStr">
        <is>
          <t>Mat. Value</t>
        </is>
      </c>
      <c r="I3" s="5" t="inlineStr">
        <is>
          <t>GST</t>
        </is>
      </c>
      <c r="J3" s="6" t="inlineStr">
        <is>
          <t>Mat. Value + GST</t>
        </is>
      </c>
      <c r="K3" s="5" t="inlineStr">
        <is>
          <t>TCS</t>
        </is>
      </c>
      <c r="L3" s="6" t="inlineStr">
        <is>
          <t>TDS u/s 194(O)</t>
        </is>
      </c>
      <c r="M3" s="6" t="inlineStr">
        <is>
          <t>Service Charge
to MSTC</t>
        </is>
      </c>
      <c r="N3" s="6" t="inlineStr">
        <is>
          <t>TDS u/s 194(H)</t>
        </is>
      </c>
      <c r="O3" s="7" t="inlineStr">
        <is>
          <t>Net Service Charge
(post TDS 194H)</t>
        </is>
      </c>
      <c r="P3" s="6" t="inlineStr">
        <is>
          <t>Service charge to MSTC</t>
        </is>
      </c>
      <c r="Q3" s="6" t="inlineStr">
        <is>
          <t>GST TDS Rate</t>
        </is>
      </c>
      <c r="R3" s="6" t="inlineStr">
        <is>
          <t>GST TDS</t>
        </is>
      </c>
      <c r="S3" s="6" t="inlineStr">
        <is>
          <t>Total Receivables in Cash</t>
        </is>
      </c>
      <c r="T3" s="6" t="inlineStr">
        <is>
          <t>Security Deposit (Expected)</t>
        </is>
      </c>
      <c r="U3" s="6" t="inlineStr">
        <is>
          <t>Security Deposit (Received)</t>
        </is>
      </c>
      <c r="V3" s="6" t="inlineStr">
        <is>
          <t>Date of Receipt</t>
        </is>
      </c>
      <c r="W3" s="8" t="inlineStr">
        <is>
          <t>Final Payment (Expected)</t>
        </is>
      </c>
      <c r="X3" s="6" t="inlineStr">
        <is>
          <t>Final Payment (Received)</t>
        </is>
      </c>
      <c r="Y3" s="6" t="inlineStr">
        <is>
          <t>Date of Receipt</t>
        </is>
      </c>
      <c r="Z3" s="6" t="inlineStr">
        <is>
          <t>LPP Expected</t>
        </is>
      </c>
      <c r="AA3" s="6" t="inlineStr">
        <is>
          <t>LPP Received</t>
        </is>
      </c>
      <c r="AB3" s="6" t="inlineStr">
        <is>
          <t>Date of Recepit of LPP</t>
        </is>
      </c>
      <c r="AC3" s="6" t="inlineStr">
        <is>
          <t>Total Received</t>
        </is>
      </c>
      <c r="AD3" s="6" t="inlineStr">
        <is>
          <t>Outstanding</t>
        </is>
      </c>
      <c r="AE3" s="6" t="inlineStr">
        <is>
          <t xml:space="preserve">Invoice No. </t>
        </is>
      </c>
      <c r="AF3" s="6" t="inlineStr">
        <is>
          <t>SAP Document</t>
        </is>
      </c>
      <c r="AG3" s="9" t="inlineStr">
        <is>
          <t>Doc./Invoice Date</t>
        </is>
      </c>
    </row>
    <row r="4" ht="39" customHeight="1" s="137">
      <c r="A4" s="10" t="n">
        <v>669</v>
      </c>
      <c r="B4" s="11" t="inlineStr">
        <is>
          <t>SCRAP COPPER OF T/F WINDING (Oil impregnated paper insulated T/F winding)</t>
        </is>
      </c>
      <c r="C4" s="12" t="n">
        <v>1181</v>
      </c>
      <c r="D4" s="13" t="n">
        <v>21980</v>
      </c>
      <c r="E4" s="13" t="inlineStr">
        <is>
          <t>KG</t>
        </is>
      </c>
      <c r="F4" s="13" t="n">
        <v>1763</v>
      </c>
      <c r="G4" s="11" t="inlineStr">
        <is>
          <t>AL HAMD TRADE CORPORATION</t>
        </is>
      </c>
      <c r="H4" s="14" t="n">
        <v>790089</v>
      </c>
      <c r="I4" s="14">
        <f>ROUND(H4*18%,0)</f>
        <v>142216</v>
      </c>
      <c r="J4" s="14">
        <f>+H4+I4</f>
        <v>932305</v>
      </c>
      <c r="K4" s="14">
        <f>ROUND((H4+I4)*2%,0)</f>
        <v>18646</v>
      </c>
      <c r="L4" s="15">
        <f>H4*0.1%</f>
        <v>790.08900000000006</v>
      </c>
      <c r="M4" s="15">
        <f>H4*2.25%*118%</f>
        <v>20976.862949999999</v>
      </c>
      <c r="N4" s="16">
        <f>H4*2.25%*2%</f>
        <v>355.54005000000001</v>
      </c>
      <c r="O4" s="15">
        <f>M4-N4</f>
        <v>20621.322899999999</v>
      </c>
      <c r="P4" s="15">
        <f>ROUND(O4+L4,0)</f>
        <v>21411</v>
      </c>
      <c r="Q4" s="17" t="n">
        <v>0.02</v>
      </c>
      <c r="R4" s="15">
        <f>ROUND(H4*Q4,0)</f>
        <v>15802</v>
      </c>
      <c r="S4" s="14">
        <f>ROUND(H4*117.65%-R4,0)</f>
        <v>913738</v>
      </c>
      <c r="T4" s="15">
        <f>ROUND(H4*25%,0)</f>
        <v>197522</v>
      </c>
      <c r="U4" s="18" t="n">
        <v>197522</v>
      </c>
      <c r="V4" s="15" t="inlineStr">
        <is>
          <t>24.08.2026</t>
        </is>
      </c>
      <c r="W4" s="15">
        <f>ROUND(H4*92.65%-R4,0)</f>
        <v>716215</v>
      </c>
      <c r="X4" s="15" t="n">
        <v>716216</v>
      </c>
      <c r="Y4" s="15" t="inlineStr">
        <is>
          <t>18.08.2026</t>
        </is>
      </c>
      <c r="Z4" s="15">
        <f>IF(IF(OR(AB4="",AB4=0),IF(OR(Y4="",Y4=0),TODAY(),DATE(VALUE(RIGHT(Y4,4)),VALUE(MID(Y4,4,2)),VALUE(LEFT(Y4,2)))),MIN(IF(OR(Y4="",Y4=0),TODAY(),DATE(VALUE(RIGHT(Y4,4)),VALUE(MID(Y4,4,2)),VALUE(LEFT(Y4,2)))),DATE(VALUE(RIGHT(AB4,4)),VALUE(MID(AB4,4,2)),VALUE(LEFT(AB4,2)))))&lt;=DATE(2026,8,24),0,H4*0.0118*CEILING((IF(OR(AB4="",AB4=0),IF(OR(Y4="",Y4=0),TODAY(),DATE(VALUE(RIGHT(Y4,4)),VALUE(MID(Y4,4,2)),VALUE(LEFT(Y4,2)))),MIN(IF(OR(Y4="",Y4=0),TODAY(),DATE(VALUE(RIGHT(Y4,4)),VALUE(MID(Y4,4,2)),VALUE(LEFT(Y4,2)))),DATE(VALUE(RIGHT(AB4,4)),VALUE(MID(AB4,4,2)),VALUE(LEFT(AB4,2)))))-DATE(2026,8,22))/7,1))</f>
        <v/>
      </c>
      <c r="AA4" s="15" t="n"/>
      <c r="AB4" s="15" t="n"/>
      <c r="AC4" s="15">
        <f>U4+X4+AA4</f>
        <v>913738</v>
      </c>
      <c r="AD4" s="19">
        <f>S4-AC4</f>
        <v>0</v>
      </c>
      <c r="AE4" s="20" t="inlineStr">
        <is>
          <t>DR2640100029</t>
        </is>
      </c>
      <c r="AF4" s="21" t="n">
        <v>1800003271</v>
      </c>
      <c r="AG4" s="22" t="inlineStr">
        <is>
          <t>24.08.2026</t>
        </is>
      </c>
    </row>
    <row r="5" ht="14.25" customHeight="1" s="137">
      <c r="A5" s="23" t="n">
        <v>270</v>
      </c>
      <c r="B5" s="24" t="inlineStr">
        <is>
          <t>Scrap of Empty oil drum</t>
        </is>
      </c>
      <c r="C5" s="25" t="n">
        <v>580</v>
      </c>
      <c r="D5" s="26" t="n">
        <v>21977</v>
      </c>
      <c r="E5" s="26" t="inlineStr">
        <is>
          <t>NO</t>
        </is>
      </c>
      <c r="F5" s="26" t="n">
        <v>1874</v>
      </c>
      <c r="G5" s="24" t="inlineStr">
        <is>
          <t>NATIONAL ENTERPRISES</t>
        </is>
      </c>
      <c r="H5" s="27" t="n">
        <v>156600</v>
      </c>
      <c r="I5" s="27">
        <f>ROUND(H5*18%,0)</f>
        <v>28188</v>
      </c>
      <c r="J5" s="27">
        <f>+H5+I5</f>
        <v>184788</v>
      </c>
      <c r="K5" s="27">
        <f>ROUND((H5+I5)*2%,0)</f>
        <v>3696</v>
      </c>
      <c r="L5" s="28">
        <f>H5*0.1%</f>
        <v>156.6</v>
      </c>
      <c r="M5" s="28">
        <f>H5*2.25%*118%</f>
        <v>4157.7299999999996</v>
      </c>
      <c r="N5" s="29">
        <f>H5*2.25%*2%</f>
        <v>70.47</v>
      </c>
      <c r="O5" s="28">
        <f>M5-N5</f>
        <v>4087.2599999999998</v>
      </c>
      <c r="P5" s="28">
        <f>ROUND(O5+L5,0)</f>
        <v>4244</v>
      </c>
      <c r="Q5" s="30" t="n">
        <v>0</v>
      </c>
      <c r="R5" s="28">
        <f>ROUND(H5*Q5,0)</f>
        <v>0</v>
      </c>
      <c r="S5" s="27">
        <f>ROUND(H5*117.65%-R5,0)</f>
        <v>184240</v>
      </c>
      <c r="T5" s="28">
        <f>ROUND(H5*25%,0)</f>
        <v>39150</v>
      </c>
      <c r="U5" s="31">
        <f>+T5</f>
        <v>39150</v>
      </c>
      <c r="V5" s="28" t="inlineStr">
        <is>
          <t>13.08.2026</t>
        </is>
      </c>
      <c r="W5" s="28">
        <f>ROUND(H5*92.65%-R5,0)</f>
        <v>145090</v>
      </c>
      <c r="X5" s="28" t="n">
        <v>145090</v>
      </c>
      <c r="Y5" s="28" t="inlineStr">
        <is>
          <t>24.08.2026</t>
        </is>
      </c>
      <c r="Z5" s="28">
        <f>IF(IF(OR(AB5="",AB5=0),IF(OR(Y5="",Y5=0),TODAY(),DATE(VALUE(RIGHT(Y5,4)),VALUE(MID(Y5,4,2)),VALUE(LEFT(Y5,2)))),MIN(IF(OR(Y5="",Y5=0),TODAY(),DATE(VALUE(RIGHT(Y5,4)),VALUE(MID(Y5,4,2)),VALUE(LEFT(Y5,2)))),DATE(VALUE(RIGHT(AB5,4)),VALUE(MID(AB5,4,2)),VALUE(LEFT(AB5,2)))))&lt;=DATE(2026,8,24),0,H5*0.0118*CEILING((IF(OR(AB5="",AB5=0),IF(OR(Y5="",Y5=0),TODAY(),DATE(VALUE(RIGHT(Y5,4)),VALUE(MID(Y5,4,2)),VALUE(LEFT(Y5,2)))),MIN(IF(OR(Y5="",Y5=0),TODAY(),DATE(VALUE(RIGHT(Y5,4)),VALUE(MID(Y5,4,2)),VALUE(LEFT(Y5,2)))),DATE(VALUE(RIGHT(AB5,4)),VALUE(MID(AB5,4,2)),VALUE(LEFT(AB5,2)))))-DATE(2026,8,22))/7,1))</f>
        <v/>
      </c>
      <c r="AA5" s="28" t="n"/>
      <c r="AB5" s="28" t="n"/>
      <c r="AC5" s="15">
        <f>U5+X5+AA5</f>
        <v>184240</v>
      </c>
      <c r="AD5" s="19">
        <f>S5-AC5</f>
        <v>0</v>
      </c>
      <c r="AE5" s="20" t="inlineStr">
        <is>
          <t>DR2640100030</t>
        </is>
      </c>
      <c r="AF5" s="21" t="n">
        <v>1800003302</v>
      </c>
      <c r="AG5" s="22" t="inlineStr">
        <is>
          <t>27.08.2026</t>
        </is>
      </c>
    </row>
    <row r="6" ht="26.25" customHeight="1" s="137">
      <c r="A6" s="23" t="n">
        <v>28</v>
      </c>
      <c r="B6" s="24" t="inlineStr">
        <is>
          <t>Scrap of Copper of faulty AC compressor</t>
        </is>
      </c>
      <c r="C6" s="25" t="n">
        <v>1456</v>
      </c>
      <c r="D6" s="26" t="n">
        <v>21977</v>
      </c>
      <c r="E6" s="26" t="inlineStr">
        <is>
          <t>KG</t>
        </is>
      </c>
      <c r="F6" s="26" t="n">
        <v>1875</v>
      </c>
      <c r="G6" s="24" t="inlineStr">
        <is>
          <t>F R KHANS ENTERPRISES</t>
        </is>
      </c>
      <c r="H6" s="27" t="n">
        <v>40768</v>
      </c>
      <c r="I6" s="27">
        <f>ROUND(H6*18%,0)</f>
        <v>7338</v>
      </c>
      <c r="J6" s="27">
        <f>+H6+I6</f>
        <v>48106</v>
      </c>
      <c r="K6" s="27">
        <f>ROUND((H6+I6)*2%,0)</f>
        <v>962</v>
      </c>
      <c r="L6" s="28">
        <f>H6*0.1%</f>
        <v>40.768000000000001</v>
      </c>
      <c r="M6" s="28">
        <f>H6*2.25%*118%</f>
        <v>1082.3904</v>
      </c>
      <c r="N6" s="29">
        <f>H6*2.25%*2%</f>
        <v>18.345600000000001</v>
      </c>
      <c r="O6" s="28">
        <f>M6-N6</f>
        <v>1064.0447999999999</v>
      </c>
      <c r="P6" s="28">
        <f>ROUND(O6+L6,0)</f>
        <v>1105</v>
      </c>
      <c r="Q6" s="30" t="n">
        <v>0</v>
      </c>
      <c r="R6" s="28">
        <f>ROUND(H6*Q6,0)</f>
        <v>0</v>
      </c>
      <c r="S6" s="27">
        <f>ROUND(H6*117.65%-R6,0)</f>
        <v>47964</v>
      </c>
      <c r="T6" s="28">
        <f>ROUND(H6*25%,0)</f>
        <v>10192</v>
      </c>
      <c r="U6" s="31" t="n">
        <v>10192</v>
      </c>
      <c r="V6" s="28" t="inlineStr">
        <is>
          <t>11.08.2026</t>
        </is>
      </c>
      <c r="W6" s="28">
        <f>ROUND(H6*92.65%-R6,0)</f>
        <v>37772</v>
      </c>
      <c r="X6" s="28">
        <f>+W6+R6</f>
        <v>37772</v>
      </c>
      <c r="Y6" s="28" t="inlineStr">
        <is>
          <t>20.08.2026</t>
        </is>
      </c>
      <c r="Z6" s="28">
        <f>IF(IF(OR(AB6="",AB6=0),IF(OR(Y6="",Y6=0),TODAY(),DATE(VALUE(RIGHT(Y6,4)),VALUE(MID(Y6,4,2)),VALUE(LEFT(Y6,2)))),MIN(IF(OR(Y6="",Y6=0),TODAY(),DATE(VALUE(RIGHT(Y6,4)),VALUE(MID(Y6,4,2)),VALUE(LEFT(Y6,2)))),DATE(VALUE(RIGHT(AB6,4)),VALUE(MID(AB6,4,2)),VALUE(LEFT(AB6,2)))))&lt;=DATE(2026,8,24),0,H6*0.0118*CEILING((IF(OR(AB6="",AB6=0),IF(OR(Y6="",Y6=0),TODAY(),DATE(VALUE(RIGHT(Y6,4)),VALUE(MID(Y6,4,2)),VALUE(LEFT(Y6,2)))),MIN(IF(OR(Y6="",Y6=0),TODAY(),DATE(VALUE(RIGHT(Y6,4)),VALUE(MID(Y6,4,2)),VALUE(LEFT(Y6,2)))),DATE(VALUE(RIGHT(AB6,4)),VALUE(MID(AB6,4,2)),VALUE(LEFT(AB6,2)))))-DATE(2026,8,22))/7,1))</f>
        <v/>
      </c>
      <c r="AA6" s="28" t="n"/>
      <c r="AB6" s="28" t="n"/>
      <c r="AC6" s="15">
        <f>U6+X6+AA6</f>
        <v>47964</v>
      </c>
      <c r="AD6" s="19">
        <f>S6-AC6</f>
        <v>0</v>
      </c>
      <c r="AE6" s="20" t="inlineStr">
        <is>
          <t>DR2640100047</t>
        </is>
      </c>
      <c r="AF6" s="21" t="n">
        <v>1800003346</v>
      </c>
      <c r="AG6" s="22" t="inlineStr">
        <is>
          <t>27.08.2026</t>
        </is>
      </c>
    </row>
    <row r="7" ht="39" customHeight="1" s="137">
      <c r="A7" s="23" t="n">
        <v>3000</v>
      </c>
      <c r="B7" s="24" t="inlineStr">
        <is>
          <t>Scrap of MS (extracted from equip cage and empty Sf6 gas cylinder)</t>
        </is>
      </c>
      <c r="C7" s="25" t="n">
        <v>66</v>
      </c>
      <c r="D7" s="26" t="n">
        <v>21977</v>
      </c>
      <c r="E7" s="26" t="inlineStr">
        <is>
          <t>KG</t>
        </is>
      </c>
      <c r="F7" s="26" t="n">
        <v>1876</v>
      </c>
      <c r="G7" s="24" t="inlineStr">
        <is>
          <t>F R KHANS ENTERPRISES</t>
        </is>
      </c>
      <c r="H7" s="27" t="n">
        <v>198000</v>
      </c>
      <c r="I7" s="27">
        <f>ROUND(H7*18%,0)</f>
        <v>35640</v>
      </c>
      <c r="J7" s="27">
        <f>+H7+I7</f>
        <v>233640</v>
      </c>
      <c r="K7" s="27">
        <f>ROUND((H7+I7)*2%,0)</f>
        <v>4673</v>
      </c>
      <c r="L7" s="28">
        <f>H7*0.1%</f>
        <v>198</v>
      </c>
      <c r="M7" s="28">
        <f>H7*2.25%*118%</f>
        <v>5256.9</v>
      </c>
      <c r="N7" s="29">
        <f>H7*2.25%*2%</f>
        <v>89.100000000000009</v>
      </c>
      <c r="O7" s="28">
        <f>M7-N7</f>
        <v>5167.7999999999993</v>
      </c>
      <c r="P7" s="28">
        <f>ROUND(O7+L7,0)</f>
        <v>5366</v>
      </c>
      <c r="Q7" s="30" t="n">
        <v>0</v>
      </c>
      <c r="R7" s="28">
        <f>ROUND(H7*Q7,0)</f>
        <v>0</v>
      </c>
      <c r="S7" s="27">
        <f>ROUND(H7*117.65%-R7,0)</f>
        <v>232947</v>
      </c>
      <c r="T7" s="28">
        <f>ROUND(H7*25%,0)</f>
        <v>49500</v>
      </c>
      <c r="U7" s="31" t="n">
        <v>49500</v>
      </c>
      <c r="V7" s="28" t="inlineStr">
        <is>
          <t>11.08.2026</t>
        </is>
      </c>
      <c r="W7" s="28">
        <f>ROUND(H7*92.65%-R7,0)</f>
        <v>183447</v>
      </c>
      <c r="X7" s="28">
        <f>+W7+R7-1</f>
        <v>183446</v>
      </c>
      <c r="Y7" s="28" t="inlineStr">
        <is>
          <t>20.08.2026</t>
        </is>
      </c>
      <c r="Z7" s="28">
        <f>IF(IF(OR(AB7="",AB7=0),IF(OR(Y7="",Y7=0),TODAY(),DATE(VALUE(RIGHT(Y7,4)),VALUE(MID(Y7,4,2)),VALUE(LEFT(Y7,2)))),MIN(IF(OR(Y7="",Y7=0),TODAY(),DATE(VALUE(RIGHT(Y7,4)),VALUE(MID(Y7,4,2)),VALUE(LEFT(Y7,2)))),DATE(VALUE(RIGHT(AB7,4)),VALUE(MID(AB7,4,2)),VALUE(LEFT(AB7,2)))))&lt;=DATE(2026,8,24),0,H7*0.0118*CEILING((IF(OR(AB7="",AB7=0),IF(OR(Y7="",Y7=0),TODAY(),DATE(VALUE(RIGHT(Y7,4)),VALUE(MID(Y7,4,2)),VALUE(LEFT(Y7,2)))),MIN(IF(OR(Y7="",Y7=0),TODAY(),DATE(VALUE(RIGHT(Y7,4)),VALUE(MID(Y7,4,2)),VALUE(LEFT(Y7,2)))),DATE(VALUE(RIGHT(AB7,4)),VALUE(MID(AB7,4,2)),VALUE(LEFT(AB7,2)))))-DATE(2026,8,22))/7,1))</f>
        <v/>
      </c>
      <c r="AA7" s="28" t="n"/>
      <c r="AB7" s="28" t="n"/>
      <c r="AC7" s="15">
        <f>U7+X7+AA7</f>
        <v>232946</v>
      </c>
      <c r="AD7" s="19">
        <f>S7-AC7</f>
        <v>1</v>
      </c>
      <c r="AE7" s="20" t="inlineStr">
        <is>
          <t>DR2640100048</t>
        </is>
      </c>
      <c r="AF7" s="21" t="n">
        <v>1800003347</v>
      </c>
      <c r="AG7" s="22" t="inlineStr">
        <is>
          <t>27.08.2026</t>
        </is>
      </c>
    </row>
    <row r="8" ht="26.25" customHeight="1" s="137">
      <c r="A8" s="23" t="n">
        <v>7253</v>
      </c>
      <c r="B8" s="24" t="inlineStr">
        <is>
          <t>SCRAP ACSR CONDUCTORS (Conductor Pieces)</t>
        </is>
      </c>
      <c r="C8" s="25" t="n">
        <v>227</v>
      </c>
      <c r="D8" s="26" t="n">
        <v>21980</v>
      </c>
      <c r="E8" s="26" t="inlineStr">
        <is>
          <t>KG</t>
        </is>
      </c>
      <c r="F8" s="26" t="n">
        <v>1923</v>
      </c>
      <c r="G8" s="24" t="inlineStr">
        <is>
          <t>OMKAR STEELS</t>
        </is>
      </c>
      <c r="H8" s="27" t="n">
        <v>1646431</v>
      </c>
      <c r="I8" s="27">
        <f>ROUND(H8*18%,0)</f>
        <v>296358</v>
      </c>
      <c r="J8" s="27">
        <f>+H8+I8</f>
        <v>1942789</v>
      </c>
      <c r="K8" s="27">
        <f>ROUND((H8+I8)*2%,0)</f>
        <v>38856</v>
      </c>
      <c r="L8" s="28">
        <f>H8*0.1%</f>
        <v>1646.431</v>
      </c>
      <c r="M8" s="28">
        <f>H8*2.25%*118%</f>
        <v>43712.743049999997</v>
      </c>
      <c r="N8" s="29">
        <f>H8*2.25%*2%</f>
        <v>740.89395000000002</v>
      </c>
      <c r="O8" s="28">
        <f>M8-N8</f>
        <v>42971.849099999999</v>
      </c>
      <c r="P8" s="28">
        <f>ROUND(O8+L8,0)</f>
        <v>44618</v>
      </c>
      <c r="Q8" s="30" t="n">
        <v>0.02</v>
      </c>
      <c r="R8" s="28">
        <f>ROUND(H8*Q8,0)</f>
        <v>32929</v>
      </c>
      <c r="S8" s="27">
        <f>ROUND(H8*117.65%-R8,0)</f>
        <v>1904097</v>
      </c>
      <c r="T8" s="28">
        <f>ROUND(H8*25%,0)</f>
        <v>411608</v>
      </c>
      <c r="U8" s="31">
        <f>+T8</f>
        <v>411608</v>
      </c>
      <c r="V8" s="28" t="inlineStr">
        <is>
          <t>14.08.2026</t>
        </is>
      </c>
      <c r="W8" s="28">
        <f>ROUND(H8*92.65%-R8,0)</f>
        <v>1492489</v>
      </c>
      <c r="X8" s="28" t="n">
        <v>1492490</v>
      </c>
      <c r="Y8" s="28" t="inlineStr">
        <is>
          <t>24.08.2026</t>
        </is>
      </c>
      <c r="Z8" s="28">
        <f>IF(IF(OR(AB8="",AB8=0),IF(OR(Y8="",Y8=0),TODAY(),DATE(VALUE(RIGHT(Y8,4)),VALUE(MID(Y8,4,2)),VALUE(LEFT(Y8,2)))),MIN(IF(OR(Y8="",Y8=0),TODAY(),DATE(VALUE(RIGHT(Y8,4)),VALUE(MID(Y8,4,2)),VALUE(LEFT(Y8,2)))),DATE(VALUE(RIGHT(AB8,4)),VALUE(MID(AB8,4,2)),VALUE(LEFT(AB8,2)))))&lt;=DATE(2026,8,24),0,H8*0.0118*CEILING((IF(OR(AB8="",AB8=0),IF(OR(Y8="",Y8=0),TODAY(),DATE(VALUE(RIGHT(Y8,4)),VALUE(MID(Y8,4,2)),VALUE(LEFT(Y8,2)))),MIN(IF(OR(Y8="",Y8=0),TODAY(),DATE(VALUE(RIGHT(Y8,4)),VALUE(MID(Y8,4,2)),VALUE(LEFT(Y8,2)))),DATE(VALUE(RIGHT(AB8,4)),VALUE(MID(AB8,4,2)),VALUE(LEFT(AB8,2)))))-DATE(2026,8,22))/7,1))</f>
        <v/>
      </c>
      <c r="AA8" s="28" t="n"/>
      <c r="AB8" s="28" t="n"/>
      <c r="AC8" s="15">
        <f>U8+X8+AA8</f>
        <v>1904098</v>
      </c>
      <c r="AD8" s="19">
        <f>S8-AC8</f>
        <v>-1</v>
      </c>
      <c r="AE8" s="20" t="inlineStr">
        <is>
          <t>DR2640100045</t>
        </is>
      </c>
      <c r="AF8" s="21" t="n">
        <v>1800003315</v>
      </c>
      <c r="AG8" s="22" t="inlineStr">
        <is>
          <t>27.08.2026</t>
        </is>
      </c>
    </row>
    <row r="9" ht="14.25" customHeight="1" s="137">
      <c r="A9" s="23" t="n">
        <v>1</v>
      </c>
      <c r="B9" s="24" t="inlineStr">
        <is>
          <t>Scrap Power Transformer</t>
        </is>
      </c>
      <c r="C9" s="25" t="n">
        <v>2787314</v>
      </c>
      <c r="D9" s="26" t="n">
        <v>21977</v>
      </c>
      <c r="E9" s="26" t="inlineStr">
        <is>
          <t>NO</t>
        </is>
      </c>
      <c r="F9" s="26" t="n">
        <v>1976</v>
      </c>
      <c r="G9" s="24" t="inlineStr">
        <is>
          <t>SHAR JAHAN TRADERS</t>
        </is>
      </c>
      <c r="H9" s="27" t="n">
        <v>2787314</v>
      </c>
      <c r="I9" s="27">
        <f>ROUND(H9*18%,0)</f>
        <v>501717</v>
      </c>
      <c r="J9" s="27">
        <f>+H9+I9</f>
        <v>3289031</v>
      </c>
      <c r="K9" s="27">
        <f>ROUND((H9+I9)*2%,0)</f>
        <v>65781</v>
      </c>
      <c r="L9" s="28">
        <f>H9*0.1%</f>
        <v>2787.3139999999999</v>
      </c>
      <c r="M9" s="28">
        <f>H9*2.25%*118%</f>
        <v>74003.186699999991</v>
      </c>
      <c r="N9" s="29">
        <f>H9*2.25%*2%</f>
        <v>1254.2912999999999</v>
      </c>
      <c r="O9" s="28">
        <f>M9-N9</f>
        <v>72748.895399999994</v>
      </c>
      <c r="P9" s="28">
        <f>ROUND(O9+L9,0)</f>
        <v>75536</v>
      </c>
      <c r="Q9" s="30" t="n">
        <v>0</v>
      </c>
      <c r="R9" s="28">
        <f>ROUND(H9*Q9,0)</f>
        <v>0</v>
      </c>
      <c r="S9" s="27">
        <f>ROUND(H9*117.65%-R9,0)</f>
        <v>3279275</v>
      </c>
      <c r="T9" s="28">
        <f>ROUND(H9*25%,0)</f>
        <v>696829</v>
      </c>
      <c r="U9" s="31">
        <f>+T9</f>
        <v>696829</v>
      </c>
      <c r="V9" s="28" t="inlineStr">
        <is>
          <t>13.08.2026</t>
        </is>
      </c>
      <c r="W9" s="28">
        <f>ROUND(H9*92.65%-R9,0)</f>
        <v>2582446</v>
      </c>
      <c r="X9" s="28" t="n">
        <v>2582447.09429161</v>
      </c>
      <c r="Y9" s="28" t="inlineStr">
        <is>
          <t>13.08.2026</t>
        </is>
      </c>
      <c r="Z9" s="28">
        <f>IF(IF(OR(AB9="",AB9=0),IF(OR(Y9="",Y9=0),TODAY(),DATE(VALUE(RIGHT(Y9,4)),VALUE(MID(Y9,4,2)),VALUE(LEFT(Y9,2)))),MIN(IF(OR(Y9="",Y9=0),TODAY(),DATE(VALUE(RIGHT(Y9,4)),VALUE(MID(Y9,4,2)),VALUE(LEFT(Y9,2)))),DATE(VALUE(RIGHT(AB9,4)),VALUE(MID(AB9,4,2)),VALUE(LEFT(AB9,2)))))&lt;=DATE(2026,8,24),0,H9*0.0118*CEILING((IF(OR(AB9="",AB9=0),IF(OR(Y9="",Y9=0),TODAY(),DATE(VALUE(RIGHT(Y9,4)),VALUE(MID(Y9,4,2)),VALUE(LEFT(Y9,2)))),MIN(IF(OR(Y9="",Y9=0),TODAY(),DATE(VALUE(RIGHT(Y9,4)),VALUE(MID(Y9,4,2)),VALUE(LEFT(Y9,2)))),DATE(VALUE(RIGHT(AB9,4)),VALUE(MID(AB9,4,2)),VALUE(LEFT(AB9,2)))))-DATE(2026,8,22))/7,1))</f>
        <v/>
      </c>
      <c r="AA9" s="28" t="n"/>
      <c r="AB9" s="28" t="n"/>
      <c r="AC9" s="15">
        <f>U9+X9+AA9</f>
        <v>3279276.0942916102</v>
      </c>
      <c r="AD9" s="19">
        <f>S9-AC9</f>
        <v>-1.0942916101776063</v>
      </c>
      <c r="AE9" s="20" t="inlineStr">
        <is>
          <t>DR2640100023</t>
        </is>
      </c>
      <c r="AF9" s="21" t="n">
        <v>1800003194</v>
      </c>
      <c r="AG9" s="22" t="inlineStr">
        <is>
          <t>17.08.2026</t>
        </is>
      </c>
    </row>
    <row r="10" ht="14.25" customHeight="1" s="137">
      <c r="A10" s="23" t="n">
        <v>4</v>
      </c>
      <c r="B10" s="24" t="inlineStr">
        <is>
          <t>Scrap of 132 KV CT</t>
        </is>
      </c>
      <c r="C10" s="25" t="n">
        <v>51511</v>
      </c>
      <c r="D10" s="26" t="n">
        <v>21977</v>
      </c>
      <c r="E10" s="26" t="inlineStr">
        <is>
          <t>NO</t>
        </is>
      </c>
      <c r="F10" s="26" t="n">
        <v>2002</v>
      </c>
      <c r="G10" s="24" t="inlineStr">
        <is>
          <t>NATIONAL ENTERPRISES</t>
        </is>
      </c>
      <c r="H10" s="27" t="n">
        <v>206044</v>
      </c>
      <c r="I10" s="27">
        <f>ROUND(H10*18%,0)</f>
        <v>37088</v>
      </c>
      <c r="J10" s="27">
        <f>+H10+I10</f>
        <v>243132</v>
      </c>
      <c r="K10" s="27">
        <f>ROUND((H10+I10)*2%,0)</f>
        <v>4863</v>
      </c>
      <c r="L10" s="28">
        <f>H10*0.1%</f>
        <v>206.04400000000001</v>
      </c>
      <c r="M10" s="28">
        <f>H10*2.25%*118%</f>
        <v>5470.4681999999993</v>
      </c>
      <c r="N10" s="29">
        <f>H10*2.25%*2%</f>
        <v>92.719799999999992</v>
      </c>
      <c r="O10" s="28">
        <f>M10-N10</f>
        <v>5377.7483999999995</v>
      </c>
      <c r="P10" s="28">
        <f>ROUND(O10+L10,0)</f>
        <v>5584</v>
      </c>
      <c r="Q10" s="30" t="n">
        <v>0</v>
      </c>
      <c r="R10" s="28">
        <f>ROUND(H10*Q10,0)</f>
        <v>0</v>
      </c>
      <c r="S10" s="27">
        <f>ROUND(H10*117.65%-R10,0)</f>
        <v>242411</v>
      </c>
      <c r="T10" s="28">
        <f>ROUND(H10*25%,0)</f>
        <v>51511</v>
      </c>
      <c r="U10" s="31">
        <f>+T10</f>
        <v>51511</v>
      </c>
      <c r="V10" s="28" t="inlineStr">
        <is>
          <t>13.08.2026</t>
        </is>
      </c>
      <c r="W10" s="28">
        <f>ROUND(H10*92.65%-R10,0)</f>
        <v>190900</v>
      </c>
      <c r="X10" s="28" t="n">
        <v>190900</v>
      </c>
      <c r="Y10" s="28" t="inlineStr">
        <is>
          <t>24.08.2026</t>
        </is>
      </c>
      <c r="Z10" s="28">
        <f>IF(IF(OR(AB10="",AB10=0),IF(OR(Y10="",Y10=0),TODAY(),DATE(VALUE(RIGHT(Y10,4)),VALUE(MID(Y10,4,2)),VALUE(LEFT(Y10,2)))),MIN(IF(OR(Y10="",Y10=0),TODAY(),DATE(VALUE(RIGHT(Y10,4)),VALUE(MID(Y10,4,2)),VALUE(LEFT(Y10,2)))),DATE(VALUE(RIGHT(AB10,4)),VALUE(MID(AB10,4,2)),VALUE(LEFT(AB10,2)))))&lt;=DATE(2026,8,24),0,H10*0.0118*CEILING((IF(OR(AB10="",AB10=0),IF(OR(Y10="",Y10=0),TODAY(),DATE(VALUE(RIGHT(Y10,4)),VALUE(MID(Y10,4,2)),VALUE(LEFT(Y10,2)))),MIN(IF(OR(Y10="",Y10=0),TODAY(),DATE(VALUE(RIGHT(Y10,4)),VALUE(MID(Y10,4,2)),VALUE(LEFT(Y10,2)))),DATE(VALUE(RIGHT(AB10,4)),VALUE(MID(AB10,4,2)),VALUE(LEFT(AB10,2)))))-DATE(2026,8,22))/7,1))</f>
        <v/>
      </c>
      <c r="AA10" s="28" t="n"/>
      <c r="AB10" s="28" t="n"/>
      <c r="AC10" s="15">
        <f>U10+X10+AA10</f>
        <v>242411</v>
      </c>
      <c r="AD10" s="19">
        <f>S10-AC10</f>
        <v>0</v>
      </c>
      <c r="AE10" s="20" t="inlineStr">
        <is>
          <t>DR2640100031</t>
        </is>
      </c>
      <c r="AF10" s="21" t="n">
        <v>1800003303</v>
      </c>
      <c r="AG10" s="22" t="inlineStr">
        <is>
          <t>27.08.2026</t>
        </is>
      </c>
    </row>
    <row r="11" ht="14.25" customHeight="1" s="137">
      <c r="A11" s="23" t="n">
        <v>1</v>
      </c>
      <c r="B11" s="24" t="inlineStr">
        <is>
          <t>Scrap of 145 KV CB</t>
        </is>
      </c>
      <c r="C11" s="25" t="n">
        <v>65007</v>
      </c>
      <c r="D11" s="26" t="n">
        <v>21977</v>
      </c>
      <c r="E11" s="26" t="inlineStr">
        <is>
          <t>NO</t>
        </is>
      </c>
      <c r="F11" s="26" t="n">
        <v>2003</v>
      </c>
      <c r="G11" s="24" t="inlineStr">
        <is>
          <t>NATIONAL ENTERPRISES</t>
        </is>
      </c>
      <c r="H11" s="27" t="n">
        <v>65007</v>
      </c>
      <c r="I11" s="27">
        <f>ROUND(H11*18%,0)</f>
        <v>11701</v>
      </c>
      <c r="J11" s="27">
        <f>+H11+I11</f>
        <v>76708</v>
      </c>
      <c r="K11" s="27">
        <f>ROUND((H11+I11)*2%,0)</f>
        <v>1534</v>
      </c>
      <c r="L11" s="28">
        <f>H11*0.1%</f>
        <v>65.007000000000005</v>
      </c>
      <c r="M11" s="28">
        <f>H11*2.25%*118%</f>
        <v>1725.9358499999998</v>
      </c>
      <c r="N11" s="29">
        <f>H11*2.25%*2%</f>
        <v>29.253150000000002</v>
      </c>
      <c r="O11" s="28">
        <f>M11-N11</f>
        <v>1696.6826999999998</v>
      </c>
      <c r="P11" s="28">
        <f>ROUND(O11+L11,0)</f>
        <v>1762</v>
      </c>
      <c r="Q11" s="30" t="n">
        <v>0</v>
      </c>
      <c r="R11" s="28">
        <f>ROUND(H11*Q11,0)</f>
        <v>0</v>
      </c>
      <c r="S11" s="27">
        <f>ROUND(H11*117.65%-R11,0)</f>
        <v>76481</v>
      </c>
      <c r="T11" s="28">
        <f>ROUND(H11*25%,0)</f>
        <v>16252</v>
      </c>
      <c r="U11" s="31">
        <f>+T11</f>
        <v>16252</v>
      </c>
      <c r="V11" s="28" t="inlineStr">
        <is>
          <t>13.08.2026</t>
        </is>
      </c>
      <c r="W11" s="28">
        <f>ROUND(H11*92.65%-R11,0)</f>
        <v>60229</v>
      </c>
      <c r="X11" s="28" t="n">
        <v>60229</v>
      </c>
      <c r="Y11" s="28" t="inlineStr">
        <is>
          <t>24.08.2026</t>
        </is>
      </c>
      <c r="Z11" s="28">
        <f>IF(IF(OR(AB11="",AB11=0),IF(OR(Y11="",Y11=0),TODAY(),DATE(VALUE(RIGHT(Y11,4)),VALUE(MID(Y11,4,2)),VALUE(LEFT(Y11,2)))),MIN(IF(OR(Y11="",Y11=0),TODAY(),DATE(VALUE(RIGHT(Y11,4)),VALUE(MID(Y11,4,2)),VALUE(LEFT(Y11,2)))),DATE(VALUE(RIGHT(AB11,4)),VALUE(MID(AB11,4,2)),VALUE(LEFT(AB11,2)))))&lt;=DATE(2026,8,24),0,H11*0.0118*CEILING((IF(OR(AB11="",AB11=0),IF(OR(Y11="",Y11=0),TODAY(),DATE(VALUE(RIGHT(Y11,4)),VALUE(MID(Y11,4,2)),VALUE(LEFT(Y11,2)))),MIN(IF(OR(Y11="",Y11=0),TODAY(),DATE(VALUE(RIGHT(Y11,4)),VALUE(MID(Y11,4,2)),VALUE(LEFT(Y11,2)))),DATE(VALUE(RIGHT(AB11,4)),VALUE(MID(AB11,4,2)),VALUE(LEFT(AB11,2)))))-DATE(2026,8,22))/7,1))</f>
        <v/>
      </c>
      <c r="AA11" s="28" t="n"/>
      <c r="AB11" s="28" t="n"/>
      <c r="AC11" s="15">
        <f>U11+X11+AA11</f>
        <v>76481</v>
      </c>
      <c r="AD11" s="19">
        <f>S11-AC11</f>
        <v>0</v>
      </c>
      <c r="AE11" s="20" t="inlineStr">
        <is>
          <t>DR2640100032</t>
        </is>
      </c>
      <c r="AF11" s="21" t="n">
        <v>1800003304</v>
      </c>
      <c r="AG11" s="22" t="inlineStr">
        <is>
          <t>27.08.2026</t>
        </is>
      </c>
    </row>
    <row r="12" ht="14.25" customHeight="1" s="137">
      <c r="A12" s="23" t="n">
        <v>1</v>
      </c>
      <c r="B12" s="24" t="inlineStr">
        <is>
          <t>Scrap of 220KV CT</t>
        </is>
      </c>
      <c r="C12" s="25" t="n">
        <v>70006</v>
      </c>
      <c r="D12" s="26" t="n">
        <v>21977</v>
      </c>
      <c r="E12" s="26" t="inlineStr">
        <is>
          <t>NO</t>
        </is>
      </c>
      <c r="F12" s="26" t="n">
        <v>2005</v>
      </c>
      <c r="G12" s="24" t="inlineStr">
        <is>
          <t>NATIONAL ENTERPRISES</t>
        </is>
      </c>
      <c r="H12" s="27" t="n">
        <v>70006</v>
      </c>
      <c r="I12" s="27">
        <f>ROUND(H12*18%,0)</f>
        <v>12601</v>
      </c>
      <c r="J12" s="27">
        <f>+H12+I12</f>
        <v>82607</v>
      </c>
      <c r="K12" s="27">
        <f>ROUND((H12+I12)*2%,0)</f>
        <v>1652</v>
      </c>
      <c r="L12" s="28">
        <f>H12*0.1%</f>
        <v>70.006</v>
      </c>
      <c r="M12" s="28">
        <f>H12*2.25%*118%</f>
        <v>1858.6592999999998</v>
      </c>
      <c r="N12" s="29">
        <f>H12*2.25%*2%</f>
        <v>31.502700000000001</v>
      </c>
      <c r="O12" s="28">
        <f>M12-N12</f>
        <v>1827.1565999999998</v>
      </c>
      <c r="P12" s="28">
        <f>ROUND(O12+L12,0)</f>
        <v>1897</v>
      </c>
      <c r="Q12" s="30" t="n">
        <v>0</v>
      </c>
      <c r="R12" s="28">
        <f>ROUND(H12*Q12,0)</f>
        <v>0</v>
      </c>
      <c r="S12" s="27">
        <f>ROUND(H12*117.65%-R12,0)</f>
        <v>82362</v>
      </c>
      <c r="T12" s="28">
        <f>ROUND(H12*25%,0)</f>
        <v>17502</v>
      </c>
      <c r="U12" s="31">
        <f>+T12</f>
        <v>17502</v>
      </c>
      <c r="V12" s="28" t="inlineStr">
        <is>
          <t>13.08.2026</t>
        </is>
      </c>
      <c r="W12" s="28">
        <f>ROUND(H12*92.65%-R12,0)</f>
        <v>64861</v>
      </c>
      <c r="X12" s="28" t="n">
        <v>64859</v>
      </c>
      <c r="Y12" s="28" t="inlineStr">
        <is>
          <t>24.08.2026</t>
        </is>
      </c>
      <c r="Z12" s="28">
        <f>IF(IF(OR(AB12="",AB12=0),IF(OR(Y12="",Y12=0),TODAY(),DATE(VALUE(RIGHT(Y12,4)),VALUE(MID(Y12,4,2)),VALUE(LEFT(Y12,2)))),MIN(IF(OR(Y12="",Y12=0),TODAY(),DATE(VALUE(RIGHT(Y12,4)),VALUE(MID(Y12,4,2)),VALUE(LEFT(Y12,2)))),DATE(VALUE(RIGHT(AB12,4)),VALUE(MID(AB12,4,2)),VALUE(LEFT(AB12,2)))))&lt;=DATE(2026,8,24),0,H12*0.0118*CEILING((IF(OR(AB12="",AB12=0),IF(OR(Y12="",Y12=0),TODAY(),DATE(VALUE(RIGHT(Y12,4)),VALUE(MID(Y12,4,2)),VALUE(LEFT(Y12,2)))),MIN(IF(OR(Y12="",Y12=0),TODAY(),DATE(VALUE(RIGHT(Y12,4)),VALUE(MID(Y12,4,2)),VALUE(LEFT(Y12,2)))),DATE(VALUE(RIGHT(AB12,4)),VALUE(MID(AB12,4,2)),VALUE(LEFT(AB12,2)))))-DATE(2026,8,22))/7,1))</f>
        <v/>
      </c>
      <c r="AA12" s="28" t="n"/>
      <c r="AB12" s="28" t="n"/>
      <c r="AC12" s="15">
        <f>U12+X12+AA12</f>
        <v>82361</v>
      </c>
      <c r="AD12" s="19">
        <f>S12-AC12</f>
        <v>1</v>
      </c>
      <c r="AE12" s="20" t="inlineStr">
        <is>
          <t>DR2640100033</t>
        </is>
      </c>
      <c r="AF12" s="21" t="n">
        <v>1800003305</v>
      </c>
      <c r="AG12" s="22" t="inlineStr">
        <is>
          <t>27.08.2026</t>
        </is>
      </c>
    </row>
    <row r="13" ht="14.25" customHeight="1" s="137">
      <c r="A13" s="23" t="n">
        <v>25</v>
      </c>
      <c r="B13" s="24" t="inlineStr">
        <is>
          <t>Scrap of empty oil drums</t>
        </is>
      </c>
      <c r="C13" s="25" t="n">
        <v>700</v>
      </c>
      <c r="D13" s="26" t="n">
        <v>21977</v>
      </c>
      <c r="E13" s="26" t="inlineStr">
        <is>
          <t>NO</t>
        </is>
      </c>
      <c r="F13" s="26" t="n">
        <v>2006</v>
      </c>
      <c r="G13" s="24" t="inlineStr">
        <is>
          <t>STERLING ENTERPRISES</t>
        </is>
      </c>
      <c r="H13" s="27" t="n">
        <v>17500</v>
      </c>
      <c r="I13" s="27">
        <f>ROUND(H13*18%,0)</f>
        <v>3150</v>
      </c>
      <c r="J13" s="27">
        <f>+H13+I13</f>
        <v>20650</v>
      </c>
      <c r="K13" s="27">
        <f>ROUND((H13+I13)*2%,0)</f>
        <v>413</v>
      </c>
      <c r="L13" s="28">
        <f>H13*0.1%</f>
        <v>17.5</v>
      </c>
      <c r="M13" s="28">
        <f>H13*2.25%*118%</f>
        <v>464.625</v>
      </c>
      <c r="N13" s="29">
        <f>H13*2.25%*2%</f>
        <v>7.875</v>
      </c>
      <c r="O13" s="28">
        <f>M13-N13</f>
        <v>456.75</v>
      </c>
      <c r="P13" s="28">
        <f>ROUND(O13+L13,0)</f>
        <v>474</v>
      </c>
      <c r="Q13" s="30" t="n">
        <v>0</v>
      </c>
      <c r="R13" s="28">
        <f>ROUND(H13*Q13,0)</f>
        <v>0</v>
      </c>
      <c r="S13" s="27">
        <f>ROUND(H13*117.65%-R13,0)</f>
        <v>20589</v>
      </c>
      <c r="T13" s="28">
        <f>ROUND(H13*25%,0)</f>
        <v>4375</v>
      </c>
      <c r="U13" s="31" t="n">
        <v>4375</v>
      </c>
      <c r="V13" s="28" t="inlineStr">
        <is>
          <t>11.08.2026</t>
        </is>
      </c>
      <c r="W13" s="28">
        <f>ROUND(H13*92.65%-R13,0)</f>
        <v>16214</v>
      </c>
      <c r="X13" s="28" t="n">
        <v>16214</v>
      </c>
      <c r="Y13" s="28" t="inlineStr">
        <is>
          <t>11.08.2026</t>
        </is>
      </c>
      <c r="Z13" s="28">
        <f>IF(IF(OR(AB13="",AB13=0),IF(OR(Y13="",Y13=0),TODAY(),DATE(VALUE(RIGHT(Y13,4)),VALUE(MID(Y13,4,2)),VALUE(LEFT(Y13,2)))),MIN(IF(OR(Y13="",Y13=0),TODAY(),DATE(VALUE(RIGHT(Y13,4)),VALUE(MID(Y13,4,2)),VALUE(LEFT(Y13,2)))),DATE(VALUE(RIGHT(AB13,4)),VALUE(MID(AB13,4,2)),VALUE(LEFT(AB13,2)))))&lt;=DATE(2026,8,24),0,H13*0.0118*CEILING((IF(OR(AB13="",AB13=0),IF(OR(Y13="",Y13=0),TODAY(),DATE(VALUE(RIGHT(Y13,4)),VALUE(MID(Y13,4,2)),VALUE(LEFT(Y13,2)))),MIN(IF(OR(Y13="",Y13=0),TODAY(),DATE(VALUE(RIGHT(Y13,4)),VALUE(MID(Y13,4,2)),VALUE(LEFT(Y13,2)))),DATE(VALUE(RIGHT(AB13,4)),VALUE(MID(AB13,4,2)),VALUE(LEFT(AB13,2)))))-DATE(2026,8,22))/7,1))</f>
        <v/>
      </c>
      <c r="AA13" s="28" t="n"/>
      <c r="AB13" s="28" t="n"/>
      <c r="AC13" s="15">
        <f>U13+X13+AA13</f>
        <v>20589</v>
      </c>
      <c r="AD13" s="19">
        <f>S13-AC13</f>
        <v>0</v>
      </c>
      <c r="AE13" s="20" t="inlineStr">
        <is>
          <t>DR2640100018</t>
        </is>
      </c>
      <c r="AF13" s="21" t="n">
        <v>1800003156</v>
      </c>
      <c r="AG13" s="22" t="inlineStr">
        <is>
          <t>14.08.2026</t>
        </is>
      </c>
    </row>
    <row r="14" ht="14.25" customHeight="1" s="137">
      <c r="A14" s="23" t="n">
        <v>1</v>
      </c>
      <c r="B14" s="24" t="inlineStr">
        <is>
          <t>SCRAP POWER TRANSFORMER</t>
        </is>
      </c>
      <c r="C14" s="25" t="n">
        <v>3857116</v>
      </c>
      <c r="D14" s="26" t="n">
        <v>21977</v>
      </c>
      <c r="E14" s="26" t="inlineStr">
        <is>
          <t>NO</t>
        </is>
      </c>
      <c r="F14" s="26" t="n">
        <v>2007</v>
      </c>
      <c r="G14" s="24" t="inlineStr">
        <is>
          <t>SHAR JAHAN TRADERS</t>
        </is>
      </c>
      <c r="H14" s="27" t="n">
        <v>3857116</v>
      </c>
      <c r="I14" s="27">
        <f>ROUND(H14*18%,0)</f>
        <v>694281</v>
      </c>
      <c r="J14" s="27">
        <f>+H14+I14</f>
        <v>4551397</v>
      </c>
      <c r="K14" s="27">
        <f>ROUND((H14+I14)*2%,0)</f>
        <v>91028</v>
      </c>
      <c r="L14" s="28">
        <f>H14*0.1%</f>
        <v>3857.116</v>
      </c>
      <c r="M14" s="28">
        <f>H14*2.25%*118%</f>
        <v>102406.4298</v>
      </c>
      <c r="N14" s="29">
        <f>H14*2.25%*2%</f>
        <v>1735.7021999999999</v>
      </c>
      <c r="O14" s="28">
        <f>M14-N14</f>
        <v>100670.7276</v>
      </c>
      <c r="P14" s="28">
        <f>ROUND(O14+L14,0)</f>
        <v>104528</v>
      </c>
      <c r="Q14" s="30" t="n">
        <v>0</v>
      </c>
      <c r="R14" s="28">
        <f>ROUND(H14*Q14,0)</f>
        <v>0</v>
      </c>
      <c r="S14" s="27">
        <f>ROUND(H14*117.65%-R14,0)</f>
        <v>4537897</v>
      </c>
      <c r="T14" s="28">
        <f>ROUND(H14*25%,0)</f>
        <v>964279</v>
      </c>
      <c r="U14" s="31">
        <f>+T14</f>
        <v>964279</v>
      </c>
      <c r="V14" s="28" t="inlineStr">
        <is>
          <t>13.08.2026</t>
        </is>
      </c>
      <c r="W14" s="28">
        <f>ROUND(H14*92.65%-R14,0)</f>
        <v>3573618</v>
      </c>
      <c r="X14" s="28" t="n">
        <v>3573618.90570839</v>
      </c>
      <c r="Y14" s="28" t="inlineStr">
        <is>
          <t>13.08.2026</t>
        </is>
      </c>
      <c r="Z14" s="28">
        <f>IF(IF(OR(AB14="",AB14=0),IF(OR(Y14="",Y14=0),TODAY(),DATE(VALUE(RIGHT(Y14,4)),VALUE(MID(Y14,4,2)),VALUE(LEFT(Y14,2)))),MIN(IF(OR(Y14="",Y14=0),TODAY(),DATE(VALUE(RIGHT(Y14,4)),VALUE(MID(Y14,4,2)),VALUE(LEFT(Y14,2)))),DATE(VALUE(RIGHT(AB14,4)),VALUE(MID(AB14,4,2)),VALUE(LEFT(AB14,2)))))&lt;=DATE(2026,8,24),0,H14*0.0118*CEILING((IF(OR(AB14="",AB14=0),IF(OR(Y14="",Y14=0),TODAY(),DATE(VALUE(RIGHT(Y14,4)),VALUE(MID(Y14,4,2)),VALUE(LEFT(Y14,2)))),MIN(IF(OR(Y14="",Y14=0),TODAY(),DATE(VALUE(RIGHT(Y14,4)),VALUE(MID(Y14,4,2)),VALUE(LEFT(Y14,2)))),DATE(VALUE(RIGHT(AB14,4)),VALUE(MID(AB14,4,2)),VALUE(LEFT(AB14,2)))))-DATE(2026,8,22))/7,1))</f>
        <v/>
      </c>
      <c r="AA14" s="28" t="n"/>
      <c r="AB14" s="28" t="n"/>
      <c r="AC14" s="15">
        <f>U14+X14+AA14</f>
        <v>4537897.9057083894</v>
      </c>
      <c r="AD14" s="19">
        <f>S14-AC14</f>
        <v>-0.90570838935673237</v>
      </c>
      <c r="AE14" s="20" t="inlineStr">
        <is>
          <t>DR2640100024</t>
        </is>
      </c>
      <c r="AF14" s="21" t="n">
        <v>1800003196</v>
      </c>
      <c r="AG14" s="22" t="inlineStr">
        <is>
          <t>17.08.2026</t>
        </is>
      </c>
    </row>
    <row r="15" ht="14.25" customHeight="1" s="137">
      <c r="A15" s="23" t="n">
        <v>250</v>
      </c>
      <c r="B15" s="24" t="inlineStr">
        <is>
          <t>Scrap of empty oil Druam</t>
        </is>
      </c>
      <c r="C15" s="25" t="n">
        <v>543</v>
      </c>
      <c r="D15" s="26" t="n">
        <v>21977</v>
      </c>
      <c r="E15" s="26" t="inlineStr">
        <is>
          <t>NO</t>
        </is>
      </c>
      <c r="F15" s="26" t="n">
        <v>2008</v>
      </c>
      <c r="G15" s="24" t="inlineStr">
        <is>
          <t>HIND TRADERS</t>
        </is>
      </c>
      <c r="H15" s="27" t="n">
        <v>135750</v>
      </c>
      <c r="I15" s="27">
        <f>ROUND(H15*18%,0)</f>
        <v>24435</v>
      </c>
      <c r="J15" s="27">
        <f>+H15+I15</f>
        <v>160185</v>
      </c>
      <c r="K15" s="27">
        <f>ROUND((H15+I15)*2%,0)</f>
        <v>3204</v>
      </c>
      <c r="L15" s="28">
        <f>H15*0.1%</f>
        <v>135.75</v>
      </c>
      <c r="M15" s="28">
        <f>H15*2.25%*118%</f>
        <v>3604.1624999999999</v>
      </c>
      <c r="N15" s="29">
        <f>H15*2.25%*2%</f>
        <v>61.087499999999999</v>
      </c>
      <c r="O15" s="28">
        <f>M15-N15</f>
        <v>3543.0749999999998</v>
      </c>
      <c r="P15" s="28">
        <f>ROUND(O15+L15,0)</f>
        <v>3679</v>
      </c>
      <c r="Q15" s="30" t="n">
        <v>0</v>
      </c>
      <c r="R15" s="28">
        <f>ROUND(H15*Q15,0)</f>
        <v>0</v>
      </c>
      <c r="S15" s="27">
        <f>ROUND(H15*117.65%-R15,0)</f>
        <v>159710</v>
      </c>
      <c r="T15" s="28">
        <f>ROUND(H15*25%,0)</f>
        <v>33938</v>
      </c>
      <c r="U15" s="31" t="n">
        <v>33938</v>
      </c>
      <c r="V15" s="28" t="inlineStr">
        <is>
          <t>14.08.2026</t>
        </is>
      </c>
      <c r="W15" s="28">
        <f>ROUND(H15*92.65%-R15,0)</f>
        <v>125772</v>
      </c>
      <c r="X15" s="28" t="n">
        <v>125772</v>
      </c>
      <c r="Y15" s="28" t="inlineStr">
        <is>
          <t>18.08.2026</t>
        </is>
      </c>
      <c r="Z15" s="28">
        <f>IF(IF(OR(AB15="",AB15=0),IF(OR(Y15="",Y15=0),TODAY(),DATE(VALUE(RIGHT(Y15,4)),VALUE(MID(Y15,4,2)),VALUE(LEFT(Y15,2)))),MIN(IF(OR(Y15="",Y15=0),TODAY(),DATE(VALUE(RIGHT(Y15,4)),VALUE(MID(Y15,4,2)),VALUE(LEFT(Y15,2)))),DATE(VALUE(RIGHT(AB15,4)),VALUE(MID(AB15,4,2)),VALUE(LEFT(AB15,2)))))&lt;=DATE(2026,8,24),0,H15*0.0118*CEILING((IF(OR(AB15="",AB15=0),IF(OR(Y15="",Y15=0),TODAY(),DATE(VALUE(RIGHT(Y15,4)),VALUE(MID(Y15,4,2)),VALUE(LEFT(Y15,2)))),MIN(IF(OR(Y15="",Y15=0),TODAY(),DATE(VALUE(RIGHT(Y15,4)),VALUE(MID(Y15,4,2)),VALUE(LEFT(Y15,2)))),DATE(VALUE(RIGHT(AB15,4)),VALUE(MID(AB15,4,2)),VALUE(LEFT(AB15,2)))))-DATE(2026,8,22))/7,1))</f>
        <v/>
      </c>
      <c r="AA15" s="28" t="n"/>
      <c r="AB15" s="28" t="n"/>
      <c r="AC15" s="15">
        <f>U15+X15+AA15</f>
        <v>159710</v>
      </c>
      <c r="AD15" s="19">
        <f>S15-AC15</f>
        <v>0</v>
      </c>
      <c r="AE15" s="20" t="inlineStr">
        <is>
          <t>DR2640100026</t>
        </is>
      </c>
      <c r="AF15" s="21" t="n">
        <v>1800003247</v>
      </c>
      <c r="AG15" s="22" t="inlineStr">
        <is>
          <t>20.08.2026</t>
        </is>
      </c>
    </row>
    <row r="16" ht="14.25" customHeight="1" s="137">
      <c r="A16" s="23" t="n">
        <v>22</v>
      </c>
      <c r="B16" s="24" t="inlineStr">
        <is>
          <t>Scrap of empty oil Barrel</t>
        </is>
      </c>
      <c r="C16" s="25" t="n">
        <v>700</v>
      </c>
      <c r="D16" s="26" t="n">
        <v>21977</v>
      </c>
      <c r="E16" s="26" t="inlineStr">
        <is>
          <t>NO</t>
        </is>
      </c>
      <c r="F16" s="26" t="n">
        <v>2011</v>
      </c>
      <c r="G16" s="24" t="inlineStr">
        <is>
          <t>STERLING ENTERPRISES</t>
        </is>
      </c>
      <c r="H16" s="27" t="n">
        <v>15400</v>
      </c>
      <c r="I16" s="27">
        <f>ROUND(H16*18%,0)</f>
        <v>2772</v>
      </c>
      <c r="J16" s="27">
        <f>+H16+I16</f>
        <v>18172</v>
      </c>
      <c r="K16" s="27">
        <f>ROUND((H16+I16)*2%,0)</f>
        <v>363</v>
      </c>
      <c r="L16" s="28">
        <f>H16*0.1%</f>
        <v>15.4</v>
      </c>
      <c r="M16" s="28">
        <f>H16*2.25%*118%</f>
        <v>408.87</v>
      </c>
      <c r="N16" s="29">
        <f>H16*2.25%*2%</f>
        <v>6.93</v>
      </c>
      <c r="O16" s="28">
        <f>M16-N16</f>
        <v>401.94</v>
      </c>
      <c r="P16" s="28">
        <f>ROUND(O16+L16,0)</f>
        <v>417</v>
      </c>
      <c r="Q16" s="30" t="n">
        <v>0</v>
      </c>
      <c r="R16" s="28">
        <f>ROUND(H16*Q16,0)</f>
        <v>0</v>
      </c>
      <c r="S16" s="27">
        <f>ROUND(H16*117.65%-R16,0)</f>
        <v>18118</v>
      </c>
      <c r="T16" s="28">
        <f>ROUND(H16*25%,0)</f>
        <v>3850</v>
      </c>
      <c r="U16" s="31" t="n">
        <v>3850</v>
      </c>
      <c r="V16" s="28" t="inlineStr">
        <is>
          <t>11.08.2026</t>
        </is>
      </c>
      <c r="W16" s="28">
        <f>ROUND(H16*92.65%-R16,0)</f>
        <v>14268</v>
      </c>
      <c r="X16" s="28" t="n">
        <v>14267</v>
      </c>
      <c r="Y16" s="28" t="inlineStr">
        <is>
          <t>11.08.2026</t>
        </is>
      </c>
      <c r="Z16" s="28">
        <f>IF(IF(OR(AB16="",AB16=0),IF(OR(Y16="",Y16=0),TODAY(),DATE(VALUE(RIGHT(Y16,4)),VALUE(MID(Y16,4,2)),VALUE(LEFT(Y16,2)))),MIN(IF(OR(Y16="",Y16=0),TODAY(),DATE(VALUE(RIGHT(Y16,4)),VALUE(MID(Y16,4,2)),VALUE(LEFT(Y16,2)))),DATE(VALUE(RIGHT(AB16,4)),VALUE(MID(AB16,4,2)),VALUE(LEFT(AB16,2)))))&lt;=DATE(2026,8,24),0,H16*0.0118*CEILING((IF(OR(AB16="",AB16=0),IF(OR(Y16="",Y16=0),TODAY(),DATE(VALUE(RIGHT(Y16,4)),VALUE(MID(Y16,4,2)),VALUE(LEFT(Y16,2)))),MIN(IF(OR(Y16="",Y16=0),TODAY(),DATE(VALUE(RIGHT(Y16,4)),VALUE(MID(Y16,4,2)),VALUE(LEFT(Y16,2)))),DATE(VALUE(RIGHT(AB16,4)),VALUE(MID(AB16,4,2)),VALUE(LEFT(AB16,2)))))-DATE(2026,8,22))/7,1))</f>
        <v/>
      </c>
      <c r="AA16" s="28" t="n"/>
      <c r="AB16" s="28" t="n"/>
      <c r="AC16" s="15">
        <f>U16+X16+AA16</f>
        <v>18117</v>
      </c>
      <c r="AD16" s="19">
        <f>S16-AC16</f>
        <v>1</v>
      </c>
      <c r="AE16" s="20" t="inlineStr">
        <is>
          <t>DR2640100019</t>
        </is>
      </c>
      <c r="AF16" s="21" t="n">
        <v>1800003157</v>
      </c>
      <c r="AG16" s="22" t="inlineStr">
        <is>
          <t>14.08.2026</t>
        </is>
      </c>
    </row>
    <row r="17" ht="14.25" customHeight="1" s="137">
      <c r="A17" s="23" t="n">
        <v>100</v>
      </c>
      <c r="B17" s="24" t="inlineStr">
        <is>
          <t>Scrap of empty oil Barrels</t>
        </is>
      </c>
      <c r="C17" s="25" t="n">
        <v>710</v>
      </c>
      <c r="D17" s="26" t="n">
        <v>21978</v>
      </c>
      <c r="E17" s="26" t="inlineStr">
        <is>
          <t>NO</t>
        </is>
      </c>
      <c r="F17" s="26" t="n">
        <v>2015</v>
      </c>
      <c r="G17" s="24" t="inlineStr">
        <is>
          <t>STERLING ENTERPRISES</t>
        </is>
      </c>
      <c r="H17" s="27" t="n">
        <v>71000</v>
      </c>
      <c r="I17" s="27">
        <f>ROUND(H17*18%,0)</f>
        <v>12780</v>
      </c>
      <c r="J17" s="27">
        <f>+H17+I17</f>
        <v>83780</v>
      </c>
      <c r="K17" s="27">
        <f>ROUND((H17+I17)*2%,0)</f>
        <v>1676</v>
      </c>
      <c r="L17" s="28">
        <f>H17*0.1%</f>
        <v>71</v>
      </c>
      <c r="M17" s="28">
        <f>H17*2.25%*118%</f>
        <v>1885.05</v>
      </c>
      <c r="N17" s="29">
        <f>H17*2.25%*2%</f>
        <v>31.95</v>
      </c>
      <c r="O17" s="28">
        <f>M17-N17</f>
        <v>1853.1</v>
      </c>
      <c r="P17" s="28">
        <f>ROUND(O17+L17,0)</f>
        <v>1924</v>
      </c>
      <c r="Q17" s="30" t="n">
        <v>0</v>
      </c>
      <c r="R17" s="28">
        <f>ROUND(H17*Q17,0)</f>
        <v>0</v>
      </c>
      <c r="S17" s="27">
        <f>ROUND(H17*117.65%-R17,0)</f>
        <v>83532</v>
      </c>
      <c r="T17" s="28">
        <f>ROUND(H17*25%,0)</f>
        <v>17750</v>
      </c>
      <c r="U17" s="31" t="n">
        <v>17750</v>
      </c>
      <c r="V17" s="28" t="inlineStr">
        <is>
          <t>11.08.2026</t>
        </is>
      </c>
      <c r="W17" s="28">
        <f>ROUND(H17*92.65%-R17,0)</f>
        <v>65782</v>
      </c>
      <c r="X17" s="28">
        <f>+W17</f>
        <v>65782</v>
      </c>
      <c r="Y17" s="28" t="inlineStr">
        <is>
          <t>11.08.2026</t>
        </is>
      </c>
      <c r="Z17" s="28">
        <f>IF(IF(OR(AB17="",AB17=0),IF(OR(Y17="",Y17=0),TODAY(),DATE(VALUE(RIGHT(Y17,4)),VALUE(MID(Y17,4,2)),VALUE(LEFT(Y17,2)))),MIN(IF(OR(Y17="",Y17=0),TODAY(),DATE(VALUE(RIGHT(Y17,4)),VALUE(MID(Y17,4,2)),VALUE(LEFT(Y17,2)))),DATE(VALUE(RIGHT(AB17,4)),VALUE(MID(AB17,4,2)),VALUE(LEFT(AB17,2)))))&lt;=DATE(2026,8,24),0,H17*0.0118*CEILING((IF(OR(AB17="",AB17=0),IF(OR(Y17="",Y17=0),TODAY(),DATE(VALUE(RIGHT(Y17,4)),VALUE(MID(Y17,4,2)),VALUE(LEFT(Y17,2)))),MIN(IF(OR(Y17="",Y17=0),TODAY(),DATE(VALUE(RIGHT(Y17,4)),VALUE(MID(Y17,4,2)),VALUE(LEFT(Y17,2)))),DATE(VALUE(RIGHT(AB17,4)),VALUE(MID(AB17,4,2)),VALUE(LEFT(AB17,2)))))-DATE(2026,8,22))/7,1))</f>
        <v/>
      </c>
      <c r="AA17" s="28" t="n"/>
      <c r="AB17" s="28" t="n"/>
      <c r="AC17" s="15">
        <f>U17+X17+AA17</f>
        <v>83532</v>
      </c>
      <c r="AD17" s="19">
        <f>S17-AC17</f>
        <v>0</v>
      </c>
      <c r="AE17" s="20" t="inlineStr">
        <is>
          <t>DR2640100020</t>
        </is>
      </c>
      <c r="AF17" s="21" t="n">
        <v>1800003158</v>
      </c>
      <c r="AG17" s="22" t="inlineStr">
        <is>
          <t>14.08.2026</t>
        </is>
      </c>
    </row>
    <row r="18" ht="14.25" customHeight="1" s="137">
      <c r="A18" s="23" t="n">
        <v>1</v>
      </c>
      <c r="B18" s="24" t="inlineStr">
        <is>
          <t>Scrap of 220 KV Circuit Breaker</t>
        </is>
      </c>
      <c r="C18" s="25" t="n">
        <v>220001</v>
      </c>
      <c r="D18" s="26" t="n">
        <v>21978</v>
      </c>
      <c r="E18" s="26" t="inlineStr">
        <is>
          <t>NO</t>
        </is>
      </c>
      <c r="F18" s="26" t="n">
        <v>2018</v>
      </c>
      <c r="G18" s="24" t="inlineStr">
        <is>
          <t>NATIONAL ENTERPRISES</t>
        </is>
      </c>
      <c r="H18" s="27" t="n">
        <v>220001</v>
      </c>
      <c r="I18" s="27">
        <f>ROUND(H18*18%,0)</f>
        <v>39600</v>
      </c>
      <c r="J18" s="27">
        <f>+H18+I18</f>
        <v>259601</v>
      </c>
      <c r="K18" s="27">
        <f>ROUND((H18+I18)*2%,0)</f>
        <v>5192</v>
      </c>
      <c r="L18" s="28">
        <f>H18*0.1%</f>
        <v>220.001</v>
      </c>
      <c r="M18" s="28">
        <f>H18*2.25%*118%</f>
        <v>5841.0265499999996</v>
      </c>
      <c r="N18" s="29">
        <f>H18*2.25%*2%</f>
        <v>99.000450000000001</v>
      </c>
      <c r="O18" s="28">
        <f>M18-N18</f>
        <v>5742.0260999999991</v>
      </c>
      <c r="P18" s="28">
        <f>ROUND(O18+L18,0)</f>
        <v>5962</v>
      </c>
      <c r="Q18" s="30" t="n">
        <v>0</v>
      </c>
      <c r="R18" s="28">
        <f>ROUND(H18*Q18,0)</f>
        <v>0</v>
      </c>
      <c r="S18" s="27">
        <f>ROUND(H18*117.65%-R18,0)</f>
        <v>258831</v>
      </c>
      <c r="T18" s="28">
        <f>ROUND(H18*25%,0)</f>
        <v>55000</v>
      </c>
      <c r="U18" s="31">
        <f>+T18</f>
        <v>55000</v>
      </c>
      <c r="V18" s="28" t="inlineStr">
        <is>
          <t>13.08.2026</t>
        </is>
      </c>
      <c r="W18" s="28">
        <f>ROUND(H18*92.65%-R18,0)</f>
        <v>203831</v>
      </c>
      <c r="X18" s="28" t="n">
        <v>203831</v>
      </c>
      <c r="Y18" s="28" t="inlineStr">
        <is>
          <t>24.08.2026</t>
        </is>
      </c>
      <c r="Z18" s="28">
        <f>IF(IF(OR(AB18="",AB18=0),IF(OR(Y18="",Y18=0),TODAY(),DATE(VALUE(RIGHT(Y18,4)),VALUE(MID(Y18,4,2)),VALUE(LEFT(Y18,2)))),MIN(IF(OR(Y18="",Y18=0),TODAY(),DATE(VALUE(RIGHT(Y18,4)),VALUE(MID(Y18,4,2)),VALUE(LEFT(Y18,2)))),DATE(VALUE(RIGHT(AB18,4)),VALUE(MID(AB18,4,2)),VALUE(LEFT(AB18,2)))))&lt;=DATE(2026,8,24),0,H18*0.0118*CEILING((IF(OR(AB18="",AB18=0),IF(OR(Y18="",Y18=0),TODAY(),DATE(VALUE(RIGHT(Y18,4)),VALUE(MID(Y18,4,2)),VALUE(LEFT(Y18,2)))),MIN(IF(OR(Y18="",Y18=0),TODAY(),DATE(VALUE(RIGHT(Y18,4)),VALUE(MID(Y18,4,2)),VALUE(LEFT(Y18,2)))),DATE(VALUE(RIGHT(AB18,4)),VALUE(MID(AB18,4,2)),VALUE(LEFT(AB18,2)))))-DATE(2026,8,22))/7,1))</f>
        <v/>
      </c>
      <c r="AA18" s="28" t="n"/>
      <c r="AB18" s="28" t="n"/>
      <c r="AC18" s="15">
        <f>U18+X18+AA18</f>
        <v>258831</v>
      </c>
      <c r="AD18" s="19">
        <f>S18-AC18</f>
        <v>0</v>
      </c>
      <c r="AE18" s="20" t="inlineStr">
        <is>
          <t>DR2640100034</t>
        </is>
      </c>
      <c r="AF18" s="21" t="n">
        <v>1800003306</v>
      </c>
      <c r="AG18" s="22" t="inlineStr">
        <is>
          <t>27.08.2026</t>
        </is>
      </c>
    </row>
    <row r="19" ht="14.25" customHeight="1" s="137">
      <c r="A19" s="23" t="n">
        <v>1</v>
      </c>
      <c r="B19" s="24" t="inlineStr">
        <is>
          <t>Scrap of 220 KV Circuit Breaker</t>
        </is>
      </c>
      <c r="C19" s="25" t="n">
        <v>210001</v>
      </c>
      <c r="D19" s="26" t="n">
        <v>21978</v>
      </c>
      <c r="E19" s="26" t="inlineStr">
        <is>
          <t>NO</t>
        </is>
      </c>
      <c r="F19" s="26" t="n">
        <v>2019</v>
      </c>
      <c r="G19" s="24" t="inlineStr">
        <is>
          <t>NATIONAL ENTERPRISES</t>
        </is>
      </c>
      <c r="H19" s="27" t="n">
        <v>210001</v>
      </c>
      <c r="I19" s="27">
        <f>ROUND(H19*18%,0)</f>
        <v>37800</v>
      </c>
      <c r="J19" s="27">
        <f>+H19+I19</f>
        <v>247801</v>
      </c>
      <c r="K19" s="27">
        <f>ROUND((H19+I19)*2%,0)</f>
        <v>4956</v>
      </c>
      <c r="L19" s="28">
        <f>H19*0.1%</f>
        <v>210.001</v>
      </c>
      <c r="M19" s="28">
        <f>H19*2.25%*118%</f>
        <v>5575.5265499999996</v>
      </c>
      <c r="N19" s="29">
        <f>H19*2.25%*2%</f>
        <v>94.500450000000001</v>
      </c>
      <c r="O19" s="28">
        <f>M19-N19</f>
        <v>5481.0260999999991</v>
      </c>
      <c r="P19" s="28">
        <f>ROUND(O19+L19,0)</f>
        <v>5691</v>
      </c>
      <c r="Q19" s="30" t="n">
        <v>0</v>
      </c>
      <c r="R19" s="28">
        <f>ROUND(H19*Q19,0)</f>
        <v>0</v>
      </c>
      <c r="S19" s="27">
        <f>ROUND(H19*117.65%-R19,0)</f>
        <v>247066</v>
      </c>
      <c r="T19" s="28">
        <f>ROUND(H19*25%,0)</f>
        <v>52500</v>
      </c>
      <c r="U19" s="31">
        <f>+T19</f>
        <v>52500</v>
      </c>
      <c r="V19" s="28" t="inlineStr">
        <is>
          <t>13.08.2026</t>
        </is>
      </c>
      <c r="W19" s="28">
        <f>ROUND(H19*92.65%-R19,0)</f>
        <v>194566</v>
      </c>
      <c r="X19" s="28" t="n">
        <v>194566</v>
      </c>
      <c r="Y19" s="28" t="inlineStr">
        <is>
          <t>24.08.2026</t>
        </is>
      </c>
      <c r="Z19" s="28">
        <f>IF(IF(OR(AB19="",AB19=0),IF(OR(Y19="",Y19=0),TODAY(),DATE(VALUE(RIGHT(Y19,4)),VALUE(MID(Y19,4,2)),VALUE(LEFT(Y19,2)))),MIN(IF(OR(Y19="",Y19=0),TODAY(),DATE(VALUE(RIGHT(Y19,4)),VALUE(MID(Y19,4,2)),VALUE(LEFT(Y19,2)))),DATE(VALUE(RIGHT(AB19,4)),VALUE(MID(AB19,4,2)),VALUE(LEFT(AB19,2)))))&lt;=DATE(2026,8,24),0,H19*0.0118*CEILING((IF(OR(AB19="",AB19=0),IF(OR(Y19="",Y19=0),TODAY(),DATE(VALUE(RIGHT(Y19,4)),VALUE(MID(Y19,4,2)),VALUE(LEFT(Y19,2)))),MIN(IF(OR(Y19="",Y19=0),TODAY(),DATE(VALUE(RIGHT(Y19,4)),VALUE(MID(Y19,4,2)),VALUE(LEFT(Y19,2)))),DATE(VALUE(RIGHT(AB19,4)),VALUE(MID(AB19,4,2)),VALUE(LEFT(AB19,2)))))-DATE(2026,8,22))/7,1))</f>
        <v/>
      </c>
      <c r="AA19" s="28" t="n"/>
      <c r="AB19" s="28" t="n"/>
      <c r="AC19" s="15">
        <f>U19+X19+AA19</f>
        <v>247066</v>
      </c>
      <c r="AD19" s="19">
        <f>S19-AC19</f>
        <v>0</v>
      </c>
      <c r="AE19" s="20" t="inlineStr">
        <is>
          <t>DR2640100035</t>
        </is>
      </c>
      <c r="AF19" s="21" t="n">
        <v>1800003307</v>
      </c>
      <c r="AG19" s="22" t="inlineStr">
        <is>
          <t>27.08.2026</t>
        </is>
      </c>
    </row>
    <row r="20" ht="26.25" customHeight="1" s="137">
      <c r="A20" s="23" t="n">
        <v>3500</v>
      </c>
      <c r="B20" s="24" t="inlineStr">
        <is>
          <t>SCRAP 80MM² AAAC EARTHWIRE</t>
        </is>
      </c>
      <c r="C20" s="25" t="n">
        <v>333</v>
      </c>
      <c r="D20" s="26" t="n">
        <v>21978</v>
      </c>
      <c r="E20" s="26" t="inlineStr">
        <is>
          <t>KG</t>
        </is>
      </c>
      <c r="F20" s="26" t="n">
        <v>2020</v>
      </c>
      <c r="G20" s="24" t="inlineStr">
        <is>
          <t>OMKAR STEELS</t>
        </is>
      </c>
      <c r="H20" s="27" t="n">
        <v>1165500</v>
      </c>
      <c r="I20" s="27">
        <f>ROUND(H20*18%,0)</f>
        <v>209790</v>
      </c>
      <c r="J20" s="27">
        <f>+H20+I20</f>
        <v>1375290</v>
      </c>
      <c r="K20" s="27">
        <f>ROUND((H20+I20)*2%,0)</f>
        <v>27506</v>
      </c>
      <c r="L20" s="28">
        <f>H20*0.1%</f>
        <v>1165.5</v>
      </c>
      <c r="M20" s="28">
        <f>H20*2.25%*118%</f>
        <v>30944.024999999998</v>
      </c>
      <c r="N20" s="29">
        <f>H20*2.25%*2%</f>
        <v>524.47500000000002</v>
      </c>
      <c r="O20" s="28">
        <f>M20-N20</f>
        <v>30419.55</v>
      </c>
      <c r="P20" s="28">
        <f>ROUND(O20+L20,0)</f>
        <v>31585</v>
      </c>
      <c r="Q20" s="30" t="n">
        <v>0.02</v>
      </c>
      <c r="R20" s="28">
        <f>ROUND(H20*Q20,0)</f>
        <v>23310</v>
      </c>
      <c r="S20" s="27">
        <f>ROUND(H20*117.65%-R20,0)</f>
        <v>1347901</v>
      </c>
      <c r="T20" s="28">
        <f>ROUND(H20*25%,0)</f>
        <v>291375</v>
      </c>
      <c r="U20" s="31" t="n">
        <v>291375</v>
      </c>
      <c r="V20" s="28" t="inlineStr">
        <is>
          <t>10.08.2026</t>
        </is>
      </c>
      <c r="W20" s="28">
        <f>ROUND(H20*92.65%-R20,0)</f>
        <v>1056526</v>
      </c>
      <c r="X20" s="28" t="n">
        <v>1056525</v>
      </c>
      <c r="Y20" s="28" t="inlineStr">
        <is>
          <t>10.08.2026</t>
        </is>
      </c>
      <c r="Z20" s="28">
        <f>IF(IF(OR(AB20="",AB20=0),IF(OR(Y20="",Y20=0),TODAY(),DATE(VALUE(RIGHT(Y20,4)),VALUE(MID(Y20,4,2)),VALUE(LEFT(Y20,2)))),MIN(IF(OR(Y20="",Y20=0),TODAY(),DATE(VALUE(RIGHT(Y20,4)),VALUE(MID(Y20,4,2)),VALUE(LEFT(Y20,2)))),DATE(VALUE(RIGHT(AB20,4)),VALUE(MID(AB20,4,2)),VALUE(LEFT(AB20,2)))))&lt;=DATE(2026,8,24),0,H20*0.0118*CEILING((IF(OR(AB20="",AB20=0),IF(OR(Y20="",Y20=0),TODAY(),DATE(VALUE(RIGHT(Y20,4)),VALUE(MID(Y20,4,2)),VALUE(LEFT(Y20,2)))),MIN(IF(OR(Y20="",Y20=0),TODAY(),DATE(VALUE(RIGHT(Y20,4)),VALUE(MID(Y20,4,2)),VALUE(LEFT(Y20,2)))),DATE(VALUE(RIGHT(AB20,4)),VALUE(MID(AB20,4,2)),VALUE(LEFT(AB20,2)))))-DATE(2026,8,22))/7,1))</f>
        <v/>
      </c>
      <c r="AA20" s="28" t="n"/>
      <c r="AB20" s="28" t="n"/>
      <c r="AC20" s="15">
        <f>U20+X20+AA20</f>
        <v>1347900</v>
      </c>
      <c r="AD20" s="19">
        <f>S20-AC20</f>
        <v>1</v>
      </c>
      <c r="AE20" s="20" t="inlineStr">
        <is>
          <t>DR2640100017</t>
        </is>
      </c>
      <c r="AF20" s="21" t="n">
        <v>1800003065</v>
      </c>
      <c r="AG20" s="22" t="inlineStr">
        <is>
          <t>12.08.2026</t>
        </is>
      </c>
    </row>
    <row r="21" ht="39" customHeight="1" s="137">
      <c r="A21" s="23" t="n">
        <v>3</v>
      </c>
      <c r="B21" s="24" t="inlineStr">
        <is>
          <t>Scrap of 132 KV CT</t>
        </is>
      </c>
      <c r="C21" s="25" t="n">
        <v>110200</v>
      </c>
      <c r="D21" s="26" t="n">
        <v>21978</v>
      </c>
      <c r="E21" s="26" t="inlineStr">
        <is>
          <t>NO</t>
        </is>
      </c>
      <c r="F21" s="26" t="n">
        <v>2022</v>
      </c>
      <c r="G21" s="24" t="inlineStr">
        <is>
          <t>NATIONAL SCRAP AND BUILDING MATERIAL SUPPLIER</t>
        </is>
      </c>
      <c r="H21" s="27" t="n">
        <v>330600</v>
      </c>
      <c r="I21" s="27">
        <f>ROUND(H21*18%,0)</f>
        <v>59508</v>
      </c>
      <c r="J21" s="27">
        <f>+H21+I21</f>
        <v>390108</v>
      </c>
      <c r="K21" s="27">
        <f>ROUND((H21+I21)*2%,0)</f>
        <v>7802</v>
      </c>
      <c r="L21" s="28">
        <f>H21*0.1%</f>
        <v>330.6</v>
      </c>
      <c r="M21" s="28">
        <f>H21*2.25%*118%</f>
        <v>8777.43</v>
      </c>
      <c r="N21" s="29">
        <f>H21*2.25%*2%</f>
        <v>148.77000000000001</v>
      </c>
      <c r="O21" s="28">
        <f>M21-N21</f>
        <v>8628.66</v>
      </c>
      <c r="P21" s="28">
        <f>ROUND(O21+L21,0)</f>
        <v>8959</v>
      </c>
      <c r="Q21" s="30" t="n">
        <v>0</v>
      </c>
      <c r="R21" s="28">
        <f>ROUND(H21*Q21,0)</f>
        <v>0</v>
      </c>
      <c r="S21" s="27">
        <f>ROUND(H21*117.65%-R21,0)</f>
        <v>388951</v>
      </c>
      <c r="T21" s="28">
        <f>ROUND(H21*25%,0)</f>
        <v>82650</v>
      </c>
      <c r="U21" s="31">
        <f>+T21</f>
        <v>82650</v>
      </c>
      <c r="V21" s="28" t="inlineStr">
        <is>
          <t>14.08.2026</t>
        </is>
      </c>
      <c r="W21" s="28">
        <f>ROUND(H21*92.65%-R21,0)</f>
        <v>306301</v>
      </c>
      <c r="X21" s="28" t="n">
        <v>306301</v>
      </c>
      <c r="Y21" s="28" t="inlineStr">
        <is>
          <t>21.08.2026</t>
        </is>
      </c>
      <c r="Z21" s="28">
        <f>IF(IF(OR(AB21="",AB21=0),IF(OR(Y21="",Y21=0),TODAY(),DATE(VALUE(RIGHT(Y21,4)),VALUE(MID(Y21,4,2)),VALUE(LEFT(Y21,2)))),MIN(IF(OR(Y21="",Y21=0),TODAY(),DATE(VALUE(RIGHT(Y21,4)),VALUE(MID(Y21,4,2)),VALUE(LEFT(Y21,2)))),DATE(VALUE(RIGHT(AB21,4)),VALUE(MID(AB21,4,2)),VALUE(LEFT(AB21,2)))))&lt;=DATE(2026,8,24),0,H21*0.0118*CEILING((IF(OR(AB21="",AB21=0),IF(OR(Y21="",Y21=0),TODAY(),DATE(VALUE(RIGHT(Y21,4)),VALUE(MID(Y21,4,2)),VALUE(LEFT(Y21,2)))),MIN(IF(OR(Y21="",Y21=0),TODAY(),DATE(VALUE(RIGHT(Y21,4)),VALUE(MID(Y21,4,2)),VALUE(LEFT(Y21,2)))),DATE(VALUE(RIGHT(AB21,4)),VALUE(MID(AB21,4,2)),VALUE(LEFT(AB21,2)))))-DATE(2026,8,22))/7,1))</f>
        <v/>
      </c>
      <c r="AA21" s="28" t="n"/>
      <c r="AB21" s="28" t="n"/>
      <c r="AC21" s="15">
        <f>U21+X21+AA21</f>
        <v>388951</v>
      </c>
      <c r="AD21" s="19">
        <f>S21-AC21</f>
        <v>0</v>
      </c>
      <c r="AE21" s="20" t="inlineStr">
        <is>
          <t>DR2640100028</t>
        </is>
      </c>
      <c r="AF21" s="21" t="n">
        <v>1800003269</v>
      </c>
      <c r="AG21" s="22" t="inlineStr">
        <is>
          <t>24.08.2026</t>
        </is>
      </c>
    </row>
    <row r="22" ht="14.25" customHeight="1" s="137">
      <c r="A22" s="23" t="n">
        <v>3</v>
      </c>
      <c r="B22" s="24" t="inlineStr">
        <is>
          <t>Scrap of 132 KV CT</t>
        </is>
      </c>
      <c r="C22" s="25" t="n">
        <v>83743</v>
      </c>
      <c r="D22" s="26" t="n">
        <v>21978</v>
      </c>
      <c r="E22" s="26" t="inlineStr">
        <is>
          <t>NO</t>
        </is>
      </c>
      <c r="F22" s="26" t="n">
        <v>2023</v>
      </c>
      <c r="G22" s="24" t="inlineStr">
        <is>
          <t>NATIONAL ENTERPRISES</t>
        </is>
      </c>
      <c r="H22" s="27" t="n">
        <v>251229</v>
      </c>
      <c r="I22" s="27">
        <f>ROUND(H22*18%,0)</f>
        <v>45221</v>
      </c>
      <c r="J22" s="27">
        <f>+H22+I22</f>
        <v>296450</v>
      </c>
      <c r="K22" s="27">
        <f>ROUND((H22+I22)*2%,0)</f>
        <v>5929</v>
      </c>
      <c r="L22" s="28">
        <f>H22*0.1%</f>
        <v>251.22900000000001</v>
      </c>
      <c r="M22" s="28">
        <f>H22*2.25%*118%</f>
        <v>6670.1299499999996</v>
      </c>
      <c r="N22" s="29">
        <f>H22*2.25%*2%</f>
        <v>113.05305</v>
      </c>
      <c r="O22" s="28">
        <f>M22-N22</f>
        <v>6557.0768999999991</v>
      </c>
      <c r="P22" s="28">
        <f>ROUND(O22+L22,0)</f>
        <v>6808</v>
      </c>
      <c r="Q22" s="30" t="n">
        <v>0</v>
      </c>
      <c r="R22" s="28">
        <f>ROUND(H22*Q22,0)</f>
        <v>0</v>
      </c>
      <c r="S22" s="27">
        <f>ROUND(H22*117.65%-R22,0)</f>
        <v>295571</v>
      </c>
      <c r="T22" s="28">
        <f>ROUND(H22*25%,0)</f>
        <v>62807</v>
      </c>
      <c r="U22" s="31">
        <f>+T22</f>
        <v>62807</v>
      </c>
      <c r="V22" s="28" t="inlineStr">
        <is>
          <t>13.08.2026</t>
        </is>
      </c>
      <c r="W22" s="28">
        <f>ROUND(H22*92.65%-R22,0)</f>
        <v>232764</v>
      </c>
      <c r="X22" s="28" t="n">
        <v>232764</v>
      </c>
      <c r="Y22" s="28" t="inlineStr">
        <is>
          <t>24.08.2026</t>
        </is>
      </c>
      <c r="Z22" s="28">
        <f>IF(IF(OR(AB22="",AB22=0),IF(OR(Y22="",Y22=0),TODAY(),DATE(VALUE(RIGHT(Y22,4)),VALUE(MID(Y22,4,2)),VALUE(LEFT(Y22,2)))),MIN(IF(OR(Y22="",Y22=0),TODAY(),DATE(VALUE(RIGHT(Y22,4)),VALUE(MID(Y22,4,2)),VALUE(LEFT(Y22,2)))),DATE(VALUE(RIGHT(AB22,4)),VALUE(MID(AB22,4,2)),VALUE(LEFT(AB22,2)))))&lt;=DATE(2026,8,24),0,H22*0.0118*CEILING((IF(OR(AB22="",AB22=0),IF(OR(Y22="",Y22=0),TODAY(),DATE(VALUE(RIGHT(Y22,4)),VALUE(MID(Y22,4,2)),VALUE(LEFT(Y22,2)))),MIN(IF(OR(Y22="",Y22=0),TODAY(),DATE(VALUE(RIGHT(Y22,4)),VALUE(MID(Y22,4,2)),VALUE(LEFT(Y22,2)))),DATE(VALUE(RIGHT(AB22,4)),VALUE(MID(AB22,4,2)),VALUE(LEFT(AB22,2)))))-DATE(2026,8,22))/7,1))</f>
        <v/>
      </c>
      <c r="AA22" s="28" t="n"/>
      <c r="AB22" s="28" t="n"/>
      <c r="AC22" s="15">
        <f>U22+X22+AA22</f>
        <v>295571</v>
      </c>
      <c r="AD22" s="19">
        <f>S22-AC22</f>
        <v>0</v>
      </c>
      <c r="AE22" s="20" t="inlineStr">
        <is>
          <t>DR2640100044</t>
        </is>
      </c>
      <c r="AF22" s="21" t="n">
        <v>1800003308</v>
      </c>
      <c r="AG22" s="22" t="inlineStr">
        <is>
          <t>27.08.2026</t>
        </is>
      </c>
    </row>
    <row r="23" ht="14.25" customHeight="1" s="137">
      <c r="A23" s="23" t="n">
        <v>90</v>
      </c>
      <c r="B23" s="24" t="inlineStr">
        <is>
          <t>Scrap of empty oil Barrels</t>
        </is>
      </c>
      <c r="C23" s="25" t="n">
        <v>700</v>
      </c>
      <c r="D23" s="26" t="n">
        <v>21978</v>
      </c>
      <c r="E23" s="26" t="inlineStr">
        <is>
          <t>NO</t>
        </is>
      </c>
      <c r="F23" s="26" t="n">
        <v>2025</v>
      </c>
      <c r="G23" s="24" t="inlineStr">
        <is>
          <t>STERLING ENTERPRISES</t>
        </is>
      </c>
      <c r="H23" s="27" t="n">
        <v>63000</v>
      </c>
      <c r="I23" s="27">
        <f>ROUND(H23*18%,0)</f>
        <v>11340</v>
      </c>
      <c r="J23" s="27">
        <f>+H23+I23</f>
        <v>74340</v>
      </c>
      <c r="K23" s="27">
        <f>ROUND((H23+I23)*2%,0)</f>
        <v>1487</v>
      </c>
      <c r="L23" s="28">
        <f>H23*0.1%</f>
        <v>63</v>
      </c>
      <c r="M23" s="28">
        <f>H23*2.25%*118%</f>
        <v>1672.6499999999999</v>
      </c>
      <c r="N23" s="29">
        <f>H23*2.25%*2%</f>
        <v>28.35</v>
      </c>
      <c r="O23" s="28">
        <f>M23-N23</f>
        <v>1644.3</v>
      </c>
      <c r="P23" s="28">
        <f>ROUND(O23+L23,0)</f>
        <v>1707</v>
      </c>
      <c r="Q23" s="30" t="n">
        <v>0</v>
      </c>
      <c r="R23" s="28">
        <f>ROUND(H23*Q23,0)</f>
        <v>0</v>
      </c>
      <c r="S23" s="27">
        <f>ROUND(H23*117.65%-R23,0)</f>
        <v>74120</v>
      </c>
      <c r="T23" s="28">
        <f>ROUND(H23*25%,0)</f>
        <v>15750</v>
      </c>
      <c r="U23" s="31" t="n">
        <v>15750</v>
      </c>
      <c r="V23" s="28" t="inlineStr">
        <is>
          <t>11.08.2026</t>
        </is>
      </c>
      <c r="W23" s="28">
        <f>ROUND(H23*92.65%-R23,0)</f>
        <v>58370</v>
      </c>
      <c r="X23" s="28" t="n">
        <v>58418</v>
      </c>
      <c r="Y23" s="28" t="inlineStr">
        <is>
          <t>11.08.2026</t>
        </is>
      </c>
      <c r="Z23" s="28">
        <f>IF(IF(OR(AB23="",AB23=0),IF(OR(Y23="",Y23=0),TODAY(),DATE(VALUE(RIGHT(Y23,4)),VALUE(MID(Y23,4,2)),VALUE(LEFT(Y23,2)))),MIN(IF(OR(Y23="",Y23=0),TODAY(),DATE(VALUE(RIGHT(Y23,4)),VALUE(MID(Y23,4,2)),VALUE(LEFT(Y23,2)))),DATE(VALUE(RIGHT(AB23,4)),VALUE(MID(AB23,4,2)),VALUE(LEFT(AB23,2)))))&lt;=DATE(2026,8,24),0,H23*0.0118*CEILING((IF(OR(AB23="",AB23=0),IF(OR(Y23="",Y23=0),TODAY(),DATE(VALUE(RIGHT(Y23,4)),VALUE(MID(Y23,4,2)),VALUE(LEFT(Y23,2)))),MIN(IF(OR(Y23="",Y23=0),TODAY(),DATE(VALUE(RIGHT(Y23,4)),VALUE(MID(Y23,4,2)),VALUE(LEFT(Y23,2)))),DATE(VALUE(RIGHT(AB23,4)),VALUE(MID(AB23,4,2)),VALUE(LEFT(AB23,2)))))-DATE(2026,8,22))/7,1))</f>
        <v/>
      </c>
      <c r="AA23" s="28" t="n"/>
      <c r="AB23" s="28" t="n"/>
      <c r="AC23" s="15">
        <f>U23+X23+AA23</f>
        <v>74168</v>
      </c>
      <c r="AD23" s="19">
        <f>S23-AC23</f>
        <v>-48</v>
      </c>
      <c r="AE23" s="20" t="inlineStr">
        <is>
          <t>DR2640100021</t>
        </is>
      </c>
      <c r="AF23" s="21" t="n">
        <v>1800003160</v>
      </c>
      <c r="AG23" s="22" t="inlineStr">
        <is>
          <t>14.08.2026</t>
        </is>
      </c>
    </row>
    <row r="24" ht="14.25" customHeight="1" s="137">
      <c r="A24" s="23" t="n">
        <v>1</v>
      </c>
      <c r="B24" s="24" t="inlineStr">
        <is>
          <t>Scrap of 132 KV CT</t>
        </is>
      </c>
      <c r="C24" s="25" t="n">
        <v>50003</v>
      </c>
      <c r="D24" s="26" t="n">
        <v>21978</v>
      </c>
      <c r="E24" s="26" t="inlineStr">
        <is>
          <t>NO</t>
        </is>
      </c>
      <c r="F24" s="26" t="n">
        <v>2027</v>
      </c>
      <c r="G24" s="24" t="inlineStr">
        <is>
          <t>NATIONAL ENTERPRISES</t>
        </is>
      </c>
      <c r="H24" s="27" t="n">
        <v>50003</v>
      </c>
      <c r="I24" s="27">
        <f>ROUND(H24*18%,0)</f>
        <v>9001</v>
      </c>
      <c r="J24" s="27">
        <f>+H24+I24</f>
        <v>59004</v>
      </c>
      <c r="K24" s="27">
        <f>ROUND((H24+I24)*2%,0)</f>
        <v>1180</v>
      </c>
      <c r="L24" s="28">
        <f>H24*0.1%</f>
        <v>50.003</v>
      </c>
      <c r="M24" s="28">
        <f>H24*2.25%*118%</f>
        <v>1327.5796499999999</v>
      </c>
      <c r="N24" s="29">
        <f>H24*2.25%*2%</f>
        <v>22.501349999999999</v>
      </c>
      <c r="O24" s="28">
        <f>M24-N24</f>
        <v>1305.0782999999999</v>
      </c>
      <c r="P24" s="28">
        <f>ROUND(O24+L24,0)</f>
        <v>1355</v>
      </c>
      <c r="Q24" s="30" t="n">
        <v>0</v>
      </c>
      <c r="R24" s="28">
        <f>ROUND(H24*Q24,0)</f>
        <v>0</v>
      </c>
      <c r="S24" s="27">
        <f>ROUND(H24*117.65%-R24,0)</f>
        <v>58829</v>
      </c>
      <c r="T24" s="28">
        <f>ROUND(H24*25%,0)</f>
        <v>12501</v>
      </c>
      <c r="U24" s="31">
        <f>+T24</f>
        <v>12501</v>
      </c>
      <c r="V24" s="28" t="inlineStr">
        <is>
          <t>13.08.2026</t>
        </is>
      </c>
      <c r="W24" s="28">
        <f>ROUND(H24*92.65%-R24,0)</f>
        <v>46328</v>
      </c>
      <c r="X24" s="28" t="n">
        <v>46328</v>
      </c>
      <c r="Y24" s="28" t="inlineStr">
        <is>
          <t>24.08.2026</t>
        </is>
      </c>
      <c r="Z24" s="28">
        <f>IF(IF(OR(AB24="",AB24=0),IF(OR(Y24="",Y24=0),TODAY(),DATE(VALUE(RIGHT(Y24,4)),VALUE(MID(Y24,4,2)),VALUE(LEFT(Y24,2)))),MIN(IF(OR(Y24="",Y24=0),TODAY(),DATE(VALUE(RIGHT(Y24,4)),VALUE(MID(Y24,4,2)),VALUE(LEFT(Y24,2)))),DATE(VALUE(RIGHT(AB24,4)),VALUE(MID(AB24,4,2)),VALUE(LEFT(AB24,2)))))&lt;=DATE(2026,8,24),0,H24*0.0118*CEILING((IF(OR(AB24="",AB24=0),IF(OR(Y24="",Y24=0),TODAY(),DATE(VALUE(RIGHT(Y24,4)),VALUE(MID(Y24,4,2)),VALUE(LEFT(Y24,2)))),MIN(IF(OR(Y24="",Y24=0),TODAY(),DATE(VALUE(RIGHT(Y24,4)),VALUE(MID(Y24,4,2)),VALUE(LEFT(Y24,2)))),DATE(VALUE(RIGHT(AB24,4)),VALUE(MID(AB24,4,2)),VALUE(LEFT(AB24,2)))))-DATE(2026,8,22))/7,1))</f>
        <v/>
      </c>
      <c r="AA24" s="28" t="n"/>
      <c r="AB24" s="28" t="n"/>
      <c r="AC24" s="15">
        <f>U24+X24+AA24</f>
        <v>58829</v>
      </c>
      <c r="AD24" s="19">
        <f>S24-AC24</f>
        <v>0</v>
      </c>
      <c r="AE24" s="20" t="inlineStr">
        <is>
          <t>DR2640100036</t>
        </is>
      </c>
      <c r="AF24" s="21" t="n">
        <v>1800003309</v>
      </c>
      <c r="AG24" s="22" t="inlineStr">
        <is>
          <t>27.08.2026</t>
        </is>
      </c>
    </row>
    <row r="25" ht="14.25" customHeight="1" s="137">
      <c r="A25" s="23" t="n">
        <v>1000</v>
      </c>
      <c r="B25" s="24" t="inlineStr">
        <is>
          <t>Scrap Empty Oil Drum/ Barrel</t>
        </is>
      </c>
      <c r="C25" s="25" t="n">
        <v>517</v>
      </c>
      <c r="D25" s="26" t="n">
        <v>21978</v>
      </c>
      <c r="E25" s="26" t="inlineStr">
        <is>
          <t>NO</t>
        </is>
      </c>
      <c r="F25" s="26" t="n">
        <v>2033</v>
      </c>
      <c r="G25" s="24" t="inlineStr">
        <is>
          <t>WATAN SCRAP TRADERS</t>
        </is>
      </c>
      <c r="H25" s="27" t="n">
        <v>517000</v>
      </c>
      <c r="I25" s="27">
        <f>ROUND(H25*18%,0)</f>
        <v>93060</v>
      </c>
      <c r="J25" s="27">
        <f>+H25+I25</f>
        <v>610060</v>
      </c>
      <c r="K25" s="27">
        <f>ROUND((H25+I25)*2%,0)</f>
        <v>12201</v>
      </c>
      <c r="L25" s="28">
        <f>H25*0.1%</f>
        <v>517</v>
      </c>
      <c r="M25" s="28">
        <f>H25*2.25%*118%</f>
        <v>13726.349999999999</v>
      </c>
      <c r="N25" s="29">
        <f>H25*2.25%*2%</f>
        <v>232.65</v>
      </c>
      <c r="O25" s="28">
        <f>M25-N25</f>
        <v>13493.699999999999</v>
      </c>
      <c r="P25" s="28">
        <f>ROUND(O25+L25,0)</f>
        <v>14011</v>
      </c>
      <c r="Q25" s="30" t="n">
        <v>0</v>
      </c>
      <c r="R25" s="28">
        <f>ROUND(H25*Q25,0)</f>
        <v>0</v>
      </c>
      <c r="S25" s="27">
        <f>ROUND(H25*117.65%-R25,0)</f>
        <v>608251</v>
      </c>
      <c r="T25" s="28">
        <f>ROUND(H25*25%,0)</f>
        <v>129250</v>
      </c>
      <c r="U25" s="31" t="n">
        <v>129250</v>
      </c>
      <c r="V25" s="28" t="inlineStr">
        <is>
          <t>14.08.2026</t>
        </is>
      </c>
      <c r="W25" s="28">
        <f>ROUND(H25*92.65%-R25,0)</f>
        <v>479001</v>
      </c>
      <c r="X25" s="28" t="n">
        <v>479001</v>
      </c>
      <c r="Y25" s="28" t="inlineStr">
        <is>
          <t>21.08.2026</t>
        </is>
      </c>
      <c r="Z25" s="28">
        <f>IF(IF(OR(AB25="",AB25=0),IF(OR(Y25="",Y25=0),TODAY(),DATE(VALUE(RIGHT(Y25,4)),VALUE(MID(Y25,4,2)),VALUE(LEFT(Y25,2)))),MIN(IF(OR(Y25="",Y25=0),TODAY(),DATE(VALUE(RIGHT(Y25,4)),VALUE(MID(Y25,4,2)),VALUE(LEFT(Y25,2)))),DATE(VALUE(RIGHT(AB25,4)),VALUE(MID(AB25,4,2)),VALUE(LEFT(AB25,2)))))&lt;=DATE(2026,8,24),0,H25*0.0118*CEILING((IF(OR(AB25="",AB25=0),IF(OR(Y25="",Y25=0),TODAY(),DATE(VALUE(RIGHT(Y25,4)),VALUE(MID(Y25,4,2)),VALUE(LEFT(Y25,2)))),MIN(IF(OR(Y25="",Y25=0),TODAY(),DATE(VALUE(RIGHT(Y25,4)),VALUE(MID(Y25,4,2)),VALUE(LEFT(Y25,2)))),DATE(VALUE(RIGHT(AB25,4)),VALUE(MID(AB25,4,2)),VALUE(LEFT(AB25,2)))))-DATE(2026,8,22))/7,1))</f>
        <v/>
      </c>
      <c r="AA25" s="28" t="n"/>
      <c r="AB25" s="28" t="n"/>
      <c r="AC25" s="15">
        <f>U25+X25+AA25</f>
        <v>608251</v>
      </c>
      <c r="AD25" s="19">
        <f>S25-AC25</f>
        <v>0</v>
      </c>
      <c r="AE25" s="20" t="inlineStr">
        <is>
          <t>DR2640100042</t>
        </is>
      </c>
      <c r="AF25" s="21" t="n">
        <v>1800003317</v>
      </c>
      <c r="AG25" s="22" t="inlineStr">
        <is>
          <t>27.08.2026</t>
        </is>
      </c>
    </row>
    <row r="26" ht="14.25" customHeight="1" s="137">
      <c r="A26" s="23" t="n">
        <v>2</v>
      </c>
      <c r="B26" s="24" t="inlineStr">
        <is>
          <t>Scrap of 132 KV Wave Trap</t>
        </is>
      </c>
      <c r="C26" s="25" t="n">
        <v>14001</v>
      </c>
      <c r="D26" s="26" t="n">
        <v>21978</v>
      </c>
      <c r="E26" s="26" t="inlineStr">
        <is>
          <t>NO</t>
        </is>
      </c>
      <c r="F26" s="26" t="n">
        <v>2035</v>
      </c>
      <c r="G26" s="24" t="inlineStr">
        <is>
          <t>NATIONAL ENTERPRISES</t>
        </is>
      </c>
      <c r="H26" s="27" t="n">
        <v>28002</v>
      </c>
      <c r="I26" s="27">
        <f>ROUND(H26*18%,0)</f>
        <v>5040</v>
      </c>
      <c r="J26" s="27">
        <f>+H26+I26</f>
        <v>33042</v>
      </c>
      <c r="K26" s="27">
        <f>ROUND((H26+I26)*2%,0)</f>
        <v>661</v>
      </c>
      <c r="L26" s="28">
        <f>H26*0.1%</f>
        <v>28.001999999999999</v>
      </c>
      <c r="M26" s="28">
        <f>H26*2.25%*118%</f>
        <v>743.45309999999995</v>
      </c>
      <c r="N26" s="29">
        <f>H26*2.25%*2%</f>
        <v>12.600899999999999</v>
      </c>
      <c r="O26" s="28">
        <f>M26-N26</f>
        <v>730.85219999999993</v>
      </c>
      <c r="P26" s="28">
        <f>ROUND(O26+L26,0)</f>
        <v>759</v>
      </c>
      <c r="Q26" s="30" t="n">
        <v>0</v>
      </c>
      <c r="R26" s="28">
        <f>ROUND(H26*Q26,0)</f>
        <v>0</v>
      </c>
      <c r="S26" s="27">
        <f>ROUND(H26*117.65%-R26,0)</f>
        <v>32944</v>
      </c>
      <c r="T26" s="28">
        <f>ROUND(H26*25%,0)</f>
        <v>7001</v>
      </c>
      <c r="U26" s="31">
        <f>+T26</f>
        <v>7001</v>
      </c>
      <c r="V26" s="28" t="inlineStr">
        <is>
          <t>13.08.2026</t>
        </is>
      </c>
      <c r="W26" s="28">
        <f>ROUND(H26*92.65%-R26,0)</f>
        <v>25944</v>
      </c>
      <c r="X26" s="28" t="n">
        <v>25943</v>
      </c>
      <c r="Y26" s="28" t="inlineStr">
        <is>
          <t>24.08.2026</t>
        </is>
      </c>
      <c r="Z26" s="28">
        <f>IF(IF(OR(AB26="",AB26=0),IF(OR(Y26="",Y26=0),TODAY(),DATE(VALUE(RIGHT(Y26,4)),VALUE(MID(Y26,4,2)),VALUE(LEFT(Y26,2)))),MIN(IF(OR(Y26="",Y26=0),TODAY(),DATE(VALUE(RIGHT(Y26,4)),VALUE(MID(Y26,4,2)),VALUE(LEFT(Y26,2)))),DATE(VALUE(RIGHT(AB26,4)),VALUE(MID(AB26,4,2)),VALUE(LEFT(AB26,2)))))&lt;=DATE(2026,8,24),0,H26*0.0118*CEILING((IF(OR(AB26="",AB26=0),IF(OR(Y26="",Y26=0),TODAY(),DATE(VALUE(RIGHT(Y26,4)),VALUE(MID(Y26,4,2)),VALUE(LEFT(Y26,2)))),MIN(IF(OR(Y26="",Y26=0),TODAY(),DATE(VALUE(RIGHT(Y26,4)),VALUE(MID(Y26,4,2)),VALUE(LEFT(Y26,2)))),DATE(VALUE(RIGHT(AB26,4)),VALUE(MID(AB26,4,2)),VALUE(LEFT(AB26,2)))))-DATE(2026,8,22))/7,1))</f>
        <v/>
      </c>
      <c r="AA26" s="28" t="n"/>
      <c r="AB26" s="28" t="n"/>
      <c r="AC26" s="15">
        <f>U26+X26+AA26</f>
        <v>32944</v>
      </c>
      <c r="AD26" s="19">
        <f>S26-AC26</f>
        <v>0</v>
      </c>
      <c r="AE26" s="20" t="inlineStr">
        <is>
          <t>DR2640100037</t>
        </is>
      </c>
      <c r="AF26" s="21" t="n">
        <v>1800003310</v>
      </c>
      <c r="AG26" s="22" t="inlineStr">
        <is>
          <t>27.08.2026</t>
        </is>
      </c>
    </row>
    <row r="27" ht="26.25" customHeight="1" s="137">
      <c r="A27" s="23" t="n">
        <v>8.199999999999999</v>
      </c>
      <c r="B27" s="24" t="inlineStr">
        <is>
          <t>Mix Scrap (Tower angles &amp; 0.2 ACSR Condutor pieces)</t>
        </is>
      </c>
      <c r="C27" s="25" t="n">
        <v>67000</v>
      </c>
      <c r="D27" s="26" t="n">
        <v>21978</v>
      </c>
      <c r="E27" s="26" t="inlineStr">
        <is>
          <t>MT</t>
        </is>
      </c>
      <c r="F27" s="26" t="n">
        <v>2036</v>
      </c>
      <c r="G27" s="24" t="inlineStr">
        <is>
          <t>M I SCRAP TRADERS</t>
        </is>
      </c>
      <c r="H27" s="27" t="n">
        <v>549400</v>
      </c>
      <c r="I27" s="27">
        <f>ROUND(H27*18%,0)</f>
        <v>98892</v>
      </c>
      <c r="J27" s="27">
        <f>+H27+I27</f>
        <v>648292</v>
      </c>
      <c r="K27" s="27">
        <f>ROUND((H27+I27)*2%,0)</f>
        <v>12966</v>
      </c>
      <c r="L27" s="28">
        <f>H27*0.1%</f>
        <v>549.4</v>
      </c>
      <c r="M27" s="28">
        <f>H27*2.25%*118%</f>
        <v>14586.57</v>
      </c>
      <c r="N27" s="29">
        <f>H27*2.25%*2%</f>
        <v>247.23000000000002</v>
      </c>
      <c r="O27" s="28">
        <f>M27-N27</f>
        <v>14339.34</v>
      </c>
      <c r="P27" s="28">
        <f>ROUND(O27+L27,0)</f>
        <v>14889</v>
      </c>
      <c r="Q27" s="30" t="n">
        <v>0.02</v>
      </c>
      <c r="R27" s="28">
        <f>ROUND(H27*Q27,0)</f>
        <v>10988</v>
      </c>
      <c r="S27" s="27">
        <f>ROUND(H27*117.65%-R27,0)</f>
        <v>635381</v>
      </c>
      <c r="T27" s="28">
        <f>ROUND(H27*25%,0)</f>
        <v>137350</v>
      </c>
      <c r="U27" s="31" t="n">
        <v>137350</v>
      </c>
      <c r="V27" s="28" t="inlineStr">
        <is>
          <t>14.08.2026</t>
        </is>
      </c>
      <c r="W27" s="28">
        <f>ROUND(H27*92.65%-R27,0)</f>
        <v>498031</v>
      </c>
      <c r="X27" s="28" t="n"/>
      <c r="Y27" s="28" t="n">
        <v>0</v>
      </c>
      <c r="Z27" s="28">
        <f>IF(IF(OR(AB27="",AB27=0),IF(OR(Y27="",Y27=0),TODAY(),DATE(VALUE(RIGHT(Y27,4)),VALUE(MID(Y27,4,2)),VALUE(LEFT(Y27,2)))),MIN(IF(OR(Y27="",Y27=0),TODAY(),DATE(VALUE(RIGHT(Y27,4)),VALUE(MID(Y27,4,2)),VALUE(LEFT(Y27,2)))),DATE(VALUE(RIGHT(AB27,4)),VALUE(MID(AB27,4,2)),VALUE(LEFT(AB27,2)))))&lt;=DATE(2026,8,24),0,H27*0.0118*CEILING((IF(OR(AB27="",AB27=0),IF(OR(Y27="",Y27=0),TODAY(),DATE(VALUE(RIGHT(Y27,4)),VALUE(MID(Y27,4,2)),VALUE(LEFT(Y27,2)))),MIN(IF(OR(Y27="",Y27=0),TODAY(),DATE(VALUE(RIGHT(Y27,4)),VALUE(MID(Y27,4,2)),VALUE(LEFT(Y27,2)))),DATE(VALUE(RIGHT(AB27,4)),VALUE(MID(AB27,4,2)),VALUE(LEFT(AB27,2)))))-DATE(2026,8,22))/7,1))</f>
        <v/>
      </c>
      <c r="AA27" s="28" t="n"/>
      <c r="AB27" s="28" t="n"/>
      <c r="AC27" s="15">
        <f>U27+X27+AA27</f>
        <v>137350</v>
      </c>
      <c r="AD27" s="19">
        <f>S27-AC27</f>
        <v>498031</v>
      </c>
      <c r="AE27" s="20" t="n"/>
      <c r="AF27" s="21" t="n"/>
      <c r="AG27" s="22" t="n"/>
    </row>
    <row r="28" ht="14.25" customHeight="1" s="137">
      <c r="A28" s="23" t="n">
        <v>50</v>
      </c>
      <c r="B28" s="24" t="inlineStr">
        <is>
          <t>Scrap of empty oil Barrels</t>
        </is>
      </c>
      <c r="C28" s="25" t="n">
        <v>531</v>
      </c>
      <c r="D28" s="26" t="n">
        <v>21978</v>
      </c>
      <c r="E28" s="26" t="inlineStr">
        <is>
          <t>NO</t>
        </is>
      </c>
      <c r="F28" s="26" t="n">
        <v>2037</v>
      </c>
      <c r="G28" s="24" t="inlineStr">
        <is>
          <t>WATAN SCRAP TRADERS</t>
        </is>
      </c>
      <c r="H28" s="27" t="n">
        <v>26550</v>
      </c>
      <c r="I28" s="27">
        <f>ROUND(H28*18%,0)</f>
        <v>4779</v>
      </c>
      <c r="J28" s="27">
        <f>+H28+I28</f>
        <v>31329</v>
      </c>
      <c r="K28" s="27">
        <f>ROUND((H28+I28)*2%,0)</f>
        <v>627</v>
      </c>
      <c r="L28" s="28">
        <f>H28*0.1%</f>
        <v>26.55</v>
      </c>
      <c r="M28" s="28">
        <f>H28*2.25%*118%</f>
        <v>704.90249999999992</v>
      </c>
      <c r="N28" s="29">
        <f>H28*2.25%*2%</f>
        <v>11.9475</v>
      </c>
      <c r="O28" s="28">
        <f>M28-N28</f>
        <v>692.95499999999993</v>
      </c>
      <c r="P28" s="28">
        <f>ROUND(O28+L28,0)</f>
        <v>720</v>
      </c>
      <c r="Q28" s="30" t="n">
        <v>0</v>
      </c>
      <c r="R28" s="28">
        <f>ROUND(H28*Q28,0)</f>
        <v>0</v>
      </c>
      <c r="S28" s="27">
        <f>ROUND(H28*117.65%-R28,0)</f>
        <v>31236</v>
      </c>
      <c r="T28" s="28">
        <f>ROUND(H28*25%,0)</f>
        <v>6638</v>
      </c>
      <c r="U28" s="31" t="n">
        <v>6638</v>
      </c>
      <c r="V28" s="28" t="inlineStr">
        <is>
          <t>14.08.2026</t>
        </is>
      </c>
      <c r="W28" s="28">
        <f>ROUND(H28*92.65%-R28,0)</f>
        <v>24599</v>
      </c>
      <c r="X28" s="28" t="n">
        <v>24598</v>
      </c>
      <c r="Y28" s="28" t="inlineStr">
        <is>
          <t>21.08.2026</t>
        </is>
      </c>
      <c r="Z28" s="28">
        <f>IF(IF(OR(AB28="",AB28=0),IF(OR(Y28="",Y28=0),TODAY(),DATE(VALUE(RIGHT(Y28,4)),VALUE(MID(Y28,4,2)),VALUE(LEFT(Y28,2)))),MIN(IF(OR(Y28="",Y28=0),TODAY(),DATE(VALUE(RIGHT(Y28,4)),VALUE(MID(Y28,4,2)),VALUE(LEFT(Y28,2)))),DATE(VALUE(RIGHT(AB28,4)),VALUE(MID(AB28,4,2)),VALUE(LEFT(AB28,2)))))&lt;=DATE(2026,8,24),0,H28*0.0118*CEILING((IF(OR(AB28="",AB28=0),IF(OR(Y28="",Y28=0),TODAY(),DATE(VALUE(RIGHT(Y28,4)),VALUE(MID(Y28,4,2)),VALUE(LEFT(Y28,2)))),MIN(IF(OR(Y28="",Y28=0),TODAY(),DATE(VALUE(RIGHT(Y28,4)),VALUE(MID(Y28,4,2)),VALUE(LEFT(Y28,2)))),DATE(VALUE(RIGHT(AB28,4)),VALUE(MID(AB28,4,2)),VALUE(LEFT(AB28,2)))))-DATE(2026,8,22))/7,1))</f>
        <v/>
      </c>
      <c r="AA28" s="28" t="n"/>
      <c r="AB28" s="28" t="n"/>
      <c r="AC28" s="15">
        <f>U28+X28+AA28</f>
        <v>31236</v>
      </c>
      <c r="AD28" s="19">
        <f>S28-AC28</f>
        <v>0</v>
      </c>
      <c r="AE28" s="20" t="inlineStr">
        <is>
          <t>DR2640100043</t>
        </is>
      </c>
      <c r="AF28" s="21" t="n">
        <v>1800003318</v>
      </c>
      <c r="AG28" s="22" t="inlineStr">
        <is>
          <t>27.08.2026</t>
        </is>
      </c>
    </row>
    <row r="29" ht="14.25" customHeight="1" s="137">
      <c r="A29" s="23" t="n">
        <v>3</v>
      </c>
      <c r="B29" s="24" t="inlineStr">
        <is>
          <t>Scrap of 33 KV CT</t>
        </is>
      </c>
      <c r="C29" s="25" t="n">
        <v>90002</v>
      </c>
      <c r="D29" s="26" t="n">
        <v>21978</v>
      </c>
      <c r="E29" s="26" t="inlineStr">
        <is>
          <t>NO</t>
        </is>
      </c>
      <c r="F29" s="26" t="n">
        <v>2040</v>
      </c>
      <c r="G29" s="24" t="inlineStr">
        <is>
          <t>STERLING ENTERPRISES</t>
        </is>
      </c>
      <c r="H29" s="27" t="n">
        <v>270006</v>
      </c>
      <c r="I29" s="27">
        <f>ROUND(H29*18%,0)</f>
        <v>48601</v>
      </c>
      <c r="J29" s="27">
        <f>+H29+I29</f>
        <v>318607</v>
      </c>
      <c r="K29" s="27">
        <f>ROUND((H29+I29)*2%,0)</f>
        <v>6372</v>
      </c>
      <c r="L29" s="28">
        <f>H29*0.1%</f>
        <v>270.00600000000003</v>
      </c>
      <c r="M29" s="28">
        <f>H29*2.25%*118%</f>
        <v>7168.6593000000003</v>
      </c>
      <c r="N29" s="29">
        <f>H29*2.25%*2%</f>
        <v>121.5027</v>
      </c>
      <c r="O29" s="28">
        <f>M29-N29</f>
        <v>7047.1566000000003</v>
      </c>
      <c r="P29" s="28">
        <f>ROUND(O29+L29,0)</f>
        <v>7317</v>
      </c>
      <c r="Q29" s="30" t="n">
        <v>0</v>
      </c>
      <c r="R29" s="28">
        <f>ROUND(H29*Q29,0)</f>
        <v>0</v>
      </c>
      <c r="S29" s="27">
        <f>ROUND(H29*117.65%-R29,0)</f>
        <v>317662</v>
      </c>
      <c r="T29" s="28">
        <f>ROUND(H29*25%,0)</f>
        <v>67502</v>
      </c>
      <c r="U29" s="31" t="n">
        <v>67502</v>
      </c>
      <c r="V29" s="28" t="inlineStr">
        <is>
          <t>11.08.2026</t>
        </is>
      </c>
      <c r="W29" s="28">
        <f>ROUND(H29*92.65%-R29,0)</f>
        <v>250161</v>
      </c>
      <c r="X29" s="28" t="n"/>
      <c r="Y29" s="28" t="n">
        <v>0</v>
      </c>
      <c r="Z29" s="28">
        <f>IF(IF(OR(AB29="",AB29=0),IF(OR(Y29="",Y29=0),TODAY(),DATE(VALUE(RIGHT(Y29,4)),VALUE(MID(Y29,4,2)),VALUE(LEFT(Y29,2)))),MIN(IF(OR(Y29="",Y29=0),TODAY(),DATE(VALUE(RIGHT(Y29,4)),VALUE(MID(Y29,4,2)),VALUE(LEFT(Y29,2)))),DATE(VALUE(RIGHT(AB29,4)),VALUE(MID(AB29,4,2)),VALUE(LEFT(AB29,2)))))&lt;=DATE(2026,8,24),0,H29*0.0118*CEILING((IF(OR(AB29="",AB29=0),IF(OR(Y29="",Y29=0),TODAY(),DATE(VALUE(RIGHT(Y29,4)),VALUE(MID(Y29,4,2)),VALUE(LEFT(Y29,2)))),MIN(IF(OR(Y29="",Y29=0),TODAY(),DATE(VALUE(RIGHT(Y29,4)),VALUE(MID(Y29,4,2)),VALUE(LEFT(Y29,2)))),DATE(VALUE(RIGHT(AB29,4)),VALUE(MID(AB29,4,2)),VALUE(LEFT(AB29,2)))))-DATE(2026,8,22))/7,1))</f>
        <v/>
      </c>
      <c r="AA29" s="28" t="n"/>
      <c r="AB29" s="28" t="n"/>
      <c r="AC29" s="15">
        <f>U29+X29+AA29</f>
        <v>67502</v>
      </c>
      <c r="AD29" s="19">
        <f>S29-AC29</f>
        <v>250160</v>
      </c>
      <c r="AE29" s="20" t="n"/>
      <c r="AF29" s="21" t="n"/>
      <c r="AG29" s="22" t="n"/>
    </row>
    <row r="30" ht="14.25" customHeight="1" s="137">
      <c r="A30" s="23" t="n">
        <v>5</v>
      </c>
      <c r="B30" s="24" t="inlineStr">
        <is>
          <t>Scrap of 132 KV CT</t>
        </is>
      </c>
      <c r="C30" s="25" t="n">
        <v>80000</v>
      </c>
      <c r="D30" s="26" t="n">
        <v>21979</v>
      </c>
      <c r="E30" s="26" t="inlineStr">
        <is>
          <t>NO</t>
        </is>
      </c>
      <c r="F30" s="26" t="n">
        <v>2043</v>
      </c>
      <c r="G30" s="24" t="inlineStr">
        <is>
          <t>NATIONAL ENTERPRISES</t>
        </is>
      </c>
      <c r="H30" s="27" t="n">
        <v>400000</v>
      </c>
      <c r="I30" s="27">
        <f>ROUND(H30*18%,0)</f>
        <v>72000</v>
      </c>
      <c r="J30" s="27">
        <f>+H30+I30</f>
        <v>472000</v>
      </c>
      <c r="K30" s="27">
        <f>ROUND((H30+I30)*2%,0)</f>
        <v>9440</v>
      </c>
      <c r="L30" s="28">
        <f>H30*0.1%</f>
        <v>400</v>
      </c>
      <c r="M30" s="28">
        <f>H30*2.25%*118%</f>
        <v>10620</v>
      </c>
      <c r="N30" s="29">
        <f>H30*2.25%*2%</f>
        <v>180</v>
      </c>
      <c r="O30" s="28">
        <f>M30-N30</f>
        <v>10440</v>
      </c>
      <c r="P30" s="28">
        <f>ROUND(O30+L30,0)</f>
        <v>10840</v>
      </c>
      <c r="Q30" s="30" t="n">
        <v>0</v>
      </c>
      <c r="R30" s="28">
        <f>ROUND(H30*Q30,0)</f>
        <v>0</v>
      </c>
      <c r="S30" s="27">
        <f>ROUND(H30*117.65%-R30,0)</f>
        <v>470600</v>
      </c>
      <c r="T30" s="28">
        <f>ROUND(H30*25%,0)</f>
        <v>100000</v>
      </c>
      <c r="U30" s="31">
        <f>+T30</f>
        <v>100000</v>
      </c>
      <c r="V30" s="28" t="inlineStr">
        <is>
          <t>13.08.2026</t>
        </is>
      </c>
      <c r="W30" s="28">
        <f>ROUND(H30*92.65%-R30,0)</f>
        <v>370600</v>
      </c>
      <c r="X30" s="28" t="n">
        <v>370600</v>
      </c>
      <c r="Y30" s="28" t="inlineStr">
        <is>
          <t>24.08.2026</t>
        </is>
      </c>
      <c r="Z30" s="28">
        <f>IF(IF(OR(AB30="",AB30=0),IF(OR(Y30="",Y30=0),TODAY(),DATE(VALUE(RIGHT(Y30,4)),VALUE(MID(Y30,4,2)),VALUE(LEFT(Y30,2)))),MIN(IF(OR(Y30="",Y30=0),TODAY(),DATE(VALUE(RIGHT(Y30,4)),VALUE(MID(Y30,4,2)),VALUE(LEFT(Y30,2)))),DATE(VALUE(RIGHT(AB30,4)),VALUE(MID(AB30,4,2)),VALUE(LEFT(AB30,2)))))&lt;=DATE(2026,8,24),0,H30*0.0118*CEILING((IF(OR(AB30="",AB30=0),IF(OR(Y30="",Y30=0),TODAY(),DATE(VALUE(RIGHT(Y30,4)),VALUE(MID(Y30,4,2)),VALUE(LEFT(Y30,2)))),MIN(IF(OR(Y30="",Y30=0),TODAY(),DATE(VALUE(RIGHT(Y30,4)),VALUE(MID(Y30,4,2)),VALUE(LEFT(Y30,2)))),DATE(VALUE(RIGHT(AB30,4)),VALUE(MID(AB30,4,2)),VALUE(LEFT(AB30,2)))))-DATE(2026,8,22))/7,1))</f>
        <v/>
      </c>
      <c r="AA30" s="28" t="n"/>
      <c r="AB30" s="28" t="n"/>
      <c r="AC30" s="15">
        <f>U30+X30+AA30</f>
        <v>470600</v>
      </c>
      <c r="AD30" s="19">
        <f>S30-AC30</f>
        <v>0</v>
      </c>
      <c r="AE30" s="20" t="inlineStr">
        <is>
          <t>DR2640100038</t>
        </is>
      </c>
      <c r="AF30" s="21" t="n">
        <v>1800003311</v>
      </c>
      <c r="AG30" s="22" t="inlineStr">
        <is>
          <t>27.08.2026</t>
        </is>
      </c>
    </row>
    <row r="31" ht="14.25" customHeight="1" s="137">
      <c r="A31" s="23" t="n">
        <v>670</v>
      </c>
      <c r="B31" s="24" t="inlineStr">
        <is>
          <t>Scrap of AAAC Earth wire</t>
        </is>
      </c>
      <c r="C31" s="25" t="n">
        <v>309</v>
      </c>
      <c r="D31" s="26" t="n">
        <v>21979</v>
      </c>
      <c r="E31" s="26" t="inlineStr">
        <is>
          <t>KG</t>
        </is>
      </c>
      <c r="F31" s="26" t="n">
        <v>2046</v>
      </c>
      <c r="G31" s="24" t="inlineStr">
        <is>
          <t>SAHARA ENTERPRISES</t>
        </is>
      </c>
      <c r="H31" s="27" t="n">
        <v>207030</v>
      </c>
      <c r="I31" s="27">
        <f>ROUND(H31*18%,0)</f>
        <v>37265</v>
      </c>
      <c r="J31" s="27">
        <f>+H31+I31</f>
        <v>244295</v>
      </c>
      <c r="K31" s="27">
        <f>ROUND((H31+I31)*2%,0)</f>
        <v>4886</v>
      </c>
      <c r="L31" s="28">
        <f>H31*0.1%</f>
        <v>207.03</v>
      </c>
      <c r="M31" s="28">
        <f>H31*2.25%*118%</f>
        <v>5496.6464999999998</v>
      </c>
      <c r="N31" s="29">
        <f>H31*2.25%*2%</f>
        <v>93.163499999999999</v>
      </c>
      <c r="O31" s="28">
        <f>M31-N31</f>
        <v>5403.4830000000002</v>
      </c>
      <c r="P31" s="28">
        <f>ROUND(O31+L31,0)</f>
        <v>5611</v>
      </c>
      <c r="Q31" s="30" t="n">
        <v>0</v>
      </c>
      <c r="R31" s="28">
        <f>ROUND(H31*Q31,0)</f>
        <v>0</v>
      </c>
      <c r="S31" s="27">
        <f>ROUND(H31*117.65%-R31,0)</f>
        <v>243571</v>
      </c>
      <c r="T31" s="28">
        <f>ROUND(H31*25%,0)</f>
        <v>51758</v>
      </c>
      <c r="U31" s="31" t="n">
        <v>51758</v>
      </c>
      <c r="V31" s="28" t="inlineStr">
        <is>
          <t>11.08.2026</t>
        </is>
      </c>
      <c r="W31" s="28">
        <f>ROUND(H31*92.65%-R31,0)</f>
        <v>191813</v>
      </c>
      <c r="X31" s="28" t="n">
        <v>191812</v>
      </c>
      <c r="Y31" s="28" t="inlineStr">
        <is>
          <t>21.08.2026</t>
        </is>
      </c>
      <c r="Z31" s="28">
        <f>IF(IF(OR(AB31="",AB31=0),IF(OR(Y31="",Y31=0),TODAY(),DATE(VALUE(RIGHT(Y31,4)),VALUE(MID(Y31,4,2)),VALUE(LEFT(Y31,2)))),MIN(IF(OR(Y31="",Y31=0),TODAY(),DATE(VALUE(RIGHT(Y31,4)),VALUE(MID(Y31,4,2)),VALUE(LEFT(Y31,2)))),DATE(VALUE(RIGHT(AB31,4)),VALUE(MID(AB31,4,2)),VALUE(LEFT(AB31,2)))))&lt;=DATE(2026,8,24),0,H31*0.0118*CEILING((IF(OR(AB31="",AB31=0),IF(OR(Y31="",Y31=0),TODAY(),DATE(VALUE(RIGHT(Y31,4)),VALUE(MID(Y31,4,2)),VALUE(LEFT(Y31,2)))),MIN(IF(OR(Y31="",Y31=0),TODAY(),DATE(VALUE(RIGHT(Y31,4)),VALUE(MID(Y31,4,2)),VALUE(LEFT(Y31,2)))),DATE(VALUE(RIGHT(AB31,4)),VALUE(MID(AB31,4,2)),VALUE(LEFT(AB31,2)))))-DATE(2026,8,22))/7,1))</f>
        <v/>
      </c>
      <c r="AA31" s="28" t="n"/>
      <c r="AB31" s="28" t="n"/>
      <c r="AC31" s="15">
        <f>U31+X31+AA31</f>
        <v>243570</v>
      </c>
      <c r="AD31" s="19">
        <f>S31-AC31</f>
        <v>1</v>
      </c>
      <c r="AE31" s="20" t="inlineStr">
        <is>
          <t>DR2640100041</t>
        </is>
      </c>
      <c r="AF31" s="21" t="n">
        <v>1800003316</v>
      </c>
      <c r="AG31" s="22" t="inlineStr">
        <is>
          <t>27.08.2026</t>
        </is>
      </c>
    </row>
    <row r="32" ht="14.25" customHeight="1" s="137">
      <c r="A32" s="23" t="n">
        <v>2</v>
      </c>
      <c r="B32" s="24" t="inlineStr">
        <is>
          <t>Scrap of 220 KV CT</t>
        </is>
      </c>
      <c r="C32" s="25" t="n">
        <v>80006</v>
      </c>
      <c r="D32" s="26" t="n">
        <v>21979</v>
      </c>
      <c r="E32" s="26" t="inlineStr">
        <is>
          <t>NO</t>
        </is>
      </c>
      <c r="F32" s="26" t="n">
        <v>2055</v>
      </c>
      <c r="G32" s="24" t="inlineStr">
        <is>
          <t>NATIONAL ENTERPRISES</t>
        </is>
      </c>
      <c r="H32" s="27" t="n">
        <v>160012</v>
      </c>
      <c r="I32" s="27">
        <f>ROUND(H32*18%,0)</f>
        <v>28802</v>
      </c>
      <c r="J32" s="27">
        <f>+H32+I32</f>
        <v>188814</v>
      </c>
      <c r="K32" s="27">
        <f>ROUND((H32+I32)*2%,0)</f>
        <v>3776</v>
      </c>
      <c r="L32" s="28">
        <f>H32*0.1%</f>
        <v>160.012</v>
      </c>
      <c r="M32" s="28">
        <f>H32*2.25%*118%</f>
        <v>4248.3185999999996</v>
      </c>
      <c r="N32" s="29">
        <f>H32*2.25%*2%</f>
        <v>72.005399999999995</v>
      </c>
      <c r="O32" s="28">
        <f>M32-N32</f>
        <v>4176.3131999999996</v>
      </c>
      <c r="P32" s="28">
        <f>ROUND(O32+L32,0)</f>
        <v>4336</v>
      </c>
      <c r="Q32" s="30" t="n">
        <v>0</v>
      </c>
      <c r="R32" s="28">
        <f>ROUND(H32*Q32,0)</f>
        <v>0</v>
      </c>
      <c r="S32" s="27">
        <f>ROUND(H32*117.65%-R32,0)</f>
        <v>188254</v>
      </c>
      <c r="T32" s="28">
        <f>ROUND(H32*25%,0)</f>
        <v>40003</v>
      </c>
      <c r="U32" s="31">
        <f>+T32</f>
        <v>40003</v>
      </c>
      <c r="V32" s="28" t="inlineStr">
        <is>
          <t>13.08.2026</t>
        </is>
      </c>
      <c r="W32" s="28">
        <f>ROUND(H32*92.65%-R32,0)</f>
        <v>148251</v>
      </c>
      <c r="X32" s="28" t="n">
        <v>148251</v>
      </c>
      <c r="Y32" s="28" t="inlineStr">
        <is>
          <t>24.08.2026</t>
        </is>
      </c>
      <c r="Z32" s="28">
        <f>IF(IF(OR(AB32="",AB32=0),IF(OR(Y32="",Y32=0),TODAY(),DATE(VALUE(RIGHT(Y32,4)),VALUE(MID(Y32,4,2)),VALUE(LEFT(Y32,2)))),MIN(IF(OR(Y32="",Y32=0),TODAY(),DATE(VALUE(RIGHT(Y32,4)),VALUE(MID(Y32,4,2)),VALUE(LEFT(Y32,2)))),DATE(VALUE(RIGHT(AB32,4)),VALUE(MID(AB32,4,2)),VALUE(LEFT(AB32,2)))))&lt;=DATE(2026,8,24),0,H32*0.0118*CEILING((IF(OR(AB32="",AB32=0),IF(OR(Y32="",Y32=0),TODAY(),DATE(VALUE(RIGHT(Y32,4)),VALUE(MID(Y32,4,2)),VALUE(LEFT(Y32,2)))),MIN(IF(OR(Y32="",Y32=0),TODAY(),DATE(VALUE(RIGHT(Y32,4)),VALUE(MID(Y32,4,2)),VALUE(LEFT(Y32,2)))),DATE(VALUE(RIGHT(AB32,4)),VALUE(MID(AB32,4,2)),VALUE(LEFT(AB32,2)))))-DATE(2026,8,22))/7,1))</f>
        <v/>
      </c>
      <c r="AA32" s="28" t="n"/>
      <c r="AB32" s="28" t="n"/>
      <c r="AC32" s="15">
        <f>U32+X32+AA32</f>
        <v>188254</v>
      </c>
      <c r="AD32" s="19">
        <f>S32-AC32</f>
        <v>0</v>
      </c>
      <c r="AE32" s="20" t="inlineStr">
        <is>
          <t>DR2640100039</t>
        </is>
      </c>
      <c r="AF32" s="21" t="n">
        <v>1800003312</v>
      </c>
      <c r="AG32" s="22" t="inlineStr">
        <is>
          <t>27.08.2026</t>
        </is>
      </c>
    </row>
    <row r="33" ht="14.25" customHeight="1" s="137">
      <c r="A33" s="23" t="n">
        <v>1</v>
      </c>
      <c r="B33" s="24" t="inlineStr">
        <is>
          <t>Scrap of 33 KV GCB</t>
        </is>
      </c>
      <c r="C33" s="25" t="n">
        <v>29502</v>
      </c>
      <c r="D33" s="26" t="n">
        <v>21979</v>
      </c>
      <c r="E33" s="26" t="inlineStr">
        <is>
          <t>NO</t>
        </is>
      </c>
      <c r="F33" s="26" t="n">
        <v>2059</v>
      </c>
      <c r="G33" s="24" t="inlineStr">
        <is>
          <t>NATIONAL ENTERPRISES</t>
        </is>
      </c>
      <c r="H33" s="27" t="n">
        <v>29502</v>
      </c>
      <c r="I33" s="27">
        <f>ROUND(H33*18%,0)</f>
        <v>5310</v>
      </c>
      <c r="J33" s="27">
        <f>+H33+I33</f>
        <v>34812</v>
      </c>
      <c r="K33" s="27">
        <f>ROUND((H33+I33)*2%,0)</f>
        <v>696</v>
      </c>
      <c r="L33" s="28">
        <f>H33*0.1%</f>
        <v>29.501999999999999</v>
      </c>
      <c r="M33" s="28">
        <f>H33*2.25%*118%</f>
        <v>783.27809999999988</v>
      </c>
      <c r="N33" s="29">
        <f>H33*2.25%*2%</f>
        <v>13.2759</v>
      </c>
      <c r="O33" s="28">
        <f>M33-N33</f>
        <v>770.0021999999999</v>
      </c>
      <c r="P33" s="28">
        <f>ROUND(O33+L33,0)</f>
        <v>800</v>
      </c>
      <c r="Q33" s="30" t="n">
        <v>0</v>
      </c>
      <c r="R33" s="28">
        <f>ROUND(H33*Q33,0)</f>
        <v>0</v>
      </c>
      <c r="S33" s="27">
        <f>ROUND(H33*117.65%-R33,0)</f>
        <v>34709</v>
      </c>
      <c r="T33" s="28">
        <f>ROUND(H33*25%,0)</f>
        <v>7376</v>
      </c>
      <c r="U33" s="31">
        <f>+T33</f>
        <v>7376</v>
      </c>
      <c r="V33" s="28" t="inlineStr">
        <is>
          <t>13.08.2026</t>
        </is>
      </c>
      <c r="W33" s="28">
        <f>ROUND(H33*92.65%-R33,0)</f>
        <v>27334</v>
      </c>
      <c r="X33" s="28" t="n">
        <v>27332</v>
      </c>
      <c r="Y33" s="28" t="inlineStr">
        <is>
          <t>24.08.2026</t>
        </is>
      </c>
      <c r="Z33" s="28">
        <f>IF(IF(OR(AB33="",AB33=0),IF(OR(Y33="",Y33=0),TODAY(),DATE(VALUE(RIGHT(Y33,4)),VALUE(MID(Y33,4,2)),VALUE(LEFT(Y33,2)))),MIN(IF(OR(Y33="",Y33=0),TODAY(),DATE(VALUE(RIGHT(Y33,4)),VALUE(MID(Y33,4,2)),VALUE(LEFT(Y33,2)))),DATE(VALUE(RIGHT(AB33,4)),VALUE(MID(AB33,4,2)),VALUE(LEFT(AB33,2)))))&lt;=DATE(2026,8,24),0,H33*0.0118*CEILING((IF(OR(AB33="",AB33=0),IF(OR(Y33="",Y33=0),TODAY(),DATE(VALUE(RIGHT(Y33,4)),VALUE(MID(Y33,4,2)),VALUE(LEFT(Y33,2)))),MIN(IF(OR(Y33="",Y33=0),TODAY(),DATE(VALUE(RIGHT(Y33,4)),VALUE(MID(Y33,4,2)),VALUE(LEFT(Y33,2)))),DATE(VALUE(RIGHT(AB33,4)),VALUE(MID(AB33,4,2)),VALUE(LEFT(AB33,2)))))-DATE(2026,8,22))/7,1))</f>
        <v/>
      </c>
      <c r="AA33" s="28" t="n"/>
      <c r="AB33" s="28" t="n"/>
      <c r="AC33" s="15">
        <f>U33+X33+AA33</f>
        <v>34708</v>
      </c>
      <c r="AD33" s="19">
        <f>S33-AC33</f>
        <v>1</v>
      </c>
      <c r="AE33" s="20" t="inlineStr">
        <is>
          <t>DR2640100046</t>
        </is>
      </c>
      <c r="AF33" s="21" t="n">
        <v>1800003313</v>
      </c>
      <c r="AG33" s="22" t="inlineStr">
        <is>
          <t>27.08.2026</t>
        </is>
      </c>
    </row>
    <row r="34" ht="14.25" customHeight="1" s="137">
      <c r="A34" s="23" t="n">
        <v>30</v>
      </c>
      <c r="B34" s="24" t="inlineStr">
        <is>
          <t>Scrap of Empty oil Barrels</t>
        </is>
      </c>
      <c r="C34" s="25" t="n">
        <v>702</v>
      </c>
      <c r="D34" s="26" t="n">
        <v>21979</v>
      </c>
      <c r="E34" s="26" t="inlineStr">
        <is>
          <t>NO</t>
        </is>
      </c>
      <c r="F34" s="26" t="n">
        <v>2062</v>
      </c>
      <c r="G34" s="24" t="inlineStr">
        <is>
          <t>STERLING ENTERPRISES</t>
        </is>
      </c>
      <c r="H34" s="27" t="n">
        <v>21060</v>
      </c>
      <c r="I34" s="27">
        <f>ROUND(H34*18%,0)</f>
        <v>3791</v>
      </c>
      <c r="J34" s="27">
        <f>+H34+I34</f>
        <v>24851</v>
      </c>
      <c r="K34" s="27">
        <f>ROUND((H34+I34)*2%,0)</f>
        <v>497</v>
      </c>
      <c r="L34" s="28">
        <f>H34*0.1%</f>
        <v>21.06</v>
      </c>
      <c r="M34" s="28">
        <f>H34*2.25%*118%</f>
        <v>559.14299999999992</v>
      </c>
      <c r="N34" s="29">
        <f>H34*2.25%*2%</f>
        <v>9.4770000000000003</v>
      </c>
      <c r="O34" s="28">
        <f>M34-N34</f>
        <v>549.66599999999994</v>
      </c>
      <c r="P34" s="28">
        <f>ROUND(O34+L34,0)</f>
        <v>571</v>
      </c>
      <c r="Q34" s="30" t="n">
        <v>0</v>
      </c>
      <c r="R34" s="28">
        <f>ROUND(H34*Q34,0)</f>
        <v>0</v>
      </c>
      <c r="S34" s="27">
        <f>ROUND(H34*117.65%-R34,0)</f>
        <v>24777</v>
      </c>
      <c r="T34" s="28">
        <f>ROUND(H34*25%,0)</f>
        <v>5265</v>
      </c>
      <c r="U34" s="31" t="n">
        <v>5265</v>
      </c>
      <c r="V34" s="28" t="inlineStr">
        <is>
          <t>11.08.2026</t>
        </is>
      </c>
      <c r="W34" s="28">
        <f>ROUND(H34*92.65%-R34,0)</f>
        <v>19512</v>
      </c>
      <c r="X34" s="28" t="n">
        <v>19512</v>
      </c>
      <c r="Y34" s="28" t="inlineStr">
        <is>
          <t>11.08.2026</t>
        </is>
      </c>
      <c r="Z34" s="28">
        <f>IF(IF(OR(AB34="",AB34=0),IF(OR(Y34="",Y34=0),TODAY(),DATE(VALUE(RIGHT(Y34,4)),VALUE(MID(Y34,4,2)),VALUE(LEFT(Y34,2)))),MIN(IF(OR(Y34="",Y34=0),TODAY(),DATE(VALUE(RIGHT(Y34,4)),VALUE(MID(Y34,4,2)),VALUE(LEFT(Y34,2)))),DATE(VALUE(RIGHT(AB34,4)),VALUE(MID(AB34,4,2)),VALUE(LEFT(AB34,2)))))&lt;=DATE(2026,8,24),0,H34*0.0118*CEILING((IF(OR(AB34="",AB34=0),IF(OR(Y34="",Y34=0),TODAY(),DATE(VALUE(RIGHT(Y34,4)),VALUE(MID(Y34,4,2)),VALUE(LEFT(Y34,2)))),MIN(IF(OR(Y34="",Y34=0),TODAY(),DATE(VALUE(RIGHT(Y34,4)),VALUE(MID(Y34,4,2)),VALUE(LEFT(Y34,2)))),DATE(VALUE(RIGHT(AB34,4)),VALUE(MID(AB34,4,2)),VALUE(LEFT(AB34,2)))))-DATE(2026,8,22))/7,1))</f>
        <v/>
      </c>
      <c r="AA34" s="28" t="n"/>
      <c r="AB34" s="28" t="n"/>
      <c r="AC34" s="15">
        <f>U34+X34+AA34</f>
        <v>24777</v>
      </c>
      <c r="AD34" s="19">
        <f>S34-AC34</f>
        <v>0</v>
      </c>
      <c r="AE34" s="20" t="inlineStr">
        <is>
          <t>DR2640100022</t>
        </is>
      </c>
      <c r="AF34" s="21" t="n">
        <v>1800003161</v>
      </c>
      <c r="AG34" s="22" t="inlineStr">
        <is>
          <t>14.08.2026</t>
        </is>
      </c>
    </row>
    <row r="35" ht="14.25" customHeight="1" s="137">
      <c r="A35" s="23" t="n">
        <v>150</v>
      </c>
      <c r="B35" s="24" t="inlineStr">
        <is>
          <t>Scrap of empty oil drums</t>
        </is>
      </c>
      <c r="C35" s="25" t="n">
        <v>571</v>
      </c>
      <c r="D35" s="26" t="n">
        <v>21980</v>
      </c>
      <c r="E35" s="26" t="inlineStr">
        <is>
          <t>NO</t>
        </is>
      </c>
      <c r="F35" s="26" t="n">
        <v>2067</v>
      </c>
      <c r="G35" s="24" t="inlineStr">
        <is>
          <t>WATAN SCRAP TRADERS</t>
        </is>
      </c>
      <c r="H35" s="27" t="n">
        <v>85650</v>
      </c>
      <c r="I35" s="27">
        <f>ROUND(H35*18%,0)</f>
        <v>15417</v>
      </c>
      <c r="J35" s="27">
        <f>+H35+I35</f>
        <v>101067</v>
      </c>
      <c r="K35" s="27">
        <f>ROUND((H35+I35)*2%,0)</f>
        <v>2021</v>
      </c>
      <c r="L35" s="28">
        <f>H35*0.1%</f>
        <v>85.65</v>
      </c>
      <c r="M35" s="28">
        <f>H35*2.25%*118%</f>
        <v>2274.0074999999997</v>
      </c>
      <c r="N35" s="29">
        <f>H35*2.25%*2%</f>
        <v>38.542500000000004</v>
      </c>
      <c r="O35" s="28">
        <f>M35-N35</f>
        <v>2235.4649999999997</v>
      </c>
      <c r="P35" s="28">
        <f>ROUND(O35+L35,0)</f>
        <v>2321</v>
      </c>
      <c r="Q35" s="30" t="n">
        <v>0</v>
      </c>
      <c r="R35" s="28">
        <f>ROUND(H35*Q35,0)</f>
        <v>0</v>
      </c>
      <c r="S35" s="27">
        <f>ROUND(H35*117.65%-R35,0)</f>
        <v>100767</v>
      </c>
      <c r="T35" s="28">
        <f>ROUND(H35*25%,0)</f>
        <v>21413</v>
      </c>
      <c r="U35" s="31" t="n">
        <v>21413</v>
      </c>
      <c r="V35" s="28" t="inlineStr">
        <is>
          <t>14.08.2026</t>
        </is>
      </c>
      <c r="W35" s="28">
        <f>ROUND(H35*92.65%-R35,0)</f>
        <v>79355</v>
      </c>
      <c r="X35" s="28" t="n">
        <v>79354</v>
      </c>
      <c r="Y35" s="28" t="inlineStr">
        <is>
          <t>20.08.2026</t>
        </is>
      </c>
      <c r="Z35" s="28">
        <f>IF(IF(OR(AB35="",AB35=0),IF(OR(Y35="",Y35=0),TODAY(),DATE(VALUE(RIGHT(Y35,4)),VALUE(MID(Y35,4,2)),VALUE(LEFT(Y35,2)))),MIN(IF(OR(Y35="",Y35=0),TODAY(),DATE(VALUE(RIGHT(Y35,4)),VALUE(MID(Y35,4,2)),VALUE(LEFT(Y35,2)))),DATE(VALUE(RIGHT(AB35,4)),VALUE(MID(AB35,4,2)),VALUE(LEFT(AB35,2)))))&lt;=DATE(2026,8,24),0,H35*0.0118*CEILING((IF(OR(AB35="",AB35=0),IF(OR(Y35="",Y35=0),TODAY(),DATE(VALUE(RIGHT(Y35,4)),VALUE(MID(Y35,4,2)),VALUE(LEFT(Y35,2)))),MIN(IF(OR(Y35="",Y35=0),TODAY(),DATE(VALUE(RIGHT(Y35,4)),VALUE(MID(Y35,4,2)),VALUE(LEFT(Y35,2)))),DATE(VALUE(RIGHT(AB35,4)),VALUE(MID(AB35,4,2)),VALUE(LEFT(AB35,2)))))-DATE(2026,8,22))/7,1))</f>
        <v/>
      </c>
      <c r="AA35" s="28" t="n"/>
      <c r="AB35" s="28" t="n"/>
      <c r="AC35" s="15">
        <f>U35+X35+AA35</f>
        <v>100767</v>
      </c>
      <c r="AD35" s="19">
        <f>S35-AC35</f>
        <v>0</v>
      </c>
      <c r="AE35" s="20" t="inlineStr">
        <is>
          <t>DR2640100027</t>
        </is>
      </c>
      <c r="AF35" s="21" t="n">
        <v>1800003248</v>
      </c>
      <c r="AG35" s="22" t="inlineStr">
        <is>
          <t>20.08.2026</t>
        </is>
      </c>
    </row>
    <row r="36" ht="14.25" customHeight="1" s="137">
      <c r="A36" s="23" t="n">
        <v>1</v>
      </c>
      <c r="B36" s="24" t="inlineStr">
        <is>
          <t>Scrap of 33 KV CB</t>
        </is>
      </c>
      <c r="C36" s="25" t="n">
        <v>54000</v>
      </c>
      <c r="D36" s="26" t="n">
        <v>21980</v>
      </c>
      <c r="E36" s="26" t="inlineStr">
        <is>
          <t>NO</t>
        </is>
      </c>
      <c r="F36" s="26" t="n">
        <v>2069</v>
      </c>
      <c r="G36" s="24" t="inlineStr">
        <is>
          <t>STERLING ENTERPRISES</t>
        </is>
      </c>
      <c r="H36" s="27" t="n">
        <v>54000</v>
      </c>
      <c r="I36" s="27">
        <f>ROUND(H36*18%,0)</f>
        <v>9720</v>
      </c>
      <c r="J36" s="27">
        <f>+H36+I36</f>
        <v>63720</v>
      </c>
      <c r="K36" s="27">
        <f>ROUND((H36+I36)*2%,0)</f>
        <v>1274</v>
      </c>
      <c r="L36" s="28">
        <f>H36*0.1%</f>
        <v>54</v>
      </c>
      <c r="M36" s="28">
        <f>H36*2.25%*118%</f>
        <v>1433.6999999999998</v>
      </c>
      <c r="N36" s="29">
        <f>H36*2.25%*2%</f>
        <v>24.3</v>
      </c>
      <c r="O36" s="28">
        <f>M36-N36</f>
        <v>1409.3999999999999</v>
      </c>
      <c r="P36" s="28">
        <f>ROUND(O36+L36,0)</f>
        <v>1463</v>
      </c>
      <c r="Q36" s="30" t="n">
        <v>0</v>
      </c>
      <c r="R36" s="28">
        <f>ROUND(H36*Q36,0)</f>
        <v>0</v>
      </c>
      <c r="S36" s="27">
        <f>ROUND(H36*117.65%-R36,0)</f>
        <v>63531</v>
      </c>
      <c r="T36" s="28">
        <f>ROUND(H36*25%,0)</f>
        <v>13500</v>
      </c>
      <c r="U36" s="31" t="n">
        <v>13500</v>
      </c>
      <c r="V36" s="28" t="inlineStr">
        <is>
          <t>11.08.2026</t>
        </is>
      </c>
      <c r="W36" s="28">
        <f>ROUND(H36*92.65%-R36,0)</f>
        <v>50031</v>
      </c>
      <c r="X36" s="28" t="n"/>
      <c r="Y36" s="28" t="n">
        <v>0</v>
      </c>
      <c r="Z36" s="28">
        <f>IF(IF(OR(AB36="",AB36=0),IF(OR(Y36="",Y36=0),TODAY(),DATE(VALUE(RIGHT(Y36,4)),VALUE(MID(Y36,4,2)),VALUE(LEFT(Y36,2)))),MIN(IF(OR(Y36="",Y36=0),TODAY(),DATE(VALUE(RIGHT(Y36,4)),VALUE(MID(Y36,4,2)),VALUE(LEFT(Y36,2)))),DATE(VALUE(RIGHT(AB36,4)),VALUE(MID(AB36,4,2)),VALUE(LEFT(AB36,2)))))&lt;=DATE(2026,8,24),0,H36*0.0118*CEILING((IF(OR(AB36="",AB36=0),IF(OR(Y36="",Y36=0),TODAY(),DATE(VALUE(RIGHT(Y36,4)),VALUE(MID(Y36,4,2)),VALUE(LEFT(Y36,2)))),MIN(IF(OR(Y36="",Y36=0),TODAY(),DATE(VALUE(RIGHT(Y36,4)),VALUE(MID(Y36,4,2)),VALUE(LEFT(Y36,2)))),DATE(VALUE(RIGHT(AB36,4)),VALUE(MID(AB36,4,2)),VALUE(LEFT(AB36,2)))))-DATE(2026,8,22))/7,1))</f>
        <v/>
      </c>
      <c r="AA36" s="28" t="n"/>
      <c r="AB36" s="28" t="n"/>
      <c r="AC36" s="15">
        <f>U36+X36+AA36</f>
        <v>13500</v>
      </c>
      <c r="AD36" s="19">
        <f>S36-AC36</f>
        <v>50031</v>
      </c>
      <c r="AE36" s="20" t="n"/>
      <c r="AF36" s="21" t="n"/>
      <c r="AG36" s="22" t="n"/>
    </row>
    <row r="37" ht="14.25" customHeight="1" s="137">
      <c r="A37" s="23" t="n">
        <v>3</v>
      </c>
      <c r="B37" s="24" t="inlineStr">
        <is>
          <t>Scrap of 66 KV Isolater</t>
        </is>
      </c>
      <c r="C37" s="25" t="n">
        <v>25001</v>
      </c>
      <c r="D37" s="26" t="n">
        <v>21980</v>
      </c>
      <c r="E37" s="26" t="inlineStr">
        <is>
          <t>NO</t>
        </is>
      </c>
      <c r="F37" s="26" t="n">
        <v>2071</v>
      </c>
      <c r="G37" s="24" t="inlineStr">
        <is>
          <t>NATIONAL ENTERPRISES</t>
        </is>
      </c>
      <c r="H37" s="27" t="n">
        <v>75003</v>
      </c>
      <c r="I37" s="27">
        <f>ROUND(H37*18%,0)</f>
        <v>13501</v>
      </c>
      <c r="J37" s="27">
        <f>+H37+I37</f>
        <v>88504</v>
      </c>
      <c r="K37" s="27">
        <f>ROUND((H37+I37)*2%,0)</f>
        <v>1770</v>
      </c>
      <c r="L37" s="28">
        <f>H37*0.1%</f>
        <v>75.003</v>
      </c>
      <c r="M37" s="28">
        <f>H37*2.25%*118%</f>
        <v>1991.3296499999997</v>
      </c>
      <c r="N37" s="29">
        <f>H37*2.25%*2%</f>
        <v>33.751349999999995</v>
      </c>
      <c r="O37" s="28">
        <f>M37-N37</f>
        <v>1957.5782999999997</v>
      </c>
      <c r="P37" s="28">
        <f>ROUND(O37+L37,0)</f>
        <v>2033</v>
      </c>
      <c r="Q37" s="30" t="n">
        <v>0</v>
      </c>
      <c r="R37" s="28">
        <f>ROUND(H37*Q37,0)</f>
        <v>0</v>
      </c>
      <c r="S37" s="27">
        <f>ROUND(H37*117.65%-R37,0)</f>
        <v>88241</v>
      </c>
      <c r="T37" s="28">
        <f>ROUND(H37*25%,0)</f>
        <v>18751</v>
      </c>
      <c r="U37" s="31">
        <f>+T37</f>
        <v>18751</v>
      </c>
      <c r="V37" s="28" t="inlineStr">
        <is>
          <t>13.08.2026</t>
        </is>
      </c>
      <c r="W37" s="28">
        <f>ROUND(H37*92.65%-R37,0)</f>
        <v>69490</v>
      </c>
      <c r="X37" s="28" t="n">
        <v>69491</v>
      </c>
      <c r="Y37" s="28" t="inlineStr">
        <is>
          <t>24.08.2026</t>
        </is>
      </c>
      <c r="Z37" s="28">
        <f>IF(IF(OR(AB37="",AB37=0),IF(OR(Y37="",Y37=0),TODAY(),DATE(VALUE(RIGHT(Y37,4)),VALUE(MID(Y37,4,2)),VALUE(LEFT(Y37,2)))),MIN(IF(OR(Y37="",Y37=0),TODAY(),DATE(VALUE(RIGHT(Y37,4)),VALUE(MID(Y37,4,2)),VALUE(LEFT(Y37,2)))),DATE(VALUE(RIGHT(AB37,4)),VALUE(MID(AB37,4,2)),VALUE(LEFT(AB37,2)))))&lt;=DATE(2026,8,24),0,H37*0.0118*CEILING((IF(OR(AB37="",AB37=0),IF(OR(Y37="",Y37=0),TODAY(),DATE(VALUE(RIGHT(Y37,4)),VALUE(MID(Y37,4,2)),VALUE(LEFT(Y37,2)))),MIN(IF(OR(Y37="",Y37=0),TODAY(),DATE(VALUE(RIGHT(Y37,4)),VALUE(MID(Y37,4,2)),VALUE(LEFT(Y37,2)))),DATE(VALUE(RIGHT(AB37,4)),VALUE(MID(AB37,4,2)),VALUE(LEFT(AB37,2)))))-DATE(2026,8,22))/7,1))</f>
        <v/>
      </c>
      <c r="AA37" s="28" t="n"/>
      <c r="AB37" s="28" t="n"/>
      <c r="AC37" s="15">
        <f>U37+X37+AA37</f>
        <v>88242</v>
      </c>
      <c r="AD37" s="19">
        <f>S37-AC37</f>
        <v>-1</v>
      </c>
      <c r="AE37" s="20" t="inlineStr">
        <is>
          <t>DR2640100040</t>
        </is>
      </c>
      <c r="AF37" s="21" t="n">
        <v>1800003314</v>
      </c>
      <c r="AG37" s="22" t="inlineStr">
        <is>
          <t>27.08.2026</t>
        </is>
      </c>
    </row>
    <row r="38" ht="14.25" customHeight="1" s="137">
      <c r="A38" s="23" t="n">
        <v>3</v>
      </c>
      <c r="B38" s="24" t="inlineStr">
        <is>
          <t>Scrap of 132 KV CT</t>
        </is>
      </c>
      <c r="C38" s="25" t="n">
        <v>70001</v>
      </c>
      <c r="D38" s="26" t="n">
        <v>21980</v>
      </c>
      <c r="E38" s="26" t="inlineStr">
        <is>
          <t>NO</t>
        </is>
      </c>
      <c r="F38" s="26" t="n">
        <v>2086</v>
      </c>
      <c r="G38" s="24" t="inlineStr">
        <is>
          <t>KASHYAP TRADING CO</t>
        </is>
      </c>
      <c r="H38" s="27" t="n">
        <v>210003</v>
      </c>
      <c r="I38" s="27">
        <f>ROUND(H38*18%,0)</f>
        <v>37801</v>
      </c>
      <c r="J38" s="27">
        <f>+H38+I38</f>
        <v>247804</v>
      </c>
      <c r="K38" s="27">
        <f>ROUND((H38+I38)*2%,0)</f>
        <v>4956</v>
      </c>
      <c r="L38" s="28">
        <f>H38*0.1%</f>
        <v>210.00300000000001</v>
      </c>
      <c r="M38" s="28">
        <f>H38*2.25%*118%</f>
        <v>5575.5796499999997</v>
      </c>
      <c r="N38" s="29">
        <f>H38*2.25%*2%</f>
        <v>94.501350000000002</v>
      </c>
      <c r="O38" s="28">
        <f>M38-N38</f>
        <v>5481.0782999999992</v>
      </c>
      <c r="P38" s="28">
        <f>ROUND(O38+L38,0)</f>
        <v>5691</v>
      </c>
      <c r="Q38" s="30" t="n">
        <v>0</v>
      </c>
      <c r="R38" s="28">
        <f>ROUND(H38*Q38,0)</f>
        <v>0</v>
      </c>
      <c r="S38" s="27">
        <f>ROUND(H38*117.65%-R38,0)</f>
        <v>247069</v>
      </c>
      <c r="T38" s="28">
        <f>ROUND(H38*25%,0)</f>
        <v>52501</v>
      </c>
      <c r="U38" s="31" t="n">
        <v>52501</v>
      </c>
      <c r="V38" s="28" t="inlineStr">
        <is>
          <t>17.08.2026</t>
        </is>
      </c>
      <c r="W38" s="28">
        <f>ROUND(H38*92.65%-R38,0)</f>
        <v>194568</v>
      </c>
      <c r="X38" s="28" t="n">
        <v>194568</v>
      </c>
      <c r="Y38" s="28" t="inlineStr">
        <is>
          <t>17.08.2026</t>
        </is>
      </c>
      <c r="Z38" s="28">
        <f>IF(IF(OR(AB38="",AB38=0),IF(OR(Y38="",Y38=0),TODAY(),DATE(VALUE(RIGHT(Y38,4)),VALUE(MID(Y38,4,2)),VALUE(LEFT(Y38,2)))),MIN(IF(OR(Y38="",Y38=0),TODAY(),DATE(VALUE(RIGHT(Y38,4)),VALUE(MID(Y38,4,2)),VALUE(LEFT(Y38,2)))),DATE(VALUE(RIGHT(AB38,4)),VALUE(MID(AB38,4,2)),VALUE(LEFT(AB38,2)))))&lt;=DATE(2026,8,24),0,H38*0.0118*CEILING((IF(OR(AB38="",AB38=0),IF(OR(Y38="",Y38=0),TODAY(),DATE(VALUE(RIGHT(Y38,4)),VALUE(MID(Y38,4,2)),VALUE(LEFT(Y38,2)))),MIN(IF(OR(Y38="",Y38=0),TODAY(),DATE(VALUE(RIGHT(Y38,4)),VALUE(MID(Y38,4,2)),VALUE(LEFT(Y38,2)))),DATE(VALUE(RIGHT(AB38,4)),VALUE(MID(AB38,4,2)),VALUE(LEFT(AB38,2)))))-DATE(2026,8,22))/7,1))</f>
        <v/>
      </c>
      <c r="AA38" s="28" t="n"/>
      <c r="AB38" s="28" t="n"/>
      <c r="AC38" s="15">
        <f>U38+X38+AA38</f>
        <v>247069</v>
      </c>
      <c r="AD38" s="19">
        <f>S38-AC38</f>
        <v>0</v>
      </c>
      <c r="AE38" s="20" t="inlineStr">
        <is>
          <t>DR2640100025</t>
        </is>
      </c>
      <c r="AF38" s="21" t="n">
        <v>1800003226</v>
      </c>
      <c r="AG38" s="22" t="inlineStr">
        <is>
          <t>19.08.2026</t>
        </is>
      </c>
    </row>
    <row r="39" ht="14.25" customHeight="1" s="137">
      <c r="A39" s="23" t="n">
        <v>2</v>
      </c>
      <c r="B39" s="24" t="inlineStr">
        <is>
          <t>Scrap of 66 kv TBC C &amp; R Panel</t>
        </is>
      </c>
      <c r="C39" s="25" t="n">
        <v>15006</v>
      </c>
      <c r="D39" s="26" t="n">
        <v>21980</v>
      </c>
      <c r="E39" s="26" t="inlineStr">
        <is>
          <t>NO</t>
        </is>
      </c>
      <c r="F39" s="26" t="n">
        <v>2089</v>
      </c>
      <c r="G39" s="24" t="inlineStr">
        <is>
          <t>S M ENTERPRISES</t>
        </is>
      </c>
      <c r="H39" s="27" t="n">
        <v>30012</v>
      </c>
      <c r="I39" s="27">
        <f>ROUND(H39*18%,0)</f>
        <v>5402</v>
      </c>
      <c r="J39" s="27">
        <f>+H39+I39</f>
        <v>35414</v>
      </c>
      <c r="K39" s="27">
        <f>ROUND((H39+I39)*2%,0)</f>
        <v>708</v>
      </c>
      <c r="L39" s="28">
        <f>H39*0.1%</f>
        <v>30.012</v>
      </c>
      <c r="M39" s="28">
        <f>H39*2.25%*118%</f>
        <v>796.81859999999995</v>
      </c>
      <c r="N39" s="29">
        <f>H39*2.25%*2%</f>
        <v>13.5054</v>
      </c>
      <c r="O39" s="28">
        <f>M39-N39</f>
        <v>783.31319999999994</v>
      </c>
      <c r="P39" s="28">
        <f>ROUND(O39+L39,0)</f>
        <v>813</v>
      </c>
      <c r="Q39" s="30" t="n">
        <v>0</v>
      </c>
      <c r="R39" s="28">
        <f>ROUND(H39*Q39,0)</f>
        <v>0</v>
      </c>
      <c r="S39" s="27">
        <f>ROUND(H39*117.65%-R39,0)</f>
        <v>35309</v>
      </c>
      <c r="T39" s="28">
        <f>ROUND(H39*25%,0)</f>
        <v>7503</v>
      </c>
      <c r="U39" s="31" t="n">
        <v>7503</v>
      </c>
      <c r="V39" s="28" t="inlineStr">
        <is>
          <t>14.08.2026</t>
        </is>
      </c>
      <c r="W39" s="28">
        <f>ROUND(H39*92.65%-R39,0)</f>
        <v>27806</v>
      </c>
      <c r="X39" s="28" t="n">
        <v>27806</v>
      </c>
      <c r="Y39" s="28" t="inlineStr">
        <is>
          <t>01.09.2026</t>
        </is>
      </c>
      <c r="Z39" s="28">
        <f>IF(IF(OR(AB39="",AB39=0),IF(OR(Y39="",Y39=0),TODAY(),DATE(VALUE(RIGHT(Y39,4)),VALUE(MID(Y39,4,2)),VALUE(LEFT(Y39,2)))),MIN(IF(OR(Y39="",Y39=0),TODAY(),DATE(VALUE(RIGHT(Y39,4)),VALUE(MID(Y39,4,2)),VALUE(LEFT(Y39,2)))),DATE(VALUE(RIGHT(AB39,4)),VALUE(MID(AB39,4,2)),VALUE(LEFT(AB39,2)))))&lt;=DATE(2026,8,24),0,H39*0.0118*CEILING((IF(OR(AB39="",AB39=0),IF(OR(Y39="",Y39=0),TODAY(),DATE(VALUE(RIGHT(Y39,4)),VALUE(MID(Y39,4,2)),VALUE(LEFT(Y39,2)))),MIN(IF(OR(Y39="",Y39=0),TODAY(),DATE(VALUE(RIGHT(Y39,4)),VALUE(MID(Y39,4,2)),VALUE(LEFT(Y39,2)))),DATE(VALUE(RIGHT(AB39,4)),VALUE(MID(AB39,4,2)),VALUE(LEFT(AB39,2)))))-DATE(2026,8,22))/7,1))</f>
        <v/>
      </c>
      <c r="AA39" s="28" t="n">
        <v>708</v>
      </c>
      <c r="AB39" s="28" t="inlineStr">
        <is>
          <t>01.09.2026</t>
        </is>
      </c>
      <c r="AC39" s="15">
        <f>U39+X39+AA39</f>
        <v>36017</v>
      </c>
      <c r="AD39" s="19">
        <f>S39-AC39</f>
        <v>-708</v>
      </c>
      <c r="AE39" s="20" t="n"/>
      <c r="AF39" s="21" t="n"/>
      <c r="AG39" s="22" t="n"/>
    </row>
    <row r="40" ht="15" customHeight="1" s="137">
      <c r="A40" s="32" t="n">
        <v>3</v>
      </c>
      <c r="B40" s="33" t="inlineStr">
        <is>
          <t>Scrap of 132 KV CT</t>
        </is>
      </c>
      <c r="C40" s="34" t="n">
        <v>40003</v>
      </c>
      <c r="D40" s="35" t="n">
        <v>21980</v>
      </c>
      <c r="E40" s="35" t="inlineStr">
        <is>
          <t>NO</t>
        </is>
      </c>
      <c r="F40" s="35" t="n">
        <v>2091</v>
      </c>
      <c r="G40" s="33" t="inlineStr">
        <is>
          <t>S M ENTERPRISES</t>
        </is>
      </c>
      <c r="H40" s="36" t="n">
        <v>120009</v>
      </c>
      <c r="I40" s="36">
        <f>ROUND(H40*18%,0)</f>
        <v>21602</v>
      </c>
      <c r="J40" s="36">
        <f>+H40+I40</f>
        <v>141611</v>
      </c>
      <c r="K40" s="36">
        <f>ROUND((H40+I40)*2%,0)</f>
        <v>2832</v>
      </c>
      <c r="L40" s="37">
        <f>H40*0.1%</f>
        <v>120.009</v>
      </c>
      <c r="M40" s="37">
        <f>H40*2.25%*118%</f>
        <v>3186.2389499999995</v>
      </c>
      <c r="N40" s="38">
        <f>H40*2.25%*2%</f>
        <v>54.004049999999999</v>
      </c>
      <c r="O40" s="37">
        <f>M40-N40</f>
        <v>3132.2348999999995</v>
      </c>
      <c r="P40" s="37">
        <f>ROUND(O40+L40,0)</f>
        <v>3252</v>
      </c>
      <c r="Q40" s="39" t="n">
        <v>0</v>
      </c>
      <c r="R40" s="37">
        <f>ROUND(H40*Q40,0)</f>
        <v>0</v>
      </c>
      <c r="S40" s="36">
        <f>ROUND(H40*117.65%-R40,0)</f>
        <v>141191</v>
      </c>
      <c r="T40" s="37">
        <f>ROUND(H40*25%,0)</f>
        <v>30002</v>
      </c>
      <c r="U40" s="40" t="n">
        <v>30002</v>
      </c>
      <c r="V40" s="37" t="inlineStr">
        <is>
          <t>14.08.2026</t>
        </is>
      </c>
      <c r="W40" s="37">
        <f>ROUND(H40*92.65%-R40,0)</f>
        <v>111188</v>
      </c>
      <c r="X40" s="37" t="n">
        <v>111189</v>
      </c>
      <c r="Y40" s="37" t="inlineStr">
        <is>
          <t>01.09.2026</t>
        </is>
      </c>
      <c r="Z40" s="37">
        <f>IF(IF(OR(AB40="",AB40=0),IF(OR(Y40="",Y40=0),TODAY(),DATE(VALUE(RIGHT(Y40,4)),VALUE(MID(Y40,4,2)),VALUE(LEFT(Y40,2)))),MIN(IF(OR(Y40="",Y40=0),TODAY(),DATE(VALUE(RIGHT(Y40,4)),VALUE(MID(Y40,4,2)),VALUE(LEFT(Y40,2)))),DATE(VALUE(RIGHT(AB40,4)),VALUE(MID(AB40,4,2)),VALUE(LEFT(AB40,2)))))&lt;=DATE(2026,8,24),0,H40*0.0118*CEILING((IF(OR(AB40="",AB40=0),IF(OR(Y40="",Y40=0),TODAY(),DATE(VALUE(RIGHT(Y40,4)),VALUE(MID(Y40,4,2)),VALUE(LEFT(Y40,2)))),MIN(IF(OR(Y40="",Y40=0),TODAY(),DATE(VALUE(RIGHT(Y40,4)),VALUE(MID(Y40,4,2)),VALUE(LEFT(Y40,2)))),DATE(VALUE(RIGHT(AB40,4)),VALUE(MID(AB40,4,2)),VALUE(LEFT(AB40,2)))))-DATE(2026,8,22))/7,1))</f>
        <v/>
      </c>
      <c r="AA40" s="37" t="n">
        <v>2832</v>
      </c>
      <c r="AB40" s="37" t="inlineStr">
        <is>
          <t>01.09.2026</t>
        </is>
      </c>
      <c r="AC40" s="15">
        <f>U40+X40+AA40</f>
        <v>144023</v>
      </c>
      <c r="AD40" s="19">
        <f>S40-AC40</f>
        <v>-2832</v>
      </c>
      <c r="AE40" s="20" t="n"/>
      <c r="AF40" s="21" t="n"/>
      <c r="AG40" s="22" t="n"/>
    </row>
    <row r="41" ht="14.25" customHeight="1" s="137">
      <c r="A41" s="41" t="n"/>
      <c r="B41" s="42" t="n"/>
      <c r="C41" s="42" t="n"/>
      <c r="D41" s="42" t="n"/>
      <c r="E41" s="42" t="n"/>
      <c r="F41" s="42" t="n"/>
      <c r="G41" s="42" t="n"/>
      <c r="H41" s="43">
        <f>SUM(H4:H40)</f>
        <v>15130598</v>
      </c>
      <c r="I41" s="43">
        <f>SUM(I4:I40)</f>
        <v>2723508</v>
      </c>
      <c r="J41" s="43">
        <f>SUM(J4:J40)</f>
        <v>17854106</v>
      </c>
      <c r="K41" s="43">
        <f>SUM(K4:K40)</f>
        <v>357082</v>
      </c>
      <c r="L41" s="43">
        <f>SUM(L4:L40)</f>
        <v>15130.598000000002</v>
      </c>
      <c r="M41" s="43">
        <f>SUM(M4:M40)</f>
        <v>401717.37689999992</v>
      </c>
      <c r="N41" s="43">
        <f>SUM(N4:N40)</f>
        <v>6808.7690999999977</v>
      </c>
      <c r="O41" s="43">
        <f>SUM(O4:O40)</f>
        <v>394908.6078</v>
      </c>
      <c r="P41" s="43">
        <f>SUM(P4:P40)</f>
        <v>410039</v>
      </c>
      <c r="Q41" s="44" t="n"/>
      <c r="R41" s="44">
        <f>SUM(R4:R40)</f>
        <v>83029</v>
      </c>
      <c r="S41" s="43">
        <f>SUM(S4:S40)</f>
        <v>17718123</v>
      </c>
      <c r="T41" s="43">
        <f>SUM(T4:T40)</f>
        <v>3782654</v>
      </c>
      <c r="U41" s="43">
        <f>SUM(U4:U40)</f>
        <v>3782654</v>
      </c>
      <c r="V41" s="44" t="n"/>
      <c r="W41" s="43">
        <f>SUM(W4:W40)</f>
        <v>13935473</v>
      </c>
      <c r="X41" s="43">
        <f>SUM(X4:X40)</f>
        <v>13137293</v>
      </c>
      <c r="Y41" s="44" t="n"/>
      <c r="Z41" s="44">
        <f>SUM(Z4:Z40)</f>
        <v>34459.067999999999</v>
      </c>
      <c r="AA41" s="44">
        <f>SUM(AA4:AA40)</f>
        <v>3540</v>
      </c>
      <c r="AB41" s="44" t="n"/>
      <c r="AC41" s="44">
        <f>SUM(AC4:AC40)</f>
        <v>16923487</v>
      </c>
      <c r="AD41" s="43">
        <f>SUM(AD4:AD40)</f>
        <v>794636.00000000047</v>
      </c>
      <c r="AE41" s="42" t="n"/>
      <c r="AF41" s="42" t="n"/>
      <c r="AG41" s="45" t="n"/>
    </row>
    <row r="42" ht="15" customHeight="1" s="137">
      <c r="A42" s="46" t="n"/>
      <c r="B42" s="47" t="n"/>
      <c r="C42" s="47" t="n"/>
      <c r="D42" s="47" t="n"/>
      <c r="E42" s="47" t="n"/>
      <c r="F42" s="47" t="n"/>
      <c r="G42" s="47" t="n"/>
      <c r="H42" s="48">
        <f>+H41</f>
        <v>15130598</v>
      </c>
      <c r="I42" s="48">
        <f>ROUND(H42*18%,0)</f>
        <v>2723508</v>
      </c>
      <c r="J42" s="48">
        <f>+H42+I42</f>
        <v>17854106</v>
      </c>
      <c r="K42" s="48">
        <f>ROUND((H42+I42)*2%,0)</f>
        <v>357082</v>
      </c>
      <c r="L42" s="49">
        <f>ROUND(H42*0.1%,0)</f>
        <v>15131</v>
      </c>
      <c r="M42" s="49">
        <f>ROUND(H42*2.25%*118%,0)</f>
        <v>401717</v>
      </c>
      <c r="N42" s="50">
        <f>ROUND(H42*2.25%*2%,0)</f>
        <v>6809</v>
      </c>
      <c r="O42" s="49">
        <f>ROUND(M42-N42,0)</f>
        <v>394908</v>
      </c>
      <c r="P42" s="49">
        <f>ROUND(O42+L42,0)</f>
        <v>410039</v>
      </c>
      <c r="Q42" s="49" t="n"/>
      <c r="R42" s="49">
        <f>+R41</f>
        <v>83029</v>
      </c>
      <c r="S42" s="48">
        <f>H42*117.65%-R42</f>
        <v>17718119.547000002</v>
      </c>
      <c r="T42" s="51" t="n"/>
      <c r="U42" s="51">
        <f>+T41-U41</f>
        <v>0</v>
      </c>
      <c r="V42" s="52" t="n"/>
      <c r="W42" s="53" t="n"/>
      <c r="X42" s="53">
        <f>+W41-X41</f>
        <v>798180</v>
      </c>
      <c r="Y42" s="52" t="n"/>
      <c r="Z42" s="52" t="n"/>
      <c r="AA42" s="52" t="n"/>
      <c r="AB42" s="52" t="n"/>
      <c r="AC42" s="52" t="n"/>
      <c r="AD42" s="52" t="n"/>
      <c r="AE42" s="47" t="n"/>
      <c r="AF42" s="47" t="n"/>
      <c r="AG42" s="54" t="n"/>
    </row>
    <row r="43" ht="14.25" customHeight="1" s="137">
      <c r="I43" s="55" t="n"/>
      <c r="J43" s="55" t="n"/>
      <c r="U43" s="56" t="inlineStr">
        <is>
          <t>Bal SD O/s</t>
        </is>
      </c>
      <c r="X43" s="57" t="inlineStr">
        <is>
          <t>Bal FP O/s</t>
        </is>
      </c>
    </row>
    <row r="44" ht="14.25" customHeight="1" s="137">
      <c r="U44" s="58" t="n"/>
    </row>
    <row r="46" ht="14.25" customHeight="1" s="137">
      <c r="K46" s="55" t="n"/>
    </row>
  </sheetData>
  <autoFilter ref="A3:AG43">
    <sortState ref="A4:AG43">
      <sortCondition ref="A4:A43"/>
    </sortState>
  </autoFilter>
  <pageMargins left="0.75" right="0.75" top="1" bottom="1" header="0.511811023622047" footer="0.511811023622047"/>
  <pageSetup orientation="portrait" paperSize="9" horizontalDpi="300" verticalDpi="300"/>
</worksheet>
</file>

<file path=xl/worksheets/sheet2.xml><?xml version="1.0" encoding="utf-8"?>
<worksheet xmlns="http://schemas.openxmlformats.org/spreadsheetml/2006/main">
  <sheetPr codeName="Sheet2">
    <tabColor rgb="FF00B0F0"/>
    <outlinePr summaryBelow="1" summaryRight="1"/>
    <pageSetUpPr fitToPage="1"/>
  </sheetPr>
  <dimension ref="A1:CU54"/>
  <sheetViews>
    <sheetView showGridLines="0" tabSelected="1" zoomScaleNormal="100" workbookViewId="0">
      <pane xSplit="2" ySplit="5" topLeftCell="C6" activePane="bottomRight" state="frozen"/>
      <selection pane="topRight" activeCell="C1" sqref="C1"/>
      <selection pane="bottomLeft" activeCell="A6" sqref="A6"/>
      <selection pane="bottomRight" activeCell="D18" sqref="D18"/>
    </sheetView>
  </sheetViews>
  <sheetFormatPr baseColWidth="8" defaultColWidth="8.7109375" defaultRowHeight="15"/>
  <cols>
    <col hidden="1" width="14.85546875" customWidth="1" style="137" min="1" max="1"/>
    <col width="10" customWidth="1" style="137" min="2" max="2"/>
    <col width="30" customWidth="1" style="137" min="3" max="3"/>
    <col outlineLevel="1" width="42" customWidth="1" style="137" min="4" max="4"/>
    <col outlineLevel="1" width="11.7109375" customWidth="1" style="137" min="5" max="5"/>
    <col outlineLevel="1" width="12" customWidth="1" style="137" min="6" max="6"/>
    <col outlineLevel="1" width="11" customWidth="1" style="137" min="7" max="7"/>
    <col outlineLevel="1" width="8.85546875" customWidth="1" style="137" min="8" max="8"/>
    <col width="10.28515625" customWidth="1" style="137" min="9" max="9"/>
    <col outlineLevel="1" width="8.85546875" customWidth="1" style="137" min="10" max="10"/>
    <col outlineLevel="1" width="13.42578125" customWidth="1" style="137" min="11" max="16"/>
    <col width="13.42578125" customWidth="1" style="137" min="17" max="17"/>
    <col outlineLevel="1" width="13.42578125" customWidth="1" style="137" min="18" max="18"/>
    <col width="13.42578125" customWidth="1" style="137" min="19" max="20"/>
    <col outlineLevel="1" width="13.42578125" customWidth="1" style="137" min="21" max="21"/>
    <col width="13.42578125" customWidth="1" style="137" min="22" max="34"/>
    <col width="13" customWidth="1" style="137" min="35" max="35"/>
    <col width="38" customWidth="1" style="137" min="36" max="36"/>
    <col hidden="1" width="12" customWidth="1" style="137" min="37" max="99"/>
  </cols>
  <sheetData>
    <row r="1" ht="30" customHeight="1" s="137">
      <c r="A1" s="142" t="inlineStr">
        <is>
          <t>MSTC LIMITED  •  LIVE SEARCH   (results grouped by the value you typed, each group totalled, TOTAL MATCHED beneath them, the misses greyed in a REMAINING block, a GRAND TOTAL of both at the foot)</t>
        </is>
      </c>
    </row>
    <row r="2" ht="43.5" customHeight="1" s="137">
      <c r="A2" s="143" t="inlineStr">
        <is>
          <t>HOW TO USE  ▶  click the yellow box B3 and type - a lot number (1874), part of one (187), a buyer (NATIONAL), part of a buyer name, a lot name (COPPER).   •   WILDCARD / MATCH ANY - separate values with a comma or a slash:   1874, 1923, OMKAR   or   1874 / 1923    - and every lot containing ANY of them lights up.   •   COLUMN SEARCHES - type above any column header in row 4; comma or slash means ANY value in that column, * matches any text and ? matches one character.  Filters entered in different columns are combined as ALL.   •   FACETED / FILTERED - separate them with + or &amp;:   NATIONAL + COPPER   - and a lot lights up only if it matches EVERY facet.   •   the two mix:   OMKAR, STERLING + COPPER   = (OMKAR or STERLING) and COPPER.   Up to 8 values, empty ones ignored, spaces around a separator are fine.  •   THE RESULT IS GROUPED BY THE VALUE YOU TYPED: every value gets its own block of lots with a shaded ∑ total row beneath it, then a blue TOTAL MATCHED row adds every group up at once - the grand total of the rows your search actually hit, sitting right beneath them.  Under that a greyed REMAINING block holds the lots that did not match, with its own total, and the green GRAND TOTAL of both sits at the foot.  A lot matching two values is counted under the first one only, so TOTAL MATCHED + REMAINING always equals GRAND TOTAL, and with nothing typed the matched row is the whole list.   •   clear the box and all 37 come back in one ALL LOTS block.   •   cell F3 narrows what the text is looked for in (lot no. + buyer + name by default).   •   matching is contains, not case sensitive.   •   nothing here is typed in: every figure is a live link to Final Calculation Sheet.   •   columns AK..CU are hidden helpers.   •   use the +/- outline control above columns D:H to expand/collapse Lot Name through Rate under Buyer.   •   BLANK CELLS - type blank (or just press the spacebar) in the yellow cell above any column to show only the rows where that column is empty (brackets are optional, (blank) works the same; e.g. above LPP Received to list the lots with nothing received yet); nonblank or &lt;&gt; shows only the rows where it is filled. Case does not matter. Combines with other columns as ALL, and with comma-separated values in the same cell as ANY.   •   Also see the Buyer Groups sheet for the same lots grouped by buyer with subtotals.   •   AUTO-SUGGEST - every yellow search cell has a dropdown arrow with values already in the sheet: click it to pick, or just type - newer Excel filters the list as you type, like Google; every list is sorted ascending so values are easy to find. Typing stays completely free: comma lists, + facets, blank / spacebar and nonblank all still work. Live matches for the B3 box also appear in column AJ.  •  the (Expected) columns of Security Deposit, Final Payment and LPP each collapse via their own +/- button above the column.   •   SETTLED TOLERANCE - a lot received short by up to Rs. 5 counts as SETTLED (rounding tolerance); only shortfalls above Rs. 5 show OUTSTANDING.</t>
        </is>
      </c>
    </row>
    <row r="3" ht="30" customHeight="1" s="137">
      <c r="A3" s="59" t="inlineStr">
        <is>
          <t>🔍  SEARCH  ▸</t>
        </is>
      </c>
      <c r="B3" s="144" t="n"/>
      <c r="C3" s="146" t="n"/>
      <c r="D3" s="147" t="n"/>
      <c r="E3" s="60" t="inlineStr">
        <is>
          <t>SEARCH IN  ▸</t>
        </is>
      </c>
      <c r="F3" s="61" t="inlineStr">
        <is>
          <t>Lot No. + Buyer + Name</t>
        </is>
      </c>
      <c r="G3" s="60" t="inlineStr">
        <is>
          <t>MATCHES  ▸</t>
        </is>
      </c>
      <c r="H3" s="62" t="str">
        <f>SUM($AM$5:$AM$41)&amp;" of 37"</f>
        <v>37 of 37</v>
      </c>
      <c r="I3" s="145" t="str">
        <f>IF(AND($B$3="",COUNTIF($A$4:$AI$4,"&lt;&gt;")=0),"◀ type in the yellow box B3 or a yellow cell above any header - a lot no., a buyer, a lot name... several values: comma or / = ANY of them, + or &amp; = ALL of them","matching "&amp;SUM($AM$5:$AM$41)&amp;" of 37 lots   •   search: "&amp;IF($B$3="","(column fields)",$B$3)&amp;"   •   in: "&amp;$F$3&amp;"   •   column fields are AND filters; grouped by the value typed, the misses greyed in REMAINING, TOTAL MATCHED totals the hits")</f>
        <v>◀ type in the yellow box B3 or a yellow cell above any header - a lot no., a buyer, a lot name... several values: comma or / = ANY of them, + or &amp; = ALL of them</v>
      </c>
      <c r="AJ3" s="59" t="inlineStr">
        <is>
          <t>SUGGESTIONS ▸</t>
        </is>
      </c>
      <c r="AK3" s="63" t="inlineStr">
        <is>
          <t>the text this lot is searched in</t>
        </is>
      </c>
      <c r="AM3" s="63" t="inlineStr">
        <is>
          <t>1 = this lot matches the search box</t>
        </is>
      </c>
      <c r="AO3" s="63" t="inlineStr">
        <is>
          <t>the 'search in' list</t>
        </is>
      </c>
      <c r="AQ3" s="63" t="inlineStr">
        <is>
          <t>the box with &amp; -&gt; + and / -&gt; ,</t>
        </is>
      </c>
      <c r="AR3" t="inlineStr">
        <is>
          <t>term 1 - rows 4..9: text left, delimiter pos, the term, delimiter, running facet, facet no.</t>
        </is>
      </c>
    </row>
    <row r="4" ht="30" customHeight="1" s="137">
      <c r="A4" s="61" t="n"/>
      <c r="B4" s="61" t="n"/>
      <c r="C4" s="61" t="n"/>
      <c r="D4" s="61" t="n"/>
      <c r="E4" s="61" t="n"/>
      <c r="F4" s="61" t="n"/>
      <c r="G4" s="61" t="n"/>
      <c r="H4" s="61" t="n"/>
      <c r="I4" s="61" t="n"/>
      <c r="J4" s="61" t="n"/>
      <c r="K4" s="61" t="n"/>
      <c r="L4" s="61" t="n"/>
      <c r="M4" s="61" t="n"/>
      <c r="N4" s="61" t="n"/>
      <c r="O4" s="61" t="n"/>
      <c r="P4" s="61" t="n"/>
      <c r="Q4" s="61" t="n"/>
      <c r="R4" s="61" t="n"/>
      <c r="S4" s="61" t="n"/>
      <c r="T4" s="61" t="n"/>
      <c r="U4" s="61" t="n"/>
      <c r="V4" s="61" t="n"/>
      <c r="W4" s="61" t="n"/>
      <c r="X4" s="61" t="n"/>
      <c r="Y4" s="61" t="n"/>
      <c r="Z4" s="61" t="n"/>
      <c r="AA4" s="61" t="n"/>
      <c r="AB4" s="61" t="n"/>
      <c r="AC4" s="61" t="n"/>
      <c r="AD4" s="61" t="n"/>
      <c r="AE4" s="61" t="n"/>
      <c r="AF4" s="61" t="n"/>
      <c r="AG4" s="61" t="n"/>
      <c r="AH4" s="61" t="n"/>
      <c r="AI4" s="61" t="n"/>
      <c r="AJ4" s="62" t="str">
        <f>IF($B$3="","type in B3…",AL$41&amp;" match(es)")</f>
        <v>type in B3…</v>
      </c>
      <c r="AO4" t="inlineStr">
        <is>
          <t>Lot No. + Buyer + Name</t>
        </is>
      </c>
      <c r="AQ4" t="str">
        <f>SUBSTITUTE(SUBSTITUTE($B$3,"&amp;","+"),"/",",")</f>
        <v/>
      </c>
      <c r="AR4" t="str">
        <f>$AQ$4</f>
        <v/>
      </c>
      <c r="AS4" t="str">
        <f>IF(OR($AR$4="",$AR$5=99999),"",MID($AR$4,$AR$5+1,99999))</f>
        <v/>
      </c>
      <c r="AT4" t="str">
        <f>IF(OR($AS$4="",$AS$5=99999),"",MID($AS$4,$AS$5+1,99999))</f>
        <v/>
      </c>
      <c r="AU4" t="str">
        <f>IF(OR($AT$4="",$AT$5=99999),"",MID($AT$4,$AT$5+1,99999))</f>
        <v/>
      </c>
      <c r="AV4" t="str">
        <f>IF(OR($AU$4="",$AU$5=99999),"",MID($AU$4,$AU$5+1,99999))</f>
        <v/>
      </c>
      <c r="AW4" t="str">
        <f>IF(OR($AV$4="",$AV$5=99999),"",MID($AV$4,$AV$5+1,99999))</f>
        <v/>
      </c>
      <c r="AX4" t="str">
        <f>IF(OR($AW$4="",$AW$5=99999),"",MID($AW$4,$AW$5+1,99999))</f>
        <v/>
      </c>
      <c r="AY4" t="str">
        <f>IF(OR($AX$4="",$AX$5=99999),"",MID($AX$4,$AX$5+1,99999))</f>
        <v/>
      </c>
      <c r="BD4">
        <f>COUNTIF($AZ$5:$AZ$41,1)</f>
        <v>0</v>
      </c>
      <c r="BE4" t="n">
        <v>5</v>
      </c>
      <c r="BF4">
        <f>IF($BD4=0,0,$BE4+$BD4)</f>
        <v>0</v>
      </c>
      <c r="BG4">
        <f>IF($BD12=0,$BE12,$BF12+1)</f>
        <v>43</v>
      </c>
    </row>
    <row r="5" ht="43.5" customHeight="1" s="137">
      <c r="A5" s="64" t="inlineStr">
        <is>
          <t>#</t>
        </is>
      </c>
      <c r="B5" s="64" t="inlineStr">
        <is>
          <t>Lot No.</t>
        </is>
      </c>
      <c r="C5" s="64" t="inlineStr">
        <is>
          <t>Buyer</t>
        </is>
      </c>
      <c r="D5" s="64" t="inlineStr">
        <is>
          <t>Lot Name</t>
        </is>
      </c>
      <c r="E5" s="64" t="inlineStr">
        <is>
          <t>Bid Sheet</t>
        </is>
      </c>
      <c r="F5" s="64" t="inlineStr">
        <is>
          <t>Quantity</t>
        </is>
      </c>
      <c r="G5" s="64" t="inlineStr">
        <is>
          <t>Unit</t>
        </is>
      </c>
      <c r="H5" s="64" t="inlineStr">
        <is>
          <t>Rate</t>
        </is>
      </c>
      <c r="I5" s="64" t="inlineStr">
        <is>
          <t>Mat. Value</t>
        </is>
      </c>
      <c r="J5" s="64" t="inlineStr">
        <is>
          <t>GST</t>
        </is>
      </c>
      <c r="K5" s="64" t="inlineStr">
        <is>
          <t>Mat. Value + GST</t>
        </is>
      </c>
      <c r="L5" s="64" t="inlineStr">
        <is>
          <t>TCS</t>
        </is>
      </c>
      <c r="M5" s="64" t="inlineStr">
        <is>
          <t>TDS u/s 194(O)</t>
        </is>
      </c>
      <c r="N5" s="64" t="inlineStr">
        <is>
          <t>Service Charge to MSTC</t>
        </is>
      </c>
      <c r="O5" s="64" t="inlineStr">
        <is>
          <t>TDS u/s 194(H)</t>
        </is>
      </c>
      <c r="P5" s="64" t="inlineStr">
        <is>
          <t>Net Service Charge (post TDS 194H)</t>
        </is>
      </c>
      <c r="Q5" s="64" t="inlineStr">
        <is>
          <t>Service charge to MSTC</t>
        </is>
      </c>
      <c r="R5" s="64" t="inlineStr">
        <is>
          <t>GST TDS Rate</t>
        </is>
      </c>
      <c r="S5" s="64" t="inlineStr">
        <is>
          <t>GST TDS</t>
        </is>
      </c>
      <c r="T5" s="64" t="inlineStr">
        <is>
          <t>Total Receivables in Cash</t>
        </is>
      </c>
      <c r="U5" s="64" t="inlineStr">
        <is>
          <t>Security Deposit (Expected)</t>
        </is>
      </c>
      <c r="V5" s="64" t="inlineStr">
        <is>
          <t>Security Deposit (Received)</t>
        </is>
      </c>
      <c r="W5" s="64" t="inlineStr">
        <is>
          <t>Date of Receipt (col V)</t>
        </is>
      </c>
      <c r="X5" s="64" t="inlineStr">
        <is>
          <t>Final Payment (Expected)</t>
        </is>
      </c>
      <c r="Y5" s="64" t="inlineStr">
        <is>
          <t>Final Payment (Received)</t>
        </is>
      </c>
      <c r="Z5" s="64" t="inlineStr">
        <is>
          <t>Date of Receipt (col Y)</t>
        </is>
      </c>
      <c r="AA5" s="64" t="inlineStr">
        <is>
          <t>LPP Expected</t>
        </is>
      </c>
      <c r="AB5" s="64" t="inlineStr">
        <is>
          <t>LPP Received</t>
        </is>
      </c>
      <c r="AC5" s="64" t="inlineStr">
        <is>
          <t>Date of Recepit of LPP</t>
        </is>
      </c>
      <c r="AD5" s="64" t="inlineStr">
        <is>
          <t>Total Received</t>
        </is>
      </c>
      <c r="AE5" s="64" t="inlineStr">
        <is>
          <t>Outstanding</t>
        </is>
      </c>
      <c r="AF5" s="64" t="inlineStr">
        <is>
          <t>Invoice No.</t>
        </is>
      </c>
      <c r="AG5" s="64" t="inlineStr">
        <is>
          <t>SAP Document</t>
        </is>
      </c>
      <c r="AH5" s="64" t="inlineStr">
        <is>
          <t>Doc./Invoice Date</t>
        </is>
      </c>
      <c r="AI5" s="64" t="inlineStr">
        <is>
          <t>Payment Status</t>
        </is>
      </c>
      <c r="AJ5" s="65" t="str">
        <f>IF($B$3="",IF(ROW()=5,"— type above —",""),IF(ROW()-4&gt;AL$41,"",INDEX('Final Calculation Sheet'!$F$4:$F$40,MATCH(ROW()-4,$AL$5:$AL$41,0))&amp;" — "&amp;INDEX('Final Calculation Sheet'!$G$4:$G$40,MATCH(ROW()-4,$AL$5:$AL$41,0))))</f>
        <v>— type above —</v>
      </c>
      <c r="AK5" s="66" t="str">
        <f>IF($F$3="Lot No.",'Final Calculation Sheet'!$F$4,IF($F$3="Buyer",'Final Calculation Sheet'!$G$4,IF($F$3="Lot Name",'Final Calculation Sheet'!$B$4,IF($F$3="Bid Sheet",'Final Calculation Sheet'!$D$4,IF($F$3="Unit",'Final Calculation Sheet'!$E$4,'Final Calculation Sheet'!$F$4&amp;" "&amp;'Final Calculation Sheet'!$G$4&amp;" "&amp;'Final Calculation Sheet'!$B$4)))))</f>
        <v>1763 AL HAMD TRADE CORPORATION SCRAP COPPER OF T/F WINDING (Oil impregnated paper insulated T/F winding)</v>
      </c>
      <c r="AL5" s="66">
        <f>IF($B$3="",0,--(SUMPRODUCT(--($AR$6:$AY$6&lt;&gt;""),--ISNUMBER(SEARCH($AR$6:$AY$6,$AK5)))&gt;0))</f>
        <v>0</v>
      </c>
      <c r="AM5" s="66">
        <f>IF(COUNTIF($BM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1</v>
      </c>
      <c r="AN5" s="66" t="n"/>
      <c r="AO5" s="66" t="inlineStr">
        <is>
          <t>Lot No.</t>
        </is>
      </c>
      <c r="AP5" s="66" t="n"/>
      <c r="AQ5" s="66" t="n"/>
      <c r="AR5" s="66">
        <f>IF($AR$4="",99999,MIN(IFERROR(FIND(",",$AR$4),99999),IFERROR(FIND("+",$AR$4),99999)))</f>
        <v>99999</v>
      </c>
      <c r="AS5" s="66">
        <f>IF($AS$4="",99999,MIN(IFERROR(FIND(",",$AS$4),99999),IFERROR(FIND("+",$AS$4),99999)))</f>
        <v>99999</v>
      </c>
      <c r="AT5" s="66">
        <f>IF($AT$4="",99999,MIN(IFERROR(FIND(",",$AT$4),99999),IFERROR(FIND("+",$AT$4),99999)))</f>
        <v>99999</v>
      </c>
      <c r="AU5" s="66">
        <f>IF($AU$4="",99999,MIN(IFERROR(FIND(",",$AU$4),99999),IFERROR(FIND("+",$AU$4),99999)))</f>
        <v>99999</v>
      </c>
      <c r="AV5" s="66">
        <f>IF($AV$4="",99999,MIN(IFERROR(FIND(",",$AV$4),99999),IFERROR(FIND("+",$AV$4),99999)))</f>
        <v>99999</v>
      </c>
      <c r="AW5" s="66">
        <f>IF($AW$4="",99999,MIN(IFERROR(FIND(",",$AW$4),99999),IFERROR(FIND("+",$AW$4),99999)))</f>
        <v>99999</v>
      </c>
      <c r="AX5" s="66">
        <f>IF($AX$4="",99999,MIN(IFERROR(FIND(",",$AX$4),99999),IFERROR(FIND("+",$AX$4),99999)))</f>
        <v>99999</v>
      </c>
      <c r="AY5" s="66">
        <f>IF($AY$4="",99999,MIN(IFERROR(FIND(",",$AY$4),99999),IFERROR(FIND("+",$AY$4),99999)))</f>
        <v>99999</v>
      </c>
      <c r="AZ5" s="66">
        <f>IF($B$3="",IF(COUNTIF($A$4:$AI$4,"&lt;&gt;")=0,9,IF($AM5=1,9,10)),IF($AM5=0,10,IF(AND($AR$6&lt;&gt;"",ISNUMBER(SEARCH($AR$6,$AK5))),1,IF(AND($AS$6&lt;&gt;"",ISNUMBER(SEARCH($AS$6,$AK5))),2,IF(AND($AT$6&lt;&gt;"",ISNUMBER(SEARCH($AT$6,$AK5))),3,IF(AND($AU$6&lt;&gt;"",ISNUMBER(SEARCH($AU$6,$AK5))),4,IF(AND($AV$6&lt;&gt;"",ISNUMBER(SEARCH($AV$6,$AK5))),5,IF(AND($AW$6&lt;&gt;"",ISNUMBER(SEARCH($AW$6,$AK5))),6,IF(AND($AX$6&lt;&gt;"",ISNUMBER(SEARCH($AX$6,$AK5))),7,IF(AND($AY$6&lt;&gt;"",ISNUMBER(SEARCH($AY$6,$AK5))),8,0))))))))))</f>
        <v>9</v>
      </c>
      <c r="BA5" s="66">
        <f>SUMPRODUCT(($AZ$5:$AZ$41=$AZ5)*($BC$5:$BC$41&lt;$BC5))+1</f>
        <v>1</v>
      </c>
      <c r="BB5" s="66">
        <f>IF(INDEX($BF$4:$BF$13,$AZ5)=0,0,INDEX($BE$4:$BE$13,$AZ5)+$BA5-1)</f>
        <v>5</v>
      </c>
      <c r="BC5" s="66" t="n">
        <v>4</v>
      </c>
      <c r="BD5" s="66">
        <f>COUNTIF($AZ$5:$AZ$41,2)</f>
        <v>0</v>
      </c>
      <c r="BE5" s="66">
        <f>IF($BD4=0,$BE4,$BF4+1)</f>
        <v>5</v>
      </c>
      <c r="BF5" s="66">
        <f>IF($BD5=0,0,$BE5+$BD5)</f>
        <v>0</v>
      </c>
      <c r="BG5" s="66">
        <f>IF($BD13=0,$BE13,$BF13+1)</f>
        <v>44</v>
      </c>
      <c r="BH5" s="66">
        <f>IFERROR(MATCH(5,$BF$4:$BF$13,0),0)</f>
        <v>0</v>
      </c>
      <c r="BI5" s="66">
        <f>IF(5=$BG$5,1,0)</f>
        <v>0</v>
      </c>
      <c r="BJ5" s="66">
        <f>IF(OR($BH5&gt;0,$BI5=1,$BL5=1),0,IFERROR(INDEX($BC$5:$BC$41,MATCH(5,$BB$5:$BB$41,0)),0))</f>
        <v>4</v>
      </c>
      <c r="BK5" s="66">
        <f>IF($BJ5&gt;0,IF(INDEX($AZ$5:$AZ$41,MATCH(5,$BB$5:$BB$41,0))=10,1,0),IF($BH5=10,1,0))</f>
        <v>0</v>
      </c>
      <c r="BL5" s="66">
        <f>IF(5=$BG$4,1,0)</f>
        <v>0</v>
      </c>
      <c r="BM5" s="66">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1</v>
      </c>
      <c r="BN5" s="66">
        <f>IF($B$4="",1,--(OR(SUMPRODUCT(--(TRIM(MID(SUBSTITUTE(SUBSTITUTE($B$4,"/",","),",",REPT(" ",99)),(ROW($1:$8)-1)*99+1,99))&lt;&gt;""),--ISNUMBER(SEARCH(TRIM(MID(SUBSTITUTE(SUBSTITUTE($B$4,"/",","),",",REPT(" ",99)),(ROW($1:$8)-1)*99+1,99)),IFERROR(('Final Calculation Sheet'!$F$4)&amp;"",""))))&gt;0,AND(ISNUMBER(SEARCH("blank",$B$4)),NOT(ISNUMBER(SEARCH("nonblank",$B$4))),IFERROR(('Final Calculation Sheet'!$F$4)&amp;"","")=""),AND(OR(ISNUMBER(SEARCH("nonblank",$B$4)),ISNUMBER(SEARCH("&lt;&gt;",$B$4))),IFERROR(('Final Calculation Sheet'!$F$4)&amp;"","")&lt;&gt;""),AND(TRIM($B$4)="",IFERROR(('Final Calculation Sheet'!$F$4)&amp;"","")=""))))</f>
        <v>1</v>
      </c>
      <c r="BO5" s="66">
        <f>IF($C$4="",1,--(OR(SUMPRODUCT(--(TRIM(MID(SUBSTITUTE(SUBSTITUTE($C$4,"/",","),",",REPT(" ",99)),(ROW($1:$8)-1)*99+1,99))&lt;&gt;""),--ISNUMBER(SEARCH(TRIM(MID(SUBSTITUTE(SUBSTITUTE($C$4,"/",","),",",REPT(" ",99)),(ROW($1:$8)-1)*99+1,99)),IFERROR(('Final Calculation Sheet'!$G$4)&amp;"",""))))&gt;0,AND(ISNUMBER(SEARCH("blank",$C$4)),NOT(ISNUMBER(SEARCH("nonblank",$C$4))),IFERROR(('Final Calculation Sheet'!$G$4)&amp;"","")=""),AND(OR(ISNUMBER(SEARCH("nonblank",$C$4)),ISNUMBER(SEARCH("&lt;&gt;",$C$4))),IFERROR(('Final Calculation Sheet'!$G$4)&amp;"","")&lt;&gt;""),AND(TRIM($C$4)="",IFERROR(('Final Calculation Sheet'!$G$4)&amp;"","")=""))))</f>
        <v>1</v>
      </c>
      <c r="BP5" s="66">
        <f>IF($D$4="",1,--(OR(SUMPRODUCT(--(TRIM(MID(SUBSTITUTE(SUBSTITUTE($D$4,"/",","),",",REPT(" ",99)),(ROW($1:$8)-1)*99+1,99))&lt;&gt;""),--ISNUMBER(SEARCH(TRIM(MID(SUBSTITUTE(SUBSTITUTE($D$4,"/",","),",",REPT(" ",99)),(ROW($1:$8)-1)*99+1,99)),IFERROR(('Final Calculation Sheet'!$B$4)&amp;"",""))))&gt;0,AND(ISNUMBER(SEARCH("blank",$D$4)),NOT(ISNUMBER(SEARCH("nonblank",$D$4))),IFERROR(('Final Calculation Sheet'!$B$4)&amp;"","")=""),AND(OR(ISNUMBER(SEARCH("nonblank",$D$4)),ISNUMBER(SEARCH("&lt;&gt;",$D$4))),IFERROR(('Final Calculation Sheet'!$B$4)&amp;"","")&lt;&gt;""),AND(TRIM($D$4)="",IFERROR(('Final Calculation Sheet'!$B$4)&amp;"","")=""))))</f>
        <v>1</v>
      </c>
      <c r="BQ5" s="66">
        <f>IF($E$4="",1,--(OR(SUMPRODUCT(--(TRIM(MID(SUBSTITUTE(SUBSTITUTE($E$4,"/",","),",",REPT(" ",99)),(ROW($1:$8)-1)*99+1,99))&lt;&gt;""),--ISNUMBER(SEARCH(TRIM(MID(SUBSTITUTE(SUBSTITUTE($E$4,"/",","),",",REPT(" ",99)),(ROW($1:$8)-1)*99+1,99)),IFERROR(('Final Calculation Sheet'!$D$4)&amp;"",""))))&gt;0,AND(ISNUMBER(SEARCH("blank",$E$4)),NOT(ISNUMBER(SEARCH("nonblank",$E$4))),IFERROR(('Final Calculation Sheet'!$D$4)&amp;"","")=""),AND(OR(ISNUMBER(SEARCH("nonblank",$E$4)),ISNUMBER(SEARCH("&lt;&gt;",$E$4))),IFERROR(('Final Calculation Sheet'!$D$4)&amp;"","")&lt;&gt;""),AND(TRIM($E$4)="",IFERROR(('Final Calculation Sheet'!$D$4)&amp;"","")=""))))</f>
        <v>1</v>
      </c>
      <c r="BR5" s="66">
        <f>IF($F$4="",1,--(OR(SUMPRODUCT(--(TRIM(MID(SUBSTITUTE(SUBSTITUTE($F$4,"/",","),",",REPT(" ",99)),(ROW($1:$8)-1)*99+1,99))&lt;&gt;""),--ISNUMBER(SEARCH(TRIM(MID(SUBSTITUTE(SUBSTITUTE($F$4,"/",","),",",REPT(" ",99)),(ROW($1:$8)-1)*99+1,99)),IFERROR(('Final Calculation Sheet'!$A$4)&amp;"",""))))&gt;0,AND(ISNUMBER(SEARCH("blank",$F$4)),NOT(ISNUMBER(SEARCH("nonblank",$F$4))),IFERROR(('Final Calculation Sheet'!$A$4)&amp;"","")=""),AND(OR(ISNUMBER(SEARCH("nonblank",$F$4)),ISNUMBER(SEARCH("&lt;&gt;",$F$4))),IFERROR(('Final Calculation Sheet'!$A$4)&amp;"","")&lt;&gt;""),AND(TRIM($F$4)="",IFERROR(('Final Calculation Sheet'!$A$4)&amp;"","")=""))))</f>
        <v>1</v>
      </c>
      <c r="BS5" s="66">
        <f>IF($G$4="",1,--(OR(SUMPRODUCT(--(TRIM(MID(SUBSTITUTE(SUBSTITUTE($G$4,"/",","),",",REPT(" ",99)),(ROW($1:$8)-1)*99+1,99))&lt;&gt;""),--ISNUMBER(SEARCH(TRIM(MID(SUBSTITUTE(SUBSTITUTE($G$4,"/",","),",",REPT(" ",99)),(ROW($1:$8)-1)*99+1,99)),IFERROR(('Final Calculation Sheet'!$E$4)&amp;"",""))))&gt;0,AND(ISNUMBER(SEARCH("blank",$G$4)),NOT(ISNUMBER(SEARCH("nonblank",$G$4))),IFERROR(('Final Calculation Sheet'!$E$4)&amp;"","")=""),AND(OR(ISNUMBER(SEARCH("nonblank",$G$4)),ISNUMBER(SEARCH("&lt;&gt;",$G$4))),IFERROR(('Final Calculation Sheet'!$E$4)&amp;"","")&lt;&gt;""),AND(TRIM($G$4)="",IFERROR(('Final Calculation Sheet'!$E$4)&amp;"","")=""))))</f>
        <v>1</v>
      </c>
      <c r="BT5" s="66">
        <f>IF($H$4="",1,--(OR(SUMPRODUCT(--(TRIM(MID(SUBSTITUTE(SUBSTITUTE($H$4,"/",","),",",REPT(" ",99)),(ROW($1:$8)-1)*99+1,99))&lt;&gt;""),--ISNUMBER(SEARCH(TRIM(MID(SUBSTITUTE(SUBSTITUTE($H$4,"/",","),",",REPT(" ",99)),(ROW($1:$8)-1)*99+1,99)),IFERROR(('Final Calculation Sheet'!$C$4)&amp;"",""))))&gt;0,AND(ISNUMBER(SEARCH("blank",$H$4)),NOT(ISNUMBER(SEARCH("nonblank",$H$4))),IFERROR(('Final Calculation Sheet'!$C$4)&amp;"","")=""),AND(OR(ISNUMBER(SEARCH("nonblank",$H$4)),ISNUMBER(SEARCH("&lt;&gt;",$H$4))),IFERROR(('Final Calculation Sheet'!$C$4)&amp;"","")&lt;&gt;""),AND(TRIM($H$4)="",IFERROR(('Final Calculation Sheet'!$C$4)&amp;"","")=""))))</f>
        <v>1</v>
      </c>
      <c r="BU5" s="66">
        <f>IF($I$4="",1,--(OR(SUMPRODUCT(--(TRIM(MID(SUBSTITUTE(SUBSTITUTE($I$4,"/",","),",",REPT(" ",99)),(ROW($1:$8)-1)*99+1,99))&lt;&gt;""),--ISNUMBER(SEARCH(TRIM(MID(SUBSTITUTE(SUBSTITUTE($I$4,"/",","),",",REPT(" ",99)),(ROW($1:$8)-1)*99+1,99)),IFERROR(('Final Calculation Sheet'!$H$4)&amp;"",""))))&gt;0,AND(ISNUMBER(SEARCH("blank",$I$4)),NOT(ISNUMBER(SEARCH("nonblank",$I$4))),IFERROR(('Final Calculation Sheet'!$H$4)&amp;"","")=""),AND(OR(ISNUMBER(SEARCH("nonblank",$I$4)),ISNUMBER(SEARCH("&lt;&gt;",$I$4))),IFERROR(('Final Calculation Sheet'!$H$4)&amp;"","")&lt;&gt;""),AND(TRIM($I$4)="",IFERROR(('Final Calculation Sheet'!$H$4)&amp;"","")=""))))</f>
        <v>1</v>
      </c>
      <c r="BV5" s="66">
        <f>IF($J$4="",1,--(OR(SUMPRODUCT(--(TRIM(MID(SUBSTITUTE(SUBSTITUTE($J$4,"/",","),",",REPT(" ",99)),(ROW($1:$8)-1)*99+1,99))&lt;&gt;""),--ISNUMBER(SEARCH(TRIM(MID(SUBSTITUTE(SUBSTITUTE($J$4,"/",","),",",REPT(" ",99)),(ROW($1:$8)-1)*99+1,99)),IFERROR(('Final Calculation Sheet'!$I$4)&amp;"",""))))&gt;0,AND(ISNUMBER(SEARCH("blank",$J$4)),NOT(ISNUMBER(SEARCH("nonblank",$J$4))),IFERROR(('Final Calculation Sheet'!$I$4)&amp;"","")=""),AND(OR(ISNUMBER(SEARCH("nonblank",$J$4)),ISNUMBER(SEARCH("&lt;&gt;",$J$4))),IFERROR(('Final Calculation Sheet'!$I$4)&amp;"","")&lt;&gt;""),AND(TRIM($J$4)="",IFERROR(('Final Calculation Sheet'!$I$4)&amp;"","")=""))))</f>
        <v>1</v>
      </c>
      <c r="BW5" s="66">
        <f>IF($K$4="",1,--(OR(SUMPRODUCT(--(TRIM(MID(SUBSTITUTE(SUBSTITUTE($K$4,"/",","),",",REPT(" ",99)),(ROW($1:$8)-1)*99+1,99))&lt;&gt;""),--ISNUMBER(SEARCH(TRIM(MID(SUBSTITUTE(SUBSTITUTE($K$4,"/",","),",",REPT(" ",99)),(ROW($1:$8)-1)*99+1,99)),IFERROR(('Final Calculation Sheet'!$J$4)&amp;"",""))))&gt;0,AND(ISNUMBER(SEARCH("blank",$K$4)),NOT(ISNUMBER(SEARCH("nonblank",$K$4))),IFERROR(('Final Calculation Sheet'!$J$4)&amp;"","")=""),AND(OR(ISNUMBER(SEARCH("nonblank",$K$4)),ISNUMBER(SEARCH("&lt;&gt;",$K$4))),IFERROR(('Final Calculation Sheet'!$J$4)&amp;"","")&lt;&gt;""),AND(TRIM($K$4)="",IFERROR(('Final Calculation Sheet'!$J$4)&amp;"","")=""))))</f>
        <v>1</v>
      </c>
      <c r="BX5" s="66">
        <f>IF($L$4="",1,--(OR(SUMPRODUCT(--(TRIM(MID(SUBSTITUTE(SUBSTITUTE($L$4,"/",","),",",REPT(" ",99)),(ROW($1:$8)-1)*99+1,99))&lt;&gt;""),--ISNUMBER(SEARCH(TRIM(MID(SUBSTITUTE(SUBSTITUTE($L$4,"/",","),",",REPT(" ",99)),(ROW($1:$8)-1)*99+1,99)),IFERROR(('Final Calculation Sheet'!$K$4)&amp;"",""))))&gt;0,AND(ISNUMBER(SEARCH("blank",$L$4)),NOT(ISNUMBER(SEARCH("nonblank",$L$4))),IFERROR(('Final Calculation Sheet'!$K$4)&amp;"","")=""),AND(OR(ISNUMBER(SEARCH("nonblank",$L$4)),ISNUMBER(SEARCH("&lt;&gt;",$L$4))),IFERROR(('Final Calculation Sheet'!$K$4)&amp;"","")&lt;&gt;""),AND(TRIM($L$4)="",IFERROR(('Final Calculation Sheet'!$K$4)&amp;"","")=""))))</f>
        <v>1</v>
      </c>
      <c r="BY5" s="66">
        <f>IF($M$4="",1,--(OR(SUMPRODUCT(--(TRIM(MID(SUBSTITUTE(SUBSTITUTE($M$4,"/",","),",",REPT(" ",99)),(ROW($1:$8)-1)*99+1,99))&lt;&gt;""),--ISNUMBER(SEARCH(TRIM(MID(SUBSTITUTE(SUBSTITUTE($M$4,"/",","),",",REPT(" ",99)),(ROW($1:$8)-1)*99+1,99)),IFERROR(('Final Calculation Sheet'!$L$4)&amp;"",""))))&gt;0,AND(ISNUMBER(SEARCH("blank",$M$4)),NOT(ISNUMBER(SEARCH("nonblank",$M$4))),IFERROR(('Final Calculation Sheet'!$L$4)&amp;"","")=""),AND(OR(ISNUMBER(SEARCH("nonblank",$M$4)),ISNUMBER(SEARCH("&lt;&gt;",$M$4))),IFERROR(('Final Calculation Sheet'!$L$4)&amp;"","")&lt;&gt;""),AND(TRIM($M$4)="",IFERROR(('Final Calculation Sheet'!$L$4)&amp;"","")=""))))</f>
        <v>1</v>
      </c>
      <c r="BZ5" s="66">
        <f>IF($N$4="",1,--(OR(SUMPRODUCT(--(TRIM(MID(SUBSTITUTE(SUBSTITUTE($N$4,"/",","),",",REPT(" ",99)),(ROW($1:$8)-1)*99+1,99))&lt;&gt;""),--ISNUMBER(SEARCH(TRIM(MID(SUBSTITUTE(SUBSTITUTE($N$4,"/",","),",",REPT(" ",99)),(ROW($1:$8)-1)*99+1,99)),IFERROR(('Final Calculation Sheet'!$M$4)&amp;"",""))))&gt;0,AND(ISNUMBER(SEARCH("blank",$N$4)),NOT(ISNUMBER(SEARCH("nonblank",$N$4))),IFERROR(('Final Calculation Sheet'!$M$4)&amp;"","")=""),AND(OR(ISNUMBER(SEARCH("nonblank",$N$4)),ISNUMBER(SEARCH("&lt;&gt;",$N$4))),IFERROR(('Final Calculation Sheet'!$M$4)&amp;"","")&lt;&gt;""),AND(TRIM($N$4)="",IFERROR(('Final Calculation Sheet'!$M$4)&amp;"","")=""))))</f>
        <v>1</v>
      </c>
      <c r="CA5" s="66">
        <f>IF($O$4="",1,--(OR(SUMPRODUCT(--(TRIM(MID(SUBSTITUTE(SUBSTITUTE($O$4,"/",","),",",REPT(" ",99)),(ROW($1:$8)-1)*99+1,99))&lt;&gt;""),--ISNUMBER(SEARCH(TRIM(MID(SUBSTITUTE(SUBSTITUTE($O$4,"/",","),",",REPT(" ",99)),(ROW($1:$8)-1)*99+1,99)),IFERROR(('Final Calculation Sheet'!$N$4)&amp;"",""))))&gt;0,AND(ISNUMBER(SEARCH("blank",$O$4)),NOT(ISNUMBER(SEARCH("nonblank",$O$4))),IFERROR(('Final Calculation Sheet'!$N$4)&amp;"","")=""),AND(OR(ISNUMBER(SEARCH("nonblank",$O$4)),ISNUMBER(SEARCH("&lt;&gt;",$O$4))),IFERROR(('Final Calculation Sheet'!$N$4)&amp;"","")&lt;&gt;""),AND(TRIM($O$4)="",IFERROR(('Final Calculation Sheet'!$N$4)&amp;"","")=""))))</f>
        <v>1</v>
      </c>
      <c r="CB5" s="66">
        <f>IF($P$4="",1,--(OR(SUMPRODUCT(--(TRIM(MID(SUBSTITUTE(SUBSTITUTE($P$4,"/",","),",",REPT(" ",99)),(ROW($1:$8)-1)*99+1,99))&lt;&gt;""),--ISNUMBER(SEARCH(TRIM(MID(SUBSTITUTE(SUBSTITUTE($P$4,"/",","),",",REPT(" ",99)),(ROW($1:$8)-1)*99+1,99)),IFERROR(('Final Calculation Sheet'!$O$4)&amp;"",""))))&gt;0,AND(ISNUMBER(SEARCH("blank",$P$4)),NOT(ISNUMBER(SEARCH("nonblank",$P$4))),IFERROR(('Final Calculation Sheet'!$O$4)&amp;"","")=""),AND(OR(ISNUMBER(SEARCH("nonblank",$P$4)),ISNUMBER(SEARCH("&lt;&gt;",$P$4))),IFERROR(('Final Calculation Sheet'!$O$4)&amp;"","")&lt;&gt;""),AND(TRIM($P$4)="",IFERROR(('Final Calculation Sheet'!$O$4)&amp;"","")=""))))</f>
        <v>1</v>
      </c>
      <c r="CC5" s="66">
        <f>IF($Q$4="",1,--(OR(SUMPRODUCT(--(TRIM(MID(SUBSTITUTE(SUBSTITUTE($Q$4,"/",","),",",REPT(" ",99)),(ROW($1:$8)-1)*99+1,99))&lt;&gt;""),--ISNUMBER(SEARCH(TRIM(MID(SUBSTITUTE(SUBSTITUTE($Q$4,"/",","),",",REPT(" ",99)),(ROW($1:$8)-1)*99+1,99)),IFERROR(('Final Calculation Sheet'!$P$4)&amp;"",""))))&gt;0,AND(ISNUMBER(SEARCH("blank",$Q$4)),NOT(ISNUMBER(SEARCH("nonblank",$Q$4))),IFERROR(('Final Calculation Sheet'!$P$4)&amp;"","")=""),AND(OR(ISNUMBER(SEARCH("nonblank",$Q$4)),ISNUMBER(SEARCH("&lt;&gt;",$Q$4))),IFERROR(('Final Calculation Sheet'!$P$4)&amp;"","")&lt;&gt;""),AND(TRIM($Q$4)="",IFERROR(('Final Calculation Sheet'!$P$4)&amp;"","")=""))))</f>
        <v>1</v>
      </c>
      <c r="CD5" s="66">
        <f>IF($R$4="",1,--(OR(SUMPRODUCT(--(TRIM(MID(SUBSTITUTE(SUBSTITUTE($R$4,"/",","),",",REPT(" ",99)),(ROW($1:$8)-1)*99+1,99))&lt;&gt;""),--ISNUMBER(SEARCH(TRIM(MID(SUBSTITUTE(SUBSTITUTE($R$4,"/",","),",",REPT(" ",99)),(ROW($1:$8)-1)*99+1,99)),IFERROR(('Final Calculation Sheet'!$Q$4)&amp;"",""))))&gt;0,AND(ISNUMBER(SEARCH("blank",$R$4)),NOT(ISNUMBER(SEARCH("nonblank",$R$4))),IFERROR(('Final Calculation Sheet'!$Q$4)&amp;"","")=""),AND(OR(ISNUMBER(SEARCH("nonblank",$R$4)),ISNUMBER(SEARCH("&lt;&gt;",$R$4))),IFERROR(('Final Calculation Sheet'!$Q$4)&amp;"","")&lt;&gt;""),AND(TRIM($R$4)="",IFERROR(('Final Calculation Sheet'!$Q$4)&amp;"","")=""))))</f>
        <v>1</v>
      </c>
      <c r="CE5" s="66">
        <f>IF($S$4="",1,--(OR(SUMPRODUCT(--(TRIM(MID(SUBSTITUTE(SUBSTITUTE($S$4,"/",","),",",REPT(" ",99)),(ROW($1:$8)-1)*99+1,99))&lt;&gt;""),--ISNUMBER(SEARCH(TRIM(MID(SUBSTITUTE(SUBSTITUTE($S$4,"/",","),",",REPT(" ",99)),(ROW($1:$8)-1)*99+1,99)),IFERROR(('Final Calculation Sheet'!$R$4)&amp;"",""))))&gt;0,AND(ISNUMBER(SEARCH("blank",$S$4)),NOT(ISNUMBER(SEARCH("nonblank",$S$4))),IFERROR(('Final Calculation Sheet'!$R$4)&amp;"","")=""),AND(OR(ISNUMBER(SEARCH("nonblank",$S$4)),ISNUMBER(SEARCH("&lt;&gt;",$S$4))),IFERROR(('Final Calculation Sheet'!$R$4)&amp;"","")&lt;&gt;""),AND(TRIM($S$4)="",IFERROR(('Final Calculation Sheet'!$R$4)&amp;"","")=""))))</f>
        <v>1</v>
      </c>
      <c r="CF5" s="66">
        <f>IF($T$4="",1,--(OR(SUMPRODUCT(--(TRIM(MID(SUBSTITUTE(SUBSTITUTE($T$4,"/",","),",",REPT(" ",99)),(ROW($1:$8)-1)*99+1,99))&lt;&gt;""),--ISNUMBER(SEARCH(TRIM(MID(SUBSTITUTE(SUBSTITUTE($T$4,"/",","),",",REPT(" ",99)),(ROW($1:$8)-1)*99+1,99)),IFERROR(('Final Calculation Sheet'!$S$4)&amp;"",""))))&gt;0,AND(ISNUMBER(SEARCH("blank",$T$4)),NOT(ISNUMBER(SEARCH("nonblank",$T$4))),IFERROR(('Final Calculation Sheet'!$S$4)&amp;"","")=""),AND(OR(ISNUMBER(SEARCH("nonblank",$T$4)),ISNUMBER(SEARCH("&lt;&gt;",$T$4))),IFERROR(('Final Calculation Sheet'!$S$4)&amp;"","")&lt;&gt;""),AND(TRIM($T$4)="",IFERROR(('Final Calculation Sheet'!$S$4)&amp;"","")=""))))</f>
        <v>1</v>
      </c>
      <c r="CG5" s="66">
        <f>IF($U$4="",1,--(OR(SUMPRODUCT(--(TRIM(MID(SUBSTITUTE(SUBSTITUTE($U$4,"/",","),",",REPT(" ",99)),(ROW($1:$8)-1)*99+1,99))&lt;&gt;""),--ISNUMBER(SEARCH(TRIM(MID(SUBSTITUTE(SUBSTITUTE($U$4,"/",","),",",REPT(" ",99)),(ROW($1:$8)-1)*99+1,99)),IFERROR(('Final Calculation Sheet'!$T$4)&amp;"",""))))&gt;0,AND(ISNUMBER(SEARCH("blank",$U$4)),NOT(ISNUMBER(SEARCH("nonblank",$U$4))),IFERROR(('Final Calculation Sheet'!$T$4)&amp;"","")=""),AND(OR(ISNUMBER(SEARCH("nonblank",$U$4)),ISNUMBER(SEARCH("&lt;&gt;",$U$4))),IFERROR(('Final Calculation Sheet'!$T$4)&amp;"","")&lt;&gt;""),AND(TRIM($U$4)="",IFERROR(('Final Calculation Sheet'!$T$4)&amp;"","")=""))))</f>
        <v>1</v>
      </c>
      <c r="CH5" s="66">
        <f>IF($V$4="",1,--(OR(SUMPRODUCT(--(TRIM(MID(SUBSTITUTE(SUBSTITUTE($V$4,"/",","),",",REPT(" ",99)),(ROW($1:$8)-1)*99+1,99))&lt;&gt;""),--ISNUMBER(SEARCH(TRIM(MID(SUBSTITUTE(SUBSTITUTE($V$4,"/",","),",",REPT(" ",99)),(ROW($1:$8)-1)*99+1,99)),IFERROR(('Final Calculation Sheet'!$U$4)&amp;"",""))))&gt;0,AND(ISNUMBER(SEARCH("blank",$V$4)),NOT(ISNUMBER(SEARCH("nonblank",$V$4))),IFERROR(('Final Calculation Sheet'!$U$4)&amp;"","")=""),AND(OR(ISNUMBER(SEARCH("nonblank",$V$4)),ISNUMBER(SEARCH("&lt;&gt;",$V$4))),IFERROR(('Final Calculation Sheet'!$U$4)&amp;"","")&lt;&gt;""),AND(TRIM($V$4)="",IFERROR(('Final Calculation Sheet'!$U$4)&amp;"","")=""))))</f>
        <v>1</v>
      </c>
      <c r="CI5" s="66">
        <f>IF($W$4="",1,--(OR(SUMPRODUCT(--(TRIM(MID(SUBSTITUTE(SUBSTITUTE($W$4,"/",","),",",REPT(" ",99)),(ROW($1:$8)-1)*99+1,99))&lt;&gt;""),--ISNUMBER(SEARCH(TRIM(MID(SUBSTITUTE(SUBSTITUTE($W$4,"/",","),",",REPT(" ",99)),(ROW($1:$8)-1)*99+1,99)),IFERROR(('Final Calculation Sheet'!$V$4)&amp;"",""))))&gt;0,AND(ISNUMBER(SEARCH("blank",$W$4)),NOT(ISNUMBER(SEARCH("nonblank",$W$4))),IFERROR(('Final Calculation Sheet'!$V$4)&amp;"","")=""),AND(OR(ISNUMBER(SEARCH("nonblank",$W$4)),ISNUMBER(SEARCH("&lt;&gt;",$W$4))),IFERROR(('Final Calculation Sheet'!$V$4)&amp;"","")&lt;&gt;""),AND(TRIM($W$4)="",IFERROR(('Final Calculation Sheet'!$V$4)&amp;"","")=""))))</f>
        <v>1</v>
      </c>
      <c r="CJ5" s="66">
        <f>IF($X$4="",1,--(OR(SUMPRODUCT(--(TRIM(MID(SUBSTITUTE(SUBSTITUTE($X$4,"/",","),",",REPT(" ",99)),(ROW($1:$8)-1)*99+1,99))&lt;&gt;""),--ISNUMBER(SEARCH(TRIM(MID(SUBSTITUTE(SUBSTITUTE($X$4,"/",","),",",REPT(" ",99)),(ROW($1:$8)-1)*99+1,99)),IFERROR(('Final Calculation Sheet'!$W$4)&amp;"",""))))&gt;0,AND(ISNUMBER(SEARCH("blank",$X$4)),NOT(ISNUMBER(SEARCH("nonblank",$X$4))),IFERROR(('Final Calculation Sheet'!$W$4)&amp;"","")=""),AND(OR(ISNUMBER(SEARCH("nonblank",$X$4)),ISNUMBER(SEARCH("&lt;&gt;",$X$4))),IFERROR(('Final Calculation Sheet'!$W$4)&amp;"","")&lt;&gt;""),AND(TRIM($X$4)="",IFERROR(('Final Calculation Sheet'!$W$4)&amp;"","")=""))))</f>
        <v>1</v>
      </c>
      <c r="CK5" s="66">
        <f>IF($Y$4="",1,--(OR(SUMPRODUCT(--(TRIM(MID(SUBSTITUTE(SUBSTITUTE($Y$4,"/",","),",",REPT(" ",99)),(ROW($1:$8)-1)*99+1,99))&lt;&gt;""),--ISNUMBER(SEARCH(TRIM(MID(SUBSTITUTE(SUBSTITUTE($Y$4,"/",","),",",REPT(" ",99)),(ROW($1:$8)-1)*99+1,99)),IFERROR(('Final Calculation Sheet'!$X$4)&amp;"",""))))&gt;0,AND(ISNUMBER(SEARCH("blank",$Y$4)),NOT(ISNUMBER(SEARCH("nonblank",$Y$4))),IFERROR(('Final Calculation Sheet'!$X$4)&amp;"","")=""),AND(OR(ISNUMBER(SEARCH("nonblank",$Y$4)),ISNUMBER(SEARCH("&lt;&gt;",$Y$4))),IFERROR(('Final Calculation Sheet'!$X$4)&amp;"","")&lt;&gt;""),AND(TRIM($Y$4)="",IFERROR(('Final Calculation Sheet'!$X$4)&amp;"","")=""))))</f>
        <v>1</v>
      </c>
      <c r="CL5" s="66">
        <f>IF($Z$4="",1,--(OR(SUMPRODUCT(--(TRIM(MID(SUBSTITUTE(SUBSTITUTE($Z$4,"/",","),",",REPT(" ",99)),(ROW($1:$8)-1)*99+1,99))&lt;&gt;""),--ISNUMBER(SEARCH(TRIM(MID(SUBSTITUTE(SUBSTITUTE($Z$4,"/",","),",",REPT(" ",99)),(ROW($1:$8)-1)*99+1,99)),IFERROR(('Final Calculation Sheet'!$Y$4)&amp;"",""))))&gt;0,AND(ISNUMBER(SEARCH("blank",$Z$4)),NOT(ISNUMBER(SEARCH("nonblank",$Z$4))),IFERROR(('Final Calculation Sheet'!$Y$4)&amp;"","")=""),AND(OR(ISNUMBER(SEARCH("nonblank",$Z$4)),ISNUMBER(SEARCH("&lt;&gt;",$Z$4))),IFERROR(('Final Calculation Sheet'!$Y$4)&amp;"","")&lt;&gt;""),AND(TRIM($Z$4)="",IFERROR(('Final Calculation Sheet'!$Y$4)&amp;"","")=""))))</f>
        <v>1</v>
      </c>
      <c r="CM5" s="66">
        <f>IF($AA$4="",1,--(OR(SUMPRODUCT(--(TRIM(MID(SUBSTITUTE(SUBSTITUTE($AA$4,"/",","),",",REPT(" ",99)),(ROW($1:$8)-1)*99+1,99))&lt;&gt;""),--ISNUMBER(SEARCH(TRIM(MID(SUBSTITUTE(SUBSTITUTE($AA$4,"/",","),",",REPT(" ",99)),(ROW($1:$8)-1)*99+1,99)),IFERROR(('Final Calculation Sheet'!$Z$4)&amp;"",""))))&gt;0,AND(ISNUMBER(SEARCH("blank",$AA$4)),NOT(ISNUMBER(SEARCH("nonblank",$AA$4))),IFERROR(('Final Calculation Sheet'!$Z$4)&amp;"","")=""),AND(OR(ISNUMBER(SEARCH("nonblank",$AA$4)),ISNUMBER(SEARCH("&lt;&gt;",$AA$4))),IFERROR(('Final Calculation Sheet'!$Z$4)&amp;"","")&lt;&gt;""),AND(TRIM($AA$4)="",IFERROR(('Final Calculation Sheet'!$Z$4)&amp;"","")=""))))</f>
        <v>1</v>
      </c>
      <c r="CN5" s="66">
        <f>IF($AB$4="",1,--(OR(SUMPRODUCT(--(TRIM(MID(SUBSTITUTE(SUBSTITUTE($AB$4,"/",","),",",REPT(" ",99)),(ROW($1:$8)-1)*99+1,99))&lt;&gt;""),--ISNUMBER(SEARCH(TRIM(MID(SUBSTITUTE(SUBSTITUTE($AB$4,"/",","),",",REPT(" ",99)),(ROW($1:$8)-1)*99+1,99)),IFERROR(('Final Calculation Sheet'!$AA$4)&amp;"",""))))&gt;0,AND(ISNUMBER(SEARCH("blank",$AB$4)),NOT(ISNUMBER(SEARCH("nonblank",$AB$4))),IFERROR(('Final Calculation Sheet'!$AA$4)&amp;"","")=""),AND(OR(ISNUMBER(SEARCH("nonblank",$AB$4)),ISNUMBER(SEARCH("&lt;&gt;",$AB$4))),IFERROR(('Final Calculation Sheet'!$AA$4)&amp;"","")&lt;&gt;""),AND(TRIM($AB$4)="",IFERROR(('Final Calculation Sheet'!$AA$4)&amp;"","")=""))))</f>
        <v>1</v>
      </c>
      <c r="CO5" s="66">
        <f>IF($AC$4="",1,--(OR(SUMPRODUCT(--(TRIM(MID(SUBSTITUTE(SUBSTITUTE($AC$4,"/",","),",",REPT(" ",99)),(ROW($1:$8)-1)*99+1,99))&lt;&gt;""),--ISNUMBER(SEARCH(TRIM(MID(SUBSTITUTE(SUBSTITUTE($AC$4,"/",","),",",REPT(" ",99)),(ROW($1:$8)-1)*99+1,99)),IFERROR(('Final Calculation Sheet'!$AB$4)&amp;"",""))))&gt;0,AND(ISNUMBER(SEARCH("blank",$AC$4)),NOT(ISNUMBER(SEARCH("nonblank",$AC$4))),IFERROR(('Final Calculation Sheet'!$AB$4)&amp;"","")=""),AND(OR(ISNUMBER(SEARCH("nonblank",$AC$4)),ISNUMBER(SEARCH("&lt;&gt;",$AC$4))),IFERROR(('Final Calculation Sheet'!$AB$4)&amp;"","")&lt;&gt;""),AND(TRIM($AC$4)="",IFERROR(('Final Calculation Sheet'!$AB$4)&amp;"","")=""))))</f>
        <v>1</v>
      </c>
      <c r="CP5" s="66">
        <f>IF($AD$4="",1,--(OR(SUMPRODUCT(--(TRIM(MID(SUBSTITUTE(SUBSTITUTE($AD$4,"/",","),",",REPT(" ",99)),(ROW($1:$8)-1)*99+1,99))&lt;&gt;""),--ISNUMBER(SEARCH(TRIM(MID(SUBSTITUTE(SUBSTITUTE($AD$4,"/",","),",",REPT(" ",99)),(ROW($1:$8)-1)*99+1,99)),IFERROR(('Final Calculation Sheet'!$AC$4)&amp;"",""))))&gt;0,AND(ISNUMBER(SEARCH("blank",$AD$4)),NOT(ISNUMBER(SEARCH("nonblank",$AD$4))),IFERROR(('Final Calculation Sheet'!$AC$4)&amp;"","")=""),AND(OR(ISNUMBER(SEARCH("nonblank",$AD$4)),ISNUMBER(SEARCH("&lt;&gt;",$AD$4))),IFERROR(('Final Calculation Sheet'!$AC$4)&amp;"","")&lt;&gt;""),AND(TRIM($AD$4)="",IFERROR(('Final Calculation Sheet'!$AC$4)&amp;"","")=""))))</f>
        <v>1</v>
      </c>
      <c r="CQ5" s="66">
        <f>IF($AE$4="",1,--(OR(SUMPRODUCT(--(TRIM(MID(SUBSTITUTE(SUBSTITUTE($AE$4,"/",","),",",REPT(" ",99)),(ROW($1:$8)-1)*99+1,99))&lt;&gt;""),--ISNUMBER(SEARCH(TRIM(MID(SUBSTITUTE(SUBSTITUTE($AE$4,"/",","),",",REPT(" ",99)),(ROW($1:$8)-1)*99+1,99)),IFERROR(('Final Calculation Sheet'!$AD$4)&amp;"",""))))&gt;0,AND(ISNUMBER(SEARCH("blank",$AE$4)),NOT(ISNUMBER(SEARCH("nonblank",$AE$4))),IFERROR(('Final Calculation Sheet'!$AD$4)&amp;"","")=""),AND(OR(ISNUMBER(SEARCH("nonblank",$AE$4)),ISNUMBER(SEARCH("&lt;&gt;",$AE$4))),IFERROR(('Final Calculation Sheet'!$AD$4)&amp;"","")&lt;&gt;""),AND(TRIM($AE$4)="",IFERROR(('Final Calculation Sheet'!$AD$4)&amp;"","")=""))))</f>
        <v>1</v>
      </c>
      <c r="CR5" s="66">
        <f>IF($AF$4="",1,--(OR(SUMPRODUCT(--(TRIM(MID(SUBSTITUTE(SUBSTITUTE($AF$4,"/",","),",",REPT(" ",99)),(ROW($1:$8)-1)*99+1,99))&lt;&gt;""),--ISNUMBER(SEARCH(TRIM(MID(SUBSTITUTE(SUBSTITUTE($AF$4,"/",","),",",REPT(" ",99)),(ROW($1:$8)-1)*99+1,99)),IFERROR(('Final Calculation Sheet'!$AE$4)&amp;"",""))))&gt;0,AND(ISNUMBER(SEARCH("blank",$AF$4)),NOT(ISNUMBER(SEARCH("nonblank",$AF$4))),IFERROR(('Final Calculation Sheet'!$AE$4)&amp;"","")=""),AND(OR(ISNUMBER(SEARCH("nonblank",$AF$4)),ISNUMBER(SEARCH("&lt;&gt;",$AF$4))),IFERROR(('Final Calculation Sheet'!$AE$4)&amp;"","")&lt;&gt;""),AND(TRIM($AF$4)="",IFERROR(('Final Calculation Sheet'!$AE$4)&amp;"","")=""))))</f>
        <v>1</v>
      </c>
      <c r="CS5" s="66">
        <f>IF($AG$4="",1,--(OR(SUMPRODUCT(--(TRIM(MID(SUBSTITUTE(SUBSTITUTE($AG$4,"/",","),",",REPT(" ",99)),(ROW($1:$8)-1)*99+1,99))&lt;&gt;""),--ISNUMBER(SEARCH(TRIM(MID(SUBSTITUTE(SUBSTITUTE($AG$4,"/",","),",",REPT(" ",99)),(ROW($1:$8)-1)*99+1,99)),IFERROR(('Final Calculation Sheet'!$AF$4)&amp;"",""))))&gt;0,AND(ISNUMBER(SEARCH("blank",$AG$4)),NOT(ISNUMBER(SEARCH("nonblank",$AG$4))),IFERROR(('Final Calculation Sheet'!$AF$4)&amp;"","")=""),AND(OR(ISNUMBER(SEARCH("nonblank",$AG$4)),ISNUMBER(SEARCH("&lt;&gt;",$AG$4))),IFERROR(('Final Calculation Sheet'!$AF$4)&amp;"","")&lt;&gt;""),AND(TRIM($AG$4)="",IFERROR(('Final Calculation Sheet'!$AF$4)&amp;"","")=""))))</f>
        <v>1</v>
      </c>
      <c r="CT5" s="66">
        <f>IF($AH$4="",1,--(OR(SUMPRODUCT(--(TRIM(MID(SUBSTITUTE(SUBSTITUTE($AH$4,"/",","),",",REPT(" ",99)),(ROW($1:$8)-1)*99+1,99))&lt;&gt;""),--ISNUMBER(SEARCH(TRIM(MID(SUBSTITUTE(SUBSTITUTE($AH$4,"/",","),",",REPT(" ",99)),(ROW($1:$8)-1)*99+1,99)),IFERROR(('Final Calculation Sheet'!$AG$4)&amp;"",""))))&gt;0,AND(ISNUMBER(SEARCH("blank",$AH$4)),NOT(ISNUMBER(SEARCH("nonblank",$AH$4))),IFERROR(('Final Calculation Sheet'!$AG$4)&amp;"","")=""),AND(OR(ISNUMBER(SEARCH("nonblank",$AH$4)),ISNUMBER(SEARCH("&lt;&gt;",$AH$4))),IFERROR(('Final Calculation Sheet'!$AG$4)&amp;"","")&lt;&gt;""),AND(TRIM($AH$4)="",IFERROR(('Final Calculation Sheet'!$AG$4)&amp;"","")=""))))</f>
        <v>1</v>
      </c>
      <c r="CU5" s="66">
        <f>IF($AI$4="",1,--(OR(SUMPRODUCT(--(TRIM(MID(SUBSTITUTE(SUBSTITUTE($AI$4,"/",","),",",REPT(" ",99)),(ROW($1:$8)-1)*99+1,99))&lt;&gt;""),--ISNUMBER(SEARCH(TRIM(MID(SUBSTITUTE(SUBSTITUTE($AI$4,"/",","),",",REPT(" ",99)),(ROW($1:$8)-1)*99+1,99)),IFERROR((IF('Final Calculation Sheet'!$AD$4&lt;=5,"SETTLED","OUTSTANDING"))&amp;"",""))))&gt;0,AND(ISNUMBER(SEARCH("blank",$AI$4)),NOT(ISNUMBER(SEARCH("nonblank",$AI$4))),IFERROR((IF('Final Calculation Sheet'!$AD$4&lt;=5,"SETTLED","OUTSTANDING"))&amp;"","")=""),AND(OR(ISNUMBER(SEARCH("nonblank",$AI$4)),ISNUMBER(SEARCH("&lt;&gt;",$AI$4))),IFERROR((IF('Final Calculation Sheet'!$AD$4&lt;=5,"SETTLED","OUTSTANDING"))&amp;"","")&lt;&gt;""),AND(TRIM($AI$4)="",IFERROR((IF('Final Calculation Sheet'!$AD$4&lt;=5,"SETTLED","OUTSTANDING"))&amp;"","")=""))))</f>
        <v>1</v>
      </c>
    </row>
    <row r="6" ht="15" customHeight="1" s="137">
      <c r="A6" s="67">
        <f>IF($BJ5&gt;0,INDEX($BA$5:$BA$41,MATCH(5,$BB$5:$BB$41,0)),IF(OR($BI5=1,$BL5=1,$BH5&gt;0),"∑",""))</f>
        <v>1</v>
      </c>
      <c r="B6" s="76">
        <f>IF($BJ5&gt;0,IF(INDEX('Final Calculation Sheet'!$F$4:$F$40,$BJ5-3)="","",INDEX('Final Calculation Sheet'!$F$4:$F$40,$BJ5-3)),"")</f>
        <v>1763</v>
      </c>
      <c r="C6" s="76" t="str">
        <f>IF($BJ5&gt;0,IF(INDEX('Final Calculation Sheet'!$G$4:$G$40,$BJ5-3)="","",INDEX('Final Calculation Sheet'!$G$4:$G$40,$BJ5-3)),IF(OR($BI5=1,$BL5=1,$BH5&gt;0),IF($BI5=1,37,IF($BL5=1,37-INDEX($BD$4:$BD$13,10),INDEX($BD$4:$BD$13,$BH5)))&amp;" lot(s)",""))</f>
        <v>AL HAMD TRADE CORPORATION</v>
      </c>
      <c r="D6" s="80" t="str">
        <f>IF($BJ5&gt;0,IF(INDEX('Final Calculation Sheet'!$B$4:$B$40,$BJ5-3)="","",INDEX('Final Calculation Sheet'!$B$4:$B$40,$BJ5-3)),IF(OR($BI5=1,$BL5=1,$BH5&gt;0),IF($BI5=1,"GRAND TOTAL  —  matching + remaining",IF($BL5=1,"TOTAL MATCHED  —  every group together",IF($BH5=10,"REMAINING  —  did not match the search",IF($BH5=9,IF(COUNTIF($A$4:$AI$4,"&lt;&gt;")&gt;0,"FILTERED LOTS  —  column fields","ALL LOTS  —  nothing typed in the box"),"GROUP "&amp;$BH5&amp;" TOTAL  —  lots matching  "&amp;INDEX($AR$6:$AY$6,$BH5))))),""))</f>
        <v>SCRAP COPPER OF T/F WINDING (Oil impregnated paper insulated T/F winding)</v>
      </c>
      <c r="E6" s="80">
        <f>IF($BJ5&gt;0,IF(INDEX('Final Calculation Sheet'!$D$4:$D$40,$BJ5-3)="","",INDEX('Final Calculation Sheet'!$D$4:$D$40,$BJ5-3)),IF(OR($BI5=1,$BL5=1,$BH5&gt;0),"–",""))</f>
        <v>21980</v>
      </c>
      <c r="F6" s="80">
        <f>IF($BJ5&gt;0,IF(INDEX('Final Calculation Sheet'!$A$4:$A$40,$BJ5-3)="","",INDEX('Final Calculation Sheet'!$A$4:$A$40,$BJ5-3)),IF(OR($BI5=1,$BL5=1,$BH5&gt;0),IF($BI5=1,SUM('Final Calculation Sheet'!$A$4:$A$40),IF($BL5=1,SUM('Final Calculation Sheet'!$A$4:$A$40)-SUMIFS('Final Calculation Sheet'!$A$4:$A$40,$AZ$5:$AZ$41,10),SUMIFS('Final Calculation Sheet'!$A$4:$A$40,$AZ$5:$AZ$41,$BH5))),""))</f>
        <v>669</v>
      </c>
      <c r="G6" s="80" t="str">
        <f>IF($BJ5&gt;0,IF(INDEX('Final Calculation Sheet'!$E$4:$E$40,$BJ5-3)="","",INDEX('Final Calculation Sheet'!$E$4:$E$40,$BJ5-3)),IF(OR($BI5=1,$BL5=1,$BH5&gt;0),"–",""))</f>
        <v>KG</v>
      </c>
      <c r="H6" s="70">
        <f>IF($BJ5&gt;0,IF(INDEX('Final Calculation Sheet'!$C$4:$C$40,$BJ5-3)="","",INDEX('Final Calculation Sheet'!$C$4:$C$40,$BJ5-3)),IF(OR($BI5=1,$BL5=1,$BH5&gt;0),"–",""))</f>
        <v>1181</v>
      </c>
      <c r="I6" s="70">
        <f>IF($BJ5&gt;0,IF(INDEX('Final Calculation Sheet'!$H$4:$H$40,$BJ5-3)="","",INDEX('Final Calculation Sheet'!$H$4:$H$40,$BJ5-3)),IF(OR($BI5=1,$BL5=1,$BH5&gt;0),IF($BI5=1,SUM('Final Calculation Sheet'!$H$4:$H$40),IF($BL5=1,SUM('Final Calculation Sheet'!$H$4:$H$40)-SUMIFS('Final Calculation Sheet'!$H$4:$H$40,$AZ$5:$AZ$41,10),SUMIFS('Final Calculation Sheet'!$H$4:$H$40,$AZ$5:$AZ$41,$BH5))),""))</f>
        <v>790089</v>
      </c>
      <c r="J6" s="70">
        <f>IF($BJ5&gt;0,IF(INDEX('Final Calculation Sheet'!$I$4:$I$40,$BJ5-3)="","",INDEX('Final Calculation Sheet'!$I$4:$I$40,$BJ5-3)),IF(OR($BI5=1,$BL5=1,$BH5&gt;0),IF($BI5=1,SUM('Final Calculation Sheet'!$I$4:$I$40),IF($BL5=1,SUM('Final Calculation Sheet'!$I$4:$I$40)-SUMIFS('Final Calculation Sheet'!$I$4:$I$40,$AZ$5:$AZ$41,10),SUMIFS('Final Calculation Sheet'!$I$4:$I$40,$AZ$5:$AZ$41,$BH5))),""))</f>
        <v>142216</v>
      </c>
      <c r="K6" s="70">
        <f>IF($BJ5&gt;0,IF(INDEX('Final Calculation Sheet'!$J$4:$J$40,$BJ5-3)="","",INDEX('Final Calculation Sheet'!$J$4:$J$40,$BJ5-3)),IF(OR($BI5=1,$BL5=1,$BH5&gt;0),IF($BI5=1,SUM('Final Calculation Sheet'!$J$4:$J$40),IF($BL5=1,SUM('Final Calculation Sheet'!$J$4:$J$40)-SUMIFS('Final Calculation Sheet'!$J$4:$J$40,$AZ$5:$AZ$41,10),SUMIFS('Final Calculation Sheet'!$J$4:$J$40,$AZ$5:$AZ$41,$BH5))),""))</f>
        <v>932305</v>
      </c>
      <c r="L6" s="70">
        <f>IF($BJ5&gt;0,IF(INDEX('Final Calculation Sheet'!$K$4:$K$40,$BJ5-3)="","",INDEX('Final Calculation Sheet'!$K$4:$K$40,$BJ5-3)),IF(OR($BI5=1,$BL5=1,$BH5&gt;0),IF($BI5=1,SUM('Final Calculation Sheet'!$K$4:$K$40),IF($BL5=1,SUM('Final Calculation Sheet'!$K$4:$K$40)-SUMIFS('Final Calculation Sheet'!$K$4:$K$40,$AZ$5:$AZ$41,10),SUMIFS('Final Calculation Sheet'!$K$4:$K$40,$AZ$5:$AZ$41,$BH5))),""))</f>
        <v>18646</v>
      </c>
      <c r="M6" s="70">
        <f>IF($BJ5&gt;0,IF(INDEX('Final Calculation Sheet'!$L$4:$L$40,$BJ5-3)="","",INDEX('Final Calculation Sheet'!$L$4:$L$40,$BJ5-3)),IF(OR($BI5=1,$BL5=1,$BH5&gt;0),IF($BI5=1,SUM('Final Calculation Sheet'!$L$4:$L$40),IF($BL5=1,SUM('Final Calculation Sheet'!$L$4:$L$40)-SUMIFS('Final Calculation Sheet'!$L$4:$L$40,$AZ$5:$AZ$41,10),SUMIFS('Final Calculation Sheet'!$L$4:$L$40,$AZ$5:$AZ$41,$BH5))),""))</f>
        <v>790.08900000000006</v>
      </c>
      <c r="N6" s="70">
        <f>IF($BJ5&gt;0,IF(INDEX('Final Calculation Sheet'!$M$4:$M$40,$BJ5-3)="","",INDEX('Final Calculation Sheet'!$M$4:$M$40,$BJ5-3)),IF(OR($BI5=1,$BL5=1,$BH5&gt;0),IF($BI5=1,SUM('Final Calculation Sheet'!$M$4:$M$40),IF($BL5=1,SUM('Final Calculation Sheet'!$M$4:$M$40)-SUMIFS('Final Calculation Sheet'!$M$4:$M$40,$AZ$5:$AZ$41,10),SUMIFS('Final Calculation Sheet'!$M$4:$M$40,$AZ$5:$AZ$41,$BH5))),""))</f>
        <v>20976.862949999999</v>
      </c>
      <c r="O6" s="71">
        <f>IF($BJ5&gt;0,IF(INDEX('Final Calculation Sheet'!$N$4:$N$40,$BJ5-3)="","",INDEX('Final Calculation Sheet'!$N$4:$N$40,$BJ5-3)),IF(OR($BI5=1,$BL5=1,$BH5&gt;0),IF($BI5=1,SUM('Final Calculation Sheet'!$N$4:$N$40),IF($BL5=1,SUM('Final Calculation Sheet'!$N$4:$N$40)-SUMIFS('Final Calculation Sheet'!$N$4:$N$40,$AZ$5:$AZ$41,10),SUMIFS('Final Calculation Sheet'!$N$4:$N$40,$AZ$5:$AZ$41,$BH5))),""))</f>
        <v>355.54005000000001</v>
      </c>
      <c r="P6" s="70">
        <f>IF($BJ5&gt;0,IF(INDEX('Final Calculation Sheet'!$O$4:$O$40,$BJ5-3)="","",INDEX('Final Calculation Sheet'!$O$4:$O$40,$BJ5-3)),IF(OR($BI5=1,$BL5=1,$BH5&gt;0),IF($BI5=1,SUM('Final Calculation Sheet'!$O$4:$O$40),IF($BL5=1,SUM('Final Calculation Sheet'!$O$4:$O$40)-SUMIFS('Final Calculation Sheet'!$O$4:$O$40,$AZ$5:$AZ$41,10),SUMIFS('Final Calculation Sheet'!$O$4:$O$40,$AZ$5:$AZ$41,$BH5))),""))</f>
        <v>20621.322899999999</v>
      </c>
      <c r="Q6" s="70">
        <f>IF($BJ5&gt;0,IF(INDEX('Final Calculation Sheet'!$P$4:$P$40,$BJ5-3)="","",INDEX('Final Calculation Sheet'!$P$4:$P$40,$BJ5-3)),IF(OR($BI5=1,$BL5=1,$BH5&gt;0),IF($BI5=1,SUM('Final Calculation Sheet'!$P$4:$P$40),IF($BL5=1,SUM('Final Calculation Sheet'!$P$4:$P$40)-SUMIFS('Final Calculation Sheet'!$P$4:$P$40,$AZ$5:$AZ$41,10),SUMIFS('Final Calculation Sheet'!$P$4:$P$40,$AZ$5:$AZ$41,$BH5))),""))</f>
        <v>21411</v>
      </c>
      <c r="R6" s="72">
        <f>IF($BJ5&gt;0,IF(INDEX('Final Calculation Sheet'!$Q$4:$Q$40,$BJ5-3)="","",INDEX('Final Calculation Sheet'!$Q$4:$Q$40,$BJ5-3)),IF(OR($BI5=1,$BL5=1,$BH5&gt;0),"–",""))</f>
        <v>0.02</v>
      </c>
      <c r="S6" s="70">
        <f>IF($BJ5&gt;0,IF(INDEX('Final Calculation Sheet'!$R$4:$R$40,$BJ5-3)="","",INDEX('Final Calculation Sheet'!$R$4:$R$40,$BJ5-3)),IF(OR($BI5=1,$BL5=1,$BH5&gt;0),IF($BI5=1,SUM('Final Calculation Sheet'!$R$4:$R$40),IF($BL5=1,SUM('Final Calculation Sheet'!$R$4:$R$40)-SUMIFS('Final Calculation Sheet'!$R$4:$R$40,$AZ$5:$AZ$41,10),SUMIFS('Final Calculation Sheet'!$R$4:$R$40,$AZ$5:$AZ$41,$BH5))),""))</f>
        <v>15802</v>
      </c>
      <c r="T6" s="70">
        <f>IF($BJ5&gt;0,IF(INDEX('Final Calculation Sheet'!$S$4:$S$40,$BJ5-3)="","",INDEX('Final Calculation Sheet'!$S$4:$S$40,$BJ5-3)),IF(OR($BI5=1,$BL5=1,$BH5&gt;0),IF($BI5=1,SUM('Final Calculation Sheet'!$S$4:$S$40),IF($BL5=1,SUM('Final Calculation Sheet'!$S$4:$S$40)-SUMIFS('Final Calculation Sheet'!$S$4:$S$40,$AZ$5:$AZ$41,10),SUMIFS('Final Calculation Sheet'!$S$4:$S$40,$AZ$5:$AZ$41,$BH5))),""))</f>
        <v>913738</v>
      </c>
      <c r="U6" s="70">
        <f>IF($BJ5&gt;0,IF(INDEX('Final Calculation Sheet'!$T$4:$T$40,$BJ5-3)="","",INDEX('Final Calculation Sheet'!$T$4:$T$40,$BJ5-3)),IF(OR($BI5=1,$BL5=1,$BH5&gt;0),IF($BI5=1,SUM('Final Calculation Sheet'!$T$4:$T$40),IF($BL5=1,SUM('Final Calculation Sheet'!$T$4:$T$40)-SUMIFS('Final Calculation Sheet'!$T$4:$T$40,$AZ$5:$AZ$41,10),SUMIFS('Final Calculation Sheet'!$T$4:$T$40,$AZ$5:$AZ$41,$BH5))),""))</f>
        <v>197522</v>
      </c>
      <c r="V6" s="73">
        <f>IF($BJ5&gt;0,IF(INDEX('Final Calculation Sheet'!$U$4:$U$40,$BJ5-3)="","",INDEX('Final Calculation Sheet'!$U$4:$U$40,$BJ5-3)),IF(OR($BI5=1,$BL5=1,$BH5&gt;0),IF($BI5=1,SUM('Final Calculation Sheet'!$U$4:$U$40),IF($BL5=1,SUM('Final Calculation Sheet'!$U$4:$U$40)-SUMIFS('Final Calculation Sheet'!$U$4:$U$40,$AZ$5:$AZ$41,10),SUMIFS('Final Calculation Sheet'!$U$4:$U$40,$AZ$5:$AZ$41,$BH5))),""))</f>
        <v>197522</v>
      </c>
      <c r="W6" s="70" t="str">
        <f>IF($BJ5&gt;0,IF(INDEX('Final Calculation Sheet'!$V$4:$V$40,$BJ5-3)="","",INDEX('Final Calculation Sheet'!$V$4:$V$40,$BJ5-3)),IF(OR($BI5=1,$BL5=1,$BH5&gt;0),"–",""))</f>
        <v>24.08.2026</v>
      </c>
      <c r="X6" s="70">
        <f>IF($BJ5&gt;0,IF(INDEX('Final Calculation Sheet'!$W$4:$W$40,$BJ5-3)="","",INDEX('Final Calculation Sheet'!$W$4:$W$40,$BJ5-3)),IF(OR($BI5=1,$BL5=1,$BH5&gt;0),IF($BI5=1,SUM('Final Calculation Sheet'!$W$4:$W$40),IF($BL5=1,SUM('Final Calculation Sheet'!$W$4:$W$40)-SUMIFS('Final Calculation Sheet'!$W$4:$W$40,$AZ$5:$AZ$41,10),SUMIFS('Final Calculation Sheet'!$W$4:$W$40,$AZ$5:$AZ$41,$BH5))),""))</f>
        <v>716215</v>
      </c>
      <c r="Y6" s="70">
        <f>IF($BJ5&gt;0,IF(INDEX('Final Calculation Sheet'!$X$4:$X$40,$BJ5-3)="","",INDEX('Final Calculation Sheet'!$X$4:$X$40,$BJ5-3)),IF(OR($BI5=1,$BL5=1,$BH5&gt;0),IF($BI5=1,SUM('Final Calculation Sheet'!$X$4:$X$40),IF($BL5=1,SUM('Final Calculation Sheet'!$X$4:$X$40)-SUMIFS('Final Calculation Sheet'!$X$4:$X$40,$AZ$5:$AZ$41,10),SUMIFS('Final Calculation Sheet'!$X$4:$X$40,$AZ$5:$AZ$41,$BH5))),""))</f>
        <v>716216</v>
      </c>
      <c r="Z6" s="70" t="str">
        <f>IF($BJ5&gt;0,IF(INDEX('Final Calculation Sheet'!$Y$4:$Y$40,$BJ5-3)="","",INDEX('Final Calculation Sheet'!$Y$4:$Y$40,$BJ5-3)),IF(OR($BI5=1,$BL5=1,$BH5&gt;0),"–",""))</f>
        <v>18.08.2026</v>
      </c>
      <c r="AA6" s="70">
        <f>IF($BJ5&gt;0,IF(INDEX('Final Calculation Sheet'!$Z$4:$Z$40,$BJ5-3)="","",INDEX('Final Calculation Sheet'!$Z$4:$Z$40,$BJ5-3)),IF(OR($BI5=1,$BL5=1,$BH5&gt;0),IF($BI5=1,SUM('Final Calculation Sheet'!$Z$4:$Z$40),IF($BL5=1,SUM('Final Calculation Sheet'!$Z$4:$Z$40)-SUMIFS('Final Calculation Sheet'!$Z$4:$Z$40,$AZ$5:$AZ$41,10),SUMIFS('Final Calculation Sheet'!$Z$4:$Z$40,$AZ$5:$AZ$41,$BH5))),""))</f>
        <v>0</v>
      </c>
      <c r="AB6" s="70" t="str">
        <f>IF($BJ5&gt;0,IF(INDEX('Final Calculation Sheet'!$AA$4:$AA$40,$BJ5-3)="","",INDEX('Final Calculation Sheet'!$AA$4:$AA$40,$BJ5-3)),IF(OR($BI5=1,$BL5=1,$BH5&gt;0),IF($BI5=1,SUM('Final Calculation Sheet'!$AA$4:$AA$40),IF($BL5=1,SUM('Final Calculation Sheet'!$AA$4:$AA$40)-SUMIFS('Final Calculation Sheet'!$AA$4:$AA$40,$AZ$5:$AZ$41,10),SUMIFS('Final Calculation Sheet'!$AA$4:$AA$40,$AZ$5:$AZ$41,$BH5))),""))</f>
        <v/>
      </c>
      <c r="AC6" s="70" t="str">
        <f>IF($BJ5&gt;0,IF(INDEX('Final Calculation Sheet'!$AB$4:$AB$40,$BJ5-3)="","",INDEX('Final Calculation Sheet'!$AB$4:$AB$40,$BJ5-3)),IF(OR($BI5=1,$BL5=1,$BH5&gt;0),"–",""))</f>
        <v/>
      </c>
      <c r="AD6" s="70">
        <f>IF($BJ5&gt;0,IF(INDEX('Final Calculation Sheet'!$AC$4:$AC$40,$BJ5-3)="","",INDEX('Final Calculation Sheet'!$AC$4:$AC$40,$BJ5-3)),IF(OR($BI5=1,$BL5=1,$BH5&gt;0),IF($BI5=1,SUM('Final Calculation Sheet'!$AC$4:$AC$40),IF($BL5=1,SUM('Final Calculation Sheet'!$AC$4:$AC$40)-SUMIFS('Final Calculation Sheet'!$AC$4:$AC$40,$AZ$5:$AZ$41,10),SUMIFS('Final Calculation Sheet'!$AC$4:$AC$40,$AZ$5:$AZ$41,$BH5))),""))</f>
        <v>913738</v>
      </c>
      <c r="AE6" s="70">
        <f>IF($BJ5&gt;0,IF(INDEX('Final Calculation Sheet'!$AD$4:$AD$40,$BJ5-3)="","",INDEX('Final Calculation Sheet'!$AD$4:$AD$40,$BJ5-3)),IF(OR($BI5=1,$BL5=1,$BH5&gt;0),IF($BI5=1,SUM('Final Calculation Sheet'!$AD$4:$AD$40),IF($BL5=1,SUM('Final Calculation Sheet'!$AD$4:$AD$40)-SUMIFS('Final Calculation Sheet'!$AD$4:$AD$40,$AZ$5:$AZ$41,10),SUMIFS('Final Calculation Sheet'!$AD$4:$AD$40,$AZ$5:$AZ$41,$BH5))),""))</f>
        <v>0</v>
      </c>
      <c r="AF6" s="70" t="str">
        <f>IF($BJ5&gt;0,IF(INDEX('Final Calculation Sheet'!$AE$4:$AE$40,$BJ5-3)="","",INDEX('Final Calculation Sheet'!$AE$4:$AE$40,$BJ5-3)),IF(OR($BI5=1,$BL5=1,$BH5&gt;0),"–",""))</f>
        <v>DR2640100029</v>
      </c>
      <c r="AG6" s="74">
        <f>IF($BJ5&gt;0,IF(INDEX('Final Calculation Sheet'!$AF$4:$AF$40,$BJ5-3)="","",INDEX('Final Calculation Sheet'!$AF$4:$AF$40,$BJ5-3)),IF(OR($BI5=1,$BL5=1,$BH5&gt;0),"–",""))</f>
        <v>1800003271</v>
      </c>
      <c r="AH6" s="70" t="str">
        <f>IF($BJ5&gt;0,IF(INDEX('Final Calculation Sheet'!$AG$4:$AG$40,$BJ5-3)="","",INDEX('Final Calculation Sheet'!$AG$4:$AG$40,$BJ5-3)),IF(OR($BI5=1,$BL5=1,$BH5&gt;0),"–",""))</f>
        <v>24.08.2026</v>
      </c>
      <c r="AI6" s="75" t="str">
        <f>IF($BJ5&gt;0,IF(INDEX('Final Calculation Sheet'!$AD$4:$AD$40,$BJ5-3)="","",IF(INDEX('Final Calculation Sheet'!$AD$4:$AD$40,$BJ5-3)&lt;=5,"SETTLED","OUTSTANDING")),IF(OR($BI5=1,$BL5=1,$BH5&gt;0),IF(IF($BI5=1,SUM('Final Calculation Sheet'!$AD$4:$AD$40),IF($BL5=1,SUM('Final Calculation Sheet'!$AD$4:$AD$40)-SUMIFS('Final Calculation Sheet'!$AD$4:$AD$40,$AZ$5:$AZ$41,10),SUMIFS('Final Calculation Sheet'!$AD$4:$AD$40,$AZ$5:$AZ$41,$BH5)))&lt;=5,"ALL SETTLED","OUTSTANDING"),""))</f>
        <v>SETTLED</v>
      </c>
      <c r="AJ6" s="76" t="str">
        <f>IF($B$3="",IF(ROW()=5,"— type above —",""),IF(ROW()-4&gt;AL$41,"",INDEX('Final Calculation Sheet'!$F$4:$F$40,MATCH(ROW()-4,$AL$5:$AL$41,0))&amp;" — "&amp;INDEX('Final Calculation Sheet'!$G$4:$G$40,MATCH(ROW()-4,$AL$5:$AL$41,0))))</f>
        <v/>
      </c>
      <c r="AK6" t="str">
        <f>IF($F$3="Lot No.",'Final Calculation Sheet'!$F$5,IF($F$3="Buyer",'Final Calculation Sheet'!$G$5,IF($F$3="Lot Name",'Final Calculation Sheet'!$B$5,IF($F$3="Bid Sheet",'Final Calculation Sheet'!$D$5,IF($F$3="Unit",'Final Calculation Sheet'!$E$5,'Final Calculation Sheet'!$F$5&amp;" "&amp;'Final Calculation Sheet'!$G$5&amp;" "&amp;'Final Calculation Sheet'!$B$5)))))</f>
        <v>1874 NATIONAL ENTERPRISES Scrap of Empty oil drum</v>
      </c>
      <c r="AL6">
        <f>AL5+IF($B$3="",0,--(SUMPRODUCT(--($AR$6:$AY$6&lt;&gt;""),--ISNUMBER(SEARCH($AR$6:$AY$6,$AK6)))&gt;0))</f>
        <v>0</v>
      </c>
      <c r="AM6">
        <f>IF(COUNTIF($BM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1</v>
      </c>
      <c r="AO6" t="inlineStr">
        <is>
          <t>Buyer</t>
        </is>
      </c>
      <c r="AR6" t="str">
        <f>IF($AR$4="","",IF($AR$5=99999,TRIM($AR$4),TRIM(LEFT($AR$4,$AR$5-1))))</f>
        <v/>
      </c>
      <c r="AS6" t="str">
        <f>IF($AS$4="","",IF($AS$5=99999,TRIM($AS$4),TRIM(LEFT($AS$4,$AS$5-1))))</f>
        <v/>
      </c>
      <c r="AT6" t="str">
        <f>IF($AT$4="","",IF($AT$5=99999,TRIM($AT$4),TRIM(LEFT($AT$4,$AT$5-1))))</f>
        <v/>
      </c>
      <c r="AU6" t="str">
        <f>IF($AU$4="","",IF($AU$5=99999,TRIM($AU$4),TRIM(LEFT($AU$4,$AU$5-1))))</f>
        <v/>
      </c>
      <c r="AV6" t="str">
        <f>IF($AV$4="","",IF($AV$5=99999,TRIM($AV$4),TRIM(LEFT($AV$4,$AV$5-1))))</f>
        <v/>
      </c>
      <c r="AW6" t="str">
        <f>IF($AW$4="","",IF($AW$5=99999,TRIM($AW$4),TRIM(LEFT($AW$4,$AW$5-1))))</f>
        <v/>
      </c>
      <c r="AX6" t="str">
        <f>IF($AX$4="","",IF($AX$5=99999,TRIM($AX$4),TRIM(LEFT($AX$4,$AX$5-1))))</f>
        <v/>
      </c>
      <c r="AY6" t="str">
        <f>IF($AY$4="","",IF($AY$5=99999,TRIM($AY$4),TRIM(LEFT($AY$4,$AY$5-1))))</f>
        <v/>
      </c>
      <c r="AZ6">
        <f>IF($B$3="",IF(COUNTIF($A$4:$AI$4,"&lt;&gt;")=0,9,IF($AM6=1,9,10)),IF($AM6=0,10,IF(AND($AR$6&lt;&gt;"",ISNUMBER(SEARCH($AR$6,$AK6))),1,IF(AND($AS$6&lt;&gt;"",ISNUMBER(SEARCH($AS$6,$AK6))),2,IF(AND($AT$6&lt;&gt;"",ISNUMBER(SEARCH($AT$6,$AK6))),3,IF(AND($AU$6&lt;&gt;"",ISNUMBER(SEARCH($AU$6,$AK6))),4,IF(AND($AV$6&lt;&gt;"",ISNUMBER(SEARCH($AV$6,$AK6))),5,IF(AND($AW$6&lt;&gt;"",ISNUMBER(SEARCH($AW$6,$AK6))),6,IF(AND($AX$6&lt;&gt;"",ISNUMBER(SEARCH($AX$6,$AK6))),7,IF(AND($AY$6&lt;&gt;"",ISNUMBER(SEARCH($AY$6,$AK6))),8,0))))))))))</f>
        <v>9</v>
      </c>
      <c r="BA6">
        <f>SUMPRODUCT(($AZ$5:$AZ$41=$AZ6)*($BC$5:$BC$41&lt;$BC6))+1</f>
        <v>2</v>
      </c>
      <c r="BB6">
        <f>IF(INDEX($BF$4:$BF$13,$AZ6)=0,0,INDEX($BE$4:$BE$13,$AZ6)+$BA6-1)</f>
        <v>6</v>
      </c>
      <c r="BC6" t="n">
        <v>5</v>
      </c>
      <c r="BD6">
        <f>COUNTIF($AZ$5:$AZ$41,3)</f>
        <v>0</v>
      </c>
      <c r="BE6">
        <f>IF($BD5=0,$BE5,$BF5+1)</f>
        <v>5</v>
      </c>
      <c r="BF6">
        <f>IF($BD6=0,0,$BE6+$BD6)</f>
        <v>0</v>
      </c>
      <c r="BH6">
        <f>IFERROR(MATCH(6,$BF$4:$BF$13,0),0)</f>
        <v>0</v>
      </c>
      <c r="BI6">
        <f>IF(6=$BG$5,1,0)</f>
        <v>0</v>
      </c>
      <c r="BJ6">
        <f>IF(OR($BH6&gt;0,$BI6=1,$BL6=1),0,IFERROR(INDEX($BC$5:$BC$41,MATCH(6,$BB$5:$BB$41,0)),0))</f>
        <v>5</v>
      </c>
      <c r="BK6">
        <f>IF($BJ6&gt;0,IF(INDEX($AZ$5:$AZ$41,MATCH(6,$BB$5:$BB$41,0))=10,1,0),IF($BH6=10,1,0))</f>
        <v>0</v>
      </c>
      <c r="BL6">
        <f>IF(6=$BG$4,1,0)</f>
        <v>0</v>
      </c>
      <c r="BM6">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1</v>
      </c>
      <c r="BN6">
        <f>IF($B$4="",1,--(OR(SUMPRODUCT(--(TRIM(MID(SUBSTITUTE(SUBSTITUTE($B$4,"/",","),",",REPT(" ",99)),(ROW($1:$8)-1)*99+1,99))&lt;&gt;""),--ISNUMBER(SEARCH(TRIM(MID(SUBSTITUTE(SUBSTITUTE($B$4,"/",","),",",REPT(" ",99)),(ROW($1:$8)-1)*99+1,99)),IFERROR(('Final Calculation Sheet'!$F$5)&amp;"",""))))&gt;0,AND(ISNUMBER(SEARCH("blank",$B$4)),NOT(ISNUMBER(SEARCH("nonblank",$B$4))),IFERROR(('Final Calculation Sheet'!$F$5)&amp;"","")=""),AND(OR(ISNUMBER(SEARCH("nonblank",$B$4)),ISNUMBER(SEARCH("&lt;&gt;",$B$4))),IFERROR(('Final Calculation Sheet'!$F$5)&amp;"","")&lt;&gt;""),AND(TRIM($B$4)="",IFERROR(('Final Calculation Sheet'!$F$5)&amp;"","")=""))))</f>
        <v>1</v>
      </c>
      <c r="BO6">
        <f>IF($C$4="",1,--(OR(SUMPRODUCT(--(TRIM(MID(SUBSTITUTE(SUBSTITUTE($C$4,"/",","),",",REPT(" ",99)),(ROW($1:$8)-1)*99+1,99))&lt;&gt;""),--ISNUMBER(SEARCH(TRIM(MID(SUBSTITUTE(SUBSTITUTE($C$4,"/",","),",",REPT(" ",99)),(ROW($1:$8)-1)*99+1,99)),IFERROR(('Final Calculation Sheet'!$G$5)&amp;"",""))))&gt;0,AND(ISNUMBER(SEARCH("blank",$C$4)),NOT(ISNUMBER(SEARCH("nonblank",$C$4))),IFERROR(('Final Calculation Sheet'!$G$5)&amp;"","")=""),AND(OR(ISNUMBER(SEARCH("nonblank",$C$4)),ISNUMBER(SEARCH("&lt;&gt;",$C$4))),IFERROR(('Final Calculation Sheet'!$G$5)&amp;"","")&lt;&gt;""),AND(TRIM($C$4)="",IFERROR(('Final Calculation Sheet'!$G$5)&amp;"","")=""))))</f>
        <v>1</v>
      </c>
      <c r="BP6">
        <f>IF($D$4="",1,--(OR(SUMPRODUCT(--(TRIM(MID(SUBSTITUTE(SUBSTITUTE($D$4,"/",","),",",REPT(" ",99)),(ROW($1:$8)-1)*99+1,99))&lt;&gt;""),--ISNUMBER(SEARCH(TRIM(MID(SUBSTITUTE(SUBSTITUTE($D$4,"/",","),",",REPT(" ",99)),(ROW($1:$8)-1)*99+1,99)),IFERROR(('Final Calculation Sheet'!$B$5)&amp;"",""))))&gt;0,AND(ISNUMBER(SEARCH("blank",$D$4)),NOT(ISNUMBER(SEARCH("nonblank",$D$4))),IFERROR(('Final Calculation Sheet'!$B$5)&amp;"","")=""),AND(OR(ISNUMBER(SEARCH("nonblank",$D$4)),ISNUMBER(SEARCH("&lt;&gt;",$D$4))),IFERROR(('Final Calculation Sheet'!$B$5)&amp;"","")&lt;&gt;""),AND(TRIM($D$4)="",IFERROR(('Final Calculation Sheet'!$B$5)&amp;"","")=""))))</f>
        <v>1</v>
      </c>
      <c r="BQ6">
        <f>IF($E$4="",1,--(OR(SUMPRODUCT(--(TRIM(MID(SUBSTITUTE(SUBSTITUTE($E$4,"/",","),",",REPT(" ",99)),(ROW($1:$8)-1)*99+1,99))&lt;&gt;""),--ISNUMBER(SEARCH(TRIM(MID(SUBSTITUTE(SUBSTITUTE($E$4,"/",","),",",REPT(" ",99)),(ROW($1:$8)-1)*99+1,99)),IFERROR(('Final Calculation Sheet'!$D$5)&amp;"",""))))&gt;0,AND(ISNUMBER(SEARCH("blank",$E$4)),NOT(ISNUMBER(SEARCH("nonblank",$E$4))),IFERROR(('Final Calculation Sheet'!$D$5)&amp;"","")=""),AND(OR(ISNUMBER(SEARCH("nonblank",$E$4)),ISNUMBER(SEARCH("&lt;&gt;",$E$4))),IFERROR(('Final Calculation Sheet'!$D$5)&amp;"","")&lt;&gt;""),AND(TRIM($E$4)="",IFERROR(('Final Calculation Sheet'!$D$5)&amp;"","")=""))))</f>
        <v>1</v>
      </c>
      <c r="BR6">
        <f>IF($F$4="",1,--(OR(SUMPRODUCT(--(TRIM(MID(SUBSTITUTE(SUBSTITUTE($F$4,"/",","),",",REPT(" ",99)),(ROW($1:$8)-1)*99+1,99))&lt;&gt;""),--ISNUMBER(SEARCH(TRIM(MID(SUBSTITUTE(SUBSTITUTE($F$4,"/",","),",",REPT(" ",99)),(ROW($1:$8)-1)*99+1,99)),IFERROR(('Final Calculation Sheet'!$A$5)&amp;"",""))))&gt;0,AND(ISNUMBER(SEARCH("blank",$F$4)),NOT(ISNUMBER(SEARCH("nonblank",$F$4))),IFERROR(('Final Calculation Sheet'!$A$5)&amp;"","")=""),AND(OR(ISNUMBER(SEARCH("nonblank",$F$4)),ISNUMBER(SEARCH("&lt;&gt;",$F$4))),IFERROR(('Final Calculation Sheet'!$A$5)&amp;"","")&lt;&gt;""),AND(TRIM($F$4)="",IFERROR(('Final Calculation Sheet'!$A$5)&amp;"","")=""))))</f>
        <v>1</v>
      </c>
      <c r="BS6">
        <f>IF($G$4="",1,--(OR(SUMPRODUCT(--(TRIM(MID(SUBSTITUTE(SUBSTITUTE($G$4,"/",","),",",REPT(" ",99)),(ROW($1:$8)-1)*99+1,99))&lt;&gt;""),--ISNUMBER(SEARCH(TRIM(MID(SUBSTITUTE(SUBSTITUTE($G$4,"/",","),",",REPT(" ",99)),(ROW($1:$8)-1)*99+1,99)),IFERROR(('Final Calculation Sheet'!$E$5)&amp;"",""))))&gt;0,AND(ISNUMBER(SEARCH("blank",$G$4)),NOT(ISNUMBER(SEARCH("nonblank",$G$4))),IFERROR(('Final Calculation Sheet'!$E$5)&amp;"","")=""),AND(OR(ISNUMBER(SEARCH("nonblank",$G$4)),ISNUMBER(SEARCH("&lt;&gt;",$G$4))),IFERROR(('Final Calculation Sheet'!$E$5)&amp;"","")&lt;&gt;""),AND(TRIM($G$4)="",IFERROR(('Final Calculation Sheet'!$E$5)&amp;"","")=""))))</f>
        <v>1</v>
      </c>
      <c r="BT6">
        <f>IF($H$4="",1,--(OR(SUMPRODUCT(--(TRIM(MID(SUBSTITUTE(SUBSTITUTE($H$4,"/",","),",",REPT(" ",99)),(ROW($1:$8)-1)*99+1,99))&lt;&gt;""),--ISNUMBER(SEARCH(TRIM(MID(SUBSTITUTE(SUBSTITUTE($H$4,"/",","),",",REPT(" ",99)),(ROW($1:$8)-1)*99+1,99)),IFERROR(('Final Calculation Sheet'!$C$5)&amp;"",""))))&gt;0,AND(ISNUMBER(SEARCH("blank",$H$4)),NOT(ISNUMBER(SEARCH("nonblank",$H$4))),IFERROR(('Final Calculation Sheet'!$C$5)&amp;"","")=""),AND(OR(ISNUMBER(SEARCH("nonblank",$H$4)),ISNUMBER(SEARCH("&lt;&gt;",$H$4))),IFERROR(('Final Calculation Sheet'!$C$5)&amp;"","")&lt;&gt;""),AND(TRIM($H$4)="",IFERROR(('Final Calculation Sheet'!$C$5)&amp;"","")=""))))</f>
        <v>1</v>
      </c>
      <c r="BU6">
        <f>IF($I$4="",1,--(OR(SUMPRODUCT(--(TRIM(MID(SUBSTITUTE(SUBSTITUTE($I$4,"/",","),",",REPT(" ",99)),(ROW($1:$8)-1)*99+1,99))&lt;&gt;""),--ISNUMBER(SEARCH(TRIM(MID(SUBSTITUTE(SUBSTITUTE($I$4,"/",","),",",REPT(" ",99)),(ROW($1:$8)-1)*99+1,99)),IFERROR(('Final Calculation Sheet'!$H$5)&amp;"",""))))&gt;0,AND(ISNUMBER(SEARCH("blank",$I$4)),NOT(ISNUMBER(SEARCH("nonblank",$I$4))),IFERROR(('Final Calculation Sheet'!$H$5)&amp;"","")=""),AND(OR(ISNUMBER(SEARCH("nonblank",$I$4)),ISNUMBER(SEARCH("&lt;&gt;",$I$4))),IFERROR(('Final Calculation Sheet'!$H$5)&amp;"","")&lt;&gt;""),AND(TRIM($I$4)="",IFERROR(('Final Calculation Sheet'!$H$5)&amp;"","")=""))))</f>
        <v>1</v>
      </c>
      <c r="BV6">
        <f>IF($J$4="",1,--(OR(SUMPRODUCT(--(TRIM(MID(SUBSTITUTE(SUBSTITUTE($J$4,"/",","),",",REPT(" ",99)),(ROW($1:$8)-1)*99+1,99))&lt;&gt;""),--ISNUMBER(SEARCH(TRIM(MID(SUBSTITUTE(SUBSTITUTE($J$4,"/",","),",",REPT(" ",99)),(ROW($1:$8)-1)*99+1,99)),IFERROR(('Final Calculation Sheet'!$I$5)&amp;"",""))))&gt;0,AND(ISNUMBER(SEARCH("blank",$J$4)),NOT(ISNUMBER(SEARCH("nonblank",$J$4))),IFERROR(('Final Calculation Sheet'!$I$5)&amp;"","")=""),AND(OR(ISNUMBER(SEARCH("nonblank",$J$4)),ISNUMBER(SEARCH("&lt;&gt;",$J$4))),IFERROR(('Final Calculation Sheet'!$I$5)&amp;"","")&lt;&gt;""),AND(TRIM($J$4)="",IFERROR(('Final Calculation Sheet'!$I$5)&amp;"","")=""))))</f>
        <v>1</v>
      </c>
      <c r="BW6">
        <f>IF($K$4="",1,--(OR(SUMPRODUCT(--(TRIM(MID(SUBSTITUTE(SUBSTITUTE($K$4,"/",","),",",REPT(" ",99)),(ROW($1:$8)-1)*99+1,99))&lt;&gt;""),--ISNUMBER(SEARCH(TRIM(MID(SUBSTITUTE(SUBSTITUTE($K$4,"/",","),",",REPT(" ",99)),(ROW($1:$8)-1)*99+1,99)),IFERROR(('Final Calculation Sheet'!$J$5)&amp;"",""))))&gt;0,AND(ISNUMBER(SEARCH("blank",$K$4)),NOT(ISNUMBER(SEARCH("nonblank",$K$4))),IFERROR(('Final Calculation Sheet'!$J$5)&amp;"","")=""),AND(OR(ISNUMBER(SEARCH("nonblank",$K$4)),ISNUMBER(SEARCH("&lt;&gt;",$K$4))),IFERROR(('Final Calculation Sheet'!$J$5)&amp;"","")&lt;&gt;""),AND(TRIM($K$4)="",IFERROR(('Final Calculation Sheet'!$J$5)&amp;"","")=""))))</f>
        <v>1</v>
      </c>
      <c r="BX6">
        <f>IF($L$4="",1,--(OR(SUMPRODUCT(--(TRIM(MID(SUBSTITUTE(SUBSTITUTE($L$4,"/",","),",",REPT(" ",99)),(ROW($1:$8)-1)*99+1,99))&lt;&gt;""),--ISNUMBER(SEARCH(TRIM(MID(SUBSTITUTE(SUBSTITUTE($L$4,"/",","),",",REPT(" ",99)),(ROW($1:$8)-1)*99+1,99)),IFERROR(('Final Calculation Sheet'!$K$5)&amp;"",""))))&gt;0,AND(ISNUMBER(SEARCH("blank",$L$4)),NOT(ISNUMBER(SEARCH("nonblank",$L$4))),IFERROR(('Final Calculation Sheet'!$K$5)&amp;"","")=""),AND(OR(ISNUMBER(SEARCH("nonblank",$L$4)),ISNUMBER(SEARCH("&lt;&gt;",$L$4))),IFERROR(('Final Calculation Sheet'!$K$5)&amp;"","")&lt;&gt;""),AND(TRIM($L$4)="",IFERROR(('Final Calculation Sheet'!$K$5)&amp;"","")=""))))</f>
        <v>1</v>
      </c>
      <c r="BY6">
        <f>IF($M$4="",1,--(OR(SUMPRODUCT(--(TRIM(MID(SUBSTITUTE(SUBSTITUTE($M$4,"/",","),",",REPT(" ",99)),(ROW($1:$8)-1)*99+1,99))&lt;&gt;""),--ISNUMBER(SEARCH(TRIM(MID(SUBSTITUTE(SUBSTITUTE($M$4,"/",","),",",REPT(" ",99)),(ROW($1:$8)-1)*99+1,99)),IFERROR(('Final Calculation Sheet'!$L$5)&amp;"",""))))&gt;0,AND(ISNUMBER(SEARCH("blank",$M$4)),NOT(ISNUMBER(SEARCH("nonblank",$M$4))),IFERROR(('Final Calculation Sheet'!$L$5)&amp;"","")=""),AND(OR(ISNUMBER(SEARCH("nonblank",$M$4)),ISNUMBER(SEARCH("&lt;&gt;",$M$4))),IFERROR(('Final Calculation Sheet'!$L$5)&amp;"","")&lt;&gt;""),AND(TRIM($M$4)="",IFERROR(('Final Calculation Sheet'!$L$5)&amp;"","")=""))))</f>
        <v>1</v>
      </c>
      <c r="BZ6">
        <f>IF($N$4="",1,--(OR(SUMPRODUCT(--(TRIM(MID(SUBSTITUTE(SUBSTITUTE($N$4,"/",","),",",REPT(" ",99)),(ROW($1:$8)-1)*99+1,99))&lt;&gt;""),--ISNUMBER(SEARCH(TRIM(MID(SUBSTITUTE(SUBSTITUTE($N$4,"/",","),",",REPT(" ",99)),(ROW($1:$8)-1)*99+1,99)),IFERROR(('Final Calculation Sheet'!$M$5)&amp;"",""))))&gt;0,AND(ISNUMBER(SEARCH("blank",$N$4)),NOT(ISNUMBER(SEARCH("nonblank",$N$4))),IFERROR(('Final Calculation Sheet'!$M$5)&amp;"","")=""),AND(OR(ISNUMBER(SEARCH("nonblank",$N$4)),ISNUMBER(SEARCH("&lt;&gt;",$N$4))),IFERROR(('Final Calculation Sheet'!$M$5)&amp;"","")&lt;&gt;""),AND(TRIM($N$4)="",IFERROR(('Final Calculation Sheet'!$M$5)&amp;"","")=""))))</f>
        <v>1</v>
      </c>
      <c r="CA6">
        <f>IF($O$4="",1,--(OR(SUMPRODUCT(--(TRIM(MID(SUBSTITUTE(SUBSTITUTE($O$4,"/",","),",",REPT(" ",99)),(ROW($1:$8)-1)*99+1,99))&lt;&gt;""),--ISNUMBER(SEARCH(TRIM(MID(SUBSTITUTE(SUBSTITUTE($O$4,"/",","),",",REPT(" ",99)),(ROW($1:$8)-1)*99+1,99)),IFERROR(('Final Calculation Sheet'!$N$5)&amp;"",""))))&gt;0,AND(ISNUMBER(SEARCH("blank",$O$4)),NOT(ISNUMBER(SEARCH("nonblank",$O$4))),IFERROR(('Final Calculation Sheet'!$N$5)&amp;"","")=""),AND(OR(ISNUMBER(SEARCH("nonblank",$O$4)),ISNUMBER(SEARCH("&lt;&gt;",$O$4))),IFERROR(('Final Calculation Sheet'!$N$5)&amp;"","")&lt;&gt;""),AND(TRIM($O$4)="",IFERROR(('Final Calculation Sheet'!$N$5)&amp;"","")=""))))</f>
        <v>1</v>
      </c>
      <c r="CB6">
        <f>IF($P$4="",1,--(OR(SUMPRODUCT(--(TRIM(MID(SUBSTITUTE(SUBSTITUTE($P$4,"/",","),",",REPT(" ",99)),(ROW($1:$8)-1)*99+1,99))&lt;&gt;""),--ISNUMBER(SEARCH(TRIM(MID(SUBSTITUTE(SUBSTITUTE($P$4,"/",","),",",REPT(" ",99)),(ROW($1:$8)-1)*99+1,99)),IFERROR(('Final Calculation Sheet'!$O$5)&amp;"",""))))&gt;0,AND(ISNUMBER(SEARCH("blank",$P$4)),NOT(ISNUMBER(SEARCH("nonblank",$P$4))),IFERROR(('Final Calculation Sheet'!$O$5)&amp;"","")=""),AND(OR(ISNUMBER(SEARCH("nonblank",$P$4)),ISNUMBER(SEARCH("&lt;&gt;",$P$4))),IFERROR(('Final Calculation Sheet'!$O$5)&amp;"","")&lt;&gt;""),AND(TRIM($P$4)="",IFERROR(('Final Calculation Sheet'!$O$5)&amp;"","")=""))))</f>
        <v>1</v>
      </c>
      <c r="CC6">
        <f>IF($Q$4="",1,--(OR(SUMPRODUCT(--(TRIM(MID(SUBSTITUTE(SUBSTITUTE($Q$4,"/",","),",",REPT(" ",99)),(ROW($1:$8)-1)*99+1,99))&lt;&gt;""),--ISNUMBER(SEARCH(TRIM(MID(SUBSTITUTE(SUBSTITUTE($Q$4,"/",","),",",REPT(" ",99)),(ROW($1:$8)-1)*99+1,99)),IFERROR(('Final Calculation Sheet'!$P$5)&amp;"",""))))&gt;0,AND(ISNUMBER(SEARCH("blank",$Q$4)),NOT(ISNUMBER(SEARCH("nonblank",$Q$4))),IFERROR(('Final Calculation Sheet'!$P$5)&amp;"","")=""),AND(OR(ISNUMBER(SEARCH("nonblank",$Q$4)),ISNUMBER(SEARCH("&lt;&gt;",$Q$4))),IFERROR(('Final Calculation Sheet'!$P$5)&amp;"","")&lt;&gt;""),AND(TRIM($Q$4)="",IFERROR(('Final Calculation Sheet'!$P$5)&amp;"","")=""))))</f>
        <v>1</v>
      </c>
      <c r="CD6">
        <f>IF($R$4="",1,--(OR(SUMPRODUCT(--(TRIM(MID(SUBSTITUTE(SUBSTITUTE($R$4,"/",","),",",REPT(" ",99)),(ROW($1:$8)-1)*99+1,99))&lt;&gt;""),--ISNUMBER(SEARCH(TRIM(MID(SUBSTITUTE(SUBSTITUTE($R$4,"/",","),",",REPT(" ",99)),(ROW($1:$8)-1)*99+1,99)),IFERROR(('Final Calculation Sheet'!$Q$5)&amp;"",""))))&gt;0,AND(ISNUMBER(SEARCH("blank",$R$4)),NOT(ISNUMBER(SEARCH("nonblank",$R$4))),IFERROR(('Final Calculation Sheet'!$Q$5)&amp;"","")=""),AND(OR(ISNUMBER(SEARCH("nonblank",$R$4)),ISNUMBER(SEARCH("&lt;&gt;",$R$4))),IFERROR(('Final Calculation Sheet'!$Q$5)&amp;"","")&lt;&gt;""),AND(TRIM($R$4)="",IFERROR(('Final Calculation Sheet'!$Q$5)&amp;"","")=""))))</f>
        <v>1</v>
      </c>
      <c r="CE6">
        <f>IF($S$4="",1,--(OR(SUMPRODUCT(--(TRIM(MID(SUBSTITUTE(SUBSTITUTE($S$4,"/",","),",",REPT(" ",99)),(ROW($1:$8)-1)*99+1,99))&lt;&gt;""),--ISNUMBER(SEARCH(TRIM(MID(SUBSTITUTE(SUBSTITUTE($S$4,"/",","),",",REPT(" ",99)),(ROW($1:$8)-1)*99+1,99)),IFERROR(('Final Calculation Sheet'!$R$5)&amp;"",""))))&gt;0,AND(ISNUMBER(SEARCH("blank",$S$4)),NOT(ISNUMBER(SEARCH("nonblank",$S$4))),IFERROR(('Final Calculation Sheet'!$R$5)&amp;"","")=""),AND(OR(ISNUMBER(SEARCH("nonblank",$S$4)),ISNUMBER(SEARCH("&lt;&gt;",$S$4))),IFERROR(('Final Calculation Sheet'!$R$5)&amp;"","")&lt;&gt;""),AND(TRIM($S$4)="",IFERROR(('Final Calculation Sheet'!$R$5)&amp;"","")=""))))</f>
        <v>1</v>
      </c>
      <c r="CF6">
        <f>IF($T$4="",1,--(OR(SUMPRODUCT(--(TRIM(MID(SUBSTITUTE(SUBSTITUTE($T$4,"/",","),",",REPT(" ",99)),(ROW($1:$8)-1)*99+1,99))&lt;&gt;""),--ISNUMBER(SEARCH(TRIM(MID(SUBSTITUTE(SUBSTITUTE($T$4,"/",","),",",REPT(" ",99)),(ROW($1:$8)-1)*99+1,99)),IFERROR(('Final Calculation Sheet'!$S$5)&amp;"",""))))&gt;0,AND(ISNUMBER(SEARCH("blank",$T$4)),NOT(ISNUMBER(SEARCH("nonblank",$T$4))),IFERROR(('Final Calculation Sheet'!$S$5)&amp;"","")=""),AND(OR(ISNUMBER(SEARCH("nonblank",$T$4)),ISNUMBER(SEARCH("&lt;&gt;",$T$4))),IFERROR(('Final Calculation Sheet'!$S$5)&amp;"","")&lt;&gt;""),AND(TRIM($T$4)="",IFERROR(('Final Calculation Sheet'!$S$5)&amp;"","")=""))))</f>
        <v>1</v>
      </c>
      <c r="CG6">
        <f>IF($U$4="",1,--(OR(SUMPRODUCT(--(TRIM(MID(SUBSTITUTE(SUBSTITUTE($U$4,"/",","),",",REPT(" ",99)),(ROW($1:$8)-1)*99+1,99))&lt;&gt;""),--ISNUMBER(SEARCH(TRIM(MID(SUBSTITUTE(SUBSTITUTE($U$4,"/",","),",",REPT(" ",99)),(ROW($1:$8)-1)*99+1,99)),IFERROR(('Final Calculation Sheet'!$T$5)&amp;"",""))))&gt;0,AND(ISNUMBER(SEARCH("blank",$U$4)),NOT(ISNUMBER(SEARCH("nonblank",$U$4))),IFERROR(('Final Calculation Sheet'!$T$5)&amp;"","")=""),AND(OR(ISNUMBER(SEARCH("nonblank",$U$4)),ISNUMBER(SEARCH("&lt;&gt;",$U$4))),IFERROR(('Final Calculation Sheet'!$T$5)&amp;"","")&lt;&gt;""),AND(TRIM($U$4)="",IFERROR(('Final Calculation Sheet'!$T$5)&amp;"","")=""))))</f>
        <v>1</v>
      </c>
      <c r="CH6">
        <f>IF($V$4="",1,--(OR(SUMPRODUCT(--(TRIM(MID(SUBSTITUTE(SUBSTITUTE($V$4,"/",","),",",REPT(" ",99)),(ROW($1:$8)-1)*99+1,99))&lt;&gt;""),--ISNUMBER(SEARCH(TRIM(MID(SUBSTITUTE(SUBSTITUTE($V$4,"/",","),",",REPT(" ",99)),(ROW($1:$8)-1)*99+1,99)),IFERROR(('Final Calculation Sheet'!$U$5)&amp;"",""))))&gt;0,AND(ISNUMBER(SEARCH("blank",$V$4)),NOT(ISNUMBER(SEARCH("nonblank",$V$4))),IFERROR(('Final Calculation Sheet'!$U$5)&amp;"","")=""),AND(OR(ISNUMBER(SEARCH("nonblank",$V$4)),ISNUMBER(SEARCH("&lt;&gt;",$V$4))),IFERROR(('Final Calculation Sheet'!$U$5)&amp;"","")&lt;&gt;""),AND(TRIM($V$4)="",IFERROR(('Final Calculation Sheet'!$U$5)&amp;"","")=""))))</f>
        <v>1</v>
      </c>
      <c r="CI6">
        <f>IF($W$4="",1,--(OR(SUMPRODUCT(--(TRIM(MID(SUBSTITUTE(SUBSTITUTE($W$4,"/",","),",",REPT(" ",99)),(ROW($1:$8)-1)*99+1,99))&lt;&gt;""),--ISNUMBER(SEARCH(TRIM(MID(SUBSTITUTE(SUBSTITUTE($W$4,"/",","),",",REPT(" ",99)),(ROW($1:$8)-1)*99+1,99)),IFERROR(('Final Calculation Sheet'!$V$5)&amp;"",""))))&gt;0,AND(ISNUMBER(SEARCH("blank",$W$4)),NOT(ISNUMBER(SEARCH("nonblank",$W$4))),IFERROR(('Final Calculation Sheet'!$V$5)&amp;"","")=""),AND(OR(ISNUMBER(SEARCH("nonblank",$W$4)),ISNUMBER(SEARCH("&lt;&gt;",$W$4))),IFERROR(('Final Calculation Sheet'!$V$5)&amp;"","")&lt;&gt;""),AND(TRIM($W$4)="",IFERROR(('Final Calculation Sheet'!$V$5)&amp;"","")=""))))</f>
        <v>1</v>
      </c>
      <c r="CJ6">
        <f>IF($X$4="",1,--(OR(SUMPRODUCT(--(TRIM(MID(SUBSTITUTE(SUBSTITUTE($X$4,"/",","),",",REPT(" ",99)),(ROW($1:$8)-1)*99+1,99))&lt;&gt;""),--ISNUMBER(SEARCH(TRIM(MID(SUBSTITUTE(SUBSTITUTE($X$4,"/",","),",",REPT(" ",99)),(ROW($1:$8)-1)*99+1,99)),IFERROR(('Final Calculation Sheet'!$W$5)&amp;"",""))))&gt;0,AND(ISNUMBER(SEARCH("blank",$X$4)),NOT(ISNUMBER(SEARCH("nonblank",$X$4))),IFERROR(('Final Calculation Sheet'!$W$5)&amp;"","")=""),AND(OR(ISNUMBER(SEARCH("nonblank",$X$4)),ISNUMBER(SEARCH("&lt;&gt;",$X$4))),IFERROR(('Final Calculation Sheet'!$W$5)&amp;"","")&lt;&gt;""),AND(TRIM($X$4)="",IFERROR(('Final Calculation Sheet'!$W$5)&amp;"","")=""))))</f>
        <v>1</v>
      </c>
      <c r="CK6">
        <f>IF($Y$4="",1,--(OR(SUMPRODUCT(--(TRIM(MID(SUBSTITUTE(SUBSTITUTE($Y$4,"/",","),",",REPT(" ",99)),(ROW($1:$8)-1)*99+1,99))&lt;&gt;""),--ISNUMBER(SEARCH(TRIM(MID(SUBSTITUTE(SUBSTITUTE($Y$4,"/",","),",",REPT(" ",99)),(ROW($1:$8)-1)*99+1,99)),IFERROR(('Final Calculation Sheet'!$X$5)&amp;"",""))))&gt;0,AND(ISNUMBER(SEARCH("blank",$Y$4)),NOT(ISNUMBER(SEARCH("nonblank",$Y$4))),IFERROR(('Final Calculation Sheet'!$X$5)&amp;"","")=""),AND(OR(ISNUMBER(SEARCH("nonblank",$Y$4)),ISNUMBER(SEARCH("&lt;&gt;",$Y$4))),IFERROR(('Final Calculation Sheet'!$X$5)&amp;"","")&lt;&gt;""),AND(TRIM($Y$4)="",IFERROR(('Final Calculation Sheet'!$X$5)&amp;"","")=""))))</f>
        <v>1</v>
      </c>
      <c r="CL6">
        <f>IF($Z$4="",1,--(OR(SUMPRODUCT(--(TRIM(MID(SUBSTITUTE(SUBSTITUTE($Z$4,"/",","),",",REPT(" ",99)),(ROW($1:$8)-1)*99+1,99))&lt;&gt;""),--ISNUMBER(SEARCH(TRIM(MID(SUBSTITUTE(SUBSTITUTE($Z$4,"/",","),",",REPT(" ",99)),(ROW($1:$8)-1)*99+1,99)),IFERROR(('Final Calculation Sheet'!$Y$5)&amp;"",""))))&gt;0,AND(ISNUMBER(SEARCH("blank",$Z$4)),NOT(ISNUMBER(SEARCH("nonblank",$Z$4))),IFERROR(('Final Calculation Sheet'!$Y$5)&amp;"","")=""),AND(OR(ISNUMBER(SEARCH("nonblank",$Z$4)),ISNUMBER(SEARCH("&lt;&gt;",$Z$4))),IFERROR(('Final Calculation Sheet'!$Y$5)&amp;"","")&lt;&gt;""),AND(TRIM($Z$4)="",IFERROR(('Final Calculation Sheet'!$Y$5)&amp;"","")=""))))</f>
        <v>1</v>
      </c>
      <c r="CM6">
        <f>IF($AA$4="",1,--(OR(SUMPRODUCT(--(TRIM(MID(SUBSTITUTE(SUBSTITUTE($AA$4,"/",","),",",REPT(" ",99)),(ROW($1:$8)-1)*99+1,99))&lt;&gt;""),--ISNUMBER(SEARCH(TRIM(MID(SUBSTITUTE(SUBSTITUTE($AA$4,"/",","),",",REPT(" ",99)),(ROW($1:$8)-1)*99+1,99)),IFERROR(('Final Calculation Sheet'!$Z$5)&amp;"",""))))&gt;0,AND(ISNUMBER(SEARCH("blank",$AA$4)),NOT(ISNUMBER(SEARCH("nonblank",$AA$4))),IFERROR(('Final Calculation Sheet'!$Z$5)&amp;"","")=""),AND(OR(ISNUMBER(SEARCH("nonblank",$AA$4)),ISNUMBER(SEARCH("&lt;&gt;",$AA$4))),IFERROR(('Final Calculation Sheet'!$Z$5)&amp;"","")&lt;&gt;""),AND(TRIM($AA$4)="",IFERROR(('Final Calculation Sheet'!$Z$5)&amp;"","")=""))))</f>
        <v>1</v>
      </c>
      <c r="CN6">
        <f>IF($AB$4="",1,--(OR(SUMPRODUCT(--(TRIM(MID(SUBSTITUTE(SUBSTITUTE($AB$4,"/",","),",",REPT(" ",99)),(ROW($1:$8)-1)*99+1,99))&lt;&gt;""),--ISNUMBER(SEARCH(TRIM(MID(SUBSTITUTE(SUBSTITUTE($AB$4,"/",","),",",REPT(" ",99)),(ROW($1:$8)-1)*99+1,99)),IFERROR(('Final Calculation Sheet'!$AA$5)&amp;"",""))))&gt;0,AND(ISNUMBER(SEARCH("blank",$AB$4)),NOT(ISNUMBER(SEARCH("nonblank",$AB$4))),IFERROR(('Final Calculation Sheet'!$AA$5)&amp;"","")=""),AND(OR(ISNUMBER(SEARCH("nonblank",$AB$4)),ISNUMBER(SEARCH("&lt;&gt;",$AB$4))),IFERROR(('Final Calculation Sheet'!$AA$5)&amp;"","")&lt;&gt;""),AND(TRIM($AB$4)="",IFERROR(('Final Calculation Sheet'!$AA$5)&amp;"","")=""))))</f>
        <v>1</v>
      </c>
      <c r="CO6">
        <f>IF($AC$4="",1,--(OR(SUMPRODUCT(--(TRIM(MID(SUBSTITUTE(SUBSTITUTE($AC$4,"/",","),",",REPT(" ",99)),(ROW($1:$8)-1)*99+1,99))&lt;&gt;""),--ISNUMBER(SEARCH(TRIM(MID(SUBSTITUTE(SUBSTITUTE($AC$4,"/",","),",",REPT(" ",99)),(ROW($1:$8)-1)*99+1,99)),IFERROR(('Final Calculation Sheet'!$AB$5)&amp;"",""))))&gt;0,AND(ISNUMBER(SEARCH("blank",$AC$4)),NOT(ISNUMBER(SEARCH("nonblank",$AC$4))),IFERROR(('Final Calculation Sheet'!$AB$5)&amp;"","")=""),AND(OR(ISNUMBER(SEARCH("nonblank",$AC$4)),ISNUMBER(SEARCH("&lt;&gt;",$AC$4))),IFERROR(('Final Calculation Sheet'!$AB$5)&amp;"","")&lt;&gt;""),AND(TRIM($AC$4)="",IFERROR(('Final Calculation Sheet'!$AB$5)&amp;"","")=""))))</f>
        <v>1</v>
      </c>
      <c r="CP6">
        <f>IF($AD$4="",1,--(OR(SUMPRODUCT(--(TRIM(MID(SUBSTITUTE(SUBSTITUTE($AD$4,"/",","),",",REPT(" ",99)),(ROW($1:$8)-1)*99+1,99))&lt;&gt;""),--ISNUMBER(SEARCH(TRIM(MID(SUBSTITUTE(SUBSTITUTE($AD$4,"/",","),",",REPT(" ",99)),(ROW($1:$8)-1)*99+1,99)),IFERROR(('Final Calculation Sheet'!$AC$5)&amp;"",""))))&gt;0,AND(ISNUMBER(SEARCH("blank",$AD$4)),NOT(ISNUMBER(SEARCH("nonblank",$AD$4))),IFERROR(('Final Calculation Sheet'!$AC$5)&amp;"","")=""),AND(OR(ISNUMBER(SEARCH("nonblank",$AD$4)),ISNUMBER(SEARCH("&lt;&gt;",$AD$4))),IFERROR(('Final Calculation Sheet'!$AC$5)&amp;"","")&lt;&gt;""),AND(TRIM($AD$4)="",IFERROR(('Final Calculation Sheet'!$AC$5)&amp;"","")=""))))</f>
        <v>1</v>
      </c>
      <c r="CQ6">
        <f>IF($AE$4="",1,--(OR(SUMPRODUCT(--(TRIM(MID(SUBSTITUTE(SUBSTITUTE($AE$4,"/",","),",",REPT(" ",99)),(ROW($1:$8)-1)*99+1,99))&lt;&gt;""),--ISNUMBER(SEARCH(TRIM(MID(SUBSTITUTE(SUBSTITUTE($AE$4,"/",","),",",REPT(" ",99)),(ROW($1:$8)-1)*99+1,99)),IFERROR(('Final Calculation Sheet'!$AD$5)&amp;"",""))))&gt;0,AND(ISNUMBER(SEARCH("blank",$AE$4)),NOT(ISNUMBER(SEARCH("nonblank",$AE$4))),IFERROR(('Final Calculation Sheet'!$AD$5)&amp;"","")=""),AND(OR(ISNUMBER(SEARCH("nonblank",$AE$4)),ISNUMBER(SEARCH("&lt;&gt;",$AE$4))),IFERROR(('Final Calculation Sheet'!$AD$5)&amp;"","")&lt;&gt;""),AND(TRIM($AE$4)="",IFERROR(('Final Calculation Sheet'!$AD$5)&amp;"","")=""))))</f>
        <v>1</v>
      </c>
      <c r="CR6">
        <f>IF($AF$4="",1,--(OR(SUMPRODUCT(--(TRIM(MID(SUBSTITUTE(SUBSTITUTE($AF$4,"/",","),",",REPT(" ",99)),(ROW($1:$8)-1)*99+1,99))&lt;&gt;""),--ISNUMBER(SEARCH(TRIM(MID(SUBSTITUTE(SUBSTITUTE($AF$4,"/",","),",",REPT(" ",99)),(ROW($1:$8)-1)*99+1,99)),IFERROR(('Final Calculation Sheet'!$AE$5)&amp;"",""))))&gt;0,AND(ISNUMBER(SEARCH("blank",$AF$4)),NOT(ISNUMBER(SEARCH("nonblank",$AF$4))),IFERROR(('Final Calculation Sheet'!$AE$5)&amp;"","")=""),AND(OR(ISNUMBER(SEARCH("nonblank",$AF$4)),ISNUMBER(SEARCH("&lt;&gt;",$AF$4))),IFERROR(('Final Calculation Sheet'!$AE$5)&amp;"","")&lt;&gt;""),AND(TRIM($AF$4)="",IFERROR(('Final Calculation Sheet'!$AE$5)&amp;"","")=""))))</f>
        <v>1</v>
      </c>
      <c r="CS6">
        <f>IF($AG$4="",1,--(OR(SUMPRODUCT(--(TRIM(MID(SUBSTITUTE(SUBSTITUTE($AG$4,"/",","),",",REPT(" ",99)),(ROW($1:$8)-1)*99+1,99))&lt;&gt;""),--ISNUMBER(SEARCH(TRIM(MID(SUBSTITUTE(SUBSTITUTE($AG$4,"/",","),",",REPT(" ",99)),(ROW($1:$8)-1)*99+1,99)),IFERROR(('Final Calculation Sheet'!$AF$5)&amp;"",""))))&gt;0,AND(ISNUMBER(SEARCH("blank",$AG$4)),NOT(ISNUMBER(SEARCH("nonblank",$AG$4))),IFERROR(('Final Calculation Sheet'!$AF$5)&amp;"","")=""),AND(OR(ISNUMBER(SEARCH("nonblank",$AG$4)),ISNUMBER(SEARCH("&lt;&gt;",$AG$4))),IFERROR(('Final Calculation Sheet'!$AF$5)&amp;"","")&lt;&gt;""),AND(TRIM($AG$4)="",IFERROR(('Final Calculation Sheet'!$AF$5)&amp;"","")=""))))</f>
        <v>1</v>
      </c>
      <c r="CT6">
        <f>IF($AH$4="",1,--(OR(SUMPRODUCT(--(TRIM(MID(SUBSTITUTE(SUBSTITUTE($AH$4,"/",","),",",REPT(" ",99)),(ROW($1:$8)-1)*99+1,99))&lt;&gt;""),--ISNUMBER(SEARCH(TRIM(MID(SUBSTITUTE(SUBSTITUTE($AH$4,"/",","),",",REPT(" ",99)),(ROW($1:$8)-1)*99+1,99)),IFERROR(('Final Calculation Sheet'!$AG$5)&amp;"",""))))&gt;0,AND(ISNUMBER(SEARCH("blank",$AH$4)),NOT(ISNUMBER(SEARCH("nonblank",$AH$4))),IFERROR(('Final Calculation Sheet'!$AG$5)&amp;"","")=""),AND(OR(ISNUMBER(SEARCH("nonblank",$AH$4)),ISNUMBER(SEARCH("&lt;&gt;",$AH$4))),IFERROR(('Final Calculation Sheet'!$AG$5)&amp;"","")&lt;&gt;""),AND(TRIM($AH$4)="",IFERROR(('Final Calculation Sheet'!$AG$5)&amp;"","")=""))))</f>
        <v>1</v>
      </c>
      <c r="CU6">
        <f>IF($AI$4="",1,--(OR(SUMPRODUCT(--(TRIM(MID(SUBSTITUTE(SUBSTITUTE($AI$4,"/",","),",",REPT(" ",99)),(ROW($1:$8)-1)*99+1,99))&lt;&gt;""),--ISNUMBER(SEARCH(TRIM(MID(SUBSTITUTE(SUBSTITUTE($AI$4,"/",","),",",REPT(" ",99)),(ROW($1:$8)-1)*99+1,99)),IFERROR((IF('Final Calculation Sheet'!$AD$5&lt;=5,"SETTLED","OUTSTANDING"))&amp;"",""))))&gt;0,AND(ISNUMBER(SEARCH("blank",$AI$4)),NOT(ISNUMBER(SEARCH("nonblank",$AI$4))),IFERROR((IF('Final Calculation Sheet'!$AD$5&lt;=5,"SETTLED","OUTSTANDING"))&amp;"","")=""),AND(OR(ISNUMBER(SEARCH("nonblank",$AI$4)),ISNUMBER(SEARCH("&lt;&gt;",$AI$4))),IFERROR((IF('Final Calculation Sheet'!$AD$5&lt;=5,"SETTLED","OUTSTANDING"))&amp;"","")&lt;&gt;""),AND(TRIM($AI$4)="",IFERROR((IF('Final Calculation Sheet'!$AD$5&lt;=5,"SETTLED","OUTSTANDING"))&amp;"","")=""))))</f>
        <v>1</v>
      </c>
    </row>
    <row r="7" ht="15" customHeight="1" s="137">
      <c r="A7" s="67">
        <f>IF($BJ6&gt;0,INDEX($BA$5:$BA$41,MATCH(6,$BB$5:$BB$41,0)),IF(OR($BI6=1,$BL6=1,$BH6&gt;0),"∑",""))</f>
        <v>2</v>
      </c>
      <c r="B7" s="76">
        <f>IF($BJ6&gt;0,IF(INDEX('Final Calculation Sheet'!$F$4:$F$40,$BJ6-3)="","",INDEX('Final Calculation Sheet'!$F$4:$F$40,$BJ6-3)),"")</f>
        <v>1874</v>
      </c>
      <c r="C7" s="76" t="str">
        <f>IF($BJ6&gt;0,IF(INDEX('Final Calculation Sheet'!$G$4:$G$40,$BJ6-3)="","",INDEX('Final Calculation Sheet'!$G$4:$G$40,$BJ6-3)),IF(OR($BI6=1,$BL6=1,$BH6&gt;0),IF($BI6=1,37,IF($BL6=1,37-INDEX($BD$4:$BD$13,10),INDEX($BD$4:$BD$13,$BH6)))&amp;" lot(s)",""))</f>
        <v>NATIONAL ENTERPRISES</v>
      </c>
      <c r="D7" s="80" t="str">
        <f>IF($BJ6&gt;0,IF(INDEX('Final Calculation Sheet'!$B$4:$B$40,$BJ6-3)="","",INDEX('Final Calculation Sheet'!$B$4:$B$40,$BJ6-3)),IF(OR($BI6=1,$BL6=1,$BH6&gt;0),IF($BI6=1,"GRAND TOTAL  —  matching + remaining",IF($BL6=1,"TOTAL MATCHED  —  every group together",IF($BH6=10,"REMAINING  —  did not match the search",IF($BH6=9,IF(COUNTIF($A$4:$AI$4,"&lt;&gt;")&gt;0,"FILTERED LOTS  —  column fields","ALL LOTS  —  nothing typed in the box"),"GROUP "&amp;$BH6&amp;" TOTAL  —  lots matching  "&amp;INDEX($AR$6:$AY$6,$BH6))))),""))</f>
        <v>Scrap of Empty oil drum</v>
      </c>
      <c r="E7" s="80">
        <f>IF($BJ6&gt;0,IF(INDEX('Final Calculation Sheet'!$D$4:$D$40,$BJ6-3)="","",INDEX('Final Calculation Sheet'!$D$4:$D$40,$BJ6-3)),IF(OR($BI6=1,$BL6=1,$BH6&gt;0),"–",""))</f>
        <v>21977</v>
      </c>
      <c r="F7" s="80">
        <f>IF($BJ6&gt;0,IF(INDEX('Final Calculation Sheet'!$A$4:$A$40,$BJ6-3)="","",INDEX('Final Calculation Sheet'!$A$4:$A$40,$BJ6-3)),IF(OR($BI6=1,$BL6=1,$BH6&gt;0),IF($BI6=1,SUM('Final Calculation Sheet'!$A$4:$A$40),IF($BL6=1,SUM('Final Calculation Sheet'!$A$4:$A$40)-SUMIFS('Final Calculation Sheet'!$A$4:$A$40,$AZ$5:$AZ$41,10),SUMIFS('Final Calculation Sheet'!$A$4:$A$40,$AZ$5:$AZ$41,$BH6))),""))</f>
        <v>270</v>
      </c>
      <c r="G7" s="80" t="str">
        <f>IF($BJ6&gt;0,IF(INDEX('Final Calculation Sheet'!$E$4:$E$40,$BJ6-3)="","",INDEX('Final Calculation Sheet'!$E$4:$E$40,$BJ6-3)),IF(OR($BI6=1,$BL6=1,$BH6&gt;0),"–",""))</f>
        <v>NO</v>
      </c>
      <c r="H7" s="70">
        <f>IF($BJ6&gt;0,IF(INDEX('Final Calculation Sheet'!$C$4:$C$40,$BJ6-3)="","",INDEX('Final Calculation Sheet'!$C$4:$C$40,$BJ6-3)),IF(OR($BI6=1,$BL6=1,$BH6&gt;0),"–",""))</f>
        <v>580</v>
      </c>
      <c r="I7" s="70">
        <f>IF($BJ6&gt;0,IF(INDEX('Final Calculation Sheet'!$H$4:$H$40,$BJ6-3)="","",INDEX('Final Calculation Sheet'!$H$4:$H$40,$BJ6-3)),IF(OR($BI6=1,$BL6=1,$BH6&gt;0),IF($BI6=1,SUM('Final Calculation Sheet'!$H$4:$H$40),IF($BL6=1,SUM('Final Calculation Sheet'!$H$4:$H$40)-SUMIFS('Final Calculation Sheet'!$H$4:$H$40,$AZ$5:$AZ$41,10),SUMIFS('Final Calculation Sheet'!$H$4:$H$40,$AZ$5:$AZ$41,$BH6))),""))</f>
        <v>156600</v>
      </c>
      <c r="J7" s="70">
        <f>IF($BJ6&gt;0,IF(INDEX('Final Calculation Sheet'!$I$4:$I$40,$BJ6-3)="","",INDEX('Final Calculation Sheet'!$I$4:$I$40,$BJ6-3)),IF(OR($BI6=1,$BL6=1,$BH6&gt;0),IF($BI6=1,SUM('Final Calculation Sheet'!$I$4:$I$40),IF($BL6=1,SUM('Final Calculation Sheet'!$I$4:$I$40)-SUMIFS('Final Calculation Sheet'!$I$4:$I$40,$AZ$5:$AZ$41,10),SUMIFS('Final Calculation Sheet'!$I$4:$I$40,$AZ$5:$AZ$41,$BH6))),""))</f>
        <v>28188</v>
      </c>
      <c r="K7" s="70">
        <f>IF($BJ6&gt;0,IF(INDEX('Final Calculation Sheet'!$J$4:$J$40,$BJ6-3)="","",INDEX('Final Calculation Sheet'!$J$4:$J$40,$BJ6-3)),IF(OR($BI6=1,$BL6=1,$BH6&gt;0),IF($BI6=1,SUM('Final Calculation Sheet'!$J$4:$J$40),IF($BL6=1,SUM('Final Calculation Sheet'!$J$4:$J$40)-SUMIFS('Final Calculation Sheet'!$J$4:$J$40,$AZ$5:$AZ$41,10),SUMIFS('Final Calculation Sheet'!$J$4:$J$40,$AZ$5:$AZ$41,$BH6))),""))</f>
        <v>184788</v>
      </c>
      <c r="L7" s="70">
        <f>IF($BJ6&gt;0,IF(INDEX('Final Calculation Sheet'!$K$4:$K$40,$BJ6-3)="","",INDEX('Final Calculation Sheet'!$K$4:$K$40,$BJ6-3)),IF(OR($BI6=1,$BL6=1,$BH6&gt;0),IF($BI6=1,SUM('Final Calculation Sheet'!$K$4:$K$40),IF($BL6=1,SUM('Final Calculation Sheet'!$K$4:$K$40)-SUMIFS('Final Calculation Sheet'!$K$4:$K$40,$AZ$5:$AZ$41,10),SUMIFS('Final Calculation Sheet'!$K$4:$K$40,$AZ$5:$AZ$41,$BH6))),""))</f>
        <v>3696</v>
      </c>
      <c r="M7" s="70">
        <f>IF($BJ6&gt;0,IF(INDEX('Final Calculation Sheet'!$L$4:$L$40,$BJ6-3)="","",INDEX('Final Calculation Sheet'!$L$4:$L$40,$BJ6-3)),IF(OR($BI6=1,$BL6=1,$BH6&gt;0),IF($BI6=1,SUM('Final Calculation Sheet'!$L$4:$L$40),IF($BL6=1,SUM('Final Calculation Sheet'!$L$4:$L$40)-SUMIFS('Final Calculation Sheet'!$L$4:$L$40,$AZ$5:$AZ$41,10),SUMIFS('Final Calculation Sheet'!$L$4:$L$40,$AZ$5:$AZ$41,$BH6))),""))</f>
        <v>156.6</v>
      </c>
      <c r="N7" s="70">
        <f>IF($BJ6&gt;0,IF(INDEX('Final Calculation Sheet'!$M$4:$M$40,$BJ6-3)="","",INDEX('Final Calculation Sheet'!$M$4:$M$40,$BJ6-3)),IF(OR($BI6=1,$BL6=1,$BH6&gt;0),IF($BI6=1,SUM('Final Calculation Sheet'!$M$4:$M$40),IF($BL6=1,SUM('Final Calculation Sheet'!$M$4:$M$40)-SUMIFS('Final Calculation Sheet'!$M$4:$M$40,$AZ$5:$AZ$41,10),SUMIFS('Final Calculation Sheet'!$M$4:$M$40,$AZ$5:$AZ$41,$BH6))),""))</f>
        <v>4157.7299999999996</v>
      </c>
      <c r="O7" s="71">
        <f>IF($BJ6&gt;0,IF(INDEX('Final Calculation Sheet'!$N$4:$N$40,$BJ6-3)="","",INDEX('Final Calculation Sheet'!$N$4:$N$40,$BJ6-3)),IF(OR($BI6=1,$BL6=1,$BH6&gt;0),IF($BI6=1,SUM('Final Calculation Sheet'!$N$4:$N$40),IF($BL6=1,SUM('Final Calculation Sheet'!$N$4:$N$40)-SUMIFS('Final Calculation Sheet'!$N$4:$N$40,$AZ$5:$AZ$41,10),SUMIFS('Final Calculation Sheet'!$N$4:$N$40,$AZ$5:$AZ$41,$BH6))),""))</f>
        <v>70.47</v>
      </c>
      <c r="P7" s="70">
        <f>IF($BJ6&gt;0,IF(INDEX('Final Calculation Sheet'!$O$4:$O$40,$BJ6-3)="","",INDEX('Final Calculation Sheet'!$O$4:$O$40,$BJ6-3)),IF(OR($BI6=1,$BL6=1,$BH6&gt;0),IF($BI6=1,SUM('Final Calculation Sheet'!$O$4:$O$40),IF($BL6=1,SUM('Final Calculation Sheet'!$O$4:$O$40)-SUMIFS('Final Calculation Sheet'!$O$4:$O$40,$AZ$5:$AZ$41,10),SUMIFS('Final Calculation Sheet'!$O$4:$O$40,$AZ$5:$AZ$41,$BH6))),""))</f>
        <v>4087.2599999999998</v>
      </c>
      <c r="Q7" s="70">
        <f>IF($BJ6&gt;0,IF(INDEX('Final Calculation Sheet'!$P$4:$P$40,$BJ6-3)="","",INDEX('Final Calculation Sheet'!$P$4:$P$40,$BJ6-3)),IF(OR($BI6=1,$BL6=1,$BH6&gt;0),IF($BI6=1,SUM('Final Calculation Sheet'!$P$4:$P$40),IF($BL6=1,SUM('Final Calculation Sheet'!$P$4:$P$40)-SUMIFS('Final Calculation Sheet'!$P$4:$P$40,$AZ$5:$AZ$41,10),SUMIFS('Final Calculation Sheet'!$P$4:$P$40,$AZ$5:$AZ$41,$BH6))),""))</f>
        <v>4244</v>
      </c>
      <c r="R7" s="72">
        <f>IF($BJ6&gt;0,IF(INDEX('Final Calculation Sheet'!$Q$4:$Q$40,$BJ6-3)="","",INDEX('Final Calculation Sheet'!$Q$4:$Q$40,$BJ6-3)),IF(OR($BI6=1,$BL6=1,$BH6&gt;0),"–",""))</f>
        <v>0</v>
      </c>
      <c r="S7" s="70">
        <f>IF($BJ6&gt;0,IF(INDEX('Final Calculation Sheet'!$R$4:$R$40,$BJ6-3)="","",INDEX('Final Calculation Sheet'!$R$4:$R$40,$BJ6-3)),IF(OR($BI6=1,$BL6=1,$BH6&gt;0),IF($BI6=1,SUM('Final Calculation Sheet'!$R$4:$R$40),IF($BL6=1,SUM('Final Calculation Sheet'!$R$4:$R$40)-SUMIFS('Final Calculation Sheet'!$R$4:$R$40,$AZ$5:$AZ$41,10),SUMIFS('Final Calculation Sheet'!$R$4:$R$40,$AZ$5:$AZ$41,$BH6))),""))</f>
        <v>0</v>
      </c>
      <c r="T7" s="70">
        <f>IF($BJ6&gt;0,IF(INDEX('Final Calculation Sheet'!$S$4:$S$40,$BJ6-3)="","",INDEX('Final Calculation Sheet'!$S$4:$S$40,$BJ6-3)),IF(OR($BI6=1,$BL6=1,$BH6&gt;0),IF($BI6=1,SUM('Final Calculation Sheet'!$S$4:$S$40),IF($BL6=1,SUM('Final Calculation Sheet'!$S$4:$S$40)-SUMIFS('Final Calculation Sheet'!$S$4:$S$40,$AZ$5:$AZ$41,10),SUMIFS('Final Calculation Sheet'!$S$4:$S$40,$AZ$5:$AZ$41,$BH6))),""))</f>
        <v>184240</v>
      </c>
      <c r="U7" s="70">
        <f>IF($BJ6&gt;0,IF(INDEX('Final Calculation Sheet'!$T$4:$T$40,$BJ6-3)="","",INDEX('Final Calculation Sheet'!$T$4:$T$40,$BJ6-3)),IF(OR($BI6=1,$BL6=1,$BH6&gt;0),IF($BI6=1,SUM('Final Calculation Sheet'!$T$4:$T$40),IF($BL6=1,SUM('Final Calculation Sheet'!$T$4:$T$40)-SUMIFS('Final Calculation Sheet'!$T$4:$T$40,$AZ$5:$AZ$41,10),SUMIFS('Final Calculation Sheet'!$T$4:$T$40,$AZ$5:$AZ$41,$BH6))),""))</f>
        <v>39150</v>
      </c>
      <c r="V7" s="73">
        <f>IF($BJ6&gt;0,IF(INDEX('Final Calculation Sheet'!$U$4:$U$40,$BJ6-3)="","",INDEX('Final Calculation Sheet'!$U$4:$U$40,$BJ6-3)),IF(OR($BI6=1,$BL6=1,$BH6&gt;0),IF($BI6=1,SUM('Final Calculation Sheet'!$U$4:$U$40),IF($BL6=1,SUM('Final Calculation Sheet'!$U$4:$U$40)-SUMIFS('Final Calculation Sheet'!$U$4:$U$40,$AZ$5:$AZ$41,10),SUMIFS('Final Calculation Sheet'!$U$4:$U$40,$AZ$5:$AZ$41,$BH6))),""))</f>
        <v>39150</v>
      </c>
      <c r="W7" s="70" t="str">
        <f>IF($BJ6&gt;0,IF(INDEX('Final Calculation Sheet'!$V$4:$V$40,$BJ6-3)="","",INDEX('Final Calculation Sheet'!$V$4:$V$40,$BJ6-3)),IF(OR($BI6=1,$BL6=1,$BH6&gt;0),"–",""))</f>
        <v>13.08.2026</v>
      </c>
      <c r="X7" s="70">
        <f>IF($BJ6&gt;0,IF(INDEX('Final Calculation Sheet'!$W$4:$W$40,$BJ6-3)="","",INDEX('Final Calculation Sheet'!$W$4:$W$40,$BJ6-3)),IF(OR($BI6=1,$BL6=1,$BH6&gt;0),IF($BI6=1,SUM('Final Calculation Sheet'!$W$4:$W$40),IF($BL6=1,SUM('Final Calculation Sheet'!$W$4:$W$40)-SUMIFS('Final Calculation Sheet'!$W$4:$W$40,$AZ$5:$AZ$41,10),SUMIFS('Final Calculation Sheet'!$W$4:$W$40,$AZ$5:$AZ$41,$BH6))),""))</f>
        <v>145090</v>
      </c>
      <c r="Y7" s="70">
        <f>IF($BJ6&gt;0,IF(INDEX('Final Calculation Sheet'!$X$4:$X$40,$BJ6-3)="","",INDEX('Final Calculation Sheet'!$X$4:$X$40,$BJ6-3)),IF(OR($BI6=1,$BL6=1,$BH6&gt;0),IF($BI6=1,SUM('Final Calculation Sheet'!$X$4:$X$40),IF($BL6=1,SUM('Final Calculation Sheet'!$X$4:$X$40)-SUMIFS('Final Calculation Sheet'!$X$4:$X$40,$AZ$5:$AZ$41,10),SUMIFS('Final Calculation Sheet'!$X$4:$X$40,$AZ$5:$AZ$41,$BH6))),""))</f>
        <v>145090</v>
      </c>
      <c r="Z7" s="70" t="str">
        <f>IF($BJ6&gt;0,IF(INDEX('Final Calculation Sheet'!$Y$4:$Y$40,$BJ6-3)="","",INDEX('Final Calculation Sheet'!$Y$4:$Y$40,$BJ6-3)),IF(OR($BI6=1,$BL6=1,$BH6&gt;0),"–",""))</f>
        <v>24.08.2026</v>
      </c>
      <c r="AA7" s="70">
        <f>IF($BJ6&gt;0,IF(INDEX('Final Calculation Sheet'!$Z$4:$Z$40,$BJ6-3)="","",INDEX('Final Calculation Sheet'!$Z$4:$Z$40,$BJ6-3)),IF(OR($BI6=1,$BL6=1,$BH6&gt;0),IF($BI6=1,SUM('Final Calculation Sheet'!$Z$4:$Z$40),IF($BL6=1,SUM('Final Calculation Sheet'!$Z$4:$Z$40)-SUMIFS('Final Calculation Sheet'!$Z$4:$Z$40,$AZ$5:$AZ$41,10),SUMIFS('Final Calculation Sheet'!$Z$4:$Z$40,$AZ$5:$AZ$41,$BH6))),""))</f>
        <v>0</v>
      </c>
      <c r="AB7" s="70" t="str">
        <f>IF($BJ6&gt;0,IF(INDEX('Final Calculation Sheet'!$AA$4:$AA$40,$BJ6-3)="","",INDEX('Final Calculation Sheet'!$AA$4:$AA$40,$BJ6-3)),IF(OR($BI6=1,$BL6=1,$BH6&gt;0),IF($BI6=1,SUM('Final Calculation Sheet'!$AA$4:$AA$40),IF($BL6=1,SUM('Final Calculation Sheet'!$AA$4:$AA$40)-SUMIFS('Final Calculation Sheet'!$AA$4:$AA$40,$AZ$5:$AZ$41,10),SUMIFS('Final Calculation Sheet'!$AA$4:$AA$40,$AZ$5:$AZ$41,$BH6))),""))</f>
        <v/>
      </c>
      <c r="AC7" s="70" t="str">
        <f>IF($BJ6&gt;0,IF(INDEX('Final Calculation Sheet'!$AB$4:$AB$40,$BJ6-3)="","",INDEX('Final Calculation Sheet'!$AB$4:$AB$40,$BJ6-3)),IF(OR($BI6=1,$BL6=1,$BH6&gt;0),"–",""))</f>
        <v/>
      </c>
      <c r="AD7" s="70">
        <f>IF($BJ6&gt;0,IF(INDEX('Final Calculation Sheet'!$AC$4:$AC$40,$BJ6-3)="","",INDEX('Final Calculation Sheet'!$AC$4:$AC$40,$BJ6-3)),IF(OR($BI6=1,$BL6=1,$BH6&gt;0),IF($BI6=1,SUM('Final Calculation Sheet'!$AC$4:$AC$40),IF($BL6=1,SUM('Final Calculation Sheet'!$AC$4:$AC$40)-SUMIFS('Final Calculation Sheet'!$AC$4:$AC$40,$AZ$5:$AZ$41,10),SUMIFS('Final Calculation Sheet'!$AC$4:$AC$40,$AZ$5:$AZ$41,$BH6))),""))</f>
        <v>184240</v>
      </c>
      <c r="AE7" s="70">
        <f>IF($BJ6&gt;0,IF(INDEX('Final Calculation Sheet'!$AD$4:$AD$40,$BJ6-3)="","",INDEX('Final Calculation Sheet'!$AD$4:$AD$40,$BJ6-3)),IF(OR($BI6=1,$BL6=1,$BH6&gt;0),IF($BI6=1,SUM('Final Calculation Sheet'!$AD$4:$AD$40),IF($BL6=1,SUM('Final Calculation Sheet'!$AD$4:$AD$40)-SUMIFS('Final Calculation Sheet'!$AD$4:$AD$40,$AZ$5:$AZ$41,10),SUMIFS('Final Calculation Sheet'!$AD$4:$AD$40,$AZ$5:$AZ$41,$BH6))),""))</f>
        <v>0</v>
      </c>
      <c r="AF7" s="70" t="str">
        <f>IF($BJ6&gt;0,IF(INDEX('Final Calculation Sheet'!$AE$4:$AE$40,$BJ6-3)="","",INDEX('Final Calculation Sheet'!$AE$4:$AE$40,$BJ6-3)),IF(OR($BI6=1,$BL6=1,$BH6&gt;0),"–",""))</f>
        <v>DR2640100030</v>
      </c>
      <c r="AG7" s="74">
        <f>IF($BJ6&gt;0,IF(INDEX('Final Calculation Sheet'!$AF$4:$AF$40,$BJ6-3)="","",INDEX('Final Calculation Sheet'!$AF$4:$AF$40,$BJ6-3)),IF(OR($BI6=1,$BL6=1,$BH6&gt;0),"–",""))</f>
        <v>1800003302</v>
      </c>
      <c r="AH7" s="70" t="str">
        <f>IF($BJ6&gt;0,IF(INDEX('Final Calculation Sheet'!$AG$4:$AG$40,$BJ6-3)="","",INDEX('Final Calculation Sheet'!$AG$4:$AG$40,$BJ6-3)),IF(OR($BI6=1,$BL6=1,$BH6&gt;0),"–",""))</f>
        <v>27.08.2026</v>
      </c>
      <c r="AI7" s="75" t="str">
        <f>IF($BJ6&gt;0,IF(INDEX('Final Calculation Sheet'!$AD$4:$AD$40,$BJ6-3)="","",IF(INDEX('Final Calculation Sheet'!$AD$4:$AD$40,$BJ6-3)&lt;=5,"SETTLED","OUTSTANDING")),IF(OR($BI6=1,$BL6=1,$BH6&gt;0),IF(IF($BI6=1,SUM('Final Calculation Sheet'!$AD$4:$AD$40),IF($BL6=1,SUM('Final Calculation Sheet'!$AD$4:$AD$40)-SUMIFS('Final Calculation Sheet'!$AD$4:$AD$40,$AZ$5:$AZ$41,10),SUMIFS('Final Calculation Sheet'!$AD$4:$AD$40,$AZ$5:$AZ$41,$BH6)))&lt;=5,"ALL SETTLED","OUTSTANDING"),""))</f>
        <v>SETTLED</v>
      </c>
      <c r="AJ7" s="76" t="str">
        <f>IF($B$3="",IF(ROW()=5,"— type above —",""),IF(ROW()-4&gt;AL$41,"",INDEX('Final Calculation Sheet'!$F$4:$F$40,MATCH(ROW()-4,$AL$5:$AL$41,0))&amp;" — "&amp;INDEX('Final Calculation Sheet'!$G$4:$G$40,MATCH(ROW()-4,$AL$5:$AL$41,0))))</f>
        <v/>
      </c>
      <c r="AK7" t="str">
        <f>IF($F$3="Lot No.",'Final Calculation Sheet'!$F$6,IF($F$3="Buyer",'Final Calculation Sheet'!$G$6,IF($F$3="Lot Name",'Final Calculation Sheet'!$B$6,IF($F$3="Bid Sheet",'Final Calculation Sheet'!$D$6,IF($F$3="Unit",'Final Calculation Sheet'!$E$6,'Final Calculation Sheet'!$F$6&amp;" "&amp;'Final Calculation Sheet'!$G$6&amp;" "&amp;'Final Calculation Sheet'!$B$6)))))</f>
        <v>1875 F R KHANS ENTERPRISES Scrap of Copper of faulty AC compressor</v>
      </c>
      <c r="AL7">
        <f>AL6+IF($B$3="",0,--(SUMPRODUCT(--($AR$6:$AY$6&lt;&gt;""),--ISNUMBER(SEARCH($AR$6:$AY$6,$AK7)))&gt;0))</f>
        <v>0</v>
      </c>
      <c r="AM7">
        <f>IF(COUNTIF($BM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1</v>
      </c>
      <c r="AO7" t="inlineStr">
        <is>
          <t>Lot Name</t>
        </is>
      </c>
      <c r="AR7" t="str">
        <f>IF($AR$4="","",IF($AR$5=99999,"",MID($AR$4,$AR$5,1)))</f>
        <v/>
      </c>
      <c r="AS7" t="str">
        <f>IF($AS$4="","",IF($AS$5=99999,"",MID($AS$4,$AS$5,1)))</f>
        <v/>
      </c>
      <c r="AT7" t="str">
        <f>IF($AT$4="","",IF($AT$5=99999,"",MID($AT$4,$AT$5,1)))</f>
        <v/>
      </c>
      <c r="AU7" t="str">
        <f>IF($AU$4="","",IF($AU$5=99999,"",MID($AU$4,$AU$5,1)))</f>
        <v/>
      </c>
      <c r="AV7" t="str">
        <f>IF($AV$4="","",IF($AV$5=99999,"",MID($AV$4,$AV$5,1)))</f>
        <v/>
      </c>
      <c r="AW7" t="str">
        <f>IF($AW$4="","",IF($AW$5=99999,"",MID($AW$4,$AW$5,1)))</f>
        <v/>
      </c>
      <c r="AX7" t="str">
        <f>IF($AX$4="","",IF($AX$5=99999,"",MID($AX$4,$AX$5,1)))</f>
        <v/>
      </c>
      <c r="AY7" t="str">
        <f>IF($AY$4="","",IF($AY$5=99999,"",MID($AY$4,$AY$5,1)))</f>
        <v/>
      </c>
      <c r="AZ7">
        <f>IF($B$3="",IF(COUNTIF($A$4:$AI$4,"&lt;&gt;")=0,9,IF($AM7=1,9,10)),IF($AM7=0,10,IF(AND($AR$6&lt;&gt;"",ISNUMBER(SEARCH($AR$6,$AK7))),1,IF(AND($AS$6&lt;&gt;"",ISNUMBER(SEARCH($AS$6,$AK7))),2,IF(AND($AT$6&lt;&gt;"",ISNUMBER(SEARCH($AT$6,$AK7))),3,IF(AND($AU$6&lt;&gt;"",ISNUMBER(SEARCH($AU$6,$AK7))),4,IF(AND($AV$6&lt;&gt;"",ISNUMBER(SEARCH($AV$6,$AK7))),5,IF(AND($AW$6&lt;&gt;"",ISNUMBER(SEARCH($AW$6,$AK7))),6,IF(AND($AX$6&lt;&gt;"",ISNUMBER(SEARCH($AX$6,$AK7))),7,IF(AND($AY$6&lt;&gt;"",ISNUMBER(SEARCH($AY$6,$AK7))),8,0))))))))))</f>
        <v>9</v>
      </c>
      <c r="BA7">
        <f>SUMPRODUCT(($AZ$5:$AZ$41=$AZ7)*($BC$5:$BC$41&lt;$BC7))+1</f>
        <v>3</v>
      </c>
      <c r="BB7">
        <f>IF(INDEX($BF$4:$BF$13,$AZ7)=0,0,INDEX($BE$4:$BE$13,$AZ7)+$BA7-1)</f>
        <v>7</v>
      </c>
      <c r="BC7" t="n">
        <v>6</v>
      </c>
      <c r="BD7">
        <f>COUNTIF($AZ$5:$AZ$41,4)</f>
        <v>0</v>
      </c>
      <c r="BE7">
        <f>IF($BD6=0,$BE6,$BF6+1)</f>
        <v>5</v>
      </c>
      <c r="BF7">
        <f>IF($BD7=0,0,$BE7+$BD7)</f>
        <v>0</v>
      </c>
      <c r="BH7">
        <f>IFERROR(MATCH(7,$BF$4:$BF$13,0),0)</f>
        <v>0</v>
      </c>
      <c r="BI7">
        <f>IF(7=$BG$5,1,0)</f>
        <v>0</v>
      </c>
      <c r="BJ7">
        <f>IF(OR($BH7&gt;0,$BI7=1,$BL7=1),0,IFERROR(INDEX($BC$5:$BC$41,MATCH(7,$BB$5:$BB$41,0)),0))</f>
        <v>6</v>
      </c>
      <c r="BK7">
        <f>IF($BJ7&gt;0,IF(INDEX($AZ$5:$AZ$41,MATCH(7,$BB$5:$BB$41,0))=10,1,0),IF($BH7=10,1,0))</f>
        <v>0</v>
      </c>
      <c r="BL7">
        <f>IF(7=$BG$4,1,0)</f>
        <v>0</v>
      </c>
      <c r="BM7">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1</v>
      </c>
      <c r="BN7">
        <f>IF($B$4="",1,--(OR(SUMPRODUCT(--(TRIM(MID(SUBSTITUTE(SUBSTITUTE($B$4,"/",","),",",REPT(" ",99)),(ROW($1:$8)-1)*99+1,99))&lt;&gt;""),--ISNUMBER(SEARCH(TRIM(MID(SUBSTITUTE(SUBSTITUTE($B$4,"/",","),",",REPT(" ",99)),(ROW($1:$8)-1)*99+1,99)),IFERROR(('Final Calculation Sheet'!$F$6)&amp;"",""))))&gt;0,AND(ISNUMBER(SEARCH("blank",$B$4)),NOT(ISNUMBER(SEARCH("nonblank",$B$4))),IFERROR(('Final Calculation Sheet'!$F$6)&amp;"","")=""),AND(OR(ISNUMBER(SEARCH("nonblank",$B$4)),ISNUMBER(SEARCH("&lt;&gt;",$B$4))),IFERROR(('Final Calculation Sheet'!$F$6)&amp;"","")&lt;&gt;""),AND(TRIM($B$4)="",IFERROR(('Final Calculation Sheet'!$F$6)&amp;"","")=""))))</f>
        <v>1</v>
      </c>
      <c r="BO7">
        <f>IF($C$4="",1,--(OR(SUMPRODUCT(--(TRIM(MID(SUBSTITUTE(SUBSTITUTE($C$4,"/",","),",",REPT(" ",99)),(ROW($1:$8)-1)*99+1,99))&lt;&gt;""),--ISNUMBER(SEARCH(TRIM(MID(SUBSTITUTE(SUBSTITUTE($C$4,"/",","),",",REPT(" ",99)),(ROW($1:$8)-1)*99+1,99)),IFERROR(('Final Calculation Sheet'!$G$6)&amp;"",""))))&gt;0,AND(ISNUMBER(SEARCH("blank",$C$4)),NOT(ISNUMBER(SEARCH("nonblank",$C$4))),IFERROR(('Final Calculation Sheet'!$G$6)&amp;"","")=""),AND(OR(ISNUMBER(SEARCH("nonblank",$C$4)),ISNUMBER(SEARCH("&lt;&gt;",$C$4))),IFERROR(('Final Calculation Sheet'!$G$6)&amp;"","")&lt;&gt;""),AND(TRIM($C$4)="",IFERROR(('Final Calculation Sheet'!$G$6)&amp;"","")=""))))</f>
        <v>1</v>
      </c>
      <c r="BP7">
        <f>IF($D$4="",1,--(OR(SUMPRODUCT(--(TRIM(MID(SUBSTITUTE(SUBSTITUTE($D$4,"/",","),",",REPT(" ",99)),(ROW($1:$8)-1)*99+1,99))&lt;&gt;""),--ISNUMBER(SEARCH(TRIM(MID(SUBSTITUTE(SUBSTITUTE($D$4,"/",","),",",REPT(" ",99)),(ROW($1:$8)-1)*99+1,99)),IFERROR(('Final Calculation Sheet'!$B$6)&amp;"",""))))&gt;0,AND(ISNUMBER(SEARCH("blank",$D$4)),NOT(ISNUMBER(SEARCH("nonblank",$D$4))),IFERROR(('Final Calculation Sheet'!$B$6)&amp;"","")=""),AND(OR(ISNUMBER(SEARCH("nonblank",$D$4)),ISNUMBER(SEARCH("&lt;&gt;",$D$4))),IFERROR(('Final Calculation Sheet'!$B$6)&amp;"","")&lt;&gt;""),AND(TRIM($D$4)="",IFERROR(('Final Calculation Sheet'!$B$6)&amp;"","")=""))))</f>
        <v>1</v>
      </c>
      <c r="BQ7">
        <f>IF($E$4="",1,--(OR(SUMPRODUCT(--(TRIM(MID(SUBSTITUTE(SUBSTITUTE($E$4,"/",","),",",REPT(" ",99)),(ROW($1:$8)-1)*99+1,99))&lt;&gt;""),--ISNUMBER(SEARCH(TRIM(MID(SUBSTITUTE(SUBSTITUTE($E$4,"/",","),",",REPT(" ",99)),(ROW($1:$8)-1)*99+1,99)),IFERROR(('Final Calculation Sheet'!$D$6)&amp;"",""))))&gt;0,AND(ISNUMBER(SEARCH("blank",$E$4)),NOT(ISNUMBER(SEARCH("nonblank",$E$4))),IFERROR(('Final Calculation Sheet'!$D$6)&amp;"","")=""),AND(OR(ISNUMBER(SEARCH("nonblank",$E$4)),ISNUMBER(SEARCH("&lt;&gt;",$E$4))),IFERROR(('Final Calculation Sheet'!$D$6)&amp;"","")&lt;&gt;""),AND(TRIM($E$4)="",IFERROR(('Final Calculation Sheet'!$D$6)&amp;"","")=""))))</f>
        <v>1</v>
      </c>
      <c r="BR7">
        <f>IF($F$4="",1,--(OR(SUMPRODUCT(--(TRIM(MID(SUBSTITUTE(SUBSTITUTE($F$4,"/",","),",",REPT(" ",99)),(ROW($1:$8)-1)*99+1,99))&lt;&gt;""),--ISNUMBER(SEARCH(TRIM(MID(SUBSTITUTE(SUBSTITUTE($F$4,"/",","),",",REPT(" ",99)),(ROW($1:$8)-1)*99+1,99)),IFERROR(('Final Calculation Sheet'!$A$6)&amp;"",""))))&gt;0,AND(ISNUMBER(SEARCH("blank",$F$4)),NOT(ISNUMBER(SEARCH("nonblank",$F$4))),IFERROR(('Final Calculation Sheet'!$A$6)&amp;"","")=""),AND(OR(ISNUMBER(SEARCH("nonblank",$F$4)),ISNUMBER(SEARCH("&lt;&gt;",$F$4))),IFERROR(('Final Calculation Sheet'!$A$6)&amp;"","")&lt;&gt;""),AND(TRIM($F$4)="",IFERROR(('Final Calculation Sheet'!$A$6)&amp;"","")=""))))</f>
        <v>1</v>
      </c>
      <c r="BS7">
        <f>IF($G$4="",1,--(OR(SUMPRODUCT(--(TRIM(MID(SUBSTITUTE(SUBSTITUTE($G$4,"/",","),",",REPT(" ",99)),(ROW($1:$8)-1)*99+1,99))&lt;&gt;""),--ISNUMBER(SEARCH(TRIM(MID(SUBSTITUTE(SUBSTITUTE($G$4,"/",","),",",REPT(" ",99)),(ROW($1:$8)-1)*99+1,99)),IFERROR(('Final Calculation Sheet'!$E$6)&amp;"",""))))&gt;0,AND(ISNUMBER(SEARCH("blank",$G$4)),NOT(ISNUMBER(SEARCH("nonblank",$G$4))),IFERROR(('Final Calculation Sheet'!$E$6)&amp;"","")=""),AND(OR(ISNUMBER(SEARCH("nonblank",$G$4)),ISNUMBER(SEARCH("&lt;&gt;",$G$4))),IFERROR(('Final Calculation Sheet'!$E$6)&amp;"","")&lt;&gt;""),AND(TRIM($G$4)="",IFERROR(('Final Calculation Sheet'!$E$6)&amp;"","")=""))))</f>
        <v>1</v>
      </c>
      <c r="BT7">
        <f>IF($H$4="",1,--(OR(SUMPRODUCT(--(TRIM(MID(SUBSTITUTE(SUBSTITUTE($H$4,"/",","),",",REPT(" ",99)),(ROW($1:$8)-1)*99+1,99))&lt;&gt;""),--ISNUMBER(SEARCH(TRIM(MID(SUBSTITUTE(SUBSTITUTE($H$4,"/",","),",",REPT(" ",99)),(ROW($1:$8)-1)*99+1,99)),IFERROR(('Final Calculation Sheet'!$C$6)&amp;"",""))))&gt;0,AND(ISNUMBER(SEARCH("blank",$H$4)),NOT(ISNUMBER(SEARCH("nonblank",$H$4))),IFERROR(('Final Calculation Sheet'!$C$6)&amp;"","")=""),AND(OR(ISNUMBER(SEARCH("nonblank",$H$4)),ISNUMBER(SEARCH("&lt;&gt;",$H$4))),IFERROR(('Final Calculation Sheet'!$C$6)&amp;"","")&lt;&gt;""),AND(TRIM($H$4)="",IFERROR(('Final Calculation Sheet'!$C$6)&amp;"","")=""))))</f>
        <v>1</v>
      </c>
      <c r="BU7">
        <f>IF($I$4="",1,--(OR(SUMPRODUCT(--(TRIM(MID(SUBSTITUTE(SUBSTITUTE($I$4,"/",","),",",REPT(" ",99)),(ROW($1:$8)-1)*99+1,99))&lt;&gt;""),--ISNUMBER(SEARCH(TRIM(MID(SUBSTITUTE(SUBSTITUTE($I$4,"/",","),",",REPT(" ",99)),(ROW($1:$8)-1)*99+1,99)),IFERROR(('Final Calculation Sheet'!$H$6)&amp;"",""))))&gt;0,AND(ISNUMBER(SEARCH("blank",$I$4)),NOT(ISNUMBER(SEARCH("nonblank",$I$4))),IFERROR(('Final Calculation Sheet'!$H$6)&amp;"","")=""),AND(OR(ISNUMBER(SEARCH("nonblank",$I$4)),ISNUMBER(SEARCH("&lt;&gt;",$I$4))),IFERROR(('Final Calculation Sheet'!$H$6)&amp;"","")&lt;&gt;""),AND(TRIM($I$4)="",IFERROR(('Final Calculation Sheet'!$H$6)&amp;"","")=""))))</f>
        <v>1</v>
      </c>
      <c r="BV7">
        <f>IF($J$4="",1,--(OR(SUMPRODUCT(--(TRIM(MID(SUBSTITUTE(SUBSTITUTE($J$4,"/",","),",",REPT(" ",99)),(ROW($1:$8)-1)*99+1,99))&lt;&gt;""),--ISNUMBER(SEARCH(TRIM(MID(SUBSTITUTE(SUBSTITUTE($J$4,"/",","),",",REPT(" ",99)),(ROW($1:$8)-1)*99+1,99)),IFERROR(('Final Calculation Sheet'!$I$6)&amp;"",""))))&gt;0,AND(ISNUMBER(SEARCH("blank",$J$4)),NOT(ISNUMBER(SEARCH("nonblank",$J$4))),IFERROR(('Final Calculation Sheet'!$I$6)&amp;"","")=""),AND(OR(ISNUMBER(SEARCH("nonblank",$J$4)),ISNUMBER(SEARCH("&lt;&gt;",$J$4))),IFERROR(('Final Calculation Sheet'!$I$6)&amp;"","")&lt;&gt;""),AND(TRIM($J$4)="",IFERROR(('Final Calculation Sheet'!$I$6)&amp;"","")=""))))</f>
        <v>1</v>
      </c>
      <c r="BW7">
        <f>IF($K$4="",1,--(OR(SUMPRODUCT(--(TRIM(MID(SUBSTITUTE(SUBSTITUTE($K$4,"/",","),",",REPT(" ",99)),(ROW($1:$8)-1)*99+1,99))&lt;&gt;""),--ISNUMBER(SEARCH(TRIM(MID(SUBSTITUTE(SUBSTITUTE($K$4,"/",","),",",REPT(" ",99)),(ROW($1:$8)-1)*99+1,99)),IFERROR(('Final Calculation Sheet'!$J$6)&amp;"",""))))&gt;0,AND(ISNUMBER(SEARCH("blank",$K$4)),NOT(ISNUMBER(SEARCH("nonblank",$K$4))),IFERROR(('Final Calculation Sheet'!$J$6)&amp;"","")=""),AND(OR(ISNUMBER(SEARCH("nonblank",$K$4)),ISNUMBER(SEARCH("&lt;&gt;",$K$4))),IFERROR(('Final Calculation Sheet'!$J$6)&amp;"","")&lt;&gt;""),AND(TRIM($K$4)="",IFERROR(('Final Calculation Sheet'!$J$6)&amp;"","")=""))))</f>
        <v>1</v>
      </c>
      <c r="BX7">
        <f>IF($L$4="",1,--(OR(SUMPRODUCT(--(TRIM(MID(SUBSTITUTE(SUBSTITUTE($L$4,"/",","),",",REPT(" ",99)),(ROW($1:$8)-1)*99+1,99))&lt;&gt;""),--ISNUMBER(SEARCH(TRIM(MID(SUBSTITUTE(SUBSTITUTE($L$4,"/",","),",",REPT(" ",99)),(ROW($1:$8)-1)*99+1,99)),IFERROR(('Final Calculation Sheet'!$K$6)&amp;"",""))))&gt;0,AND(ISNUMBER(SEARCH("blank",$L$4)),NOT(ISNUMBER(SEARCH("nonblank",$L$4))),IFERROR(('Final Calculation Sheet'!$K$6)&amp;"","")=""),AND(OR(ISNUMBER(SEARCH("nonblank",$L$4)),ISNUMBER(SEARCH("&lt;&gt;",$L$4))),IFERROR(('Final Calculation Sheet'!$K$6)&amp;"","")&lt;&gt;""),AND(TRIM($L$4)="",IFERROR(('Final Calculation Sheet'!$K$6)&amp;"","")=""))))</f>
        <v>1</v>
      </c>
      <c r="BY7">
        <f>IF($M$4="",1,--(OR(SUMPRODUCT(--(TRIM(MID(SUBSTITUTE(SUBSTITUTE($M$4,"/",","),",",REPT(" ",99)),(ROW($1:$8)-1)*99+1,99))&lt;&gt;""),--ISNUMBER(SEARCH(TRIM(MID(SUBSTITUTE(SUBSTITUTE($M$4,"/",","),",",REPT(" ",99)),(ROW($1:$8)-1)*99+1,99)),IFERROR(('Final Calculation Sheet'!$L$6)&amp;"",""))))&gt;0,AND(ISNUMBER(SEARCH("blank",$M$4)),NOT(ISNUMBER(SEARCH("nonblank",$M$4))),IFERROR(('Final Calculation Sheet'!$L$6)&amp;"","")=""),AND(OR(ISNUMBER(SEARCH("nonblank",$M$4)),ISNUMBER(SEARCH("&lt;&gt;",$M$4))),IFERROR(('Final Calculation Sheet'!$L$6)&amp;"","")&lt;&gt;""),AND(TRIM($M$4)="",IFERROR(('Final Calculation Sheet'!$L$6)&amp;"","")=""))))</f>
        <v>1</v>
      </c>
      <c r="BZ7">
        <f>IF($N$4="",1,--(OR(SUMPRODUCT(--(TRIM(MID(SUBSTITUTE(SUBSTITUTE($N$4,"/",","),",",REPT(" ",99)),(ROW($1:$8)-1)*99+1,99))&lt;&gt;""),--ISNUMBER(SEARCH(TRIM(MID(SUBSTITUTE(SUBSTITUTE($N$4,"/",","),",",REPT(" ",99)),(ROW($1:$8)-1)*99+1,99)),IFERROR(('Final Calculation Sheet'!$M$6)&amp;"",""))))&gt;0,AND(ISNUMBER(SEARCH("blank",$N$4)),NOT(ISNUMBER(SEARCH("nonblank",$N$4))),IFERROR(('Final Calculation Sheet'!$M$6)&amp;"","")=""),AND(OR(ISNUMBER(SEARCH("nonblank",$N$4)),ISNUMBER(SEARCH("&lt;&gt;",$N$4))),IFERROR(('Final Calculation Sheet'!$M$6)&amp;"","")&lt;&gt;""),AND(TRIM($N$4)="",IFERROR(('Final Calculation Sheet'!$M$6)&amp;"","")=""))))</f>
        <v>1</v>
      </c>
      <c r="CA7">
        <f>IF($O$4="",1,--(OR(SUMPRODUCT(--(TRIM(MID(SUBSTITUTE(SUBSTITUTE($O$4,"/",","),",",REPT(" ",99)),(ROW($1:$8)-1)*99+1,99))&lt;&gt;""),--ISNUMBER(SEARCH(TRIM(MID(SUBSTITUTE(SUBSTITUTE($O$4,"/",","),",",REPT(" ",99)),(ROW($1:$8)-1)*99+1,99)),IFERROR(('Final Calculation Sheet'!$N$6)&amp;"",""))))&gt;0,AND(ISNUMBER(SEARCH("blank",$O$4)),NOT(ISNUMBER(SEARCH("nonblank",$O$4))),IFERROR(('Final Calculation Sheet'!$N$6)&amp;"","")=""),AND(OR(ISNUMBER(SEARCH("nonblank",$O$4)),ISNUMBER(SEARCH("&lt;&gt;",$O$4))),IFERROR(('Final Calculation Sheet'!$N$6)&amp;"","")&lt;&gt;""),AND(TRIM($O$4)="",IFERROR(('Final Calculation Sheet'!$N$6)&amp;"","")=""))))</f>
        <v>1</v>
      </c>
      <c r="CB7">
        <f>IF($P$4="",1,--(OR(SUMPRODUCT(--(TRIM(MID(SUBSTITUTE(SUBSTITUTE($P$4,"/",","),",",REPT(" ",99)),(ROW($1:$8)-1)*99+1,99))&lt;&gt;""),--ISNUMBER(SEARCH(TRIM(MID(SUBSTITUTE(SUBSTITUTE($P$4,"/",","),",",REPT(" ",99)),(ROW($1:$8)-1)*99+1,99)),IFERROR(('Final Calculation Sheet'!$O$6)&amp;"",""))))&gt;0,AND(ISNUMBER(SEARCH("blank",$P$4)),NOT(ISNUMBER(SEARCH("nonblank",$P$4))),IFERROR(('Final Calculation Sheet'!$O$6)&amp;"","")=""),AND(OR(ISNUMBER(SEARCH("nonblank",$P$4)),ISNUMBER(SEARCH("&lt;&gt;",$P$4))),IFERROR(('Final Calculation Sheet'!$O$6)&amp;"","")&lt;&gt;""),AND(TRIM($P$4)="",IFERROR(('Final Calculation Sheet'!$O$6)&amp;"","")=""))))</f>
        <v>1</v>
      </c>
      <c r="CC7">
        <f>IF($Q$4="",1,--(OR(SUMPRODUCT(--(TRIM(MID(SUBSTITUTE(SUBSTITUTE($Q$4,"/",","),",",REPT(" ",99)),(ROW($1:$8)-1)*99+1,99))&lt;&gt;""),--ISNUMBER(SEARCH(TRIM(MID(SUBSTITUTE(SUBSTITUTE($Q$4,"/",","),",",REPT(" ",99)),(ROW($1:$8)-1)*99+1,99)),IFERROR(('Final Calculation Sheet'!$P$6)&amp;"",""))))&gt;0,AND(ISNUMBER(SEARCH("blank",$Q$4)),NOT(ISNUMBER(SEARCH("nonblank",$Q$4))),IFERROR(('Final Calculation Sheet'!$P$6)&amp;"","")=""),AND(OR(ISNUMBER(SEARCH("nonblank",$Q$4)),ISNUMBER(SEARCH("&lt;&gt;",$Q$4))),IFERROR(('Final Calculation Sheet'!$P$6)&amp;"","")&lt;&gt;""),AND(TRIM($Q$4)="",IFERROR(('Final Calculation Sheet'!$P$6)&amp;"","")=""))))</f>
        <v>1</v>
      </c>
      <c r="CD7">
        <f>IF($R$4="",1,--(OR(SUMPRODUCT(--(TRIM(MID(SUBSTITUTE(SUBSTITUTE($R$4,"/",","),",",REPT(" ",99)),(ROW($1:$8)-1)*99+1,99))&lt;&gt;""),--ISNUMBER(SEARCH(TRIM(MID(SUBSTITUTE(SUBSTITUTE($R$4,"/",","),",",REPT(" ",99)),(ROW($1:$8)-1)*99+1,99)),IFERROR(('Final Calculation Sheet'!$Q$6)&amp;"",""))))&gt;0,AND(ISNUMBER(SEARCH("blank",$R$4)),NOT(ISNUMBER(SEARCH("nonblank",$R$4))),IFERROR(('Final Calculation Sheet'!$Q$6)&amp;"","")=""),AND(OR(ISNUMBER(SEARCH("nonblank",$R$4)),ISNUMBER(SEARCH("&lt;&gt;",$R$4))),IFERROR(('Final Calculation Sheet'!$Q$6)&amp;"","")&lt;&gt;""),AND(TRIM($R$4)="",IFERROR(('Final Calculation Sheet'!$Q$6)&amp;"","")=""))))</f>
        <v>1</v>
      </c>
      <c r="CE7">
        <f>IF($S$4="",1,--(OR(SUMPRODUCT(--(TRIM(MID(SUBSTITUTE(SUBSTITUTE($S$4,"/",","),",",REPT(" ",99)),(ROW($1:$8)-1)*99+1,99))&lt;&gt;""),--ISNUMBER(SEARCH(TRIM(MID(SUBSTITUTE(SUBSTITUTE($S$4,"/",","),",",REPT(" ",99)),(ROW($1:$8)-1)*99+1,99)),IFERROR(('Final Calculation Sheet'!$R$6)&amp;"",""))))&gt;0,AND(ISNUMBER(SEARCH("blank",$S$4)),NOT(ISNUMBER(SEARCH("nonblank",$S$4))),IFERROR(('Final Calculation Sheet'!$R$6)&amp;"","")=""),AND(OR(ISNUMBER(SEARCH("nonblank",$S$4)),ISNUMBER(SEARCH("&lt;&gt;",$S$4))),IFERROR(('Final Calculation Sheet'!$R$6)&amp;"","")&lt;&gt;""),AND(TRIM($S$4)="",IFERROR(('Final Calculation Sheet'!$R$6)&amp;"","")=""))))</f>
        <v>1</v>
      </c>
      <c r="CF7">
        <f>IF($T$4="",1,--(OR(SUMPRODUCT(--(TRIM(MID(SUBSTITUTE(SUBSTITUTE($T$4,"/",","),",",REPT(" ",99)),(ROW($1:$8)-1)*99+1,99))&lt;&gt;""),--ISNUMBER(SEARCH(TRIM(MID(SUBSTITUTE(SUBSTITUTE($T$4,"/",","),",",REPT(" ",99)),(ROW($1:$8)-1)*99+1,99)),IFERROR(('Final Calculation Sheet'!$S$6)&amp;"",""))))&gt;0,AND(ISNUMBER(SEARCH("blank",$T$4)),NOT(ISNUMBER(SEARCH("nonblank",$T$4))),IFERROR(('Final Calculation Sheet'!$S$6)&amp;"","")=""),AND(OR(ISNUMBER(SEARCH("nonblank",$T$4)),ISNUMBER(SEARCH("&lt;&gt;",$T$4))),IFERROR(('Final Calculation Sheet'!$S$6)&amp;"","")&lt;&gt;""),AND(TRIM($T$4)="",IFERROR(('Final Calculation Sheet'!$S$6)&amp;"","")=""))))</f>
        <v>1</v>
      </c>
      <c r="CG7">
        <f>IF($U$4="",1,--(OR(SUMPRODUCT(--(TRIM(MID(SUBSTITUTE(SUBSTITUTE($U$4,"/",","),",",REPT(" ",99)),(ROW($1:$8)-1)*99+1,99))&lt;&gt;""),--ISNUMBER(SEARCH(TRIM(MID(SUBSTITUTE(SUBSTITUTE($U$4,"/",","),",",REPT(" ",99)),(ROW($1:$8)-1)*99+1,99)),IFERROR(('Final Calculation Sheet'!$T$6)&amp;"",""))))&gt;0,AND(ISNUMBER(SEARCH("blank",$U$4)),NOT(ISNUMBER(SEARCH("nonblank",$U$4))),IFERROR(('Final Calculation Sheet'!$T$6)&amp;"","")=""),AND(OR(ISNUMBER(SEARCH("nonblank",$U$4)),ISNUMBER(SEARCH("&lt;&gt;",$U$4))),IFERROR(('Final Calculation Sheet'!$T$6)&amp;"","")&lt;&gt;""),AND(TRIM($U$4)="",IFERROR(('Final Calculation Sheet'!$T$6)&amp;"","")=""))))</f>
        <v>1</v>
      </c>
      <c r="CH7">
        <f>IF($V$4="",1,--(OR(SUMPRODUCT(--(TRIM(MID(SUBSTITUTE(SUBSTITUTE($V$4,"/",","),",",REPT(" ",99)),(ROW($1:$8)-1)*99+1,99))&lt;&gt;""),--ISNUMBER(SEARCH(TRIM(MID(SUBSTITUTE(SUBSTITUTE($V$4,"/",","),",",REPT(" ",99)),(ROW($1:$8)-1)*99+1,99)),IFERROR(('Final Calculation Sheet'!$U$6)&amp;"",""))))&gt;0,AND(ISNUMBER(SEARCH("blank",$V$4)),NOT(ISNUMBER(SEARCH("nonblank",$V$4))),IFERROR(('Final Calculation Sheet'!$U$6)&amp;"","")=""),AND(OR(ISNUMBER(SEARCH("nonblank",$V$4)),ISNUMBER(SEARCH("&lt;&gt;",$V$4))),IFERROR(('Final Calculation Sheet'!$U$6)&amp;"","")&lt;&gt;""),AND(TRIM($V$4)="",IFERROR(('Final Calculation Sheet'!$U$6)&amp;"","")=""))))</f>
        <v>1</v>
      </c>
      <c r="CI7">
        <f>IF($W$4="",1,--(OR(SUMPRODUCT(--(TRIM(MID(SUBSTITUTE(SUBSTITUTE($W$4,"/",","),",",REPT(" ",99)),(ROW($1:$8)-1)*99+1,99))&lt;&gt;""),--ISNUMBER(SEARCH(TRIM(MID(SUBSTITUTE(SUBSTITUTE($W$4,"/",","),",",REPT(" ",99)),(ROW($1:$8)-1)*99+1,99)),IFERROR(('Final Calculation Sheet'!$V$6)&amp;"",""))))&gt;0,AND(ISNUMBER(SEARCH("blank",$W$4)),NOT(ISNUMBER(SEARCH("nonblank",$W$4))),IFERROR(('Final Calculation Sheet'!$V$6)&amp;"","")=""),AND(OR(ISNUMBER(SEARCH("nonblank",$W$4)),ISNUMBER(SEARCH("&lt;&gt;",$W$4))),IFERROR(('Final Calculation Sheet'!$V$6)&amp;"","")&lt;&gt;""),AND(TRIM($W$4)="",IFERROR(('Final Calculation Sheet'!$V$6)&amp;"","")=""))))</f>
        <v>1</v>
      </c>
      <c r="CJ7">
        <f>IF($X$4="",1,--(OR(SUMPRODUCT(--(TRIM(MID(SUBSTITUTE(SUBSTITUTE($X$4,"/",","),",",REPT(" ",99)),(ROW($1:$8)-1)*99+1,99))&lt;&gt;""),--ISNUMBER(SEARCH(TRIM(MID(SUBSTITUTE(SUBSTITUTE($X$4,"/",","),",",REPT(" ",99)),(ROW($1:$8)-1)*99+1,99)),IFERROR(('Final Calculation Sheet'!$W$6)&amp;"",""))))&gt;0,AND(ISNUMBER(SEARCH("blank",$X$4)),NOT(ISNUMBER(SEARCH("nonblank",$X$4))),IFERROR(('Final Calculation Sheet'!$W$6)&amp;"","")=""),AND(OR(ISNUMBER(SEARCH("nonblank",$X$4)),ISNUMBER(SEARCH("&lt;&gt;",$X$4))),IFERROR(('Final Calculation Sheet'!$W$6)&amp;"","")&lt;&gt;""),AND(TRIM($X$4)="",IFERROR(('Final Calculation Sheet'!$W$6)&amp;"","")=""))))</f>
        <v>1</v>
      </c>
      <c r="CK7">
        <f>IF($Y$4="",1,--(OR(SUMPRODUCT(--(TRIM(MID(SUBSTITUTE(SUBSTITUTE($Y$4,"/",","),",",REPT(" ",99)),(ROW($1:$8)-1)*99+1,99))&lt;&gt;""),--ISNUMBER(SEARCH(TRIM(MID(SUBSTITUTE(SUBSTITUTE($Y$4,"/",","),",",REPT(" ",99)),(ROW($1:$8)-1)*99+1,99)),IFERROR(('Final Calculation Sheet'!$X$6)&amp;"",""))))&gt;0,AND(ISNUMBER(SEARCH("blank",$Y$4)),NOT(ISNUMBER(SEARCH("nonblank",$Y$4))),IFERROR(('Final Calculation Sheet'!$X$6)&amp;"","")=""),AND(OR(ISNUMBER(SEARCH("nonblank",$Y$4)),ISNUMBER(SEARCH("&lt;&gt;",$Y$4))),IFERROR(('Final Calculation Sheet'!$X$6)&amp;"","")&lt;&gt;""),AND(TRIM($Y$4)="",IFERROR(('Final Calculation Sheet'!$X$6)&amp;"","")=""))))</f>
        <v>1</v>
      </c>
      <c r="CL7">
        <f>IF($Z$4="",1,--(OR(SUMPRODUCT(--(TRIM(MID(SUBSTITUTE(SUBSTITUTE($Z$4,"/",","),",",REPT(" ",99)),(ROW($1:$8)-1)*99+1,99))&lt;&gt;""),--ISNUMBER(SEARCH(TRIM(MID(SUBSTITUTE(SUBSTITUTE($Z$4,"/",","),",",REPT(" ",99)),(ROW($1:$8)-1)*99+1,99)),IFERROR(('Final Calculation Sheet'!$Y$6)&amp;"",""))))&gt;0,AND(ISNUMBER(SEARCH("blank",$Z$4)),NOT(ISNUMBER(SEARCH("nonblank",$Z$4))),IFERROR(('Final Calculation Sheet'!$Y$6)&amp;"","")=""),AND(OR(ISNUMBER(SEARCH("nonblank",$Z$4)),ISNUMBER(SEARCH("&lt;&gt;",$Z$4))),IFERROR(('Final Calculation Sheet'!$Y$6)&amp;"","")&lt;&gt;""),AND(TRIM($Z$4)="",IFERROR(('Final Calculation Sheet'!$Y$6)&amp;"","")=""))))</f>
        <v>1</v>
      </c>
      <c r="CM7">
        <f>IF($AA$4="",1,--(OR(SUMPRODUCT(--(TRIM(MID(SUBSTITUTE(SUBSTITUTE($AA$4,"/",","),",",REPT(" ",99)),(ROW($1:$8)-1)*99+1,99))&lt;&gt;""),--ISNUMBER(SEARCH(TRIM(MID(SUBSTITUTE(SUBSTITUTE($AA$4,"/",","),",",REPT(" ",99)),(ROW($1:$8)-1)*99+1,99)),IFERROR(('Final Calculation Sheet'!$Z$6)&amp;"",""))))&gt;0,AND(ISNUMBER(SEARCH("blank",$AA$4)),NOT(ISNUMBER(SEARCH("nonblank",$AA$4))),IFERROR(('Final Calculation Sheet'!$Z$6)&amp;"","")=""),AND(OR(ISNUMBER(SEARCH("nonblank",$AA$4)),ISNUMBER(SEARCH("&lt;&gt;",$AA$4))),IFERROR(('Final Calculation Sheet'!$Z$6)&amp;"","")&lt;&gt;""),AND(TRIM($AA$4)="",IFERROR(('Final Calculation Sheet'!$Z$6)&amp;"","")=""))))</f>
        <v>1</v>
      </c>
      <c r="CN7">
        <f>IF($AB$4="",1,--(OR(SUMPRODUCT(--(TRIM(MID(SUBSTITUTE(SUBSTITUTE($AB$4,"/",","),",",REPT(" ",99)),(ROW($1:$8)-1)*99+1,99))&lt;&gt;""),--ISNUMBER(SEARCH(TRIM(MID(SUBSTITUTE(SUBSTITUTE($AB$4,"/",","),",",REPT(" ",99)),(ROW($1:$8)-1)*99+1,99)),IFERROR(('Final Calculation Sheet'!$AA$6)&amp;"",""))))&gt;0,AND(ISNUMBER(SEARCH("blank",$AB$4)),NOT(ISNUMBER(SEARCH("nonblank",$AB$4))),IFERROR(('Final Calculation Sheet'!$AA$6)&amp;"","")=""),AND(OR(ISNUMBER(SEARCH("nonblank",$AB$4)),ISNUMBER(SEARCH("&lt;&gt;",$AB$4))),IFERROR(('Final Calculation Sheet'!$AA$6)&amp;"","")&lt;&gt;""),AND(TRIM($AB$4)="",IFERROR(('Final Calculation Sheet'!$AA$6)&amp;"","")=""))))</f>
        <v>1</v>
      </c>
      <c r="CO7">
        <f>IF($AC$4="",1,--(OR(SUMPRODUCT(--(TRIM(MID(SUBSTITUTE(SUBSTITUTE($AC$4,"/",","),",",REPT(" ",99)),(ROW($1:$8)-1)*99+1,99))&lt;&gt;""),--ISNUMBER(SEARCH(TRIM(MID(SUBSTITUTE(SUBSTITUTE($AC$4,"/",","),",",REPT(" ",99)),(ROW($1:$8)-1)*99+1,99)),IFERROR(('Final Calculation Sheet'!$AB$6)&amp;"",""))))&gt;0,AND(ISNUMBER(SEARCH("blank",$AC$4)),NOT(ISNUMBER(SEARCH("nonblank",$AC$4))),IFERROR(('Final Calculation Sheet'!$AB$6)&amp;"","")=""),AND(OR(ISNUMBER(SEARCH("nonblank",$AC$4)),ISNUMBER(SEARCH("&lt;&gt;",$AC$4))),IFERROR(('Final Calculation Sheet'!$AB$6)&amp;"","")&lt;&gt;""),AND(TRIM($AC$4)="",IFERROR(('Final Calculation Sheet'!$AB$6)&amp;"","")=""))))</f>
        <v>1</v>
      </c>
      <c r="CP7">
        <f>IF($AD$4="",1,--(OR(SUMPRODUCT(--(TRIM(MID(SUBSTITUTE(SUBSTITUTE($AD$4,"/",","),",",REPT(" ",99)),(ROW($1:$8)-1)*99+1,99))&lt;&gt;""),--ISNUMBER(SEARCH(TRIM(MID(SUBSTITUTE(SUBSTITUTE($AD$4,"/",","),",",REPT(" ",99)),(ROW($1:$8)-1)*99+1,99)),IFERROR(('Final Calculation Sheet'!$AC$6)&amp;"",""))))&gt;0,AND(ISNUMBER(SEARCH("blank",$AD$4)),NOT(ISNUMBER(SEARCH("nonblank",$AD$4))),IFERROR(('Final Calculation Sheet'!$AC$6)&amp;"","")=""),AND(OR(ISNUMBER(SEARCH("nonblank",$AD$4)),ISNUMBER(SEARCH("&lt;&gt;",$AD$4))),IFERROR(('Final Calculation Sheet'!$AC$6)&amp;"","")&lt;&gt;""),AND(TRIM($AD$4)="",IFERROR(('Final Calculation Sheet'!$AC$6)&amp;"","")=""))))</f>
        <v>1</v>
      </c>
      <c r="CQ7">
        <f>IF($AE$4="",1,--(OR(SUMPRODUCT(--(TRIM(MID(SUBSTITUTE(SUBSTITUTE($AE$4,"/",","),",",REPT(" ",99)),(ROW($1:$8)-1)*99+1,99))&lt;&gt;""),--ISNUMBER(SEARCH(TRIM(MID(SUBSTITUTE(SUBSTITUTE($AE$4,"/",","),",",REPT(" ",99)),(ROW($1:$8)-1)*99+1,99)),IFERROR(('Final Calculation Sheet'!$AD$6)&amp;"",""))))&gt;0,AND(ISNUMBER(SEARCH("blank",$AE$4)),NOT(ISNUMBER(SEARCH("nonblank",$AE$4))),IFERROR(('Final Calculation Sheet'!$AD$6)&amp;"","")=""),AND(OR(ISNUMBER(SEARCH("nonblank",$AE$4)),ISNUMBER(SEARCH("&lt;&gt;",$AE$4))),IFERROR(('Final Calculation Sheet'!$AD$6)&amp;"","")&lt;&gt;""),AND(TRIM($AE$4)="",IFERROR(('Final Calculation Sheet'!$AD$6)&amp;"","")=""))))</f>
        <v>1</v>
      </c>
      <c r="CR7">
        <f>IF($AF$4="",1,--(OR(SUMPRODUCT(--(TRIM(MID(SUBSTITUTE(SUBSTITUTE($AF$4,"/",","),",",REPT(" ",99)),(ROW($1:$8)-1)*99+1,99))&lt;&gt;""),--ISNUMBER(SEARCH(TRIM(MID(SUBSTITUTE(SUBSTITUTE($AF$4,"/",","),",",REPT(" ",99)),(ROW($1:$8)-1)*99+1,99)),IFERROR(('Final Calculation Sheet'!$AE$6)&amp;"",""))))&gt;0,AND(ISNUMBER(SEARCH("blank",$AF$4)),NOT(ISNUMBER(SEARCH("nonblank",$AF$4))),IFERROR(('Final Calculation Sheet'!$AE$6)&amp;"","")=""),AND(OR(ISNUMBER(SEARCH("nonblank",$AF$4)),ISNUMBER(SEARCH("&lt;&gt;",$AF$4))),IFERROR(('Final Calculation Sheet'!$AE$6)&amp;"","")&lt;&gt;""),AND(TRIM($AF$4)="",IFERROR(('Final Calculation Sheet'!$AE$6)&amp;"","")=""))))</f>
        <v>1</v>
      </c>
      <c r="CS7">
        <f>IF($AG$4="",1,--(OR(SUMPRODUCT(--(TRIM(MID(SUBSTITUTE(SUBSTITUTE($AG$4,"/",","),",",REPT(" ",99)),(ROW($1:$8)-1)*99+1,99))&lt;&gt;""),--ISNUMBER(SEARCH(TRIM(MID(SUBSTITUTE(SUBSTITUTE($AG$4,"/",","),",",REPT(" ",99)),(ROW($1:$8)-1)*99+1,99)),IFERROR(('Final Calculation Sheet'!$AF$6)&amp;"",""))))&gt;0,AND(ISNUMBER(SEARCH("blank",$AG$4)),NOT(ISNUMBER(SEARCH("nonblank",$AG$4))),IFERROR(('Final Calculation Sheet'!$AF$6)&amp;"","")=""),AND(OR(ISNUMBER(SEARCH("nonblank",$AG$4)),ISNUMBER(SEARCH("&lt;&gt;",$AG$4))),IFERROR(('Final Calculation Sheet'!$AF$6)&amp;"","")&lt;&gt;""),AND(TRIM($AG$4)="",IFERROR(('Final Calculation Sheet'!$AF$6)&amp;"","")=""))))</f>
        <v>1</v>
      </c>
      <c r="CT7">
        <f>IF($AH$4="",1,--(OR(SUMPRODUCT(--(TRIM(MID(SUBSTITUTE(SUBSTITUTE($AH$4,"/",","),",",REPT(" ",99)),(ROW($1:$8)-1)*99+1,99))&lt;&gt;""),--ISNUMBER(SEARCH(TRIM(MID(SUBSTITUTE(SUBSTITUTE($AH$4,"/",","),",",REPT(" ",99)),(ROW($1:$8)-1)*99+1,99)),IFERROR(('Final Calculation Sheet'!$AG$6)&amp;"",""))))&gt;0,AND(ISNUMBER(SEARCH("blank",$AH$4)),NOT(ISNUMBER(SEARCH("nonblank",$AH$4))),IFERROR(('Final Calculation Sheet'!$AG$6)&amp;"","")=""),AND(OR(ISNUMBER(SEARCH("nonblank",$AH$4)),ISNUMBER(SEARCH("&lt;&gt;",$AH$4))),IFERROR(('Final Calculation Sheet'!$AG$6)&amp;"","")&lt;&gt;""),AND(TRIM($AH$4)="",IFERROR(('Final Calculation Sheet'!$AG$6)&amp;"","")=""))))</f>
        <v>1</v>
      </c>
      <c r="CU7">
        <f>IF($AI$4="",1,--(OR(SUMPRODUCT(--(TRIM(MID(SUBSTITUTE(SUBSTITUTE($AI$4,"/",","),",",REPT(" ",99)),(ROW($1:$8)-1)*99+1,99))&lt;&gt;""),--ISNUMBER(SEARCH(TRIM(MID(SUBSTITUTE(SUBSTITUTE($AI$4,"/",","),",",REPT(" ",99)),(ROW($1:$8)-1)*99+1,99)),IFERROR((IF('Final Calculation Sheet'!$AD$6&lt;=5,"SETTLED","OUTSTANDING"))&amp;"",""))))&gt;0,AND(ISNUMBER(SEARCH("blank",$AI$4)),NOT(ISNUMBER(SEARCH("nonblank",$AI$4))),IFERROR((IF('Final Calculation Sheet'!$AD$6&lt;=5,"SETTLED","OUTSTANDING"))&amp;"","")=""),AND(OR(ISNUMBER(SEARCH("nonblank",$AI$4)),ISNUMBER(SEARCH("&lt;&gt;",$AI$4))),IFERROR((IF('Final Calculation Sheet'!$AD$6&lt;=5,"SETTLED","OUTSTANDING"))&amp;"","")&lt;&gt;""),AND(TRIM($AI$4)="",IFERROR((IF('Final Calculation Sheet'!$AD$6&lt;=5,"SETTLED","OUTSTANDING"))&amp;"","")=""))))</f>
        <v>1</v>
      </c>
    </row>
    <row r="8" ht="15" customHeight="1" s="137">
      <c r="A8" s="67">
        <f>IF($BJ7&gt;0,INDEX($BA$5:$BA$41,MATCH(7,$BB$5:$BB$41,0)),IF(OR($BI7=1,$BL7=1,$BH7&gt;0),"∑",""))</f>
        <v>3</v>
      </c>
      <c r="B8" s="76">
        <f>IF($BJ7&gt;0,IF(INDEX('Final Calculation Sheet'!$F$4:$F$40,$BJ7-3)="","",INDEX('Final Calculation Sheet'!$F$4:$F$40,$BJ7-3)),"")</f>
        <v>1875</v>
      </c>
      <c r="C8" s="76" t="str">
        <f>IF($BJ7&gt;0,IF(INDEX('Final Calculation Sheet'!$G$4:$G$40,$BJ7-3)="","",INDEX('Final Calculation Sheet'!$G$4:$G$40,$BJ7-3)),IF(OR($BI7=1,$BL7=1,$BH7&gt;0),IF($BI7=1,37,IF($BL7=1,37-INDEX($BD$4:$BD$13,10),INDEX($BD$4:$BD$13,$BH7)))&amp;" lot(s)",""))</f>
        <v>F R KHANS ENTERPRISES</v>
      </c>
      <c r="D8" s="80" t="str">
        <f>IF($BJ7&gt;0,IF(INDEX('Final Calculation Sheet'!$B$4:$B$40,$BJ7-3)="","",INDEX('Final Calculation Sheet'!$B$4:$B$40,$BJ7-3)),IF(OR($BI7=1,$BL7=1,$BH7&gt;0),IF($BI7=1,"GRAND TOTAL  —  matching + remaining",IF($BL7=1,"TOTAL MATCHED  —  every group together",IF($BH7=10,"REMAINING  —  did not match the search",IF($BH7=9,IF(COUNTIF($A$4:$AI$4,"&lt;&gt;")&gt;0,"FILTERED LOTS  —  column fields","ALL LOTS  —  nothing typed in the box"),"GROUP "&amp;$BH7&amp;" TOTAL  —  lots matching  "&amp;INDEX($AR$6:$AY$6,$BH7))))),""))</f>
        <v>Scrap of Copper of faulty AC compressor</v>
      </c>
      <c r="E8" s="80">
        <f>IF($BJ7&gt;0,IF(INDEX('Final Calculation Sheet'!$D$4:$D$40,$BJ7-3)="","",INDEX('Final Calculation Sheet'!$D$4:$D$40,$BJ7-3)),IF(OR($BI7=1,$BL7=1,$BH7&gt;0),"–",""))</f>
        <v>21977</v>
      </c>
      <c r="F8" s="80">
        <f>IF($BJ7&gt;0,IF(INDEX('Final Calculation Sheet'!$A$4:$A$40,$BJ7-3)="","",INDEX('Final Calculation Sheet'!$A$4:$A$40,$BJ7-3)),IF(OR($BI7=1,$BL7=1,$BH7&gt;0),IF($BI7=1,SUM('Final Calculation Sheet'!$A$4:$A$40),IF($BL7=1,SUM('Final Calculation Sheet'!$A$4:$A$40)-SUMIFS('Final Calculation Sheet'!$A$4:$A$40,$AZ$5:$AZ$41,10),SUMIFS('Final Calculation Sheet'!$A$4:$A$40,$AZ$5:$AZ$41,$BH7))),""))</f>
        <v>28</v>
      </c>
      <c r="G8" s="80" t="str">
        <f>IF($BJ7&gt;0,IF(INDEX('Final Calculation Sheet'!$E$4:$E$40,$BJ7-3)="","",INDEX('Final Calculation Sheet'!$E$4:$E$40,$BJ7-3)),IF(OR($BI7=1,$BL7=1,$BH7&gt;0),"–",""))</f>
        <v>KG</v>
      </c>
      <c r="H8" s="70">
        <f>IF($BJ7&gt;0,IF(INDEX('Final Calculation Sheet'!$C$4:$C$40,$BJ7-3)="","",INDEX('Final Calculation Sheet'!$C$4:$C$40,$BJ7-3)),IF(OR($BI7=1,$BL7=1,$BH7&gt;0),"–",""))</f>
        <v>1456</v>
      </c>
      <c r="I8" s="70">
        <f>IF($BJ7&gt;0,IF(INDEX('Final Calculation Sheet'!$H$4:$H$40,$BJ7-3)="","",INDEX('Final Calculation Sheet'!$H$4:$H$40,$BJ7-3)),IF(OR($BI7=1,$BL7=1,$BH7&gt;0),IF($BI7=1,SUM('Final Calculation Sheet'!$H$4:$H$40),IF($BL7=1,SUM('Final Calculation Sheet'!$H$4:$H$40)-SUMIFS('Final Calculation Sheet'!$H$4:$H$40,$AZ$5:$AZ$41,10),SUMIFS('Final Calculation Sheet'!$H$4:$H$40,$AZ$5:$AZ$41,$BH7))),""))</f>
        <v>40768</v>
      </c>
      <c r="J8" s="70">
        <f>IF($BJ7&gt;0,IF(INDEX('Final Calculation Sheet'!$I$4:$I$40,$BJ7-3)="","",INDEX('Final Calculation Sheet'!$I$4:$I$40,$BJ7-3)),IF(OR($BI7=1,$BL7=1,$BH7&gt;0),IF($BI7=1,SUM('Final Calculation Sheet'!$I$4:$I$40),IF($BL7=1,SUM('Final Calculation Sheet'!$I$4:$I$40)-SUMIFS('Final Calculation Sheet'!$I$4:$I$40,$AZ$5:$AZ$41,10),SUMIFS('Final Calculation Sheet'!$I$4:$I$40,$AZ$5:$AZ$41,$BH7))),""))</f>
        <v>7338</v>
      </c>
      <c r="K8" s="70">
        <f>IF($BJ7&gt;0,IF(INDEX('Final Calculation Sheet'!$J$4:$J$40,$BJ7-3)="","",INDEX('Final Calculation Sheet'!$J$4:$J$40,$BJ7-3)),IF(OR($BI7=1,$BL7=1,$BH7&gt;0),IF($BI7=1,SUM('Final Calculation Sheet'!$J$4:$J$40),IF($BL7=1,SUM('Final Calculation Sheet'!$J$4:$J$40)-SUMIFS('Final Calculation Sheet'!$J$4:$J$40,$AZ$5:$AZ$41,10),SUMIFS('Final Calculation Sheet'!$J$4:$J$40,$AZ$5:$AZ$41,$BH7))),""))</f>
        <v>48106</v>
      </c>
      <c r="L8" s="70">
        <f>IF($BJ7&gt;0,IF(INDEX('Final Calculation Sheet'!$K$4:$K$40,$BJ7-3)="","",INDEX('Final Calculation Sheet'!$K$4:$K$40,$BJ7-3)),IF(OR($BI7=1,$BL7=1,$BH7&gt;0),IF($BI7=1,SUM('Final Calculation Sheet'!$K$4:$K$40),IF($BL7=1,SUM('Final Calculation Sheet'!$K$4:$K$40)-SUMIFS('Final Calculation Sheet'!$K$4:$K$40,$AZ$5:$AZ$41,10),SUMIFS('Final Calculation Sheet'!$K$4:$K$40,$AZ$5:$AZ$41,$BH7))),""))</f>
        <v>962</v>
      </c>
      <c r="M8" s="70">
        <f>IF($BJ7&gt;0,IF(INDEX('Final Calculation Sheet'!$L$4:$L$40,$BJ7-3)="","",INDEX('Final Calculation Sheet'!$L$4:$L$40,$BJ7-3)),IF(OR($BI7=1,$BL7=1,$BH7&gt;0),IF($BI7=1,SUM('Final Calculation Sheet'!$L$4:$L$40),IF($BL7=1,SUM('Final Calculation Sheet'!$L$4:$L$40)-SUMIFS('Final Calculation Sheet'!$L$4:$L$40,$AZ$5:$AZ$41,10),SUMIFS('Final Calculation Sheet'!$L$4:$L$40,$AZ$5:$AZ$41,$BH7))),""))</f>
        <v>40.768000000000001</v>
      </c>
      <c r="N8" s="70">
        <f>IF($BJ7&gt;0,IF(INDEX('Final Calculation Sheet'!$M$4:$M$40,$BJ7-3)="","",INDEX('Final Calculation Sheet'!$M$4:$M$40,$BJ7-3)),IF(OR($BI7=1,$BL7=1,$BH7&gt;0),IF($BI7=1,SUM('Final Calculation Sheet'!$M$4:$M$40),IF($BL7=1,SUM('Final Calculation Sheet'!$M$4:$M$40)-SUMIFS('Final Calculation Sheet'!$M$4:$M$40,$AZ$5:$AZ$41,10),SUMIFS('Final Calculation Sheet'!$M$4:$M$40,$AZ$5:$AZ$41,$BH7))),""))</f>
        <v>1082.3904</v>
      </c>
      <c r="O8" s="71">
        <f>IF($BJ7&gt;0,IF(INDEX('Final Calculation Sheet'!$N$4:$N$40,$BJ7-3)="","",INDEX('Final Calculation Sheet'!$N$4:$N$40,$BJ7-3)),IF(OR($BI7=1,$BL7=1,$BH7&gt;0),IF($BI7=1,SUM('Final Calculation Sheet'!$N$4:$N$40),IF($BL7=1,SUM('Final Calculation Sheet'!$N$4:$N$40)-SUMIFS('Final Calculation Sheet'!$N$4:$N$40,$AZ$5:$AZ$41,10),SUMIFS('Final Calculation Sheet'!$N$4:$N$40,$AZ$5:$AZ$41,$BH7))),""))</f>
        <v>18.345600000000001</v>
      </c>
      <c r="P8" s="70">
        <f>IF($BJ7&gt;0,IF(INDEX('Final Calculation Sheet'!$O$4:$O$40,$BJ7-3)="","",INDEX('Final Calculation Sheet'!$O$4:$O$40,$BJ7-3)),IF(OR($BI7=1,$BL7=1,$BH7&gt;0),IF($BI7=1,SUM('Final Calculation Sheet'!$O$4:$O$40),IF($BL7=1,SUM('Final Calculation Sheet'!$O$4:$O$40)-SUMIFS('Final Calculation Sheet'!$O$4:$O$40,$AZ$5:$AZ$41,10),SUMIFS('Final Calculation Sheet'!$O$4:$O$40,$AZ$5:$AZ$41,$BH7))),""))</f>
        <v>1064.0447999999999</v>
      </c>
      <c r="Q8" s="70">
        <f>IF($BJ7&gt;0,IF(INDEX('Final Calculation Sheet'!$P$4:$P$40,$BJ7-3)="","",INDEX('Final Calculation Sheet'!$P$4:$P$40,$BJ7-3)),IF(OR($BI7=1,$BL7=1,$BH7&gt;0),IF($BI7=1,SUM('Final Calculation Sheet'!$P$4:$P$40),IF($BL7=1,SUM('Final Calculation Sheet'!$P$4:$P$40)-SUMIFS('Final Calculation Sheet'!$P$4:$P$40,$AZ$5:$AZ$41,10),SUMIFS('Final Calculation Sheet'!$P$4:$P$40,$AZ$5:$AZ$41,$BH7))),""))</f>
        <v>1105</v>
      </c>
      <c r="R8" s="72">
        <f>IF($BJ7&gt;0,IF(INDEX('Final Calculation Sheet'!$Q$4:$Q$40,$BJ7-3)="","",INDEX('Final Calculation Sheet'!$Q$4:$Q$40,$BJ7-3)),IF(OR($BI7=1,$BL7=1,$BH7&gt;0),"–",""))</f>
        <v>0</v>
      </c>
      <c r="S8" s="70">
        <f>IF($BJ7&gt;0,IF(INDEX('Final Calculation Sheet'!$R$4:$R$40,$BJ7-3)="","",INDEX('Final Calculation Sheet'!$R$4:$R$40,$BJ7-3)),IF(OR($BI7=1,$BL7=1,$BH7&gt;0),IF($BI7=1,SUM('Final Calculation Sheet'!$R$4:$R$40),IF($BL7=1,SUM('Final Calculation Sheet'!$R$4:$R$40)-SUMIFS('Final Calculation Sheet'!$R$4:$R$40,$AZ$5:$AZ$41,10),SUMIFS('Final Calculation Sheet'!$R$4:$R$40,$AZ$5:$AZ$41,$BH7))),""))</f>
        <v>0</v>
      </c>
      <c r="T8" s="70">
        <f>IF($BJ7&gt;0,IF(INDEX('Final Calculation Sheet'!$S$4:$S$40,$BJ7-3)="","",INDEX('Final Calculation Sheet'!$S$4:$S$40,$BJ7-3)),IF(OR($BI7=1,$BL7=1,$BH7&gt;0),IF($BI7=1,SUM('Final Calculation Sheet'!$S$4:$S$40),IF($BL7=1,SUM('Final Calculation Sheet'!$S$4:$S$40)-SUMIFS('Final Calculation Sheet'!$S$4:$S$40,$AZ$5:$AZ$41,10),SUMIFS('Final Calculation Sheet'!$S$4:$S$40,$AZ$5:$AZ$41,$BH7))),""))</f>
        <v>47964</v>
      </c>
      <c r="U8" s="70">
        <f>IF($BJ7&gt;0,IF(INDEX('Final Calculation Sheet'!$T$4:$T$40,$BJ7-3)="","",INDEX('Final Calculation Sheet'!$T$4:$T$40,$BJ7-3)),IF(OR($BI7=1,$BL7=1,$BH7&gt;0),IF($BI7=1,SUM('Final Calculation Sheet'!$T$4:$T$40),IF($BL7=1,SUM('Final Calculation Sheet'!$T$4:$T$40)-SUMIFS('Final Calculation Sheet'!$T$4:$T$40,$AZ$5:$AZ$41,10),SUMIFS('Final Calculation Sheet'!$T$4:$T$40,$AZ$5:$AZ$41,$BH7))),""))</f>
        <v>10192</v>
      </c>
      <c r="V8" s="73">
        <f>IF($BJ7&gt;0,IF(INDEX('Final Calculation Sheet'!$U$4:$U$40,$BJ7-3)="","",INDEX('Final Calculation Sheet'!$U$4:$U$40,$BJ7-3)),IF(OR($BI7=1,$BL7=1,$BH7&gt;0),IF($BI7=1,SUM('Final Calculation Sheet'!$U$4:$U$40),IF($BL7=1,SUM('Final Calculation Sheet'!$U$4:$U$40)-SUMIFS('Final Calculation Sheet'!$U$4:$U$40,$AZ$5:$AZ$41,10),SUMIFS('Final Calculation Sheet'!$U$4:$U$40,$AZ$5:$AZ$41,$BH7))),""))</f>
        <v>10192</v>
      </c>
      <c r="W8" s="70" t="str">
        <f>IF($BJ7&gt;0,IF(INDEX('Final Calculation Sheet'!$V$4:$V$40,$BJ7-3)="","",INDEX('Final Calculation Sheet'!$V$4:$V$40,$BJ7-3)),IF(OR($BI7=1,$BL7=1,$BH7&gt;0),"–",""))</f>
        <v>11.08.2026</v>
      </c>
      <c r="X8" s="70">
        <f>IF($BJ7&gt;0,IF(INDEX('Final Calculation Sheet'!$W$4:$W$40,$BJ7-3)="","",INDEX('Final Calculation Sheet'!$W$4:$W$40,$BJ7-3)),IF(OR($BI7=1,$BL7=1,$BH7&gt;0),IF($BI7=1,SUM('Final Calculation Sheet'!$W$4:$W$40),IF($BL7=1,SUM('Final Calculation Sheet'!$W$4:$W$40)-SUMIFS('Final Calculation Sheet'!$W$4:$W$40,$AZ$5:$AZ$41,10),SUMIFS('Final Calculation Sheet'!$W$4:$W$40,$AZ$5:$AZ$41,$BH7))),""))</f>
        <v>37772</v>
      </c>
      <c r="Y8" s="70">
        <f>IF($BJ7&gt;0,IF(INDEX('Final Calculation Sheet'!$X$4:$X$40,$BJ7-3)="","",INDEX('Final Calculation Sheet'!$X$4:$X$40,$BJ7-3)),IF(OR($BI7=1,$BL7=1,$BH7&gt;0),IF($BI7=1,SUM('Final Calculation Sheet'!$X$4:$X$40),IF($BL7=1,SUM('Final Calculation Sheet'!$X$4:$X$40)-SUMIFS('Final Calculation Sheet'!$X$4:$X$40,$AZ$5:$AZ$41,10),SUMIFS('Final Calculation Sheet'!$X$4:$X$40,$AZ$5:$AZ$41,$BH7))),""))</f>
        <v>37772</v>
      </c>
      <c r="Z8" s="70" t="str">
        <f>IF($BJ7&gt;0,IF(INDEX('Final Calculation Sheet'!$Y$4:$Y$40,$BJ7-3)="","",INDEX('Final Calculation Sheet'!$Y$4:$Y$40,$BJ7-3)),IF(OR($BI7=1,$BL7=1,$BH7&gt;0),"–",""))</f>
        <v>20.08.2026</v>
      </c>
      <c r="AA8" s="70">
        <f>IF($BJ7&gt;0,IF(INDEX('Final Calculation Sheet'!$Z$4:$Z$40,$BJ7-3)="","",INDEX('Final Calculation Sheet'!$Z$4:$Z$40,$BJ7-3)),IF(OR($BI7=1,$BL7=1,$BH7&gt;0),IF($BI7=1,SUM('Final Calculation Sheet'!$Z$4:$Z$40),IF($BL7=1,SUM('Final Calculation Sheet'!$Z$4:$Z$40)-SUMIFS('Final Calculation Sheet'!$Z$4:$Z$40,$AZ$5:$AZ$41,10),SUMIFS('Final Calculation Sheet'!$Z$4:$Z$40,$AZ$5:$AZ$41,$BH7))),""))</f>
        <v>0</v>
      </c>
      <c r="AB8" s="70" t="str">
        <f>IF($BJ7&gt;0,IF(INDEX('Final Calculation Sheet'!$AA$4:$AA$40,$BJ7-3)="","",INDEX('Final Calculation Sheet'!$AA$4:$AA$40,$BJ7-3)),IF(OR($BI7=1,$BL7=1,$BH7&gt;0),IF($BI7=1,SUM('Final Calculation Sheet'!$AA$4:$AA$40),IF($BL7=1,SUM('Final Calculation Sheet'!$AA$4:$AA$40)-SUMIFS('Final Calculation Sheet'!$AA$4:$AA$40,$AZ$5:$AZ$41,10),SUMIFS('Final Calculation Sheet'!$AA$4:$AA$40,$AZ$5:$AZ$41,$BH7))),""))</f>
        <v/>
      </c>
      <c r="AC8" s="70" t="str">
        <f>IF($BJ7&gt;0,IF(INDEX('Final Calculation Sheet'!$AB$4:$AB$40,$BJ7-3)="","",INDEX('Final Calculation Sheet'!$AB$4:$AB$40,$BJ7-3)),IF(OR($BI7=1,$BL7=1,$BH7&gt;0),"–",""))</f>
        <v/>
      </c>
      <c r="AD8" s="70">
        <f>IF($BJ7&gt;0,IF(INDEX('Final Calculation Sheet'!$AC$4:$AC$40,$BJ7-3)="","",INDEX('Final Calculation Sheet'!$AC$4:$AC$40,$BJ7-3)),IF(OR($BI7=1,$BL7=1,$BH7&gt;0),IF($BI7=1,SUM('Final Calculation Sheet'!$AC$4:$AC$40),IF($BL7=1,SUM('Final Calculation Sheet'!$AC$4:$AC$40)-SUMIFS('Final Calculation Sheet'!$AC$4:$AC$40,$AZ$5:$AZ$41,10),SUMIFS('Final Calculation Sheet'!$AC$4:$AC$40,$AZ$5:$AZ$41,$BH7))),""))</f>
        <v>47964</v>
      </c>
      <c r="AE8" s="70">
        <f>IF($BJ7&gt;0,IF(INDEX('Final Calculation Sheet'!$AD$4:$AD$40,$BJ7-3)="","",INDEX('Final Calculation Sheet'!$AD$4:$AD$40,$BJ7-3)),IF(OR($BI7=1,$BL7=1,$BH7&gt;0),IF($BI7=1,SUM('Final Calculation Sheet'!$AD$4:$AD$40),IF($BL7=1,SUM('Final Calculation Sheet'!$AD$4:$AD$40)-SUMIFS('Final Calculation Sheet'!$AD$4:$AD$40,$AZ$5:$AZ$41,10),SUMIFS('Final Calculation Sheet'!$AD$4:$AD$40,$AZ$5:$AZ$41,$BH7))),""))</f>
        <v>0</v>
      </c>
      <c r="AF8" s="70" t="str">
        <f>IF($BJ7&gt;0,IF(INDEX('Final Calculation Sheet'!$AE$4:$AE$40,$BJ7-3)="","",INDEX('Final Calculation Sheet'!$AE$4:$AE$40,$BJ7-3)),IF(OR($BI7=1,$BL7=1,$BH7&gt;0),"–",""))</f>
        <v>DR2640100047</v>
      </c>
      <c r="AG8" s="74">
        <f>IF($BJ7&gt;0,IF(INDEX('Final Calculation Sheet'!$AF$4:$AF$40,$BJ7-3)="","",INDEX('Final Calculation Sheet'!$AF$4:$AF$40,$BJ7-3)),IF(OR($BI7=1,$BL7=1,$BH7&gt;0),"–",""))</f>
        <v>1800003346</v>
      </c>
      <c r="AH8" s="70" t="str">
        <f>IF($BJ7&gt;0,IF(INDEX('Final Calculation Sheet'!$AG$4:$AG$40,$BJ7-3)="","",INDEX('Final Calculation Sheet'!$AG$4:$AG$40,$BJ7-3)),IF(OR($BI7=1,$BL7=1,$BH7&gt;0),"–",""))</f>
        <v>27.08.2026</v>
      </c>
      <c r="AI8" s="75" t="str">
        <f>IF($BJ7&gt;0,IF(INDEX('Final Calculation Sheet'!$AD$4:$AD$40,$BJ7-3)="","",IF(INDEX('Final Calculation Sheet'!$AD$4:$AD$40,$BJ7-3)&lt;=5,"SETTLED","OUTSTANDING")),IF(OR($BI7=1,$BL7=1,$BH7&gt;0),IF(IF($BI7=1,SUM('Final Calculation Sheet'!$AD$4:$AD$40),IF($BL7=1,SUM('Final Calculation Sheet'!$AD$4:$AD$40)-SUMIFS('Final Calculation Sheet'!$AD$4:$AD$40,$AZ$5:$AZ$41,10),SUMIFS('Final Calculation Sheet'!$AD$4:$AD$40,$AZ$5:$AZ$41,$BH7)))&lt;=5,"ALL SETTLED","OUTSTANDING"),""))</f>
        <v>SETTLED</v>
      </c>
      <c r="AJ8" s="76" t="str">
        <f>IF($B$3="",IF(ROW()=5,"— type above —",""),IF(ROW()-4&gt;AL$41,"",INDEX('Final Calculation Sheet'!$F$4:$F$40,MATCH(ROW()-4,$AL$5:$AL$41,0))&amp;" — "&amp;INDEX('Final Calculation Sheet'!$G$4:$G$40,MATCH(ROW()-4,$AL$5:$AL$41,0))))</f>
        <v/>
      </c>
      <c r="AK8" t="str">
        <f>IF($F$3="Lot No.",'Final Calculation Sheet'!$F$7,IF($F$3="Buyer",'Final Calculation Sheet'!$G$7,IF($F$3="Lot Name",'Final Calculation Sheet'!$B$7,IF($F$3="Bid Sheet",'Final Calculation Sheet'!$D$7,IF($F$3="Unit",'Final Calculation Sheet'!$E$7,'Final Calculation Sheet'!$F$7&amp;" "&amp;'Final Calculation Sheet'!$G$7&amp;" "&amp;'Final Calculation Sheet'!$B$7)))))</f>
        <v>1876 F R KHANS ENTERPRISES Scrap of MS (extracted from equip cage and empty Sf6 gas cylinder)</v>
      </c>
      <c r="AL8">
        <f>AL7+IF($B$3="",0,--(SUMPRODUCT(--($AR$6:$AY$6&lt;&gt;""),--ISNUMBER(SEARCH($AR$6:$AY$6,$AK8)))&gt;0))</f>
        <v>0</v>
      </c>
      <c r="AM8">
        <f>IF(COUNTIF($BM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1</v>
      </c>
      <c r="AO8" t="inlineStr">
        <is>
          <t>Bid Sheet</t>
        </is>
      </c>
      <c r="AR8" t="n">
        <v>1</v>
      </c>
      <c r="AS8">
        <f>IF($AR$7="+",$AR$8+1,$AR$8)</f>
        <v>1</v>
      </c>
      <c r="AT8">
        <f>IF($AS$7="+",$AS$8+1,$AS$8)</f>
        <v>1</v>
      </c>
      <c r="AU8">
        <f>IF($AT$7="+",$AT$8+1,$AT$8)</f>
        <v>1</v>
      </c>
      <c r="AV8">
        <f>IF($AU$7="+",$AU$8+1,$AU$8)</f>
        <v>1</v>
      </c>
      <c r="AW8">
        <f>IF($AV$7="+",$AV$8+1,$AV$8)</f>
        <v>1</v>
      </c>
      <c r="AX8">
        <f>IF($AW$7="+",$AW$8+1,$AW$8)</f>
        <v>1</v>
      </c>
      <c r="AY8">
        <f>IF($AX$7="+",$AX$8+1,$AX$8)</f>
        <v>1</v>
      </c>
      <c r="AZ8">
        <f>IF($B$3="",IF(COUNTIF($A$4:$AI$4,"&lt;&gt;")=0,9,IF($AM8=1,9,10)),IF($AM8=0,10,IF(AND($AR$6&lt;&gt;"",ISNUMBER(SEARCH($AR$6,$AK8))),1,IF(AND($AS$6&lt;&gt;"",ISNUMBER(SEARCH($AS$6,$AK8))),2,IF(AND($AT$6&lt;&gt;"",ISNUMBER(SEARCH($AT$6,$AK8))),3,IF(AND($AU$6&lt;&gt;"",ISNUMBER(SEARCH($AU$6,$AK8))),4,IF(AND($AV$6&lt;&gt;"",ISNUMBER(SEARCH($AV$6,$AK8))),5,IF(AND($AW$6&lt;&gt;"",ISNUMBER(SEARCH($AW$6,$AK8))),6,IF(AND($AX$6&lt;&gt;"",ISNUMBER(SEARCH($AX$6,$AK8))),7,IF(AND($AY$6&lt;&gt;"",ISNUMBER(SEARCH($AY$6,$AK8))),8,0))))))))))</f>
        <v>9</v>
      </c>
      <c r="BA8">
        <f>SUMPRODUCT(($AZ$5:$AZ$41=$AZ8)*($BC$5:$BC$41&lt;$BC8))+1</f>
        <v>4</v>
      </c>
      <c r="BB8">
        <f>IF(INDEX($BF$4:$BF$13,$AZ8)=0,0,INDEX($BE$4:$BE$13,$AZ8)+$BA8-1)</f>
        <v>8</v>
      </c>
      <c r="BC8" t="n">
        <v>7</v>
      </c>
      <c r="BD8">
        <f>COUNTIF($AZ$5:$AZ$41,5)</f>
        <v>0</v>
      </c>
      <c r="BE8">
        <f>IF($BD7=0,$BE7,$BF7+1)</f>
        <v>5</v>
      </c>
      <c r="BF8">
        <f>IF($BD8=0,0,$BE8+$BD8)</f>
        <v>0</v>
      </c>
      <c r="BH8">
        <f>IFERROR(MATCH(8,$BF$4:$BF$13,0),0)</f>
        <v>0</v>
      </c>
      <c r="BI8">
        <f>IF(8=$BG$5,1,0)</f>
        <v>0</v>
      </c>
      <c r="BJ8">
        <f>IF(OR($BH8&gt;0,$BI8=1,$BL8=1),0,IFERROR(INDEX($BC$5:$BC$41,MATCH(8,$BB$5:$BB$41,0)),0))</f>
        <v>7</v>
      </c>
      <c r="BK8">
        <f>IF($BJ8&gt;0,IF(INDEX($AZ$5:$AZ$41,MATCH(8,$BB$5:$BB$41,0))=10,1,0),IF($BH8=10,1,0))</f>
        <v>0</v>
      </c>
      <c r="BL8">
        <f>IF(8=$BG$4,1,0)</f>
        <v>0</v>
      </c>
      <c r="BM8">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1</v>
      </c>
      <c r="BN8">
        <f>IF($B$4="",1,--(OR(SUMPRODUCT(--(TRIM(MID(SUBSTITUTE(SUBSTITUTE($B$4,"/",","),",",REPT(" ",99)),(ROW($1:$8)-1)*99+1,99))&lt;&gt;""),--ISNUMBER(SEARCH(TRIM(MID(SUBSTITUTE(SUBSTITUTE($B$4,"/",","),",",REPT(" ",99)),(ROW($1:$8)-1)*99+1,99)),IFERROR(('Final Calculation Sheet'!$F$7)&amp;"",""))))&gt;0,AND(ISNUMBER(SEARCH("blank",$B$4)),NOT(ISNUMBER(SEARCH("nonblank",$B$4))),IFERROR(('Final Calculation Sheet'!$F$7)&amp;"","")=""),AND(OR(ISNUMBER(SEARCH("nonblank",$B$4)),ISNUMBER(SEARCH("&lt;&gt;",$B$4))),IFERROR(('Final Calculation Sheet'!$F$7)&amp;"","")&lt;&gt;""),AND(TRIM($B$4)="",IFERROR(('Final Calculation Sheet'!$F$7)&amp;"","")=""))))</f>
        <v>1</v>
      </c>
      <c r="BO8">
        <f>IF($C$4="",1,--(OR(SUMPRODUCT(--(TRIM(MID(SUBSTITUTE(SUBSTITUTE($C$4,"/",","),",",REPT(" ",99)),(ROW($1:$8)-1)*99+1,99))&lt;&gt;""),--ISNUMBER(SEARCH(TRIM(MID(SUBSTITUTE(SUBSTITUTE($C$4,"/",","),",",REPT(" ",99)),(ROW($1:$8)-1)*99+1,99)),IFERROR(('Final Calculation Sheet'!$G$7)&amp;"",""))))&gt;0,AND(ISNUMBER(SEARCH("blank",$C$4)),NOT(ISNUMBER(SEARCH("nonblank",$C$4))),IFERROR(('Final Calculation Sheet'!$G$7)&amp;"","")=""),AND(OR(ISNUMBER(SEARCH("nonblank",$C$4)),ISNUMBER(SEARCH("&lt;&gt;",$C$4))),IFERROR(('Final Calculation Sheet'!$G$7)&amp;"","")&lt;&gt;""),AND(TRIM($C$4)="",IFERROR(('Final Calculation Sheet'!$G$7)&amp;"","")=""))))</f>
        <v>1</v>
      </c>
      <c r="BP8">
        <f>IF($D$4="",1,--(OR(SUMPRODUCT(--(TRIM(MID(SUBSTITUTE(SUBSTITUTE($D$4,"/",","),",",REPT(" ",99)),(ROW($1:$8)-1)*99+1,99))&lt;&gt;""),--ISNUMBER(SEARCH(TRIM(MID(SUBSTITUTE(SUBSTITUTE($D$4,"/",","),",",REPT(" ",99)),(ROW($1:$8)-1)*99+1,99)),IFERROR(('Final Calculation Sheet'!$B$7)&amp;"",""))))&gt;0,AND(ISNUMBER(SEARCH("blank",$D$4)),NOT(ISNUMBER(SEARCH("nonblank",$D$4))),IFERROR(('Final Calculation Sheet'!$B$7)&amp;"","")=""),AND(OR(ISNUMBER(SEARCH("nonblank",$D$4)),ISNUMBER(SEARCH("&lt;&gt;",$D$4))),IFERROR(('Final Calculation Sheet'!$B$7)&amp;"","")&lt;&gt;""),AND(TRIM($D$4)="",IFERROR(('Final Calculation Sheet'!$B$7)&amp;"","")=""))))</f>
        <v>1</v>
      </c>
      <c r="BQ8">
        <f>IF($E$4="",1,--(OR(SUMPRODUCT(--(TRIM(MID(SUBSTITUTE(SUBSTITUTE($E$4,"/",","),",",REPT(" ",99)),(ROW($1:$8)-1)*99+1,99))&lt;&gt;""),--ISNUMBER(SEARCH(TRIM(MID(SUBSTITUTE(SUBSTITUTE($E$4,"/",","),",",REPT(" ",99)),(ROW($1:$8)-1)*99+1,99)),IFERROR(('Final Calculation Sheet'!$D$7)&amp;"",""))))&gt;0,AND(ISNUMBER(SEARCH("blank",$E$4)),NOT(ISNUMBER(SEARCH("nonblank",$E$4))),IFERROR(('Final Calculation Sheet'!$D$7)&amp;"","")=""),AND(OR(ISNUMBER(SEARCH("nonblank",$E$4)),ISNUMBER(SEARCH("&lt;&gt;",$E$4))),IFERROR(('Final Calculation Sheet'!$D$7)&amp;"","")&lt;&gt;""),AND(TRIM($E$4)="",IFERROR(('Final Calculation Sheet'!$D$7)&amp;"","")=""))))</f>
        <v>1</v>
      </c>
      <c r="BR8">
        <f>IF($F$4="",1,--(OR(SUMPRODUCT(--(TRIM(MID(SUBSTITUTE(SUBSTITUTE($F$4,"/",","),",",REPT(" ",99)),(ROW($1:$8)-1)*99+1,99))&lt;&gt;""),--ISNUMBER(SEARCH(TRIM(MID(SUBSTITUTE(SUBSTITUTE($F$4,"/",","),",",REPT(" ",99)),(ROW($1:$8)-1)*99+1,99)),IFERROR(('Final Calculation Sheet'!$A$7)&amp;"",""))))&gt;0,AND(ISNUMBER(SEARCH("blank",$F$4)),NOT(ISNUMBER(SEARCH("nonblank",$F$4))),IFERROR(('Final Calculation Sheet'!$A$7)&amp;"","")=""),AND(OR(ISNUMBER(SEARCH("nonblank",$F$4)),ISNUMBER(SEARCH("&lt;&gt;",$F$4))),IFERROR(('Final Calculation Sheet'!$A$7)&amp;"","")&lt;&gt;""),AND(TRIM($F$4)="",IFERROR(('Final Calculation Sheet'!$A$7)&amp;"","")=""))))</f>
        <v>1</v>
      </c>
      <c r="BS8">
        <f>IF($G$4="",1,--(OR(SUMPRODUCT(--(TRIM(MID(SUBSTITUTE(SUBSTITUTE($G$4,"/",","),",",REPT(" ",99)),(ROW($1:$8)-1)*99+1,99))&lt;&gt;""),--ISNUMBER(SEARCH(TRIM(MID(SUBSTITUTE(SUBSTITUTE($G$4,"/",","),",",REPT(" ",99)),(ROW($1:$8)-1)*99+1,99)),IFERROR(('Final Calculation Sheet'!$E$7)&amp;"",""))))&gt;0,AND(ISNUMBER(SEARCH("blank",$G$4)),NOT(ISNUMBER(SEARCH("nonblank",$G$4))),IFERROR(('Final Calculation Sheet'!$E$7)&amp;"","")=""),AND(OR(ISNUMBER(SEARCH("nonblank",$G$4)),ISNUMBER(SEARCH("&lt;&gt;",$G$4))),IFERROR(('Final Calculation Sheet'!$E$7)&amp;"","")&lt;&gt;""),AND(TRIM($G$4)="",IFERROR(('Final Calculation Sheet'!$E$7)&amp;"","")=""))))</f>
        <v>1</v>
      </c>
      <c r="BT8">
        <f>IF($H$4="",1,--(OR(SUMPRODUCT(--(TRIM(MID(SUBSTITUTE(SUBSTITUTE($H$4,"/",","),",",REPT(" ",99)),(ROW($1:$8)-1)*99+1,99))&lt;&gt;""),--ISNUMBER(SEARCH(TRIM(MID(SUBSTITUTE(SUBSTITUTE($H$4,"/",","),",",REPT(" ",99)),(ROW($1:$8)-1)*99+1,99)),IFERROR(('Final Calculation Sheet'!$C$7)&amp;"",""))))&gt;0,AND(ISNUMBER(SEARCH("blank",$H$4)),NOT(ISNUMBER(SEARCH("nonblank",$H$4))),IFERROR(('Final Calculation Sheet'!$C$7)&amp;"","")=""),AND(OR(ISNUMBER(SEARCH("nonblank",$H$4)),ISNUMBER(SEARCH("&lt;&gt;",$H$4))),IFERROR(('Final Calculation Sheet'!$C$7)&amp;"","")&lt;&gt;""),AND(TRIM($H$4)="",IFERROR(('Final Calculation Sheet'!$C$7)&amp;"","")=""))))</f>
        <v>1</v>
      </c>
      <c r="BU8">
        <f>IF($I$4="",1,--(OR(SUMPRODUCT(--(TRIM(MID(SUBSTITUTE(SUBSTITUTE($I$4,"/",","),",",REPT(" ",99)),(ROW($1:$8)-1)*99+1,99))&lt;&gt;""),--ISNUMBER(SEARCH(TRIM(MID(SUBSTITUTE(SUBSTITUTE($I$4,"/",","),",",REPT(" ",99)),(ROW($1:$8)-1)*99+1,99)),IFERROR(('Final Calculation Sheet'!$H$7)&amp;"",""))))&gt;0,AND(ISNUMBER(SEARCH("blank",$I$4)),NOT(ISNUMBER(SEARCH("nonblank",$I$4))),IFERROR(('Final Calculation Sheet'!$H$7)&amp;"","")=""),AND(OR(ISNUMBER(SEARCH("nonblank",$I$4)),ISNUMBER(SEARCH("&lt;&gt;",$I$4))),IFERROR(('Final Calculation Sheet'!$H$7)&amp;"","")&lt;&gt;""),AND(TRIM($I$4)="",IFERROR(('Final Calculation Sheet'!$H$7)&amp;"","")=""))))</f>
        <v>1</v>
      </c>
      <c r="BV8">
        <f>IF($J$4="",1,--(OR(SUMPRODUCT(--(TRIM(MID(SUBSTITUTE(SUBSTITUTE($J$4,"/",","),",",REPT(" ",99)),(ROW($1:$8)-1)*99+1,99))&lt;&gt;""),--ISNUMBER(SEARCH(TRIM(MID(SUBSTITUTE(SUBSTITUTE($J$4,"/",","),",",REPT(" ",99)),(ROW($1:$8)-1)*99+1,99)),IFERROR(('Final Calculation Sheet'!$I$7)&amp;"",""))))&gt;0,AND(ISNUMBER(SEARCH("blank",$J$4)),NOT(ISNUMBER(SEARCH("nonblank",$J$4))),IFERROR(('Final Calculation Sheet'!$I$7)&amp;"","")=""),AND(OR(ISNUMBER(SEARCH("nonblank",$J$4)),ISNUMBER(SEARCH("&lt;&gt;",$J$4))),IFERROR(('Final Calculation Sheet'!$I$7)&amp;"","")&lt;&gt;""),AND(TRIM($J$4)="",IFERROR(('Final Calculation Sheet'!$I$7)&amp;"","")=""))))</f>
        <v>1</v>
      </c>
      <c r="BW8">
        <f>IF($K$4="",1,--(OR(SUMPRODUCT(--(TRIM(MID(SUBSTITUTE(SUBSTITUTE($K$4,"/",","),",",REPT(" ",99)),(ROW($1:$8)-1)*99+1,99))&lt;&gt;""),--ISNUMBER(SEARCH(TRIM(MID(SUBSTITUTE(SUBSTITUTE($K$4,"/",","),",",REPT(" ",99)),(ROW($1:$8)-1)*99+1,99)),IFERROR(('Final Calculation Sheet'!$J$7)&amp;"",""))))&gt;0,AND(ISNUMBER(SEARCH("blank",$K$4)),NOT(ISNUMBER(SEARCH("nonblank",$K$4))),IFERROR(('Final Calculation Sheet'!$J$7)&amp;"","")=""),AND(OR(ISNUMBER(SEARCH("nonblank",$K$4)),ISNUMBER(SEARCH("&lt;&gt;",$K$4))),IFERROR(('Final Calculation Sheet'!$J$7)&amp;"","")&lt;&gt;""),AND(TRIM($K$4)="",IFERROR(('Final Calculation Sheet'!$J$7)&amp;"","")=""))))</f>
        <v>1</v>
      </c>
      <c r="BX8">
        <f>IF($L$4="",1,--(OR(SUMPRODUCT(--(TRIM(MID(SUBSTITUTE(SUBSTITUTE($L$4,"/",","),",",REPT(" ",99)),(ROW($1:$8)-1)*99+1,99))&lt;&gt;""),--ISNUMBER(SEARCH(TRIM(MID(SUBSTITUTE(SUBSTITUTE($L$4,"/",","),",",REPT(" ",99)),(ROW($1:$8)-1)*99+1,99)),IFERROR(('Final Calculation Sheet'!$K$7)&amp;"",""))))&gt;0,AND(ISNUMBER(SEARCH("blank",$L$4)),NOT(ISNUMBER(SEARCH("nonblank",$L$4))),IFERROR(('Final Calculation Sheet'!$K$7)&amp;"","")=""),AND(OR(ISNUMBER(SEARCH("nonblank",$L$4)),ISNUMBER(SEARCH("&lt;&gt;",$L$4))),IFERROR(('Final Calculation Sheet'!$K$7)&amp;"","")&lt;&gt;""),AND(TRIM($L$4)="",IFERROR(('Final Calculation Sheet'!$K$7)&amp;"","")=""))))</f>
        <v>1</v>
      </c>
      <c r="BY8">
        <f>IF($M$4="",1,--(OR(SUMPRODUCT(--(TRIM(MID(SUBSTITUTE(SUBSTITUTE($M$4,"/",","),",",REPT(" ",99)),(ROW($1:$8)-1)*99+1,99))&lt;&gt;""),--ISNUMBER(SEARCH(TRIM(MID(SUBSTITUTE(SUBSTITUTE($M$4,"/",","),",",REPT(" ",99)),(ROW($1:$8)-1)*99+1,99)),IFERROR(('Final Calculation Sheet'!$L$7)&amp;"",""))))&gt;0,AND(ISNUMBER(SEARCH("blank",$M$4)),NOT(ISNUMBER(SEARCH("nonblank",$M$4))),IFERROR(('Final Calculation Sheet'!$L$7)&amp;"","")=""),AND(OR(ISNUMBER(SEARCH("nonblank",$M$4)),ISNUMBER(SEARCH("&lt;&gt;",$M$4))),IFERROR(('Final Calculation Sheet'!$L$7)&amp;"","")&lt;&gt;""),AND(TRIM($M$4)="",IFERROR(('Final Calculation Sheet'!$L$7)&amp;"","")=""))))</f>
        <v>1</v>
      </c>
      <c r="BZ8">
        <f>IF($N$4="",1,--(OR(SUMPRODUCT(--(TRIM(MID(SUBSTITUTE(SUBSTITUTE($N$4,"/",","),",",REPT(" ",99)),(ROW($1:$8)-1)*99+1,99))&lt;&gt;""),--ISNUMBER(SEARCH(TRIM(MID(SUBSTITUTE(SUBSTITUTE($N$4,"/",","),",",REPT(" ",99)),(ROW($1:$8)-1)*99+1,99)),IFERROR(('Final Calculation Sheet'!$M$7)&amp;"",""))))&gt;0,AND(ISNUMBER(SEARCH("blank",$N$4)),NOT(ISNUMBER(SEARCH("nonblank",$N$4))),IFERROR(('Final Calculation Sheet'!$M$7)&amp;"","")=""),AND(OR(ISNUMBER(SEARCH("nonblank",$N$4)),ISNUMBER(SEARCH("&lt;&gt;",$N$4))),IFERROR(('Final Calculation Sheet'!$M$7)&amp;"","")&lt;&gt;""),AND(TRIM($N$4)="",IFERROR(('Final Calculation Sheet'!$M$7)&amp;"","")=""))))</f>
        <v>1</v>
      </c>
      <c r="CA8">
        <f>IF($O$4="",1,--(OR(SUMPRODUCT(--(TRIM(MID(SUBSTITUTE(SUBSTITUTE($O$4,"/",","),",",REPT(" ",99)),(ROW($1:$8)-1)*99+1,99))&lt;&gt;""),--ISNUMBER(SEARCH(TRIM(MID(SUBSTITUTE(SUBSTITUTE($O$4,"/",","),",",REPT(" ",99)),(ROW($1:$8)-1)*99+1,99)),IFERROR(('Final Calculation Sheet'!$N$7)&amp;"",""))))&gt;0,AND(ISNUMBER(SEARCH("blank",$O$4)),NOT(ISNUMBER(SEARCH("nonblank",$O$4))),IFERROR(('Final Calculation Sheet'!$N$7)&amp;"","")=""),AND(OR(ISNUMBER(SEARCH("nonblank",$O$4)),ISNUMBER(SEARCH("&lt;&gt;",$O$4))),IFERROR(('Final Calculation Sheet'!$N$7)&amp;"","")&lt;&gt;""),AND(TRIM($O$4)="",IFERROR(('Final Calculation Sheet'!$N$7)&amp;"","")=""))))</f>
        <v>1</v>
      </c>
      <c r="CB8">
        <f>IF($P$4="",1,--(OR(SUMPRODUCT(--(TRIM(MID(SUBSTITUTE(SUBSTITUTE($P$4,"/",","),",",REPT(" ",99)),(ROW($1:$8)-1)*99+1,99))&lt;&gt;""),--ISNUMBER(SEARCH(TRIM(MID(SUBSTITUTE(SUBSTITUTE($P$4,"/",","),",",REPT(" ",99)),(ROW($1:$8)-1)*99+1,99)),IFERROR(('Final Calculation Sheet'!$O$7)&amp;"",""))))&gt;0,AND(ISNUMBER(SEARCH("blank",$P$4)),NOT(ISNUMBER(SEARCH("nonblank",$P$4))),IFERROR(('Final Calculation Sheet'!$O$7)&amp;"","")=""),AND(OR(ISNUMBER(SEARCH("nonblank",$P$4)),ISNUMBER(SEARCH("&lt;&gt;",$P$4))),IFERROR(('Final Calculation Sheet'!$O$7)&amp;"","")&lt;&gt;""),AND(TRIM($P$4)="",IFERROR(('Final Calculation Sheet'!$O$7)&amp;"","")=""))))</f>
        <v>1</v>
      </c>
      <c r="CC8">
        <f>IF($Q$4="",1,--(OR(SUMPRODUCT(--(TRIM(MID(SUBSTITUTE(SUBSTITUTE($Q$4,"/",","),",",REPT(" ",99)),(ROW($1:$8)-1)*99+1,99))&lt;&gt;""),--ISNUMBER(SEARCH(TRIM(MID(SUBSTITUTE(SUBSTITUTE($Q$4,"/",","),",",REPT(" ",99)),(ROW($1:$8)-1)*99+1,99)),IFERROR(('Final Calculation Sheet'!$P$7)&amp;"",""))))&gt;0,AND(ISNUMBER(SEARCH("blank",$Q$4)),NOT(ISNUMBER(SEARCH("nonblank",$Q$4))),IFERROR(('Final Calculation Sheet'!$P$7)&amp;"","")=""),AND(OR(ISNUMBER(SEARCH("nonblank",$Q$4)),ISNUMBER(SEARCH("&lt;&gt;",$Q$4))),IFERROR(('Final Calculation Sheet'!$P$7)&amp;"","")&lt;&gt;""),AND(TRIM($Q$4)="",IFERROR(('Final Calculation Sheet'!$P$7)&amp;"","")=""))))</f>
        <v>1</v>
      </c>
      <c r="CD8">
        <f>IF($R$4="",1,--(OR(SUMPRODUCT(--(TRIM(MID(SUBSTITUTE(SUBSTITUTE($R$4,"/",","),",",REPT(" ",99)),(ROW($1:$8)-1)*99+1,99))&lt;&gt;""),--ISNUMBER(SEARCH(TRIM(MID(SUBSTITUTE(SUBSTITUTE($R$4,"/",","),",",REPT(" ",99)),(ROW($1:$8)-1)*99+1,99)),IFERROR(('Final Calculation Sheet'!$Q$7)&amp;"",""))))&gt;0,AND(ISNUMBER(SEARCH("blank",$R$4)),NOT(ISNUMBER(SEARCH("nonblank",$R$4))),IFERROR(('Final Calculation Sheet'!$Q$7)&amp;"","")=""),AND(OR(ISNUMBER(SEARCH("nonblank",$R$4)),ISNUMBER(SEARCH("&lt;&gt;",$R$4))),IFERROR(('Final Calculation Sheet'!$Q$7)&amp;"","")&lt;&gt;""),AND(TRIM($R$4)="",IFERROR(('Final Calculation Sheet'!$Q$7)&amp;"","")=""))))</f>
        <v>1</v>
      </c>
      <c r="CE8">
        <f>IF($S$4="",1,--(OR(SUMPRODUCT(--(TRIM(MID(SUBSTITUTE(SUBSTITUTE($S$4,"/",","),",",REPT(" ",99)),(ROW($1:$8)-1)*99+1,99))&lt;&gt;""),--ISNUMBER(SEARCH(TRIM(MID(SUBSTITUTE(SUBSTITUTE($S$4,"/",","),",",REPT(" ",99)),(ROW($1:$8)-1)*99+1,99)),IFERROR(('Final Calculation Sheet'!$R$7)&amp;"",""))))&gt;0,AND(ISNUMBER(SEARCH("blank",$S$4)),NOT(ISNUMBER(SEARCH("nonblank",$S$4))),IFERROR(('Final Calculation Sheet'!$R$7)&amp;"","")=""),AND(OR(ISNUMBER(SEARCH("nonblank",$S$4)),ISNUMBER(SEARCH("&lt;&gt;",$S$4))),IFERROR(('Final Calculation Sheet'!$R$7)&amp;"","")&lt;&gt;""),AND(TRIM($S$4)="",IFERROR(('Final Calculation Sheet'!$R$7)&amp;"","")=""))))</f>
        <v>1</v>
      </c>
      <c r="CF8">
        <f>IF($T$4="",1,--(OR(SUMPRODUCT(--(TRIM(MID(SUBSTITUTE(SUBSTITUTE($T$4,"/",","),",",REPT(" ",99)),(ROW($1:$8)-1)*99+1,99))&lt;&gt;""),--ISNUMBER(SEARCH(TRIM(MID(SUBSTITUTE(SUBSTITUTE($T$4,"/",","),",",REPT(" ",99)),(ROW($1:$8)-1)*99+1,99)),IFERROR(('Final Calculation Sheet'!$S$7)&amp;"",""))))&gt;0,AND(ISNUMBER(SEARCH("blank",$T$4)),NOT(ISNUMBER(SEARCH("nonblank",$T$4))),IFERROR(('Final Calculation Sheet'!$S$7)&amp;"","")=""),AND(OR(ISNUMBER(SEARCH("nonblank",$T$4)),ISNUMBER(SEARCH("&lt;&gt;",$T$4))),IFERROR(('Final Calculation Sheet'!$S$7)&amp;"","")&lt;&gt;""),AND(TRIM($T$4)="",IFERROR(('Final Calculation Sheet'!$S$7)&amp;"","")=""))))</f>
        <v>1</v>
      </c>
      <c r="CG8">
        <f>IF($U$4="",1,--(OR(SUMPRODUCT(--(TRIM(MID(SUBSTITUTE(SUBSTITUTE($U$4,"/",","),",",REPT(" ",99)),(ROW($1:$8)-1)*99+1,99))&lt;&gt;""),--ISNUMBER(SEARCH(TRIM(MID(SUBSTITUTE(SUBSTITUTE($U$4,"/",","),",",REPT(" ",99)),(ROW($1:$8)-1)*99+1,99)),IFERROR(('Final Calculation Sheet'!$T$7)&amp;"",""))))&gt;0,AND(ISNUMBER(SEARCH("blank",$U$4)),NOT(ISNUMBER(SEARCH("nonblank",$U$4))),IFERROR(('Final Calculation Sheet'!$T$7)&amp;"","")=""),AND(OR(ISNUMBER(SEARCH("nonblank",$U$4)),ISNUMBER(SEARCH("&lt;&gt;",$U$4))),IFERROR(('Final Calculation Sheet'!$T$7)&amp;"","")&lt;&gt;""),AND(TRIM($U$4)="",IFERROR(('Final Calculation Sheet'!$T$7)&amp;"","")=""))))</f>
        <v>1</v>
      </c>
      <c r="CH8">
        <f>IF($V$4="",1,--(OR(SUMPRODUCT(--(TRIM(MID(SUBSTITUTE(SUBSTITUTE($V$4,"/",","),",",REPT(" ",99)),(ROW($1:$8)-1)*99+1,99))&lt;&gt;""),--ISNUMBER(SEARCH(TRIM(MID(SUBSTITUTE(SUBSTITUTE($V$4,"/",","),",",REPT(" ",99)),(ROW($1:$8)-1)*99+1,99)),IFERROR(('Final Calculation Sheet'!$U$7)&amp;"",""))))&gt;0,AND(ISNUMBER(SEARCH("blank",$V$4)),NOT(ISNUMBER(SEARCH("nonblank",$V$4))),IFERROR(('Final Calculation Sheet'!$U$7)&amp;"","")=""),AND(OR(ISNUMBER(SEARCH("nonblank",$V$4)),ISNUMBER(SEARCH("&lt;&gt;",$V$4))),IFERROR(('Final Calculation Sheet'!$U$7)&amp;"","")&lt;&gt;""),AND(TRIM($V$4)="",IFERROR(('Final Calculation Sheet'!$U$7)&amp;"","")=""))))</f>
        <v>1</v>
      </c>
      <c r="CI8">
        <f>IF($W$4="",1,--(OR(SUMPRODUCT(--(TRIM(MID(SUBSTITUTE(SUBSTITUTE($W$4,"/",","),",",REPT(" ",99)),(ROW($1:$8)-1)*99+1,99))&lt;&gt;""),--ISNUMBER(SEARCH(TRIM(MID(SUBSTITUTE(SUBSTITUTE($W$4,"/",","),",",REPT(" ",99)),(ROW($1:$8)-1)*99+1,99)),IFERROR(('Final Calculation Sheet'!$V$7)&amp;"",""))))&gt;0,AND(ISNUMBER(SEARCH("blank",$W$4)),NOT(ISNUMBER(SEARCH("nonblank",$W$4))),IFERROR(('Final Calculation Sheet'!$V$7)&amp;"","")=""),AND(OR(ISNUMBER(SEARCH("nonblank",$W$4)),ISNUMBER(SEARCH("&lt;&gt;",$W$4))),IFERROR(('Final Calculation Sheet'!$V$7)&amp;"","")&lt;&gt;""),AND(TRIM($W$4)="",IFERROR(('Final Calculation Sheet'!$V$7)&amp;"","")=""))))</f>
        <v>1</v>
      </c>
      <c r="CJ8">
        <f>IF($X$4="",1,--(OR(SUMPRODUCT(--(TRIM(MID(SUBSTITUTE(SUBSTITUTE($X$4,"/",","),",",REPT(" ",99)),(ROW($1:$8)-1)*99+1,99))&lt;&gt;""),--ISNUMBER(SEARCH(TRIM(MID(SUBSTITUTE(SUBSTITUTE($X$4,"/",","),",",REPT(" ",99)),(ROW($1:$8)-1)*99+1,99)),IFERROR(('Final Calculation Sheet'!$W$7)&amp;"",""))))&gt;0,AND(ISNUMBER(SEARCH("blank",$X$4)),NOT(ISNUMBER(SEARCH("nonblank",$X$4))),IFERROR(('Final Calculation Sheet'!$W$7)&amp;"","")=""),AND(OR(ISNUMBER(SEARCH("nonblank",$X$4)),ISNUMBER(SEARCH("&lt;&gt;",$X$4))),IFERROR(('Final Calculation Sheet'!$W$7)&amp;"","")&lt;&gt;""),AND(TRIM($X$4)="",IFERROR(('Final Calculation Sheet'!$W$7)&amp;"","")=""))))</f>
        <v>1</v>
      </c>
      <c r="CK8">
        <f>IF($Y$4="",1,--(OR(SUMPRODUCT(--(TRIM(MID(SUBSTITUTE(SUBSTITUTE($Y$4,"/",","),",",REPT(" ",99)),(ROW($1:$8)-1)*99+1,99))&lt;&gt;""),--ISNUMBER(SEARCH(TRIM(MID(SUBSTITUTE(SUBSTITUTE($Y$4,"/",","),",",REPT(" ",99)),(ROW($1:$8)-1)*99+1,99)),IFERROR(('Final Calculation Sheet'!$X$7)&amp;"",""))))&gt;0,AND(ISNUMBER(SEARCH("blank",$Y$4)),NOT(ISNUMBER(SEARCH("nonblank",$Y$4))),IFERROR(('Final Calculation Sheet'!$X$7)&amp;"","")=""),AND(OR(ISNUMBER(SEARCH("nonblank",$Y$4)),ISNUMBER(SEARCH("&lt;&gt;",$Y$4))),IFERROR(('Final Calculation Sheet'!$X$7)&amp;"","")&lt;&gt;""),AND(TRIM($Y$4)="",IFERROR(('Final Calculation Sheet'!$X$7)&amp;"","")=""))))</f>
        <v>1</v>
      </c>
      <c r="CL8">
        <f>IF($Z$4="",1,--(OR(SUMPRODUCT(--(TRIM(MID(SUBSTITUTE(SUBSTITUTE($Z$4,"/",","),",",REPT(" ",99)),(ROW($1:$8)-1)*99+1,99))&lt;&gt;""),--ISNUMBER(SEARCH(TRIM(MID(SUBSTITUTE(SUBSTITUTE($Z$4,"/",","),",",REPT(" ",99)),(ROW($1:$8)-1)*99+1,99)),IFERROR(('Final Calculation Sheet'!$Y$7)&amp;"",""))))&gt;0,AND(ISNUMBER(SEARCH("blank",$Z$4)),NOT(ISNUMBER(SEARCH("nonblank",$Z$4))),IFERROR(('Final Calculation Sheet'!$Y$7)&amp;"","")=""),AND(OR(ISNUMBER(SEARCH("nonblank",$Z$4)),ISNUMBER(SEARCH("&lt;&gt;",$Z$4))),IFERROR(('Final Calculation Sheet'!$Y$7)&amp;"","")&lt;&gt;""),AND(TRIM($Z$4)="",IFERROR(('Final Calculation Sheet'!$Y$7)&amp;"","")=""))))</f>
        <v>1</v>
      </c>
      <c r="CM8">
        <f>IF($AA$4="",1,--(OR(SUMPRODUCT(--(TRIM(MID(SUBSTITUTE(SUBSTITUTE($AA$4,"/",","),",",REPT(" ",99)),(ROW($1:$8)-1)*99+1,99))&lt;&gt;""),--ISNUMBER(SEARCH(TRIM(MID(SUBSTITUTE(SUBSTITUTE($AA$4,"/",","),",",REPT(" ",99)),(ROW($1:$8)-1)*99+1,99)),IFERROR(('Final Calculation Sheet'!$Z$7)&amp;"",""))))&gt;0,AND(ISNUMBER(SEARCH("blank",$AA$4)),NOT(ISNUMBER(SEARCH("nonblank",$AA$4))),IFERROR(('Final Calculation Sheet'!$Z$7)&amp;"","")=""),AND(OR(ISNUMBER(SEARCH("nonblank",$AA$4)),ISNUMBER(SEARCH("&lt;&gt;",$AA$4))),IFERROR(('Final Calculation Sheet'!$Z$7)&amp;"","")&lt;&gt;""),AND(TRIM($AA$4)="",IFERROR(('Final Calculation Sheet'!$Z$7)&amp;"","")=""))))</f>
        <v>1</v>
      </c>
      <c r="CN8">
        <f>IF($AB$4="",1,--(OR(SUMPRODUCT(--(TRIM(MID(SUBSTITUTE(SUBSTITUTE($AB$4,"/",","),",",REPT(" ",99)),(ROW($1:$8)-1)*99+1,99))&lt;&gt;""),--ISNUMBER(SEARCH(TRIM(MID(SUBSTITUTE(SUBSTITUTE($AB$4,"/",","),",",REPT(" ",99)),(ROW($1:$8)-1)*99+1,99)),IFERROR(('Final Calculation Sheet'!$AA$7)&amp;"",""))))&gt;0,AND(ISNUMBER(SEARCH("blank",$AB$4)),NOT(ISNUMBER(SEARCH("nonblank",$AB$4))),IFERROR(('Final Calculation Sheet'!$AA$7)&amp;"","")=""),AND(OR(ISNUMBER(SEARCH("nonblank",$AB$4)),ISNUMBER(SEARCH("&lt;&gt;",$AB$4))),IFERROR(('Final Calculation Sheet'!$AA$7)&amp;"","")&lt;&gt;""),AND(TRIM($AB$4)="",IFERROR(('Final Calculation Sheet'!$AA$7)&amp;"","")=""))))</f>
        <v>1</v>
      </c>
      <c r="CO8">
        <f>IF($AC$4="",1,--(OR(SUMPRODUCT(--(TRIM(MID(SUBSTITUTE(SUBSTITUTE($AC$4,"/",","),",",REPT(" ",99)),(ROW($1:$8)-1)*99+1,99))&lt;&gt;""),--ISNUMBER(SEARCH(TRIM(MID(SUBSTITUTE(SUBSTITUTE($AC$4,"/",","),",",REPT(" ",99)),(ROW($1:$8)-1)*99+1,99)),IFERROR(('Final Calculation Sheet'!$AB$7)&amp;"",""))))&gt;0,AND(ISNUMBER(SEARCH("blank",$AC$4)),NOT(ISNUMBER(SEARCH("nonblank",$AC$4))),IFERROR(('Final Calculation Sheet'!$AB$7)&amp;"","")=""),AND(OR(ISNUMBER(SEARCH("nonblank",$AC$4)),ISNUMBER(SEARCH("&lt;&gt;",$AC$4))),IFERROR(('Final Calculation Sheet'!$AB$7)&amp;"","")&lt;&gt;""),AND(TRIM($AC$4)="",IFERROR(('Final Calculation Sheet'!$AB$7)&amp;"","")=""))))</f>
        <v>1</v>
      </c>
      <c r="CP8">
        <f>IF($AD$4="",1,--(OR(SUMPRODUCT(--(TRIM(MID(SUBSTITUTE(SUBSTITUTE($AD$4,"/",","),",",REPT(" ",99)),(ROW($1:$8)-1)*99+1,99))&lt;&gt;""),--ISNUMBER(SEARCH(TRIM(MID(SUBSTITUTE(SUBSTITUTE($AD$4,"/",","),",",REPT(" ",99)),(ROW($1:$8)-1)*99+1,99)),IFERROR(('Final Calculation Sheet'!$AC$7)&amp;"",""))))&gt;0,AND(ISNUMBER(SEARCH("blank",$AD$4)),NOT(ISNUMBER(SEARCH("nonblank",$AD$4))),IFERROR(('Final Calculation Sheet'!$AC$7)&amp;"","")=""),AND(OR(ISNUMBER(SEARCH("nonblank",$AD$4)),ISNUMBER(SEARCH("&lt;&gt;",$AD$4))),IFERROR(('Final Calculation Sheet'!$AC$7)&amp;"","")&lt;&gt;""),AND(TRIM($AD$4)="",IFERROR(('Final Calculation Sheet'!$AC$7)&amp;"","")=""))))</f>
        <v>1</v>
      </c>
      <c r="CQ8">
        <f>IF($AE$4="",1,--(OR(SUMPRODUCT(--(TRIM(MID(SUBSTITUTE(SUBSTITUTE($AE$4,"/",","),",",REPT(" ",99)),(ROW($1:$8)-1)*99+1,99))&lt;&gt;""),--ISNUMBER(SEARCH(TRIM(MID(SUBSTITUTE(SUBSTITUTE($AE$4,"/",","),",",REPT(" ",99)),(ROW($1:$8)-1)*99+1,99)),IFERROR(('Final Calculation Sheet'!$AD$7)&amp;"",""))))&gt;0,AND(ISNUMBER(SEARCH("blank",$AE$4)),NOT(ISNUMBER(SEARCH("nonblank",$AE$4))),IFERROR(('Final Calculation Sheet'!$AD$7)&amp;"","")=""),AND(OR(ISNUMBER(SEARCH("nonblank",$AE$4)),ISNUMBER(SEARCH("&lt;&gt;",$AE$4))),IFERROR(('Final Calculation Sheet'!$AD$7)&amp;"","")&lt;&gt;""),AND(TRIM($AE$4)="",IFERROR(('Final Calculation Sheet'!$AD$7)&amp;"","")=""))))</f>
        <v>1</v>
      </c>
      <c r="CR8">
        <f>IF($AF$4="",1,--(OR(SUMPRODUCT(--(TRIM(MID(SUBSTITUTE(SUBSTITUTE($AF$4,"/",","),",",REPT(" ",99)),(ROW($1:$8)-1)*99+1,99))&lt;&gt;""),--ISNUMBER(SEARCH(TRIM(MID(SUBSTITUTE(SUBSTITUTE($AF$4,"/",","),",",REPT(" ",99)),(ROW($1:$8)-1)*99+1,99)),IFERROR(('Final Calculation Sheet'!$AE$7)&amp;"",""))))&gt;0,AND(ISNUMBER(SEARCH("blank",$AF$4)),NOT(ISNUMBER(SEARCH("nonblank",$AF$4))),IFERROR(('Final Calculation Sheet'!$AE$7)&amp;"","")=""),AND(OR(ISNUMBER(SEARCH("nonblank",$AF$4)),ISNUMBER(SEARCH("&lt;&gt;",$AF$4))),IFERROR(('Final Calculation Sheet'!$AE$7)&amp;"","")&lt;&gt;""),AND(TRIM($AF$4)="",IFERROR(('Final Calculation Sheet'!$AE$7)&amp;"","")=""))))</f>
        <v>1</v>
      </c>
      <c r="CS8">
        <f>IF($AG$4="",1,--(OR(SUMPRODUCT(--(TRIM(MID(SUBSTITUTE(SUBSTITUTE($AG$4,"/",","),",",REPT(" ",99)),(ROW($1:$8)-1)*99+1,99))&lt;&gt;""),--ISNUMBER(SEARCH(TRIM(MID(SUBSTITUTE(SUBSTITUTE($AG$4,"/",","),",",REPT(" ",99)),(ROW($1:$8)-1)*99+1,99)),IFERROR(('Final Calculation Sheet'!$AF$7)&amp;"",""))))&gt;0,AND(ISNUMBER(SEARCH("blank",$AG$4)),NOT(ISNUMBER(SEARCH("nonblank",$AG$4))),IFERROR(('Final Calculation Sheet'!$AF$7)&amp;"","")=""),AND(OR(ISNUMBER(SEARCH("nonblank",$AG$4)),ISNUMBER(SEARCH("&lt;&gt;",$AG$4))),IFERROR(('Final Calculation Sheet'!$AF$7)&amp;"","")&lt;&gt;""),AND(TRIM($AG$4)="",IFERROR(('Final Calculation Sheet'!$AF$7)&amp;"","")=""))))</f>
        <v>1</v>
      </c>
      <c r="CT8">
        <f>IF($AH$4="",1,--(OR(SUMPRODUCT(--(TRIM(MID(SUBSTITUTE(SUBSTITUTE($AH$4,"/",","),",",REPT(" ",99)),(ROW($1:$8)-1)*99+1,99))&lt;&gt;""),--ISNUMBER(SEARCH(TRIM(MID(SUBSTITUTE(SUBSTITUTE($AH$4,"/",","),",",REPT(" ",99)),(ROW($1:$8)-1)*99+1,99)),IFERROR(('Final Calculation Sheet'!$AG$7)&amp;"",""))))&gt;0,AND(ISNUMBER(SEARCH("blank",$AH$4)),NOT(ISNUMBER(SEARCH("nonblank",$AH$4))),IFERROR(('Final Calculation Sheet'!$AG$7)&amp;"","")=""),AND(OR(ISNUMBER(SEARCH("nonblank",$AH$4)),ISNUMBER(SEARCH("&lt;&gt;",$AH$4))),IFERROR(('Final Calculation Sheet'!$AG$7)&amp;"","")&lt;&gt;""),AND(TRIM($AH$4)="",IFERROR(('Final Calculation Sheet'!$AG$7)&amp;"","")=""))))</f>
        <v>1</v>
      </c>
      <c r="CU8">
        <f>IF($AI$4="",1,--(OR(SUMPRODUCT(--(TRIM(MID(SUBSTITUTE(SUBSTITUTE($AI$4,"/",","),",",REPT(" ",99)),(ROW($1:$8)-1)*99+1,99))&lt;&gt;""),--ISNUMBER(SEARCH(TRIM(MID(SUBSTITUTE(SUBSTITUTE($AI$4,"/",","),",",REPT(" ",99)),(ROW($1:$8)-1)*99+1,99)),IFERROR((IF('Final Calculation Sheet'!$AD$7&lt;=5,"SETTLED","OUTSTANDING"))&amp;"",""))))&gt;0,AND(ISNUMBER(SEARCH("blank",$AI$4)),NOT(ISNUMBER(SEARCH("nonblank",$AI$4))),IFERROR((IF('Final Calculation Sheet'!$AD$7&lt;=5,"SETTLED","OUTSTANDING"))&amp;"","")=""),AND(OR(ISNUMBER(SEARCH("nonblank",$AI$4)),ISNUMBER(SEARCH("&lt;&gt;",$AI$4))),IFERROR((IF('Final Calculation Sheet'!$AD$7&lt;=5,"SETTLED","OUTSTANDING"))&amp;"","")&lt;&gt;""),AND(TRIM($AI$4)="",IFERROR((IF('Final Calculation Sheet'!$AD$7&lt;=5,"SETTLED","OUTSTANDING"))&amp;"","")=""))))</f>
        <v>1</v>
      </c>
    </row>
    <row r="9" ht="15" customHeight="1" s="137">
      <c r="A9" s="67">
        <f>IF($BJ8&gt;0,INDEX($BA$5:$BA$41,MATCH(8,$BB$5:$BB$41,0)),IF(OR($BI8=1,$BL8=1,$BH8&gt;0),"∑",""))</f>
        <v>4</v>
      </c>
      <c r="B9" s="76">
        <f>IF($BJ8&gt;0,IF(INDEX('Final Calculation Sheet'!$F$4:$F$40,$BJ8-3)="","",INDEX('Final Calculation Sheet'!$F$4:$F$40,$BJ8-3)),"")</f>
        <v>1876</v>
      </c>
      <c r="C9" s="76" t="str">
        <f>IF($BJ8&gt;0,IF(INDEX('Final Calculation Sheet'!$G$4:$G$40,$BJ8-3)="","",INDEX('Final Calculation Sheet'!$G$4:$G$40,$BJ8-3)),IF(OR($BI8=1,$BL8=1,$BH8&gt;0),IF($BI8=1,37,IF($BL8=1,37-INDEX($BD$4:$BD$13,10),INDEX($BD$4:$BD$13,$BH8)))&amp;" lot(s)",""))</f>
        <v>F R KHANS ENTERPRISES</v>
      </c>
      <c r="D9" s="80" t="str">
        <f>IF($BJ8&gt;0,IF(INDEX('Final Calculation Sheet'!$B$4:$B$40,$BJ8-3)="","",INDEX('Final Calculation Sheet'!$B$4:$B$40,$BJ8-3)),IF(OR($BI8=1,$BL8=1,$BH8&gt;0),IF($BI8=1,"GRAND TOTAL  —  matching + remaining",IF($BL8=1,"TOTAL MATCHED  —  every group together",IF($BH8=10,"REMAINING  —  did not match the search",IF($BH8=9,IF(COUNTIF($A$4:$AI$4,"&lt;&gt;")&gt;0,"FILTERED LOTS  —  column fields","ALL LOTS  —  nothing typed in the box"),"GROUP "&amp;$BH8&amp;" TOTAL  —  lots matching  "&amp;INDEX($AR$6:$AY$6,$BH8))))),""))</f>
        <v>Scrap of MS (extracted from equip cage and empty Sf6 gas cylinder)</v>
      </c>
      <c r="E9" s="80">
        <f>IF($BJ8&gt;0,IF(INDEX('Final Calculation Sheet'!$D$4:$D$40,$BJ8-3)="","",INDEX('Final Calculation Sheet'!$D$4:$D$40,$BJ8-3)),IF(OR($BI8=1,$BL8=1,$BH8&gt;0),"–",""))</f>
        <v>21977</v>
      </c>
      <c r="F9" s="80">
        <f>IF($BJ8&gt;0,IF(INDEX('Final Calculation Sheet'!$A$4:$A$40,$BJ8-3)="","",INDEX('Final Calculation Sheet'!$A$4:$A$40,$BJ8-3)),IF(OR($BI8=1,$BL8=1,$BH8&gt;0),IF($BI8=1,SUM('Final Calculation Sheet'!$A$4:$A$40),IF($BL8=1,SUM('Final Calculation Sheet'!$A$4:$A$40)-SUMIFS('Final Calculation Sheet'!$A$4:$A$40,$AZ$5:$AZ$41,10),SUMIFS('Final Calculation Sheet'!$A$4:$A$40,$AZ$5:$AZ$41,$BH8))),""))</f>
        <v>3000</v>
      </c>
      <c r="G9" s="80" t="str">
        <f>IF($BJ8&gt;0,IF(INDEX('Final Calculation Sheet'!$E$4:$E$40,$BJ8-3)="","",INDEX('Final Calculation Sheet'!$E$4:$E$40,$BJ8-3)),IF(OR($BI8=1,$BL8=1,$BH8&gt;0),"–",""))</f>
        <v>KG</v>
      </c>
      <c r="H9" s="70">
        <f>IF($BJ8&gt;0,IF(INDEX('Final Calculation Sheet'!$C$4:$C$40,$BJ8-3)="","",INDEX('Final Calculation Sheet'!$C$4:$C$40,$BJ8-3)),IF(OR($BI8=1,$BL8=1,$BH8&gt;0),"–",""))</f>
        <v>66</v>
      </c>
      <c r="I9" s="70">
        <f>IF($BJ8&gt;0,IF(INDEX('Final Calculation Sheet'!$H$4:$H$40,$BJ8-3)="","",INDEX('Final Calculation Sheet'!$H$4:$H$40,$BJ8-3)),IF(OR($BI8=1,$BL8=1,$BH8&gt;0),IF($BI8=1,SUM('Final Calculation Sheet'!$H$4:$H$40),IF($BL8=1,SUM('Final Calculation Sheet'!$H$4:$H$40)-SUMIFS('Final Calculation Sheet'!$H$4:$H$40,$AZ$5:$AZ$41,10),SUMIFS('Final Calculation Sheet'!$H$4:$H$40,$AZ$5:$AZ$41,$BH8))),""))</f>
        <v>198000</v>
      </c>
      <c r="J9" s="70">
        <f>IF($BJ8&gt;0,IF(INDEX('Final Calculation Sheet'!$I$4:$I$40,$BJ8-3)="","",INDEX('Final Calculation Sheet'!$I$4:$I$40,$BJ8-3)),IF(OR($BI8=1,$BL8=1,$BH8&gt;0),IF($BI8=1,SUM('Final Calculation Sheet'!$I$4:$I$40),IF($BL8=1,SUM('Final Calculation Sheet'!$I$4:$I$40)-SUMIFS('Final Calculation Sheet'!$I$4:$I$40,$AZ$5:$AZ$41,10),SUMIFS('Final Calculation Sheet'!$I$4:$I$40,$AZ$5:$AZ$41,$BH8))),""))</f>
        <v>35640</v>
      </c>
      <c r="K9" s="70">
        <f>IF($BJ8&gt;0,IF(INDEX('Final Calculation Sheet'!$J$4:$J$40,$BJ8-3)="","",INDEX('Final Calculation Sheet'!$J$4:$J$40,$BJ8-3)),IF(OR($BI8=1,$BL8=1,$BH8&gt;0),IF($BI8=1,SUM('Final Calculation Sheet'!$J$4:$J$40),IF($BL8=1,SUM('Final Calculation Sheet'!$J$4:$J$40)-SUMIFS('Final Calculation Sheet'!$J$4:$J$40,$AZ$5:$AZ$41,10),SUMIFS('Final Calculation Sheet'!$J$4:$J$40,$AZ$5:$AZ$41,$BH8))),""))</f>
        <v>233640</v>
      </c>
      <c r="L9" s="70">
        <f>IF($BJ8&gt;0,IF(INDEX('Final Calculation Sheet'!$K$4:$K$40,$BJ8-3)="","",INDEX('Final Calculation Sheet'!$K$4:$K$40,$BJ8-3)),IF(OR($BI8=1,$BL8=1,$BH8&gt;0),IF($BI8=1,SUM('Final Calculation Sheet'!$K$4:$K$40),IF($BL8=1,SUM('Final Calculation Sheet'!$K$4:$K$40)-SUMIFS('Final Calculation Sheet'!$K$4:$K$40,$AZ$5:$AZ$41,10),SUMIFS('Final Calculation Sheet'!$K$4:$K$40,$AZ$5:$AZ$41,$BH8))),""))</f>
        <v>4673</v>
      </c>
      <c r="M9" s="70">
        <f>IF($BJ8&gt;0,IF(INDEX('Final Calculation Sheet'!$L$4:$L$40,$BJ8-3)="","",INDEX('Final Calculation Sheet'!$L$4:$L$40,$BJ8-3)),IF(OR($BI8=1,$BL8=1,$BH8&gt;0),IF($BI8=1,SUM('Final Calculation Sheet'!$L$4:$L$40),IF($BL8=1,SUM('Final Calculation Sheet'!$L$4:$L$40)-SUMIFS('Final Calculation Sheet'!$L$4:$L$40,$AZ$5:$AZ$41,10),SUMIFS('Final Calculation Sheet'!$L$4:$L$40,$AZ$5:$AZ$41,$BH8))),""))</f>
        <v>198</v>
      </c>
      <c r="N9" s="70">
        <f>IF($BJ8&gt;0,IF(INDEX('Final Calculation Sheet'!$M$4:$M$40,$BJ8-3)="","",INDEX('Final Calculation Sheet'!$M$4:$M$40,$BJ8-3)),IF(OR($BI8=1,$BL8=1,$BH8&gt;0),IF($BI8=1,SUM('Final Calculation Sheet'!$M$4:$M$40),IF($BL8=1,SUM('Final Calculation Sheet'!$M$4:$M$40)-SUMIFS('Final Calculation Sheet'!$M$4:$M$40,$AZ$5:$AZ$41,10),SUMIFS('Final Calculation Sheet'!$M$4:$M$40,$AZ$5:$AZ$41,$BH8))),""))</f>
        <v>5256.9</v>
      </c>
      <c r="O9" s="71">
        <f>IF($BJ8&gt;0,IF(INDEX('Final Calculation Sheet'!$N$4:$N$40,$BJ8-3)="","",INDEX('Final Calculation Sheet'!$N$4:$N$40,$BJ8-3)),IF(OR($BI8=1,$BL8=1,$BH8&gt;0),IF($BI8=1,SUM('Final Calculation Sheet'!$N$4:$N$40),IF($BL8=1,SUM('Final Calculation Sheet'!$N$4:$N$40)-SUMIFS('Final Calculation Sheet'!$N$4:$N$40,$AZ$5:$AZ$41,10),SUMIFS('Final Calculation Sheet'!$N$4:$N$40,$AZ$5:$AZ$41,$BH8))),""))</f>
        <v>89.100000000000009</v>
      </c>
      <c r="P9" s="70">
        <f>IF($BJ8&gt;0,IF(INDEX('Final Calculation Sheet'!$O$4:$O$40,$BJ8-3)="","",INDEX('Final Calculation Sheet'!$O$4:$O$40,$BJ8-3)),IF(OR($BI8=1,$BL8=1,$BH8&gt;0),IF($BI8=1,SUM('Final Calculation Sheet'!$O$4:$O$40),IF($BL8=1,SUM('Final Calculation Sheet'!$O$4:$O$40)-SUMIFS('Final Calculation Sheet'!$O$4:$O$40,$AZ$5:$AZ$41,10),SUMIFS('Final Calculation Sheet'!$O$4:$O$40,$AZ$5:$AZ$41,$BH8))),""))</f>
        <v>5167.7999999999993</v>
      </c>
      <c r="Q9" s="70">
        <f>IF($BJ8&gt;0,IF(INDEX('Final Calculation Sheet'!$P$4:$P$40,$BJ8-3)="","",INDEX('Final Calculation Sheet'!$P$4:$P$40,$BJ8-3)),IF(OR($BI8=1,$BL8=1,$BH8&gt;0),IF($BI8=1,SUM('Final Calculation Sheet'!$P$4:$P$40),IF($BL8=1,SUM('Final Calculation Sheet'!$P$4:$P$40)-SUMIFS('Final Calculation Sheet'!$P$4:$P$40,$AZ$5:$AZ$41,10),SUMIFS('Final Calculation Sheet'!$P$4:$P$40,$AZ$5:$AZ$41,$BH8))),""))</f>
        <v>5366</v>
      </c>
      <c r="R9" s="72">
        <f>IF($BJ8&gt;0,IF(INDEX('Final Calculation Sheet'!$Q$4:$Q$40,$BJ8-3)="","",INDEX('Final Calculation Sheet'!$Q$4:$Q$40,$BJ8-3)),IF(OR($BI8=1,$BL8=1,$BH8&gt;0),"–",""))</f>
        <v>0</v>
      </c>
      <c r="S9" s="70">
        <f>IF($BJ8&gt;0,IF(INDEX('Final Calculation Sheet'!$R$4:$R$40,$BJ8-3)="","",INDEX('Final Calculation Sheet'!$R$4:$R$40,$BJ8-3)),IF(OR($BI8=1,$BL8=1,$BH8&gt;0),IF($BI8=1,SUM('Final Calculation Sheet'!$R$4:$R$40),IF($BL8=1,SUM('Final Calculation Sheet'!$R$4:$R$40)-SUMIFS('Final Calculation Sheet'!$R$4:$R$40,$AZ$5:$AZ$41,10),SUMIFS('Final Calculation Sheet'!$R$4:$R$40,$AZ$5:$AZ$41,$BH8))),""))</f>
        <v>0</v>
      </c>
      <c r="T9" s="70">
        <f>IF($BJ8&gt;0,IF(INDEX('Final Calculation Sheet'!$S$4:$S$40,$BJ8-3)="","",INDEX('Final Calculation Sheet'!$S$4:$S$40,$BJ8-3)),IF(OR($BI8=1,$BL8=1,$BH8&gt;0),IF($BI8=1,SUM('Final Calculation Sheet'!$S$4:$S$40),IF($BL8=1,SUM('Final Calculation Sheet'!$S$4:$S$40)-SUMIFS('Final Calculation Sheet'!$S$4:$S$40,$AZ$5:$AZ$41,10),SUMIFS('Final Calculation Sheet'!$S$4:$S$40,$AZ$5:$AZ$41,$BH8))),""))</f>
        <v>232947</v>
      </c>
      <c r="U9" s="70">
        <f>IF($BJ8&gt;0,IF(INDEX('Final Calculation Sheet'!$T$4:$T$40,$BJ8-3)="","",INDEX('Final Calculation Sheet'!$T$4:$T$40,$BJ8-3)),IF(OR($BI8=1,$BL8=1,$BH8&gt;0),IF($BI8=1,SUM('Final Calculation Sheet'!$T$4:$T$40),IF($BL8=1,SUM('Final Calculation Sheet'!$T$4:$T$40)-SUMIFS('Final Calculation Sheet'!$T$4:$T$40,$AZ$5:$AZ$41,10),SUMIFS('Final Calculation Sheet'!$T$4:$T$40,$AZ$5:$AZ$41,$BH8))),""))</f>
        <v>49500</v>
      </c>
      <c r="V9" s="73">
        <f>IF($BJ8&gt;0,IF(INDEX('Final Calculation Sheet'!$U$4:$U$40,$BJ8-3)="","",INDEX('Final Calculation Sheet'!$U$4:$U$40,$BJ8-3)),IF(OR($BI8=1,$BL8=1,$BH8&gt;0),IF($BI8=1,SUM('Final Calculation Sheet'!$U$4:$U$40),IF($BL8=1,SUM('Final Calculation Sheet'!$U$4:$U$40)-SUMIFS('Final Calculation Sheet'!$U$4:$U$40,$AZ$5:$AZ$41,10),SUMIFS('Final Calculation Sheet'!$U$4:$U$40,$AZ$5:$AZ$41,$BH8))),""))</f>
        <v>49500</v>
      </c>
      <c r="W9" s="70" t="str">
        <f>IF($BJ8&gt;0,IF(INDEX('Final Calculation Sheet'!$V$4:$V$40,$BJ8-3)="","",INDEX('Final Calculation Sheet'!$V$4:$V$40,$BJ8-3)),IF(OR($BI8=1,$BL8=1,$BH8&gt;0),"–",""))</f>
        <v>11.08.2026</v>
      </c>
      <c r="X9" s="70">
        <f>IF($BJ8&gt;0,IF(INDEX('Final Calculation Sheet'!$W$4:$W$40,$BJ8-3)="","",INDEX('Final Calculation Sheet'!$W$4:$W$40,$BJ8-3)),IF(OR($BI8=1,$BL8=1,$BH8&gt;0),IF($BI8=1,SUM('Final Calculation Sheet'!$W$4:$W$40),IF($BL8=1,SUM('Final Calculation Sheet'!$W$4:$W$40)-SUMIFS('Final Calculation Sheet'!$W$4:$W$40,$AZ$5:$AZ$41,10),SUMIFS('Final Calculation Sheet'!$W$4:$W$40,$AZ$5:$AZ$41,$BH8))),""))</f>
        <v>183447</v>
      </c>
      <c r="Y9" s="70">
        <f>IF($BJ8&gt;0,IF(INDEX('Final Calculation Sheet'!$X$4:$X$40,$BJ8-3)="","",INDEX('Final Calculation Sheet'!$X$4:$X$40,$BJ8-3)),IF(OR($BI8=1,$BL8=1,$BH8&gt;0),IF($BI8=1,SUM('Final Calculation Sheet'!$X$4:$X$40),IF($BL8=1,SUM('Final Calculation Sheet'!$X$4:$X$40)-SUMIFS('Final Calculation Sheet'!$X$4:$X$40,$AZ$5:$AZ$41,10),SUMIFS('Final Calculation Sheet'!$X$4:$X$40,$AZ$5:$AZ$41,$BH8))),""))</f>
        <v>183446</v>
      </c>
      <c r="Z9" s="70" t="str">
        <f>IF($BJ8&gt;0,IF(INDEX('Final Calculation Sheet'!$Y$4:$Y$40,$BJ8-3)="","",INDEX('Final Calculation Sheet'!$Y$4:$Y$40,$BJ8-3)),IF(OR($BI8=1,$BL8=1,$BH8&gt;0),"–",""))</f>
        <v>20.08.2026</v>
      </c>
      <c r="AA9" s="70">
        <f>IF($BJ8&gt;0,IF(INDEX('Final Calculation Sheet'!$Z$4:$Z$40,$BJ8-3)="","",INDEX('Final Calculation Sheet'!$Z$4:$Z$40,$BJ8-3)),IF(OR($BI8=1,$BL8=1,$BH8&gt;0),IF($BI8=1,SUM('Final Calculation Sheet'!$Z$4:$Z$40),IF($BL8=1,SUM('Final Calculation Sheet'!$Z$4:$Z$40)-SUMIFS('Final Calculation Sheet'!$Z$4:$Z$40,$AZ$5:$AZ$41,10),SUMIFS('Final Calculation Sheet'!$Z$4:$Z$40,$AZ$5:$AZ$41,$BH8))),""))</f>
        <v>0</v>
      </c>
      <c r="AB9" s="70" t="str">
        <f>IF($BJ8&gt;0,IF(INDEX('Final Calculation Sheet'!$AA$4:$AA$40,$BJ8-3)="","",INDEX('Final Calculation Sheet'!$AA$4:$AA$40,$BJ8-3)),IF(OR($BI8=1,$BL8=1,$BH8&gt;0),IF($BI8=1,SUM('Final Calculation Sheet'!$AA$4:$AA$40),IF($BL8=1,SUM('Final Calculation Sheet'!$AA$4:$AA$40)-SUMIFS('Final Calculation Sheet'!$AA$4:$AA$40,$AZ$5:$AZ$41,10),SUMIFS('Final Calculation Sheet'!$AA$4:$AA$40,$AZ$5:$AZ$41,$BH8))),""))</f>
        <v/>
      </c>
      <c r="AC9" s="70" t="str">
        <f>IF($BJ8&gt;0,IF(INDEX('Final Calculation Sheet'!$AB$4:$AB$40,$BJ8-3)="","",INDEX('Final Calculation Sheet'!$AB$4:$AB$40,$BJ8-3)),IF(OR($BI8=1,$BL8=1,$BH8&gt;0),"–",""))</f>
        <v/>
      </c>
      <c r="AD9" s="70">
        <f>IF($BJ8&gt;0,IF(INDEX('Final Calculation Sheet'!$AC$4:$AC$40,$BJ8-3)="","",INDEX('Final Calculation Sheet'!$AC$4:$AC$40,$BJ8-3)),IF(OR($BI8=1,$BL8=1,$BH8&gt;0),IF($BI8=1,SUM('Final Calculation Sheet'!$AC$4:$AC$40),IF($BL8=1,SUM('Final Calculation Sheet'!$AC$4:$AC$40)-SUMIFS('Final Calculation Sheet'!$AC$4:$AC$40,$AZ$5:$AZ$41,10),SUMIFS('Final Calculation Sheet'!$AC$4:$AC$40,$AZ$5:$AZ$41,$BH8))),""))</f>
        <v>232946</v>
      </c>
      <c r="AE9" s="70">
        <f>IF($BJ8&gt;0,IF(INDEX('Final Calculation Sheet'!$AD$4:$AD$40,$BJ8-3)="","",INDEX('Final Calculation Sheet'!$AD$4:$AD$40,$BJ8-3)),IF(OR($BI8=1,$BL8=1,$BH8&gt;0),IF($BI8=1,SUM('Final Calculation Sheet'!$AD$4:$AD$40),IF($BL8=1,SUM('Final Calculation Sheet'!$AD$4:$AD$40)-SUMIFS('Final Calculation Sheet'!$AD$4:$AD$40,$AZ$5:$AZ$41,10),SUMIFS('Final Calculation Sheet'!$AD$4:$AD$40,$AZ$5:$AZ$41,$BH8))),""))</f>
        <v>1</v>
      </c>
      <c r="AF9" s="70" t="str">
        <f>IF($BJ8&gt;0,IF(INDEX('Final Calculation Sheet'!$AE$4:$AE$40,$BJ8-3)="","",INDEX('Final Calculation Sheet'!$AE$4:$AE$40,$BJ8-3)),IF(OR($BI8=1,$BL8=1,$BH8&gt;0),"–",""))</f>
        <v>DR2640100048</v>
      </c>
      <c r="AG9" s="74">
        <f>IF($BJ8&gt;0,IF(INDEX('Final Calculation Sheet'!$AF$4:$AF$40,$BJ8-3)="","",INDEX('Final Calculation Sheet'!$AF$4:$AF$40,$BJ8-3)),IF(OR($BI8=1,$BL8=1,$BH8&gt;0),"–",""))</f>
        <v>1800003347</v>
      </c>
      <c r="AH9" s="70" t="str">
        <f>IF($BJ8&gt;0,IF(INDEX('Final Calculation Sheet'!$AG$4:$AG$40,$BJ8-3)="","",INDEX('Final Calculation Sheet'!$AG$4:$AG$40,$BJ8-3)),IF(OR($BI8=1,$BL8=1,$BH8&gt;0),"–",""))</f>
        <v>27.08.2026</v>
      </c>
      <c r="AI9" s="75" t="str">
        <f>IF($BJ8&gt;0,IF(INDEX('Final Calculation Sheet'!$AD$4:$AD$40,$BJ8-3)="","",IF(INDEX('Final Calculation Sheet'!$AD$4:$AD$40,$BJ8-3)&lt;=5,"SETTLED","OUTSTANDING")),IF(OR($BI8=1,$BL8=1,$BH8&gt;0),IF(IF($BI8=1,SUM('Final Calculation Sheet'!$AD$4:$AD$40),IF($BL8=1,SUM('Final Calculation Sheet'!$AD$4:$AD$40)-SUMIFS('Final Calculation Sheet'!$AD$4:$AD$40,$AZ$5:$AZ$41,10),SUMIFS('Final Calculation Sheet'!$AD$4:$AD$40,$AZ$5:$AZ$41,$BH8)))&lt;=5,"ALL SETTLED","OUTSTANDING"),""))</f>
        <v>SETTLED</v>
      </c>
      <c r="AJ9" s="76" t="str">
        <f>IF($B$3="",IF(ROW()=5,"— type above —",""),IF(ROW()-4&gt;AL$41,"",INDEX('Final Calculation Sheet'!$F$4:$F$40,MATCH(ROW()-4,$AL$5:$AL$41,0))&amp;" — "&amp;INDEX('Final Calculation Sheet'!$G$4:$G$40,MATCH(ROW()-4,$AL$5:$AL$41,0))))</f>
        <v/>
      </c>
      <c r="AK9" t="str">
        <f>IF($F$3="Lot No.",'Final Calculation Sheet'!$F$8,IF($F$3="Buyer",'Final Calculation Sheet'!$G$8,IF($F$3="Lot Name",'Final Calculation Sheet'!$B$8,IF($F$3="Bid Sheet",'Final Calculation Sheet'!$D$8,IF($F$3="Unit",'Final Calculation Sheet'!$E$8,'Final Calculation Sheet'!$F$8&amp;" "&amp;'Final Calculation Sheet'!$G$8&amp;" "&amp;'Final Calculation Sheet'!$B$8)))))</f>
        <v>1923 OMKAR STEELS SCRAP ACSR CONDUCTORS (Conductor Pieces)</v>
      </c>
      <c r="AL9">
        <f>AL8+IF($B$3="",0,--(SUMPRODUCT(--($AR$6:$AY$6&lt;&gt;""),--ISNUMBER(SEARCH($AR$6:$AY$6,$AK9)))&gt;0))</f>
        <v>0</v>
      </c>
      <c r="AM9">
        <f>IF(COUNTIF($BM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1</v>
      </c>
      <c r="AO9" t="inlineStr">
        <is>
          <t>Unit</t>
        </is>
      </c>
      <c r="AR9">
        <f>IF($AR$6="",0,$AR$8)</f>
        <v>0</v>
      </c>
      <c r="AS9">
        <f>IF($AS$6="",0,$AS$8)</f>
        <v>0</v>
      </c>
      <c r="AT9">
        <f>IF($AT$6="",0,$AT$8)</f>
        <v>0</v>
      </c>
      <c r="AU9">
        <f>IF($AU$6="",0,$AU$8)</f>
        <v>0</v>
      </c>
      <c r="AV9">
        <f>IF($AV$6="",0,$AV$8)</f>
        <v>0</v>
      </c>
      <c r="AW9">
        <f>IF($AW$6="",0,$AW$8)</f>
        <v>0</v>
      </c>
      <c r="AX9">
        <f>IF($AX$6="",0,$AX$8)</f>
        <v>0</v>
      </c>
      <c r="AY9">
        <f>IF($AY$6="",0,$AY$8)</f>
        <v>0</v>
      </c>
      <c r="AZ9">
        <f>IF($B$3="",IF(COUNTIF($A$4:$AI$4,"&lt;&gt;")=0,9,IF($AM9=1,9,10)),IF($AM9=0,10,IF(AND($AR$6&lt;&gt;"",ISNUMBER(SEARCH($AR$6,$AK9))),1,IF(AND($AS$6&lt;&gt;"",ISNUMBER(SEARCH($AS$6,$AK9))),2,IF(AND($AT$6&lt;&gt;"",ISNUMBER(SEARCH($AT$6,$AK9))),3,IF(AND($AU$6&lt;&gt;"",ISNUMBER(SEARCH($AU$6,$AK9))),4,IF(AND($AV$6&lt;&gt;"",ISNUMBER(SEARCH($AV$6,$AK9))),5,IF(AND($AW$6&lt;&gt;"",ISNUMBER(SEARCH($AW$6,$AK9))),6,IF(AND($AX$6&lt;&gt;"",ISNUMBER(SEARCH($AX$6,$AK9))),7,IF(AND($AY$6&lt;&gt;"",ISNUMBER(SEARCH($AY$6,$AK9))),8,0))))))))))</f>
        <v>9</v>
      </c>
      <c r="BA9">
        <f>SUMPRODUCT(($AZ$5:$AZ$41=$AZ9)*($BC$5:$BC$41&lt;$BC9))+1</f>
        <v>5</v>
      </c>
      <c r="BB9">
        <f>IF(INDEX($BF$4:$BF$13,$AZ9)=0,0,INDEX($BE$4:$BE$13,$AZ9)+$BA9-1)</f>
        <v>9</v>
      </c>
      <c r="BC9" t="n">
        <v>8</v>
      </c>
      <c r="BD9">
        <f>COUNTIF($AZ$5:$AZ$41,6)</f>
        <v>0</v>
      </c>
      <c r="BE9">
        <f>IF($BD8=0,$BE8,$BF8+1)</f>
        <v>5</v>
      </c>
      <c r="BF9">
        <f>IF($BD9=0,0,$BE9+$BD9)</f>
        <v>0</v>
      </c>
      <c r="BH9">
        <f>IFERROR(MATCH(9,$BF$4:$BF$13,0),0)</f>
        <v>0</v>
      </c>
      <c r="BI9">
        <f>IF(9=$BG$5,1,0)</f>
        <v>0</v>
      </c>
      <c r="BJ9">
        <f>IF(OR($BH9&gt;0,$BI9=1,$BL9=1),0,IFERROR(INDEX($BC$5:$BC$41,MATCH(9,$BB$5:$BB$41,0)),0))</f>
        <v>8</v>
      </c>
      <c r="BK9">
        <f>IF($BJ9&gt;0,IF(INDEX($AZ$5:$AZ$41,MATCH(9,$BB$5:$BB$41,0))=10,1,0),IF($BH9=10,1,0))</f>
        <v>0</v>
      </c>
      <c r="BL9">
        <f>IF(9=$BG$4,1,0)</f>
        <v>0</v>
      </c>
      <c r="BM9">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1</v>
      </c>
      <c r="BN9">
        <f>IF($B$4="",1,--(OR(SUMPRODUCT(--(TRIM(MID(SUBSTITUTE(SUBSTITUTE($B$4,"/",","),",",REPT(" ",99)),(ROW($1:$8)-1)*99+1,99))&lt;&gt;""),--ISNUMBER(SEARCH(TRIM(MID(SUBSTITUTE(SUBSTITUTE($B$4,"/",","),",",REPT(" ",99)),(ROW($1:$8)-1)*99+1,99)),IFERROR(('Final Calculation Sheet'!$F$8)&amp;"",""))))&gt;0,AND(ISNUMBER(SEARCH("blank",$B$4)),NOT(ISNUMBER(SEARCH("nonblank",$B$4))),IFERROR(('Final Calculation Sheet'!$F$8)&amp;"","")=""),AND(OR(ISNUMBER(SEARCH("nonblank",$B$4)),ISNUMBER(SEARCH("&lt;&gt;",$B$4))),IFERROR(('Final Calculation Sheet'!$F$8)&amp;"","")&lt;&gt;""),AND(TRIM($B$4)="",IFERROR(('Final Calculation Sheet'!$F$8)&amp;"","")=""))))</f>
        <v>1</v>
      </c>
      <c r="BO9">
        <f>IF($C$4="",1,--(OR(SUMPRODUCT(--(TRIM(MID(SUBSTITUTE(SUBSTITUTE($C$4,"/",","),",",REPT(" ",99)),(ROW($1:$8)-1)*99+1,99))&lt;&gt;""),--ISNUMBER(SEARCH(TRIM(MID(SUBSTITUTE(SUBSTITUTE($C$4,"/",","),",",REPT(" ",99)),(ROW($1:$8)-1)*99+1,99)),IFERROR(('Final Calculation Sheet'!$G$8)&amp;"",""))))&gt;0,AND(ISNUMBER(SEARCH("blank",$C$4)),NOT(ISNUMBER(SEARCH("nonblank",$C$4))),IFERROR(('Final Calculation Sheet'!$G$8)&amp;"","")=""),AND(OR(ISNUMBER(SEARCH("nonblank",$C$4)),ISNUMBER(SEARCH("&lt;&gt;",$C$4))),IFERROR(('Final Calculation Sheet'!$G$8)&amp;"","")&lt;&gt;""),AND(TRIM($C$4)="",IFERROR(('Final Calculation Sheet'!$G$8)&amp;"","")=""))))</f>
        <v>1</v>
      </c>
      <c r="BP9">
        <f>IF($D$4="",1,--(OR(SUMPRODUCT(--(TRIM(MID(SUBSTITUTE(SUBSTITUTE($D$4,"/",","),",",REPT(" ",99)),(ROW($1:$8)-1)*99+1,99))&lt;&gt;""),--ISNUMBER(SEARCH(TRIM(MID(SUBSTITUTE(SUBSTITUTE($D$4,"/",","),",",REPT(" ",99)),(ROW($1:$8)-1)*99+1,99)),IFERROR(('Final Calculation Sheet'!$B$8)&amp;"",""))))&gt;0,AND(ISNUMBER(SEARCH("blank",$D$4)),NOT(ISNUMBER(SEARCH("nonblank",$D$4))),IFERROR(('Final Calculation Sheet'!$B$8)&amp;"","")=""),AND(OR(ISNUMBER(SEARCH("nonblank",$D$4)),ISNUMBER(SEARCH("&lt;&gt;",$D$4))),IFERROR(('Final Calculation Sheet'!$B$8)&amp;"","")&lt;&gt;""),AND(TRIM($D$4)="",IFERROR(('Final Calculation Sheet'!$B$8)&amp;"","")=""))))</f>
        <v>1</v>
      </c>
      <c r="BQ9">
        <f>IF($E$4="",1,--(OR(SUMPRODUCT(--(TRIM(MID(SUBSTITUTE(SUBSTITUTE($E$4,"/",","),",",REPT(" ",99)),(ROW($1:$8)-1)*99+1,99))&lt;&gt;""),--ISNUMBER(SEARCH(TRIM(MID(SUBSTITUTE(SUBSTITUTE($E$4,"/",","),",",REPT(" ",99)),(ROW($1:$8)-1)*99+1,99)),IFERROR(('Final Calculation Sheet'!$D$8)&amp;"",""))))&gt;0,AND(ISNUMBER(SEARCH("blank",$E$4)),NOT(ISNUMBER(SEARCH("nonblank",$E$4))),IFERROR(('Final Calculation Sheet'!$D$8)&amp;"","")=""),AND(OR(ISNUMBER(SEARCH("nonblank",$E$4)),ISNUMBER(SEARCH("&lt;&gt;",$E$4))),IFERROR(('Final Calculation Sheet'!$D$8)&amp;"","")&lt;&gt;""),AND(TRIM($E$4)="",IFERROR(('Final Calculation Sheet'!$D$8)&amp;"","")=""))))</f>
        <v>1</v>
      </c>
      <c r="BR9">
        <f>IF($F$4="",1,--(OR(SUMPRODUCT(--(TRIM(MID(SUBSTITUTE(SUBSTITUTE($F$4,"/",","),",",REPT(" ",99)),(ROW($1:$8)-1)*99+1,99))&lt;&gt;""),--ISNUMBER(SEARCH(TRIM(MID(SUBSTITUTE(SUBSTITUTE($F$4,"/",","),",",REPT(" ",99)),(ROW($1:$8)-1)*99+1,99)),IFERROR(('Final Calculation Sheet'!$A$8)&amp;"",""))))&gt;0,AND(ISNUMBER(SEARCH("blank",$F$4)),NOT(ISNUMBER(SEARCH("nonblank",$F$4))),IFERROR(('Final Calculation Sheet'!$A$8)&amp;"","")=""),AND(OR(ISNUMBER(SEARCH("nonblank",$F$4)),ISNUMBER(SEARCH("&lt;&gt;",$F$4))),IFERROR(('Final Calculation Sheet'!$A$8)&amp;"","")&lt;&gt;""),AND(TRIM($F$4)="",IFERROR(('Final Calculation Sheet'!$A$8)&amp;"","")=""))))</f>
        <v>1</v>
      </c>
      <c r="BS9">
        <f>IF($G$4="",1,--(OR(SUMPRODUCT(--(TRIM(MID(SUBSTITUTE(SUBSTITUTE($G$4,"/",","),",",REPT(" ",99)),(ROW($1:$8)-1)*99+1,99))&lt;&gt;""),--ISNUMBER(SEARCH(TRIM(MID(SUBSTITUTE(SUBSTITUTE($G$4,"/",","),",",REPT(" ",99)),(ROW($1:$8)-1)*99+1,99)),IFERROR(('Final Calculation Sheet'!$E$8)&amp;"",""))))&gt;0,AND(ISNUMBER(SEARCH("blank",$G$4)),NOT(ISNUMBER(SEARCH("nonblank",$G$4))),IFERROR(('Final Calculation Sheet'!$E$8)&amp;"","")=""),AND(OR(ISNUMBER(SEARCH("nonblank",$G$4)),ISNUMBER(SEARCH("&lt;&gt;",$G$4))),IFERROR(('Final Calculation Sheet'!$E$8)&amp;"","")&lt;&gt;""),AND(TRIM($G$4)="",IFERROR(('Final Calculation Sheet'!$E$8)&amp;"","")=""))))</f>
        <v>1</v>
      </c>
      <c r="BT9">
        <f>IF($H$4="",1,--(OR(SUMPRODUCT(--(TRIM(MID(SUBSTITUTE(SUBSTITUTE($H$4,"/",","),",",REPT(" ",99)),(ROW($1:$8)-1)*99+1,99))&lt;&gt;""),--ISNUMBER(SEARCH(TRIM(MID(SUBSTITUTE(SUBSTITUTE($H$4,"/",","),",",REPT(" ",99)),(ROW($1:$8)-1)*99+1,99)),IFERROR(('Final Calculation Sheet'!$C$8)&amp;"",""))))&gt;0,AND(ISNUMBER(SEARCH("blank",$H$4)),NOT(ISNUMBER(SEARCH("nonblank",$H$4))),IFERROR(('Final Calculation Sheet'!$C$8)&amp;"","")=""),AND(OR(ISNUMBER(SEARCH("nonblank",$H$4)),ISNUMBER(SEARCH("&lt;&gt;",$H$4))),IFERROR(('Final Calculation Sheet'!$C$8)&amp;"","")&lt;&gt;""),AND(TRIM($H$4)="",IFERROR(('Final Calculation Sheet'!$C$8)&amp;"","")=""))))</f>
        <v>1</v>
      </c>
      <c r="BU9">
        <f>IF($I$4="",1,--(OR(SUMPRODUCT(--(TRIM(MID(SUBSTITUTE(SUBSTITUTE($I$4,"/",","),",",REPT(" ",99)),(ROW($1:$8)-1)*99+1,99))&lt;&gt;""),--ISNUMBER(SEARCH(TRIM(MID(SUBSTITUTE(SUBSTITUTE($I$4,"/",","),",",REPT(" ",99)),(ROW($1:$8)-1)*99+1,99)),IFERROR(('Final Calculation Sheet'!$H$8)&amp;"",""))))&gt;0,AND(ISNUMBER(SEARCH("blank",$I$4)),NOT(ISNUMBER(SEARCH("nonblank",$I$4))),IFERROR(('Final Calculation Sheet'!$H$8)&amp;"","")=""),AND(OR(ISNUMBER(SEARCH("nonblank",$I$4)),ISNUMBER(SEARCH("&lt;&gt;",$I$4))),IFERROR(('Final Calculation Sheet'!$H$8)&amp;"","")&lt;&gt;""),AND(TRIM($I$4)="",IFERROR(('Final Calculation Sheet'!$H$8)&amp;"","")=""))))</f>
        <v>1</v>
      </c>
      <c r="BV9">
        <f>IF($J$4="",1,--(OR(SUMPRODUCT(--(TRIM(MID(SUBSTITUTE(SUBSTITUTE($J$4,"/",","),",",REPT(" ",99)),(ROW($1:$8)-1)*99+1,99))&lt;&gt;""),--ISNUMBER(SEARCH(TRIM(MID(SUBSTITUTE(SUBSTITUTE($J$4,"/",","),",",REPT(" ",99)),(ROW($1:$8)-1)*99+1,99)),IFERROR(('Final Calculation Sheet'!$I$8)&amp;"",""))))&gt;0,AND(ISNUMBER(SEARCH("blank",$J$4)),NOT(ISNUMBER(SEARCH("nonblank",$J$4))),IFERROR(('Final Calculation Sheet'!$I$8)&amp;"","")=""),AND(OR(ISNUMBER(SEARCH("nonblank",$J$4)),ISNUMBER(SEARCH("&lt;&gt;",$J$4))),IFERROR(('Final Calculation Sheet'!$I$8)&amp;"","")&lt;&gt;""),AND(TRIM($J$4)="",IFERROR(('Final Calculation Sheet'!$I$8)&amp;"","")=""))))</f>
        <v>1</v>
      </c>
      <c r="BW9">
        <f>IF($K$4="",1,--(OR(SUMPRODUCT(--(TRIM(MID(SUBSTITUTE(SUBSTITUTE($K$4,"/",","),",",REPT(" ",99)),(ROW($1:$8)-1)*99+1,99))&lt;&gt;""),--ISNUMBER(SEARCH(TRIM(MID(SUBSTITUTE(SUBSTITUTE($K$4,"/",","),",",REPT(" ",99)),(ROW($1:$8)-1)*99+1,99)),IFERROR(('Final Calculation Sheet'!$J$8)&amp;"",""))))&gt;0,AND(ISNUMBER(SEARCH("blank",$K$4)),NOT(ISNUMBER(SEARCH("nonblank",$K$4))),IFERROR(('Final Calculation Sheet'!$J$8)&amp;"","")=""),AND(OR(ISNUMBER(SEARCH("nonblank",$K$4)),ISNUMBER(SEARCH("&lt;&gt;",$K$4))),IFERROR(('Final Calculation Sheet'!$J$8)&amp;"","")&lt;&gt;""),AND(TRIM($K$4)="",IFERROR(('Final Calculation Sheet'!$J$8)&amp;"","")=""))))</f>
        <v>1</v>
      </c>
      <c r="BX9">
        <f>IF($L$4="",1,--(OR(SUMPRODUCT(--(TRIM(MID(SUBSTITUTE(SUBSTITUTE($L$4,"/",","),",",REPT(" ",99)),(ROW($1:$8)-1)*99+1,99))&lt;&gt;""),--ISNUMBER(SEARCH(TRIM(MID(SUBSTITUTE(SUBSTITUTE($L$4,"/",","),",",REPT(" ",99)),(ROW($1:$8)-1)*99+1,99)),IFERROR(('Final Calculation Sheet'!$K$8)&amp;"",""))))&gt;0,AND(ISNUMBER(SEARCH("blank",$L$4)),NOT(ISNUMBER(SEARCH("nonblank",$L$4))),IFERROR(('Final Calculation Sheet'!$K$8)&amp;"","")=""),AND(OR(ISNUMBER(SEARCH("nonblank",$L$4)),ISNUMBER(SEARCH("&lt;&gt;",$L$4))),IFERROR(('Final Calculation Sheet'!$K$8)&amp;"","")&lt;&gt;""),AND(TRIM($L$4)="",IFERROR(('Final Calculation Sheet'!$K$8)&amp;"","")=""))))</f>
        <v>1</v>
      </c>
      <c r="BY9">
        <f>IF($M$4="",1,--(OR(SUMPRODUCT(--(TRIM(MID(SUBSTITUTE(SUBSTITUTE($M$4,"/",","),",",REPT(" ",99)),(ROW($1:$8)-1)*99+1,99))&lt;&gt;""),--ISNUMBER(SEARCH(TRIM(MID(SUBSTITUTE(SUBSTITUTE($M$4,"/",","),",",REPT(" ",99)),(ROW($1:$8)-1)*99+1,99)),IFERROR(('Final Calculation Sheet'!$L$8)&amp;"",""))))&gt;0,AND(ISNUMBER(SEARCH("blank",$M$4)),NOT(ISNUMBER(SEARCH("nonblank",$M$4))),IFERROR(('Final Calculation Sheet'!$L$8)&amp;"","")=""),AND(OR(ISNUMBER(SEARCH("nonblank",$M$4)),ISNUMBER(SEARCH("&lt;&gt;",$M$4))),IFERROR(('Final Calculation Sheet'!$L$8)&amp;"","")&lt;&gt;""),AND(TRIM($M$4)="",IFERROR(('Final Calculation Sheet'!$L$8)&amp;"","")=""))))</f>
        <v>1</v>
      </c>
      <c r="BZ9">
        <f>IF($N$4="",1,--(OR(SUMPRODUCT(--(TRIM(MID(SUBSTITUTE(SUBSTITUTE($N$4,"/",","),",",REPT(" ",99)),(ROW($1:$8)-1)*99+1,99))&lt;&gt;""),--ISNUMBER(SEARCH(TRIM(MID(SUBSTITUTE(SUBSTITUTE($N$4,"/",","),",",REPT(" ",99)),(ROW($1:$8)-1)*99+1,99)),IFERROR(('Final Calculation Sheet'!$M$8)&amp;"",""))))&gt;0,AND(ISNUMBER(SEARCH("blank",$N$4)),NOT(ISNUMBER(SEARCH("nonblank",$N$4))),IFERROR(('Final Calculation Sheet'!$M$8)&amp;"","")=""),AND(OR(ISNUMBER(SEARCH("nonblank",$N$4)),ISNUMBER(SEARCH("&lt;&gt;",$N$4))),IFERROR(('Final Calculation Sheet'!$M$8)&amp;"","")&lt;&gt;""),AND(TRIM($N$4)="",IFERROR(('Final Calculation Sheet'!$M$8)&amp;"","")=""))))</f>
        <v>1</v>
      </c>
      <c r="CA9">
        <f>IF($O$4="",1,--(OR(SUMPRODUCT(--(TRIM(MID(SUBSTITUTE(SUBSTITUTE($O$4,"/",","),",",REPT(" ",99)),(ROW($1:$8)-1)*99+1,99))&lt;&gt;""),--ISNUMBER(SEARCH(TRIM(MID(SUBSTITUTE(SUBSTITUTE($O$4,"/",","),",",REPT(" ",99)),(ROW($1:$8)-1)*99+1,99)),IFERROR(('Final Calculation Sheet'!$N$8)&amp;"",""))))&gt;0,AND(ISNUMBER(SEARCH("blank",$O$4)),NOT(ISNUMBER(SEARCH("nonblank",$O$4))),IFERROR(('Final Calculation Sheet'!$N$8)&amp;"","")=""),AND(OR(ISNUMBER(SEARCH("nonblank",$O$4)),ISNUMBER(SEARCH("&lt;&gt;",$O$4))),IFERROR(('Final Calculation Sheet'!$N$8)&amp;"","")&lt;&gt;""),AND(TRIM($O$4)="",IFERROR(('Final Calculation Sheet'!$N$8)&amp;"","")=""))))</f>
        <v>1</v>
      </c>
      <c r="CB9">
        <f>IF($P$4="",1,--(OR(SUMPRODUCT(--(TRIM(MID(SUBSTITUTE(SUBSTITUTE($P$4,"/",","),",",REPT(" ",99)),(ROW($1:$8)-1)*99+1,99))&lt;&gt;""),--ISNUMBER(SEARCH(TRIM(MID(SUBSTITUTE(SUBSTITUTE($P$4,"/",","),",",REPT(" ",99)),(ROW($1:$8)-1)*99+1,99)),IFERROR(('Final Calculation Sheet'!$O$8)&amp;"",""))))&gt;0,AND(ISNUMBER(SEARCH("blank",$P$4)),NOT(ISNUMBER(SEARCH("nonblank",$P$4))),IFERROR(('Final Calculation Sheet'!$O$8)&amp;"","")=""),AND(OR(ISNUMBER(SEARCH("nonblank",$P$4)),ISNUMBER(SEARCH("&lt;&gt;",$P$4))),IFERROR(('Final Calculation Sheet'!$O$8)&amp;"","")&lt;&gt;""),AND(TRIM($P$4)="",IFERROR(('Final Calculation Sheet'!$O$8)&amp;"","")=""))))</f>
        <v>1</v>
      </c>
      <c r="CC9">
        <f>IF($Q$4="",1,--(OR(SUMPRODUCT(--(TRIM(MID(SUBSTITUTE(SUBSTITUTE($Q$4,"/",","),",",REPT(" ",99)),(ROW($1:$8)-1)*99+1,99))&lt;&gt;""),--ISNUMBER(SEARCH(TRIM(MID(SUBSTITUTE(SUBSTITUTE($Q$4,"/",","),",",REPT(" ",99)),(ROW($1:$8)-1)*99+1,99)),IFERROR(('Final Calculation Sheet'!$P$8)&amp;"",""))))&gt;0,AND(ISNUMBER(SEARCH("blank",$Q$4)),NOT(ISNUMBER(SEARCH("nonblank",$Q$4))),IFERROR(('Final Calculation Sheet'!$P$8)&amp;"","")=""),AND(OR(ISNUMBER(SEARCH("nonblank",$Q$4)),ISNUMBER(SEARCH("&lt;&gt;",$Q$4))),IFERROR(('Final Calculation Sheet'!$P$8)&amp;"","")&lt;&gt;""),AND(TRIM($Q$4)="",IFERROR(('Final Calculation Sheet'!$P$8)&amp;"","")=""))))</f>
        <v>1</v>
      </c>
      <c r="CD9">
        <f>IF($R$4="",1,--(OR(SUMPRODUCT(--(TRIM(MID(SUBSTITUTE(SUBSTITUTE($R$4,"/",","),",",REPT(" ",99)),(ROW($1:$8)-1)*99+1,99))&lt;&gt;""),--ISNUMBER(SEARCH(TRIM(MID(SUBSTITUTE(SUBSTITUTE($R$4,"/",","),",",REPT(" ",99)),(ROW($1:$8)-1)*99+1,99)),IFERROR(('Final Calculation Sheet'!$Q$8)&amp;"",""))))&gt;0,AND(ISNUMBER(SEARCH("blank",$R$4)),NOT(ISNUMBER(SEARCH("nonblank",$R$4))),IFERROR(('Final Calculation Sheet'!$Q$8)&amp;"","")=""),AND(OR(ISNUMBER(SEARCH("nonblank",$R$4)),ISNUMBER(SEARCH("&lt;&gt;",$R$4))),IFERROR(('Final Calculation Sheet'!$Q$8)&amp;"","")&lt;&gt;""),AND(TRIM($R$4)="",IFERROR(('Final Calculation Sheet'!$Q$8)&amp;"","")=""))))</f>
        <v>1</v>
      </c>
      <c r="CE9">
        <f>IF($S$4="",1,--(OR(SUMPRODUCT(--(TRIM(MID(SUBSTITUTE(SUBSTITUTE($S$4,"/",","),",",REPT(" ",99)),(ROW($1:$8)-1)*99+1,99))&lt;&gt;""),--ISNUMBER(SEARCH(TRIM(MID(SUBSTITUTE(SUBSTITUTE($S$4,"/",","),",",REPT(" ",99)),(ROW($1:$8)-1)*99+1,99)),IFERROR(('Final Calculation Sheet'!$R$8)&amp;"",""))))&gt;0,AND(ISNUMBER(SEARCH("blank",$S$4)),NOT(ISNUMBER(SEARCH("nonblank",$S$4))),IFERROR(('Final Calculation Sheet'!$R$8)&amp;"","")=""),AND(OR(ISNUMBER(SEARCH("nonblank",$S$4)),ISNUMBER(SEARCH("&lt;&gt;",$S$4))),IFERROR(('Final Calculation Sheet'!$R$8)&amp;"","")&lt;&gt;""),AND(TRIM($S$4)="",IFERROR(('Final Calculation Sheet'!$R$8)&amp;"","")=""))))</f>
        <v>1</v>
      </c>
      <c r="CF9">
        <f>IF($T$4="",1,--(OR(SUMPRODUCT(--(TRIM(MID(SUBSTITUTE(SUBSTITUTE($T$4,"/",","),",",REPT(" ",99)),(ROW($1:$8)-1)*99+1,99))&lt;&gt;""),--ISNUMBER(SEARCH(TRIM(MID(SUBSTITUTE(SUBSTITUTE($T$4,"/",","),",",REPT(" ",99)),(ROW($1:$8)-1)*99+1,99)),IFERROR(('Final Calculation Sheet'!$S$8)&amp;"",""))))&gt;0,AND(ISNUMBER(SEARCH("blank",$T$4)),NOT(ISNUMBER(SEARCH("nonblank",$T$4))),IFERROR(('Final Calculation Sheet'!$S$8)&amp;"","")=""),AND(OR(ISNUMBER(SEARCH("nonblank",$T$4)),ISNUMBER(SEARCH("&lt;&gt;",$T$4))),IFERROR(('Final Calculation Sheet'!$S$8)&amp;"","")&lt;&gt;""),AND(TRIM($T$4)="",IFERROR(('Final Calculation Sheet'!$S$8)&amp;"","")=""))))</f>
        <v>1</v>
      </c>
      <c r="CG9">
        <f>IF($U$4="",1,--(OR(SUMPRODUCT(--(TRIM(MID(SUBSTITUTE(SUBSTITUTE($U$4,"/",","),",",REPT(" ",99)),(ROW($1:$8)-1)*99+1,99))&lt;&gt;""),--ISNUMBER(SEARCH(TRIM(MID(SUBSTITUTE(SUBSTITUTE($U$4,"/",","),",",REPT(" ",99)),(ROW($1:$8)-1)*99+1,99)),IFERROR(('Final Calculation Sheet'!$T$8)&amp;"",""))))&gt;0,AND(ISNUMBER(SEARCH("blank",$U$4)),NOT(ISNUMBER(SEARCH("nonblank",$U$4))),IFERROR(('Final Calculation Sheet'!$T$8)&amp;"","")=""),AND(OR(ISNUMBER(SEARCH("nonblank",$U$4)),ISNUMBER(SEARCH("&lt;&gt;",$U$4))),IFERROR(('Final Calculation Sheet'!$T$8)&amp;"","")&lt;&gt;""),AND(TRIM($U$4)="",IFERROR(('Final Calculation Sheet'!$T$8)&amp;"","")=""))))</f>
        <v>1</v>
      </c>
      <c r="CH9">
        <f>IF($V$4="",1,--(OR(SUMPRODUCT(--(TRIM(MID(SUBSTITUTE(SUBSTITUTE($V$4,"/",","),",",REPT(" ",99)),(ROW($1:$8)-1)*99+1,99))&lt;&gt;""),--ISNUMBER(SEARCH(TRIM(MID(SUBSTITUTE(SUBSTITUTE($V$4,"/",","),",",REPT(" ",99)),(ROW($1:$8)-1)*99+1,99)),IFERROR(('Final Calculation Sheet'!$U$8)&amp;"",""))))&gt;0,AND(ISNUMBER(SEARCH("blank",$V$4)),NOT(ISNUMBER(SEARCH("nonblank",$V$4))),IFERROR(('Final Calculation Sheet'!$U$8)&amp;"","")=""),AND(OR(ISNUMBER(SEARCH("nonblank",$V$4)),ISNUMBER(SEARCH("&lt;&gt;",$V$4))),IFERROR(('Final Calculation Sheet'!$U$8)&amp;"","")&lt;&gt;""),AND(TRIM($V$4)="",IFERROR(('Final Calculation Sheet'!$U$8)&amp;"","")=""))))</f>
        <v>1</v>
      </c>
      <c r="CI9">
        <f>IF($W$4="",1,--(OR(SUMPRODUCT(--(TRIM(MID(SUBSTITUTE(SUBSTITUTE($W$4,"/",","),",",REPT(" ",99)),(ROW($1:$8)-1)*99+1,99))&lt;&gt;""),--ISNUMBER(SEARCH(TRIM(MID(SUBSTITUTE(SUBSTITUTE($W$4,"/",","),",",REPT(" ",99)),(ROW($1:$8)-1)*99+1,99)),IFERROR(('Final Calculation Sheet'!$V$8)&amp;"",""))))&gt;0,AND(ISNUMBER(SEARCH("blank",$W$4)),NOT(ISNUMBER(SEARCH("nonblank",$W$4))),IFERROR(('Final Calculation Sheet'!$V$8)&amp;"","")=""),AND(OR(ISNUMBER(SEARCH("nonblank",$W$4)),ISNUMBER(SEARCH("&lt;&gt;",$W$4))),IFERROR(('Final Calculation Sheet'!$V$8)&amp;"","")&lt;&gt;""),AND(TRIM($W$4)="",IFERROR(('Final Calculation Sheet'!$V$8)&amp;"","")=""))))</f>
        <v>1</v>
      </c>
      <c r="CJ9">
        <f>IF($X$4="",1,--(OR(SUMPRODUCT(--(TRIM(MID(SUBSTITUTE(SUBSTITUTE($X$4,"/",","),",",REPT(" ",99)),(ROW($1:$8)-1)*99+1,99))&lt;&gt;""),--ISNUMBER(SEARCH(TRIM(MID(SUBSTITUTE(SUBSTITUTE($X$4,"/",","),",",REPT(" ",99)),(ROW($1:$8)-1)*99+1,99)),IFERROR(('Final Calculation Sheet'!$W$8)&amp;"",""))))&gt;0,AND(ISNUMBER(SEARCH("blank",$X$4)),NOT(ISNUMBER(SEARCH("nonblank",$X$4))),IFERROR(('Final Calculation Sheet'!$W$8)&amp;"","")=""),AND(OR(ISNUMBER(SEARCH("nonblank",$X$4)),ISNUMBER(SEARCH("&lt;&gt;",$X$4))),IFERROR(('Final Calculation Sheet'!$W$8)&amp;"","")&lt;&gt;""),AND(TRIM($X$4)="",IFERROR(('Final Calculation Sheet'!$W$8)&amp;"","")=""))))</f>
        <v>1</v>
      </c>
      <c r="CK9">
        <f>IF($Y$4="",1,--(OR(SUMPRODUCT(--(TRIM(MID(SUBSTITUTE(SUBSTITUTE($Y$4,"/",","),",",REPT(" ",99)),(ROW($1:$8)-1)*99+1,99))&lt;&gt;""),--ISNUMBER(SEARCH(TRIM(MID(SUBSTITUTE(SUBSTITUTE($Y$4,"/",","),",",REPT(" ",99)),(ROW($1:$8)-1)*99+1,99)),IFERROR(('Final Calculation Sheet'!$X$8)&amp;"",""))))&gt;0,AND(ISNUMBER(SEARCH("blank",$Y$4)),NOT(ISNUMBER(SEARCH("nonblank",$Y$4))),IFERROR(('Final Calculation Sheet'!$X$8)&amp;"","")=""),AND(OR(ISNUMBER(SEARCH("nonblank",$Y$4)),ISNUMBER(SEARCH("&lt;&gt;",$Y$4))),IFERROR(('Final Calculation Sheet'!$X$8)&amp;"","")&lt;&gt;""),AND(TRIM($Y$4)="",IFERROR(('Final Calculation Sheet'!$X$8)&amp;"","")=""))))</f>
        <v>1</v>
      </c>
      <c r="CL9">
        <f>IF($Z$4="",1,--(OR(SUMPRODUCT(--(TRIM(MID(SUBSTITUTE(SUBSTITUTE($Z$4,"/",","),",",REPT(" ",99)),(ROW($1:$8)-1)*99+1,99))&lt;&gt;""),--ISNUMBER(SEARCH(TRIM(MID(SUBSTITUTE(SUBSTITUTE($Z$4,"/",","),",",REPT(" ",99)),(ROW($1:$8)-1)*99+1,99)),IFERROR(('Final Calculation Sheet'!$Y$8)&amp;"",""))))&gt;0,AND(ISNUMBER(SEARCH("blank",$Z$4)),NOT(ISNUMBER(SEARCH("nonblank",$Z$4))),IFERROR(('Final Calculation Sheet'!$Y$8)&amp;"","")=""),AND(OR(ISNUMBER(SEARCH("nonblank",$Z$4)),ISNUMBER(SEARCH("&lt;&gt;",$Z$4))),IFERROR(('Final Calculation Sheet'!$Y$8)&amp;"","")&lt;&gt;""),AND(TRIM($Z$4)="",IFERROR(('Final Calculation Sheet'!$Y$8)&amp;"","")=""))))</f>
        <v>1</v>
      </c>
      <c r="CM9">
        <f>IF($AA$4="",1,--(OR(SUMPRODUCT(--(TRIM(MID(SUBSTITUTE(SUBSTITUTE($AA$4,"/",","),",",REPT(" ",99)),(ROW($1:$8)-1)*99+1,99))&lt;&gt;""),--ISNUMBER(SEARCH(TRIM(MID(SUBSTITUTE(SUBSTITUTE($AA$4,"/",","),",",REPT(" ",99)),(ROW($1:$8)-1)*99+1,99)),IFERROR(('Final Calculation Sheet'!$Z$8)&amp;"",""))))&gt;0,AND(ISNUMBER(SEARCH("blank",$AA$4)),NOT(ISNUMBER(SEARCH("nonblank",$AA$4))),IFERROR(('Final Calculation Sheet'!$Z$8)&amp;"","")=""),AND(OR(ISNUMBER(SEARCH("nonblank",$AA$4)),ISNUMBER(SEARCH("&lt;&gt;",$AA$4))),IFERROR(('Final Calculation Sheet'!$Z$8)&amp;"","")&lt;&gt;""),AND(TRIM($AA$4)="",IFERROR(('Final Calculation Sheet'!$Z$8)&amp;"","")=""))))</f>
        <v>1</v>
      </c>
      <c r="CN9">
        <f>IF($AB$4="",1,--(OR(SUMPRODUCT(--(TRIM(MID(SUBSTITUTE(SUBSTITUTE($AB$4,"/",","),",",REPT(" ",99)),(ROW($1:$8)-1)*99+1,99))&lt;&gt;""),--ISNUMBER(SEARCH(TRIM(MID(SUBSTITUTE(SUBSTITUTE($AB$4,"/",","),",",REPT(" ",99)),(ROW($1:$8)-1)*99+1,99)),IFERROR(('Final Calculation Sheet'!$AA$8)&amp;"",""))))&gt;0,AND(ISNUMBER(SEARCH("blank",$AB$4)),NOT(ISNUMBER(SEARCH("nonblank",$AB$4))),IFERROR(('Final Calculation Sheet'!$AA$8)&amp;"","")=""),AND(OR(ISNUMBER(SEARCH("nonblank",$AB$4)),ISNUMBER(SEARCH("&lt;&gt;",$AB$4))),IFERROR(('Final Calculation Sheet'!$AA$8)&amp;"","")&lt;&gt;""),AND(TRIM($AB$4)="",IFERROR(('Final Calculation Sheet'!$AA$8)&amp;"","")=""))))</f>
        <v>1</v>
      </c>
      <c r="CO9">
        <f>IF($AC$4="",1,--(OR(SUMPRODUCT(--(TRIM(MID(SUBSTITUTE(SUBSTITUTE($AC$4,"/",","),",",REPT(" ",99)),(ROW($1:$8)-1)*99+1,99))&lt;&gt;""),--ISNUMBER(SEARCH(TRIM(MID(SUBSTITUTE(SUBSTITUTE($AC$4,"/",","),",",REPT(" ",99)),(ROW($1:$8)-1)*99+1,99)),IFERROR(('Final Calculation Sheet'!$AB$8)&amp;"",""))))&gt;0,AND(ISNUMBER(SEARCH("blank",$AC$4)),NOT(ISNUMBER(SEARCH("nonblank",$AC$4))),IFERROR(('Final Calculation Sheet'!$AB$8)&amp;"","")=""),AND(OR(ISNUMBER(SEARCH("nonblank",$AC$4)),ISNUMBER(SEARCH("&lt;&gt;",$AC$4))),IFERROR(('Final Calculation Sheet'!$AB$8)&amp;"","")&lt;&gt;""),AND(TRIM($AC$4)="",IFERROR(('Final Calculation Sheet'!$AB$8)&amp;"","")=""))))</f>
        <v>1</v>
      </c>
      <c r="CP9">
        <f>IF($AD$4="",1,--(OR(SUMPRODUCT(--(TRIM(MID(SUBSTITUTE(SUBSTITUTE($AD$4,"/",","),",",REPT(" ",99)),(ROW($1:$8)-1)*99+1,99))&lt;&gt;""),--ISNUMBER(SEARCH(TRIM(MID(SUBSTITUTE(SUBSTITUTE($AD$4,"/",","),",",REPT(" ",99)),(ROW($1:$8)-1)*99+1,99)),IFERROR(('Final Calculation Sheet'!$AC$8)&amp;"",""))))&gt;0,AND(ISNUMBER(SEARCH("blank",$AD$4)),NOT(ISNUMBER(SEARCH("nonblank",$AD$4))),IFERROR(('Final Calculation Sheet'!$AC$8)&amp;"","")=""),AND(OR(ISNUMBER(SEARCH("nonblank",$AD$4)),ISNUMBER(SEARCH("&lt;&gt;",$AD$4))),IFERROR(('Final Calculation Sheet'!$AC$8)&amp;"","")&lt;&gt;""),AND(TRIM($AD$4)="",IFERROR(('Final Calculation Sheet'!$AC$8)&amp;"","")=""))))</f>
        <v>1</v>
      </c>
      <c r="CQ9">
        <f>IF($AE$4="",1,--(OR(SUMPRODUCT(--(TRIM(MID(SUBSTITUTE(SUBSTITUTE($AE$4,"/",","),",",REPT(" ",99)),(ROW($1:$8)-1)*99+1,99))&lt;&gt;""),--ISNUMBER(SEARCH(TRIM(MID(SUBSTITUTE(SUBSTITUTE($AE$4,"/",","),",",REPT(" ",99)),(ROW($1:$8)-1)*99+1,99)),IFERROR(('Final Calculation Sheet'!$AD$8)&amp;"",""))))&gt;0,AND(ISNUMBER(SEARCH("blank",$AE$4)),NOT(ISNUMBER(SEARCH("nonblank",$AE$4))),IFERROR(('Final Calculation Sheet'!$AD$8)&amp;"","")=""),AND(OR(ISNUMBER(SEARCH("nonblank",$AE$4)),ISNUMBER(SEARCH("&lt;&gt;",$AE$4))),IFERROR(('Final Calculation Sheet'!$AD$8)&amp;"","")&lt;&gt;""),AND(TRIM($AE$4)="",IFERROR(('Final Calculation Sheet'!$AD$8)&amp;"","")=""))))</f>
        <v>1</v>
      </c>
      <c r="CR9">
        <f>IF($AF$4="",1,--(OR(SUMPRODUCT(--(TRIM(MID(SUBSTITUTE(SUBSTITUTE($AF$4,"/",","),",",REPT(" ",99)),(ROW($1:$8)-1)*99+1,99))&lt;&gt;""),--ISNUMBER(SEARCH(TRIM(MID(SUBSTITUTE(SUBSTITUTE($AF$4,"/",","),",",REPT(" ",99)),(ROW($1:$8)-1)*99+1,99)),IFERROR(('Final Calculation Sheet'!$AE$8)&amp;"",""))))&gt;0,AND(ISNUMBER(SEARCH("blank",$AF$4)),NOT(ISNUMBER(SEARCH("nonblank",$AF$4))),IFERROR(('Final Calculation Sheet'!$AE$8)&amp;"","")=""),AND(OR(ISNUMBER(SEARCH("nonblank",$AF$4)),ISNUMBER(SEARCH("&lt;&gt;",$AF$4))),IFERROR(('Final Calculation Sheet'!$AE$8)&amp;"","")&lt;&gt;""),AND(TRIM($AF$4)="",IFERROR(('Final Calculation Sheet'!$AE$8)&amp;"","")=""))))</f>
        <v>1</v>
      </c>
      <c r="CS9">
        <f>IF($AG$4="",1,--(OR(SUMPRODUCT(--(TRIM(MID(SUBSTITUTE(SUBSTITUTE($AG$4,"/",","),",",REPT(" ",99)),(ROW($1:$8)-1)*99+1,99))&lt;&gt;""),--ISNUMBER(SEARCH(TRIM(MID(SUBSTITUTE(SUBSTITUTE($AG$4,"/",","),",",REPT(" ",99)),(ROW($1:$8)-1)*99+1,99)),IFERROR(('Final Calculation Sheet'!$AF$8)&amp;"",""))))&gt;0,AND(ISNUMBER(SEARCH("blank",$AG$4)),NOT(ISNUMBER(SEARCH("nonblank",$AG$4))),IFERROR(('Final Calculation Sheet'!$AF$8)&amp;"","")=""),AND(OR(ISNUMBER(SEARCH("nonblank",$AG$4)),ISNUMBER(SEARCH("&lt;&gt;",$AG$4))),IFERROR(('Final Calculation Sheet'!$AF$8)&amp;"","")&lt;&gt;""),AND(TRIM($AG$4)="",IFERROR(('Final Calculation Sheet'!$AF$8)&amp;"","")=""))))</f>
        <v>1</v>
      </c>
      <c r="CT9">
        <f>IF($AH$4="",1,--(OR(SUMPRODUCT(--(TRIM(MID(SUBSTITUTE(SUBSTITUTE($AH$4,"/",","),",",REPT(" ",99)),(ROW($1:$8)-1)*99+1,99))&lt;&gt;""),--ISNUMBER(SEARCH(TRIM(MID(SUBSTITUTE(SUBSTITUTE($AH$4,"/",","),",",REPT(" ",99)),(ROW($1:$8)-1)*99+1,99)),IFERROR(('Final Calculation Sheet'!$AG$8)&amp;"",""))))&gt;0,AND(ISNUMBER(SEARCH("blank",$AH$4)),NOT(ISNUMBER(SEARCH("nonblank",$AH$4))),IFERROR(('Final Calculation Sheet'!$AG$8)&amp;"","")=""),AND(OR(ISNUMBER(SEARCH("nonblank",$AH$4)),ISNUMBER(SEARCH("&lt;&gt;",$AH$4))),IFERROR(('Final Calculation Sheet'!$AG$8)&amp;"","")&lt;&gt;""),AND(TRIM($AH$4)="",IFERROR(('Final Calculation Sheet'!$AG$8)&amp;"","")=""))))</f>
        <v>1</v>
      </c>
      <c r="CU9">
        <f>IF($AI$4="",1,--(OR(SUMPRODUCT(--(TRIM(MID(SUBSTITUTE(SUBSTITUTE($AI$4,"/",","),",",REPT(" ",99)),(ROW($1:$8)-1)*99+1,99))&lt;&gt;""),--ISNUMBER(SEARCH(TRIM(MID(SUBSTITUTE(SUBSTITUTE($AI$4,"/",","),",",REPT(" ",99)),(ROW($1:$8)-1)*99+1,99)),IFERROR((IF('Final Calculation Sheet'!$AD$8&lt;=5,"SETTLED","OUTSTANDING"))&amp;"",""))))&gt;0,AND(ISNUMBER(SEARCH("blank",$AI$4)),NOT(ISNUMBER(SEARCH("nonblank",$AI$4))),IFERROR((IF('Final Calculation Sheet'!$AD$8&lt;=5,"SETTLED","OUTSTANDING"))&amp;"","")=""),AND(OR(ISNUMBER(SEARCH("nonblank",$AI$4)),ISNUMBER(SEARCH("&lt;&gt;",$AI$4))),IFERROR((IF('Final Calculation Sheet'!$AD$8&lt;=5,"SETTLED","OUTSTANDING"))&amp;"","")&lt;&gt;""),AND(TRIM($AI$4)="",IFERROR((IF('Final Calculation Sheet'!$AD$8&lt;=5,"SETTLED","OUTSTANDING"))&amp;"","")=""))))</f>
        <v>1</v>
      </c>
    </row>
    <row r="10" ht="15" customHeight="1" s="137">
      <c r="A10" s="67">
        <f>IF($BJ9&gt;0,INDEX($BA$5:$BA$41,MATCH(9,$BB$5:$BB$41,0)),IF(OR($BI9=1,$BL9=1,$BH9&gt;0),"∑",""))</f>
        <v>5</v>
      </c>
      <c r="B10" s="76">
        <f>IF($BJ9&gt;0,IF(INDEX('Final Calculation Sheet'!$F$4:$F$40,$BJ9-3)="","",INDEX('Final Calculation Sheet'!$F$4:$F$40,$BJ9-3)),"")</f>
        <v>1923</v>
      </c>
      <c r="C10" s="76" t="str">
        <f>IF($BJ9&gt;0,IF(INDEX('Final Calculation Sheet'!$G$4:$G$40,$BJ9-3)="","",INDEX('Final Calculation Sheet'!$G$4:$G$40,$BJ9-3)),IF(OR($BI9=1,$BL9=1,$BH9&gt;0),IF($BI9=1,37,IF($BL9=1,37-INDEX($BD$4:$BD$13,10),INDEX($BD$4:$BD$13,$BH9)))&amp;" lot(s)",""))</f>
        <v>OMKAR STEELS</v>
      </c>
      <c r="D10" s="80" t="str">
        <f>IF($BJ9&gt;0,IF(INDEX('Final Calculation Sheet'!$B$4:$B$40,$BJ9-3)="","",INDEX('Final Calculation Sheet'!$B$4:$B$40,$BJ9-3)),IF(OR($BI9=1,$BL9=1,$BH9&gt;0),IF($BI9=1,"GRAND TOTAL  —  matching + remaining",IF($BL9=1,"TOTAL MATCHED  —  every group together",IF($BH9=10,"REMAINING  —  did not match the search",IF($BH9=9,IF(COUNTIF($A$4:$AI$4,"&lt;&gt;")&gt;0,"FILTERED LOTS  —  column fields","ALL LOTS  —  nothing typed in the box"),"GROUP "&amp;$BH9&amp;" TOTAL  —  lots matching  "&amp;INDEX($AR$6:$AY$6,$BH9))))),""))</f>
        <v>SCRAP ACSR CONDUCTORS (Conductor Pieces)</v>
      </c>
      <c r="E10" s="80">
        <f>IF($BJ9&gt;0,IF(INDEX('Final Calculation Sheet'!$D$4:$D$40,$BJ9-3)="","",INDEX('Final Calculation Sheet'!$D$4:$D$40,$BJ9-3)),IF(OR($BI9=1,$BL9=1,$BH9&gt;0),"–",""))</f>
        <v>21980</v>
      </c>
      <c r="F10" s="80">
        <f>IF($BJ9&gt;0,IF(INDEX('Final Calculation Sheet'!$A$4:$A$40,$BJ9-3)="","",INDEX('Final Calculation Sheet'!$A$4:$A$40,$BJ9-3)),IF(OR($BI9=1,$BL9=1,$BH9&gt;0),IF($BI9=1,SUM('Final Calculation Sheet'!$A$4:$A$40),IF($BL9=1,SUM('Final Calculation Sheet'!$A$4:$A$40)-SUMIFS('Final Calculation Sheet'!$A$4:$A$40,$AZ$5:$AZ$41,10),SUMIFS('Final Calculation Sheet'!$A$4:$A$40,$AZ$5:$AZ$41,$BH9))),""))</f>
        <v>7253</v>
      </c>
      <c r="G10" s="80" t="str">
        <f>IF($BJ9&gt;0,IF(INDEX('Final Calculation Sheet'!$E$4:$E$40,$BJ9-3)="","",INDEX('Final Calculation Sheet'!$E$4:$E$40,$BJ9-3)),IF(OR($BI9=1,$BL9=1,$BH9&gt;0),"–",""))</f>
        <v>KG</v>
      </c>
      <c r="H10" s="70">
        <f>IF($BJ9&gt;0,IF(INDEX('Final Calculation Sheet'!$C$4:$C$40,$BJ9-3)="","",INDEX('Final Calculation Sheet'!$C$4:$C$40,$BJ9-3)),IF(OR($BI9=1,$BL9=1,$BH9&gt;0),"–",""))</f>
        <v>227</v>
      </c>
      <c r="I10" s="70">
        <f>IF($BJ9&gt;0,IF(INDEX('Final Calculation Sheet'!$H$4:$H$40,$BJ9-3)="","",INDEX('Final Calculation Sheet'!$H$4:$H$40,$BJ9-3)),IF(OR($BI9=1,$BL9=1,$BH9&gt;0),IF($BI9=1,SUM('Final Calculation Sheet'!$H$4:$H$40),IF($BL9=1,SUM('Final Calculation Sheet'!$H$4:$H$40)-SUMIFS('Final Calculation Sheet'!$H$4:$H$40,$AZ$5:$AZ$41,10),SUMIFS('Final Calculation Sheet'!$H$4:$H$40,$AZ$5:$AZ$41,$BH9))),""))</f>
        <v>1646431</v>
      </c>
      <c r="J10" s="70">
        <f>IF($BJ9&gt;0,IF(INDEX('Final Calculation Sheet'!$I$4:$I$40,$BJ9-3)="","",INDEX('Final Calculation Sheet'!$I$4:$I$40,$BJ9-3)),IF(OR($BI9=1,$BL9=1,$BH9&gt;0),IF($BI9=1,SUM('Final Calculation Sheet'!$I$4:$I$40),IF($BL9=1,SUM('Final Calculation Sheet'!$I$4:$I$40)-SUMIFS('Final Calculation Sheet'!$I$4:$I$40,$AZ$5:$AZ$41,10),SUMIFS('Final Calculation Sheet'!$I$4:$I$40,$AZ$5:$AZ$41,$BH9))),""))</f>
        <v>296358</v>
      </c>
      <c r="K10" s="70">
        <f>IF($BJ9&gt;0,IF(INDEX('Final Calculation Sheet'!$J$4:$J$40,$BJ9-3)="","",INDEX('Final Calculation Sheet'!$J$4:$J$40,$BJ9-3)),IF(OR($BI9=1,$BL9=1,$BH9&gt;0),IF($BI9=1,SUM('Final Calculation Sheet'!$J$4:$J$40),IF($BL9=1,SUM('Final Calculation Sheet'!$J$4:$J$40)-SUMIFS('Final Calculation Sheet'!$J$4:$J$40,$AZ$5:$AZ$41,10),SUMIFS('Final Calculation Sheet'!$J$4:$J$40,$AZ$5:$AZ$41,$BH9))),""))</f>
        <v>1942789</v>
      </c>
      <c r="L10" s="70">
        <f>IF($BJ9&gt;0,IF(INDEX('Final Calculation Sheet'!$K$4:$K$40,$BJ9-3)="","",INDEX('Final Calculation Sheet'!$K$4:$K$40,$BJ9-3)),IF(OR($BI9=1,$BL9=1,$BH9&gt;0),IF($BI9=1,SUM('Final Calculation Sheet'!$K$4:$K$40),IF($BL9=1,SUM('Final Calculation Sheet'!$K$4:$K$40)-SUMIFS('Final Calculation Sheet'!$K$4:$K$40,$AZ$5:$AZ$41,10),SUMIFS('Final Calculation Sheet'!$K$4:$K$40,$AZ$5:$AZ$41,$BH9))),""))</f>
        <v>38856</v>
      </c>
      <c r="M10" s="70">
        <f>IF($BJ9&gt;0,IF(INDEX('Final Calculation Sheet'!$L$4:$L$40,$BJ9-3)="","",INDEX('Final Calculation Sheet'!$L$4:$L$40,$BJ9-3)),IF(OR($BI9=1,$BL9=1,$BH9&gt;0),IF($BI9=1,SUM('Final Calculation Sheet'!$L$4:$L$40),IF($BL9=1,SUM('Final Calculation Sheet'!$L$4:$L$40)-SUMIFS('Final Calculation Sheet'!$L$4:$L$40,$AZ$5:$AZ$41,10),SUMIFS('Final Calculation Sheet'!$L$4:$L$40,$AZ$5:$AZ$41,$BH9))),""))</f>
        <v>1646.431</v>
      </c>
      <c r="N10" s="70">
        <f>IF($BJ9&gt;0,IF(INDEX('Final Calculation Sheet'!$M$4:$M$40,$BJ9-3)="","",INDEX('Final Calculation Sheet'!$M$4:$M$40,$BJ9-3)),IF(OR($BI9=1,$BL9=1,$BH9&gt;0),IF($BI9=1,SUM('Final Calculation Sheet'!$M$4:$M$40),IF($BL9=1,SUM('Final Calculation Sheet'!$M$4:$M$40)-SUMIFS('Final Calculation Sheet'!$M$4:$M$40,$AZ$5:$AZ$41,10),SUMIFS('Final Calculation Sheet'!$M$4:$M$40,$AZ$5:$AZ$41,$BH9))),""))</f>
        <v>43712.743049999997</v>
      </c>
      <c r="O10" s="71">
        <f>IF($BJ9&gt;0,IF(INDEX('Final Calculation Sheet'!$N$4:$N$40,$BJ9-3)="","",INDEX('Final Calculation Sheet'!$N$4:$N$40,$BJ9-3)),IF(OR($BI9=1,$BL9=1,$BH9&gt;0),IF($BI9=1,SUM('Final Calculation Sheet'!$N$4:$N$40),IF($BL9=1,SUM('Final Calculation Sheet'!$N$4:$N$40)-SUMIFS('Final Calculation Sheet'!$N$4:$N$40,$AZ$5:$AZ$41,10),SUMIFS('Final Calculation Sheet'!$N$4:$N$40,$AZ$5:$AZ$41,$BH9))),""))</f>
        <v>740.89395000000002</v>
      </c>
      <c r="P10" s="70">
        <f>IF($BJ9&gt;0,IF(INDEX('Final Calculation Sheet'!$O$4:$O$40,$BJ9-3)="","",INDEX('Final Calculation Sheet'!$O$4:$O$40,$BJ9-3)),IF(OR($BI9=1,$BL9=1,$BH9&gt;0),IF($BI9=1,SUM('Final Calculation Sheet'!$O$4:$O$40),IF($BL9=1,SUM('Final Calculation Sheet'!$O$4:$O$40)-SUMIFS('Final Calculation Sheet'!$O$4:$O$40,$AZ$5:$AZ$41,10),SUMIFS('Final Calculation Sheet'!$O$4:$O$40,$AZ$5:$AZ$41,$BH9))),""))</f>
        <v>42971.849099999999</v>
      </c>
      <c r="Q10" s="70">
        <f>IF($BJ9&gt;0,IF(INDEX('Final Calculation Sheet'!$P$4:$P$40,$BJ9-3)="","",INDEX('Final Calculation Sheet'!$P$4:$P$40,$BJ9-3)),IF(OR($BI9=1,$BL9=1,$BH9&gt;0),IF($BI9=1,SUM('Final Calculation Sheet'!$P$4:$P$40),IF($BL9=1,SUM('Final Calculation Sheet'!$P$4:$P$40)-SUMIFS('Final Calculation Sheet'!$P$4:$P$40,$AZ$5:$AZ$41,10),SUMIFS('Final Calculation Sheet'!$P$4:$P$40,$AZ$5:$AZ$41,$BH9))),""))</f>
        <v>44618</v>
      </c>
      <c r="R10" s="72">
        <f>IF($BJ9&gt;0,IF(INDEX('Final Calculation Sheet'!$Q$4:$Q$40,$BJ9-3)="","",INDEX('Final Calculation Sheet'!$Q$4:$Q$40,$BJ9-3)),IF(OR($BI9=1,$BL9=1,$BH9&gt;0),"–",""))</f>
        <v>0.02</v>
      </c>
      <c r="S10" s="70">
        <f>IF($BJ9&gt;0,IF(INDEX('Final Calculation Sheet'!$R$4:$R$40,$BJ9-3)="","",INDEX('Final Calculation Sheet'!$R$4:$R$40,$BJ9-3)),IF(OR($BI9=1,$BL9=1,$BH9&gt;0),IF($BI9=1,SUM('Final Calculation Sheet'!$R$4:$R$40),IF($BL9=1,SUM('Final Calculation Sheet'!$R$4:$R$40)-SUMIFS('Final Calculation Sheet'!$R$4:$R$40,$AZ$5:$AZ$41,10),SUMIFS('Final Calculation Sheet'!$R$4:$R$40,$AZ$5:$AZ$41,$BH9))),""))</f>
        <v>32929</v>
      </c>
      <c r="T10" s="70">
        <f>IF($BJ9&gt;0,IF(INDEX('Final Calculation Sheet'!$S$4:$S$40,$BJ9-3)="","",INDEX('Final Calculation Sheet'!$S$4:$S$40,$BJ9-3)),IF(OR($BI9=1,$BL9=1,$BH9&gt;0),IF($BI9=1,SUM('Final Calculation Sheet'!$S$4:$S$40),IF($BL9=1,SUM('Final Calculation Sheet'!$S$4:$S$40)-SUMIFS('Final Calculation Sheet'!$S$4:$S$40,$AZ$5:$AZ$41,10),SUMIFS('Final Calculation Sheet'!$S$4:$S$40,$AZ$5:$AZ$41,$BH9))),""))</f>
        <v>1904097</v>
      </c>
      <c r="U10" s="70">
        <f>IF($BJ9&gt;0,IF(INDEX('Final Calculation Sheet'!$T$4:$T$40,$BJ9-3)="","",INDEX('Final Calculation Sheet'!$T$4:$T$40,$BJ9-3)),IF(OR($BI9=1,$BL9=1,$BH9&gt;0),IF($BI9=1,SUM('Final Calculation Sheet'!$T$4:$T$40),IF($BL9=1,SUM('Final Calculation Sheet'!$T$4:$T$40)-SUMIFS('Final Calculation Sheet'!$T$4:$T$40,$AZ$5:$AZ$41,10),SUMIFS('Final Calculation Sheet'!$T$4:$T$40,$AZ$5:$AZ$41,$BH9))),""))</f>
        <v>411608</v>
      </c>
      <c r="V10" s="73">
        <f>IF($BJ9&gt;0,IF(INDEX('Final Calculation Sheet'!$U$4:$U$40,$BJ9-3)="","",INDEX('Final Calculation Sheet'!$U$4:$U$40,$BJ9-3)),IF(OR($BI9=1,$BL9=1,$BH9&gt;0),IF($BI9=1,SUM('Final Calculation Sheet'!$U$4:$U$40),IF($BL9=1,SUM('Final Calculation Sheet'!$U$4:$U$40)-SUMIFS('Final Calculation Sheet'!$U$4:$U$40,$AZ$5:$AZ$41,10),SUMIFS('Final Calculation Sheet'!$U$4:$U$40,$AZ$5:$AZ$41,$BH9))),""))</f>
        <v>411608</v>
      </c>
      <c r="W10" s="70" t="str">
        <f>IF($BJ9&gt;0,IF(INDEX('Final Calculation Sheet'!$V$4:$V$40,$BJ9-3)="","",INDEX('Final Calculation Sheet'!$V$4:$V$40,$BJ9-3)),IF(OR($BI9=1,$BL9=1,$BH9&gt;0),"–",""))</f>
        <v>14.08.2026</v>
      </c>
      <c r="X10" s="70">
        <f>IF($BJ9&gt;0,IF(INDEX('Final Calculation Sheet'!$W$4:$W$40,$BJ9-3)="","",INDEX('Final Calculation Sheet'!$W$4:$W$40,$BJ9-3)),IF(OR($BI9=1,$BL9=1,$BH9&gt;0),IF($BI9=1,SUM('Final Calculation Sheet'!$W$4:$W$40),IF($BL9=1,SUM('Final Calculation Sheet'!$W$4:$W$40)-SUMIFS('Final Calculation Sheet'!$W$4:$W$40,$AZ$5:$AZ$41,10),SUMIFS('Final Calculation Sheet'!$W$4:$W$40,$AZ$5:$AZ$41,$BH9))),""))</f>
        <v>1492489</v>
      </c>
      <c r="Y10" s="70">
        <f>IF($BJ9&gt;0,IF(INDEX('Final Calculation Sheet'!$X$4:$X$40,$BJ9-3)="","",INDEX('Final Calculation Sheet'!$X$4:$X$40,$BJ9-3)),IF(OR($BI9=1,$BL9=1,$BH9&gt;0),IF($BI9=1,SUM('Final Calculation Sheet'!$X$4:$X$40),IF($BL9=1,SUM('Final Calculation Sheet'!$X$4:$X$40)-SUMIFS('Final Calculation Sheet'!$X$4:$X$40,$AZ$5:$AZ$41,10),SUMIFS('Final Calculation Sheet'!$X$4:$X$40,$AZ$5:$AZ$41,$BH9))),""))</f>
        <v>1492490</v>
      </c>
      <c r="Z10" s="70" t="str">
        <f>IF($BJ9&gt;0,IF(INDEX('Final Calculation Sheet'!$Y$4:$Y$40,$BJ9-3)="","",INDEX('Final Calculation Sheet'!$Y$4:$Y$40,$BJ9-3)),IF(OR($BI9=1,$BL9=1,$BH9&gt;0),"–",""))</f>
        <v>24.08.2026</v>
      </c>
      <c r="AA10" s="70">
        <f>IF($BJ9&gt;0,IF(INDEX('Final Calculation Sheet'!$Z$4:$Z$40,$BJ9-3)="","",INDEX('Final Calculation Sheet'!$Z$4:$Z$40,$BJ9-3)),IF(OR($BI9=1,$BL9=1,$BH9&gt;0),IF($BI9=1,SUM('Final Calculation Sheet'!$Z$4:$Z$40),IF($BL9=1,SUM('Final Calculation Sheet'!$Z$4:$Z$40)-SUMIFS('Final Calculation Sheet'!$Z$4:$Z$40,$AZ$5:$AZ$41,10),SUMIFS('Final Calculation Sheet'!$Z$4:$Z$40,$AZ$5:$AZ$41,$BH9))),""))</f>
        <v>0</v>
      </c>
      <c r="AB10" s="70" t="str">
        <f>IF($BJ9&gt;0,IF(INDEX('Final Calculation Sheet'!$AA$4:$AA$40,$BJ9-3)="","",INDEX('Final Calculation Sheet'!$AA$4:$AA$40,$BJ9-3)),IF(OR($BI9=1,$BL9=1,$BH9&gt;0),IF($BI9=1,SUM('Final Calculation Sheet'!$AA$4:$AA$40),IF($BL9=1,SUM('Final Calculation Sheet'!$AA$4:$AA$40)-SUMIFS('Final Calculation Sheet'!$AA$4:$AA$40,$AZ$5:$AZ$41,10),SUMIFS('Final Calculation Sheet'!$AA$4:$AA$40,$AZ$5:$AZ$41,$BH9))),""))</f>
        <v/>
      </c>
      <c r="AC10" s="70" t="str">
        <f>IF($BJ9&gt;0,IF(INDEX('Final Calculation Sheet'!$AB$4:$AB$40,$BJ9-3)="","",INDEX('Final Calculation Sheet'!$AB$4:$AB$40,$BJ9-3)),IF(OR($BI9=1,$BL9=1,$BH9&gt;0),"–",""))</f>
        <v/>
      </c>
      <c r="AD10" s="70">
        <f>IF($BJ9&gt;0,IF(INDEX('Final Calculation Sheet'!$AC$4:$AC$40,$BJ9-3)="","",INDEX('Final Calculation Sheet'!$AC$4:$AC$40,$BJ9-3)),IF(OR($BI9=1,$BL9=1,$BH9&gt;0),IF($BI9=1,SUM('Final Calculation Sheet'!$AC$4:$AC$40),IF($BL9=1,SUM('Final Calculation Sheet'!$AC$4:$AC$40)-SUMIFS('Final Calculation Sheet'!$AC$4:$AC$40,$AZ$5:$AZ$41,10),SUMIFS('Final Calculation Sheet'!$AC$4:$AC$40,$AZ$5:$AZ$41,$BH9))),""))</f>
        <v>1904098</v>
      </c>
      <c r="AE10" s="70">
        <f>IF($BJ9&gt;0,IF(INDEX('Final Calculation Sheet'!$AD$4:$AD$40,$BJ9-3)="","",INDEX('Final Calculation Sheet'!$AD$4:$AD$40,$BJ9-3)),IF(OR($BI9=1,$BL9=1,$BH9&gt;0),IF($BI9=1,SUM('Final Calculation Sheet'!$AD$4:$AD$40),IF($BL9=1,SUM('Final Calculation Sheet'!$AD$4:$AD$40)-SUMIFS('Final Calculation Sheet'!$AD$4:$AD$40,$AZ$5:$AZ$41,10),SUMIFS('Final Calculation Sheet'!$AD$4:$AD$40,$AZ$5:$AZ$41,$BH9))),""))</f>
        <v>-1</v>
      </c>
      <c r="AF10" s="70" t="str">
        <f>IF($BJ9&gt;0,IF(INDEX('Final Calculation Sheet'!$AE$4:$AE$40,$BJ9-3)="","",INDEX('Final Calculation Sheet'!$AE$4:$AE$40,$BJ9-3)),IF(OR($BI9=1,$BL9=1,$BH9&gt;0),"–",""))</f>
        <v>DR2640100045</v>
      </c>
      <c r="AG10" s="74">
        <f>IF($BJ9&gt;0,IF(INDEX('Final Calculation Sheet'!$AF$4:$AF$40,$BJ9-3)="","",INDEX('Final Calculation Sheet'!$AF$4:$AF$40,$BJ9-3)),IF(OR($BI9=1,$BL9=1,$BH9&gt;0),"–",""))</f>
        <v>1800003315</v>
      </c>
      <c r="AH10" s="70" t="str">
        <f>IF($BJ9&gt;0,IF(INDEX('Final Calculation Sheet'!$AG$4:$AG$40,$BJ9-3)="","",INDEX('Final Calculation Sheet'!$AG$4:$AG$40,$BJ9-3)),IF(OR($BI9=1,$BL9=1,$BH9&gt;0),"–",""))</f>
        <v>27.08.2026</v>
      </c>
      <c r="AI10" s="75" t="str">
        <f>IF($BJ9&gt;0,IF(INDEX('Final Calculation Sheet'!$AD$4:$AD$40,$BJ9-3)="","",IF(INDEX('Final Calculation Sheet'!$AD$4:$AD$40,$BJ9-3)&lt;=5,"SETTLED","OUTSTANDING")),IF(OR($BI9=1,$BL9=1,$BH9&gt;0),IF(IF($BI9=1,SUM('Final Calculation Sheet'!$AD$4:$AD$40),IF($BL9=1,SUM('Final Calculation Sheet'!$AD$4:$AD$40)-SUMIFS('Final Calculation Sheet'!$AD$4:$AD$40,$AZ$5:$AZ$41,10),SUMIFS('Final Calculation Sheet'!$AD$4:$AD$40,$AZ$5:$AZ$41,$BH9)))&lt;=5,"ALL SETTLED","OUTSTANDING"),""))</f>
        <v>SETTLED</v>
      </c>
      <c r="AJ10" s="76" t="str">
        <f>IF($B$3="",IF(ROW()=5,"— type above —",""),IF(ROW()-4&gt;AL$41,"",INDEX('Final Calculation Sheet'!$F$4:$F$40,MATCH(ROW()-4,$AL$5:$AL$41,0))&amp;" — "&amp;INDEX('Final Calculation Sheet'!$G$4:$G$40,MATCH(ROW()-4,$AL$5:$AL$41,0))))</f>
        <v/>
      </c>
      <c r="AK10" t="str">
        <f>IF($F$3="Lot No.",'Final Calculation Sheet'!$F$9,IF($F$3="Buyer",'Final Calculation Sheet'!$G$9,IF($F$3="Lot Name",'Final Calculation Sheet'!$B$9,IF($F$3="Bid Sheet",'Final Calculation Sheet'!$D$9,IF($F$3="Unit",'Final Calculation Sheet'!$E$9,'Final Calculation Sheet'!$F$9&amp;" "&amp;'Final Calculation Sheet'!$G$9&amp;" "&amp;'Final Calculation Sheet'!$B$9)))))</f>
        <v>1976 SHAR JAHAN TRADERS Scrap Power Transformer</v>
      </c>
      <c r="AL10">
        <f>AL9+IF($B$3="",0,--(SUMPRODUCT(--($AR$6:$AY$6&lt;&gt;""),--ISNUMBER(SEARCH($AR$6:$AY$6,$AK10)))&gt;0))</f>
        <v>0</v>
      </c>
      <c r="AM10">
        <f>IF(COUNTIF($BM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1</v>
      </c>
      <c r="AZ10">
        <f>IF($B$3="",IF(COUNTIF($A$4:$AI$4,"&lt;&gt;")=0,9,IF($AM10=1,9,10)),IF($AM10=0,10,IF(AND($AR$6&lt;&gt;"",ISNUMBER(SEARCH($AR$6,$AK10))),1,IF(AND($AS$6&lt;&gt;"",ISNUMBER(SEARCH($AS$6,$AK10))),2,IF(AND($AT$6&lt;&gt;"",ISNUMBER(SEARCH($AT$6,$AK10))),3,IF(AND($AU$6&lt;&gt;"",ISNUMBER(SEARCH($AU$6,$AK10))),4,IF(AND($AV$6&lt;&gt;"",ISNUMBER(SEARCH($AV$6,$AK10))),5,IF(AND($AW$6&lt;&gt;"",ISNUMBER(SEARCH($AW$6,$AK10))),6,IF(AND($AX$6&lt;&gt;"",ISNUMBER(SEARCH($AX$6,$AK10))),7,IF(AND($AY$6&lt;&gt;"",ISNUMBER(SEARCH($AY$6,$AK10))),8,0))))))))))</f>
        <v>9</v>
      </c>
      <c r="BA10">
        <f>SUMPRODUCT(($AZ$5:$AZ$41=$AZ10)*($BC$5:$BC$41&lt;$BC10))+1</f>
        <v>6</v>
      </c>
      <c r="BB10">
        <f>IF(INDEX($BF$4:$BF$13,$AZ10)=0,0,INDEX($BE$4:$BE$13,$AZ10)+$BA10-1)</f>
        <v>10</v>
      </c>
      <c r="BC10" t="n">
        <v>9</v>
      </c>
      <c r="BD10">
        <f>COUNTIF($AZ$5:$AZ$41,7)</f>
        <v>0</v>
      </c>
      <c r="BE10">
        <f>IF($BD9=0,$BE9,$BF9+1)</f>
        <v>5</v>
      </c>
      <c r="BF10">
        <f>IF($BD10=0,0,$BE10+$BD10)</f>
        <v>0</v>
      </c>
      <c r="BH10">
        <f>IFERROR(MATCH(10,$BF$4:$BF$13,0),0)</f>
        <v>0</v>
      </c>
      <c r="BI10">
        <f>IF(10=$BG$5,1,0)</f>
        <v>0</v>
      </c>
      <c r="BJ10">
        <f>IF(OR($BH10&gt;0,$BI10=1,$BL10=1),0,IFERROR(INDEX($BC$5:$BC$41,MATCH(10,$BB$5:$BB$41,0)),0))</f>
        <v>9</v>
      </c>
      <c r="BK10">
        <f>IF($BJ10&gt;0,IF(INDEX($AZ$5:$AZ$41,MATCH(10,$BB$5:$BB$41,0))=10,1,0),IF($BH10=10,1,0))</f>
        <v>0</v>
      </c>
      <c r="BL10">
        <f>IF(10=$BG$4,1,0)</f>
        <v>0</v>
      </c>
      <c r="BM10">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1</v>
      </c>
      <c r="BN10">
        <f>IF($B$4="",1,--(OR(SUMPRODUCT(--(TRIM(MID(SUBSTITUTE(SUBSTITUTE($B$4,"/",","),",",REPT(" ",99)),(ROW($1:$8)-1)*99+1,99))&lt;&gt;""),--ISNUMBER(SEARCH(TRIM(MID(SUBSTITUTE(SUBSTITUTE($B$4,"/",","),",",REPT(" ",99)),(ROW($1:$8)-1)*99+1,99)),IFERROR(('Final Calculation Sheet'!$F$9)&amp;"",""))))&gt;0,AND(ISNUMBER(SEARCH("blank",$B$4)),NOT(ISNUMBER(SEARCH("nonblank",$B$4))),IFERROR(('Final Calculation Sheet'!$F$9)&amp;"","")=""),AND(OR(ISNUMBER(SEARCH("nonblank",$B$4)),ISNUMBER(SEARCH("&lt;&gt;",$B$4))),IFERROR(('Final Calculation Sheet'!$F$9)&amp;"","")&lt;&gt;""),AND(TRIM($B$4)="",IFERROR(('Final Calculation Sheet'!$F$9)&amp;"","")=""))))</f>
        <v>1</v>
      </c>
      <c r="BO10">
        <f>IF($C$4="",1,--(OR(SUMPRODUCT(--(TRIM(MID(SUBSTITUTE(SUBSTITUTE($C$4,"/",","),",",REPT(" ",99)),(ROW($1:$8)-1)*99+1,99))&lt;&gt;""),--ISNUMBER(SEARCH(TRIM(MID(SUBSTITUTE(SUBSTITUTE($C$4,"/",","),",",REPT(" ",99)),(ROW($1:$8)-1)*99+1,99)),IFERROR(('Final Calculation Sheet'!$G$9)&amp;"",""))))&gt;0,AND(ISNUMBER(SEARCH("blank",$C$4)),NOT(ISNUMBER(SEARCH("nonblank",$C$4))),IFERROR(('Final Calculation Sheet'!$G$9)&amp;"","")=""),AND(OR(ISNUMBER(SEARCH("nonblank",$C$4)),ISNUMBER(SEARCH("&lt;&gt;",$C$4))),IFERROR(('Final Calculation Sheet'!$G$9)&amp;"","")&lt;&gt;""),AND(TRIM($C$4)="",IFERROR(('Final Calculation Sheet'!$G$9)&amp;"","")=""))))</f>
        <v>1</v>
      </c>
      <c r="BP10">
        <f>IF($D$4="",1,--(OR(SUMPRODUCT(--(TRIM(MID(SUBSTITUTE(SUBSTITUTE($D$4,"/",","),",",REPT(" ",99)),(ROW($1:$8)-1)*99+1,99))&lt;&gt;""),--ISNUMBER(SEARCH(TRIM(MID(SUBSTITUTE(SUBSTITUTE($D$4,"/",","),",",REPT(" ",99)),(ROW($1:$8)-1)*99+1,99)),IFERROR(('Final Calculation Sheet'!$B$9)&amp;"",""))))&gt;0,AND(ISNUMBER(SEARCH("blank",$D$4)),NOT(ISNUMBER(SEARCH("nonblank",$D$4))),IFERROR(('Final Calculation Sheet'!$B$9)&amp;"","")=""),AND(OR(ISNUMBER(SEARCH("nonblank",$D$4)),ISNUMBER(SEARCH("&lt;&gt;",$D$4))),IFERROR(('Final Calculation Sheet'!$B$9)&amp;"","")&lt;&gt;""),AND(TRIM($D$4)="",IFERROR(('Final Calculation Sheet'!$B$9)&amp;"","")=""))))</f>
        <v>1</v>
      </c>
      <c r="BQ10">
        <f>IF($E$4="",1,--(OR(SUMPRODUCT(--(TRIM(MID(SUBSTITUTE(SUBSTITUTE($E$4,"/",","),",",REPT(" ",99)),(ROW($1:$8)-1)*99+1,99))&lt;&gt;""),--ISNUMBER(SEARCH(TRIM(MID(SUBSTITUTE(SUBSTITUTE($E$4,"/",","),",",REPT(" ",99)),(ROW($1:$8)-1)*99+1,99)),IFERROR(('Final Calculation Sheet'!$D$9)&amp;"",""))))&gt;0,AND(ISNUMBER(SEARCH("blank",$E$4)),NOT(ISNUMBER(SEARCH("nonblank",$E$4))),IFERROR(('Final Calculation Sheet'!$D$9)&amp;"","")=""),AND(OR(ISNUMBER(SEARCH("nonblank",$E$4)),ISNUMBER(SEARCH("&lt;&gt;",$E$4))),IFERROR(('Final Calculation Sheet'!$D$9)&amp;"","")&lt;&gt;""),AND(TRIM($E$4)="",IFERROR(('Final Calculation Sheet'!$D$9)&amp;"","")=""))))</f>
        <v>1</v>
      </c>
      <c r="BR10">
        <f>IF($F$4="",1,--(OR(SUMPRODUCT(--(TRIM(MID(SUBSTITUTE(SUBSTITUTE($F$4,"/",","),",",REPT(" ",99)),(ROW($1:$8)-1)*99+1,99))&lt;&gt;""),--ISNUMBER(SEARCH(TRIM(MID(SUBSTITUTE(SUBSTITUTE($F$4,"/",","),",",REPT(" ",99)),(ROW($1:$8)-1)*99+1,99)),IFERROR(('Final Calculation Sheet'!$A$9)&amp;"",""))))&gt;0,AND(ISNUMBER(SEARCH("blank",$F$4)),NOT(ISNUMBER(SEARCH("nonblank",$F$4))),IFERROR(('Final Calculation Sheet'!$A$9)&amp;"","")=""),AND(OR(ISNUMBER(SEARCH("nonblank",$F$4)),ISNUMBER(SEARCH("&lt;&gt;",$F$4))),IFERROR(('Final Calculation Sheet'!$A$9)&amp;"","")&lt;&gt;""),AND(TRIM($F$4)="",IFERROR(('Final Calculation Sheet'!$A$9)&amp;"","")=""))))</f>
        <v>1</v>
      </c>
      <c r="BS10">
        <f>IF($G$4="",1,--(OR(SUMPRODUCT(--(TRIM(MID(SUBSTITUTE(SUBSTITUTE($G$4,"/",","),",",REPT(" ",99)),(ROW($1:$8)-1)*99+1,99))&lt;&gt;""),--ISNUMBER(SEARCH(TRIM(MID(SUBSTITUTE(SUBSTITUTE($G$4,"/",","),",",REPT(" ",99)),(ROW($1:$8)-1)*99+1,99)),IFERROR(('Final Calculation Sheet'!$E$9)&amp;"",""))))&gt;0,AND(ISNUMBER(SEARCH("blank",$G$4)),NOT(ISNUMBER(SEARCH("nonblank",$G$4))),IFERROR(('Final Calculation Sheet'!$E$9)&amp;"","")=""),AND(OR(ISNUMBER(SEARCH("nonblank",$G$4)),ISNUMBER(SEARCH("&lt;&gt;",$G$4))),IFERROR(('Final Calculation Sheet'!$E$9)&amp;"","")&lt;&gt;""),AND(TRIM($G$4)="",IFERROR(('Final Calculation Sheet'!$E$9)&amp;"","")=""))))</f>
        <v>1</v>
      </c>
      <c r="BT10">
        <f>IF($H$4="",1,--(OR(SUMPRODUCT(--(TRIM(MID(SUBSTITUTE(SUBSTITUTE($H$4,"/",","),",",REPT(" ",99)),(ROW($1:$8)-1)*99+1,99))&lt;&gt;""),--ISNUMBER(SEARCH(TRIM(MID(SUBSTITUTE(SUBSTITUTE($H$4,"/",","),",",REPT(" ",99)),(ROW($1:$8)-1)*99+1,99)),IFERROR(('Final Calculation Sheet'!$C$9)&amp;"",""))))&gt;0,AND(ISNUMBER(SEARCH("blank",$H$4)),NOT(ISNUMBER(SEARCH("nonblank",$H$4))),IFERROR(('Final Calculation Sheet'!$C$9)&amp;"","")=""),AND(OR(ISNUMBER(SEARCH("nonblank",$H$4)),ISNUMBER(SEARCH("&lt;&gt;",$H$4))),IFERROR(('Final Calculation Sheet'!$C$9)&amp;"","")&lt;&gt;""),AND(TRIM($H$4)="",IFERROR(('Final Calculation Sheet'!$C$9)&amp;"","")=""))))</f>
        <v>1</v>
      </c>
      <c r="BU10">
        <f>IF($I$4="",1,--(OR(SUMPRODUCT(--(TRIM(MID(SUBSTITUTE(SUBSTITUTE($I$4,"/",","),",",REPT(" ",99)),(ROW($1:$8)-1)*99+1,99))&lt;&gt;""),--ISNUMBER(SEARCH(TRIM(MID(SUBSTITUTE(SUBSTITUTE($I$4,"/",","),",",REPT(" ",99)),(ROW($1:$8)-1)*99+1,99)),IFERROR(('Final Calculation Sheet'!$H$9)&amp;"",""))))&gt;0,AND(ISNUMBER(SEARCH("blank",$I$4)),NOT(ISNUMBER(SEARCH("nonblank",$I$4))),IFERROR(('Final Calculation Sheet'!$H$9)&amp;"","")=""),AND(OR(ISNUMBER(SEARCH("nonblank",$I$4)),ISNUMBER(SEARCH("&lt;&gt;",$I$4))),IFERROR(('Final Calculation Sheet'!$H$9)&amp;"","")&lt;&gt;""),AND(TRIM($I$4)="",IFERROR(('Final Calculation Sheet'!$H$9)&amp;"","")=""))))</f>
        <v>1</v>
      </c>
      <c r="BV10">
        <f>IF($J$4="",1,--(OR(SUMPRODUCT(--(TRIM(MID(SUBSTITUTE(SUBSTITUTE($J$4,"/",","),",",REPT(" ",99)),(ROW($1:$8)-1)*99+1,99))&lt;&gt;""),--ISNUMBER(SEARCH(TRIM(MID(SUBSTITUTE(SUBSTITUTE($J$4,"/",","),",",REPT(" ",99)),(ROW($1:$8)-1)*99+1,99)),IFERROR(('Final Calculation Sheet'!$I$9)&amp;"",""))))&gt;0,AND(ISNUMBER(SEARCH("blank",$J$4)),NOT(ISNUMBER(SEARCH("nonblank",$J$4))),IFERROR(('Final Calculation Sheet'!$I$9)&amp;"","")=""),AND(OR(ISNUMBER(SEARCH("nonblank",$J$4)),ISNUMBER(SEARCH("&lt;&gt;",$J$4))),IFERROR(('Final Calculation Sheet'!$I$9)&amp;"","")&lt;&gt;""),AND(TRIM($J$4)="",IFERROR(('Final Calculation Sheet'!$I$9)&amp;"","")=""))))</f>
        <v>1</v>
      </c>
      <c r="BW10">
        <f>IF($K$4="",1,--(OR(SUMPRODUCT(--(TRIM(MID(SUBSTITUTE(SUBSTITUTE($K$4,"/",","),",",REPT(" ",99)),(ROW($1:$8)-1)*99+1,99))&lt;&gt;""),--ISNUMBER(SEARCH(TRIM(MID(SUBSTITUTE(SUBSTITUTE($K$4,"/",","),",",REPT(" ",99)),(ROW($1:$8)-1)*99+1,99)),IFERROR(('Final Calculation Sheet'!$J$9)&amp;"",""))))&gt;0,AND(ISNUMBER(SEARCH("blank",$K$4)),NOT(ISNUMBER(SEARCH("nonblank",$K$4))),IFERROR(('Final Calculation Sheet'!$J$9)&amp;"","")=""),AND(OR(ISNUMBER(SEARCH("nonblank",$K$4)),ISNUMBER(SEARCH("&lt;&gt;",$K$4))),IFERROR(('Final Calculation Sheet'!$J$9)&amp;"","")&lt;&gt;""),AND(TRIM($K$4)="",IFERROR(('Final Calculation Sheet'!$J$9)&amp;"","")=""))))</f>
        <v>1</v>
      </c>
      <c r="BX10">
        <f>IF($L$4="",1,--(OR(SUMPRODUCT(--(TRIM(MID(SUBSTITUTE(SUBSTITUTE($L$4,"/",","),",",REPT(" ",99)),(ROW($1:$8)-1)*99+1,99))&lt;&gt;""),--ISNUMBER(SEARCH(TRIM(MID(SUBSTITUTE(SUBSTITUTE($L$4,"/",","),",",REPT(" ",99)),(ROW($1:$8)-1)*99+1,99)),IFERROR(('Final Calculation Sheet'!$K$9)&amp;"",""))))&gt;0,AND(ISNUMBER(SEARCH("blank",$L$4)),NOT(ISNUMBER(SEARCH("nonblank",$L$4))),IFERROR(('Final Calculation Sheet'!$K$9)&amp;"","")=""),AND(OR(ISNUMBER(SEARCH("nonblank",$L$4)),ISNUMBER(SEARCH("&lt;&gt;",$L$4))),IFERROR(('Final Calculation Sheet'!$K$9)&amp;"","")&lt;&gt;""),AND(TRIM($L$4)="",IFERROR(('Final Calculation Sheet'!$K$9)&amp;"","")=""))))</f>
        <v>1</v>
      </c>
      <c r="BY10">
        <f>IF($M$4="",1,--(OR(SUMPRODUCT(--(TRIM(MID(SUBSTITUTE(SUBSTITUTE($M$4,"/",","),",",REPT(" ",99)),(ROW($1:$8)-1)*99+1,99))&lt;&gt;""),--ISNUMBER(SEARCH(TRIM(MID(SUBSTITUTE(SUBSTITUTE($M$4,"/",","),",",REPT(" ",99)),(ROW($1:$8)-1)*99+1,99)),IFERROR(('Final Calculation Sheet'!$L$9)&amp;"",""))))&gt;0,AND(ISNUMBER(SEARCH("blank",$M$4)),NOT(ISNUMBER(SEARCH("nonblank",$M$4))),IFERROR(('Final Calculation Sheet'!$L$9)&amp;"","")=""),AND(OR(ISNUMBER(SEARCH("nonblank",$M$4)),ISNUMBER(SEARCH("&lt;&gt;",$M$4))),IFERROR(('Final Calculation Sheet'!$L$9)&amp;"","")&lt;&gt;""),AND(TRIM($M$4)="",IFERROR(('Final Calculation Sheet'!$L$9)&amp;"","")=""))))</f>
        <v>1</v>
      </c>
      <c r="BZ10">
        <f>IF($N$4="",1,--(OR(SUMPRODUCT(--(TRIM(MID(SUBSTITUTE(SUBSTITUTE($N$4,"/",","),",",REPT(" ",99)),(ROW($1:$8)-1)*99+1,99))&lt;&gt;""),--ISNUMBER(SEARCH(TRIM(MID(SUBSTITUTE(SUBSTITUTE($N$4,"/",","),",",REPT(" ",99)),(ROW($1:$8)-1)*99+1,99)),IFERROR(('Final Calculation Sheet'!$M$9)&amp;"",""))))&gt;0,AND(ISNUMBER(SEARCH("blank",$N$4)),NOT(ISNUMBER(SEARCH("nonblank",$N$4))),IFERROR(('Final Calculation Sheet'!$M$9)&amp;"","")=""),AND(OR(ISNUMBER(SEARCH("nonblank",$N$4)),ISNUMBER(SEARCH("&lt;&gt;",$N$4))),IFERROR(('Final Calculation Sheet'!$M$9)&amp;"","")&lt;&gt;""),AND(TRIM($N$4)="",IFERROR(('Final Calculation Sheet'!$M$9)&amp;"","")=""))))</f>
        <v>1</v>
      </c>
      <c r="CA10">
        <f>IF($O$4="",1,--(OR(SUMPRODUCT(--(TRIM(MID(SUBSTITUTE(SUBSTITUTE($O$4,"/",","),",",REPT(" ",99)),(ROW($1:$8)-1)*99+1,99))&lt;&gt;""),--ISNUMBER(SEARCH(TRIM(MID(SUBSTITUTE(SUBSTITUTE($O$4,"/",","),",",REPT(" ",99)),(ROW($1:$8)-1)*99+1,99)),IFERROR(('Final Calculation Sheet'!$N$9)&amp;"",""))))&gt;0,AND(ISNUMBER(SEARCH("blank",$O$4)),NOT(ISNUMBER(SEARCH("nonblank",$O$4))),IFERROR(('Final Calculation Sheet'!$N$9)&amp;"","")=""),AND(OR(ISNUMBER(SEARCH("nonblank",$O$4)),ISNUMBER(SEARCH("&lt;&gt;",$O$4))),IFERROR(('Final Calculation Sheet'!$N$9)&amp;"","")&lt;&gt;""),AND(TRIM($O$4)="",IFERROR(('Final Calculation Sheet'!$N$9)&amp;"","")=""))))</f>
        <v>1</v>
      </c>
      <c r="CB10">
        <f>IF($P$4="",1,--(OR(SUMPRODUCT(--(TRIM(MID(SUBSTITUTE(SUBSTITUTE($P$4,"/",","),",",REPT(" ",99)),(ROW($1:$8)-1)*99+1,99))&lt;&gt;""),--ISNUMBER(SEARCH(TRIM(MID(SUBSTITUTE(SUBSTITUTE($P$4,"/",","),",",REPT(" ",99)),(ROW($1:$8)-1)*99+1,99)),IFERROR(('Final Calculation Sheet'!$O$9)&amp;"",""))))&gt;0,AND(ISNUMBER(SEARCH("blank",$P$4)),NOT(ISNUMBER(SEARCH("nonblank",$P$4))),IFERROR(('Final Calculation Sheet'!$O$9)&amp;"","")=""),AND(OR(ISNUMBER(SEARCH("nonblank",$P$4)),ISNUMBER(SEARCH("&lt;&gt;",$P$4))),IFERROR(('Final Calculation Sheet'!$O$9)&amp;"","")&lt;&gt;""),AND(TRIM($P$4)="",IFERROR(('Final Calculation Sheet'!$O$9)&amp;"","")=""))))</f>
        <v>1</v>
      </c>
      <c r="CC10">
        <f>IF($Q$4="",1,--(OR(SUMPRODUCT(--(TRIM(MID(SUBSTITUTE(SUBSTITUTE($Q$4,"/",","),",",REPT(" ",99)),(ROW($1:$8)-1)*99+1,99))&lt;&gt;""),--ISNUMBER(SEARCH(TRIM(MID(SUBSTITUTE(SUBSTITUTE($Q$4,"/",","),",",REPT(" ",99)),(ROW($1:$8)-1)*99+1,99)),IFERROR(('Final Calculation Sheet'!$P$9)&amp;"",""))))&gt;0,AND(ISNUMBER(SEARCH("blank",$Q$4)),NOT(ISNUMBER(SEARCH("nonblank",$Q$4))),IFERROR(('Final Calculation Sheet'!$P$9)&amp;"","")=""),AND(OR(ISNUMBER(SEARCH("nonblank",$Q$4)),ISNUMBER(SEARCH("&lt;&gt;",$Q$4))),IFERROR(('Final Calculation Sheet'!$P$9)&amp;"","")&lt;&gt;""),AND(TRIM($Q$4)="",IFERROR(('Final Calculation Sheet'!$P$9)&amp;"","")=""))))</f>
        <v>1</v>
      </c>
      <c r="CD10">
        <f>IF($R$4="",1,--(OR(SUMPRODUCT(--(TRIM(MID(SUBSTITUTE(SUBSTITUTE($R$4,"/",","),",",REPT(" ",99)),(ROW($1:$8)-1)*99+1,99))&lt;&gt;""),--ISNUMBER(SEARCH(TRIM(MID(SUBSTITUTE(SUBSTITUTE($R$4,"/",","),",",REPT(" ",99)),(ROW($1:$8)-1)*99+1,99)),IFERROR(('Final Calculation Sheet'!$Q$9)&amp;"",""))))&gt;0,AND(ISNUMBER(SEARCH("blank",$R$4)),NOT(ISNUMBER(SEARCH("nonblank",$R$4))),IFERROR(('Final Calculation Sheet'!$Q$9)&amp;"","")=""),AND(OR(ISNUMBER(SEARCH("nonblank",$R$4)),ISNUMBER(SEARCH("&lt;&gt;",$R$4))),IFERROR(('Final Calculation Sheet'!$Q$9)&amp;"","")&lt;&gt;""),AND(TRIM($R$4)="",IFERROR(('Final Calculation Sheet'!$Q$9)&amp;"","")=""))))</f>
        <v>1</v>
      </c>
      <c r="CE10">
        <f>IF($S$4="",1,--(OR(SUMPRODUCT(--(TRIM(MID(SUBSTITUTE(SUBSTITUTE($S$4,"/",","),",",REPT(" ",99)),(ROW($1:$8)-1)*99+1,99))&lt;&gt;""),--ISNUMBER(SEARCH(TRIM(MID(SUBSTITUTE(SUBSTITUTE($S$4,"/",","),",",REPT(" ",99)),(ROW($1:$8)-1)*99+1,99)),IFERROR(('Final Calculation Sheet'!$R$9)&amp;"",""))))&gt;0,AND(ISNUMBER(SEARCH("blank",$S$4)),NOT(ISNUMBER(SEARCH("nonblank",$S$4))),IFERROR(('Final Calculation Sheet'!$R$9)&amp;"","")=""),AND(OR(ISNUMBER(SEARCH("nonblank",$S$4)),ISNUMBER(SEARCH("&lt;&gt;",$S$4))),IFERROR(('Final Calculation Sheet'!$R$9)&amp;"","")&lt;&gt;""),AND(TRIM($S$4)="",IFERROR(('Final Calculation Sheet'!$R$9)&amp;"","")=""))))</f>
        <v>1</v>
      </c>
      <c r="CF10">
        <f>IF($T$4="",1,--(OR(SUMPRODUCT(--(TRIM(MID(SUBSTITUTE(SUBSTITUTE($T$4,"/",","),",",REPT(" ",99)),(ROW($1:$8)-1)*99+1,99))&lt;&gt;""),--ISNUMBER(SEARCH(TRIM(MID(SUBSTITUTE(SUBSTITUTE($T$4,"/",","),",",REPT(" ",99)),(ROW($1:$8)-1)*99+1,99)),IFERROR(('Final Calculation Sheet'!$S$9)&amp;"",""))))&gt;0,AND(ISNUMBER(SEARCH("blank",$T$4)),NOT(ISNUMBER(SEARCH("nonblank",$T$4))),IFERROR(('Final Calculation Sheet'!$S$9)&amp;"","")=""),AND(OR(ISNUMBER(SEARCH("nonblank",$T$4)),ISNUMBER(SEARCH("&lt;&gt;",$T$4))),IFERROR(('Final Calculation Sheet'!$S$9)&amp;"","")&lt;&gt;""),AND(TRIM($T$4)="",IFERROR(('Final Calculation Sheet'!$S$9)&amp;"","")=""))))</f>
        <v>1</v>
      </c>
      <c r="CG10">
        <f>IF($U$4="",1,--(OR(SUMPRODUCT(--(TRIM(MID(SUBSTITUTE(SUBSTITUTE($U$4,"/",","),",",REPT(" ",99)),(ROW($1:$8)-1)*99+1,99))&lt;&gt;""),--ISNUMBER(SEARCH(TRIM(MID(SUBSTITUTE(SUBSTITUTE($U$4,"/",","),",",REPT(" ",99)),(ROW($1:$8)-1)*99+1,99)),IFERROR(('Final Calculation Sheet'!$T$9)&amp;"",""))))&gt;0,AND(ISNUMBER(SEARCH("blank",$U$4)),NOT(ISNUMBER(SEARCH("nonblank",$U$4))),IFERROR(('Final Calculation Sheet'!$T$9)&amp;"","")=""),AND(OR(ISNUMBER(SEARCH("nonblank",$U$4)),ISNUMBER(SEARCH("&lt;&gt;",$U$4))),IFERROR(('Final Calculation Sheet'!$T$9)&amp;"","")&lt;&gt;""),AND(TRIM($U$4)="",IFERROR(('Final Calculation Sheet'!$T$9)&amp;"","")=""))))</f>
        <v>1</v>
      </c>
      <c r="CH10">
        <f>IF($V$4="",1,--(OR(SUMPRODUCT(--(TRIM(MID(SUBSTITUTE(SUBSTITUTE($V$4,"/",","),",",REPT(" ",99)),(ROW($1:$8)-1)*99+1,99))&lt;&gt;""),--ISNUMBER(SEARCH(TRIM(MID(SUBSTITUTE(SUBSTITUTE($V$4,"/",","),",",REPT(" ",99)),(ROW($1:$8)-1)*99+1,99)),IFERROR(('Final Calculation Sheet'!$U$9)&amp;"",""))))&gt;0,AND(ISNUMBER(SEARCH("blank",$V$4)),NOT(ISNUMBER(SEARCH("nonblank",$V$4))),IFERROR(('Final Calculation Sheet'!$U$9)&amp;"","")=""),AND(OR(ISNUMBER(SEARCH("nonblank",$V$4)),ISNUMBER(SEARCH("&lt;&gt;",$V$4))),IFERROR(('Final Calculation Sheet'!$U$9)&amp;"","")&lt;&gt;""),AND(TRIM($V$4)="",IFERROR(('Final Calculation Sheet'!$U$9)&amp;"","")=""))))</f>
        <v>1</v>
      </c>
      <c r="CI10">
        <f>IF($W$4="",1,--(OR(SUMPRODUCT(--(TRIM(MID(SUBSTITUTE(SUBSTITUTE($W$4,"/",","),",",REPT(" ",99)),(ROW($1:$8)-1)*99+1,99))&lt;&gt;""),--ISNUMBER(SEARCH(TRIM(MID(SUBSTITUTE(SUBSTITUTE($W$4,"/",","),",",REPT(" ",99)),(ROW($1:$8)-1)*99+1,99)),IFERROR(('Final Calculation Sheet'!$V$9)&amp;"",""))))&gt;0,AND(ISNUMBER(SEARCH("blank",$W$4)),NOT(ISNUMBER(SEARCH("nonblank",$W$4))),IFERROR(('Final Calculation Sheet'!$V$9)&amp;"","")=""),AND(OR(ISNUMBER(SEARCH("nonblank",$W$4)),ISNUMBER(SEARCH("&lt;&gt;",$W$4))),IFERROR(('Final Calculation Sheet'!$V$9)&amp;"","")&lt;&gt;""),AND(TRIM($W$4)="",IFERROR(('Final Calculation Sheet'!$V$9)&amp;"","")=""))))</f>
        <v>1</v>
      </c>
      <c r="CJ10">
        <f>IF($X$4="",1,--(OR(SUMPRODUCT(--(TRIM(MID(SUBSTITUTE(SUBSTITUTE($X$4,"/",","),",",REPT(" ",99)),(ROW($1:$8)-1)*99+1,99))&lt;&gt;""),--ISNUMBER(SEARCH(TRIM(MID(SUBSTITUTE(SUBSTITUTE($X$4,"/",","),",",REPT(" ",99)),(ROW($1:$8)-1)*99+1,99)),IFERROR(('Final Calculation Sheet'!$W$9)&amp;"",""))))&gt;0,AND(ISNUMBER(SEARCH("blank",$X$4)),NOT(ISNUMBER(SEARCH("nonblank",$X$4))),IFERROR(('Final Calculation Sheet'!$W$9)&amp;"","")=""),AND(OR(ISNUMBER(SEARCH("nonblank",$X$4)),ISNUMBER(SEARCH("&lt;&gt;",$X$4))),IFERROR(('Final Calculation Sheet'!$W$9)&amp;"","")&lt;&gt;""),AND(TRIM($X$4)="",IFERROR(('Final Calculation Sheet'!$W$9)&amp;"","")=""))))</f>
        <v>1</v>
      </c>
      <c r="CK10">
        <f>IF($Y$4="",1,--(OR(SUMPRODUCT(--(TRIM(MID(SUBSTITUTE(SUBSTITUTE($Y$4,"/",","),",",REPT(" ",99)),(ROW($1:$8)-1)*99+1,99))&lt;&gt;""),--ISNUMBER(SEARCH(TRIM(MID(SUBSTITUTE(SUBSTITUTE($Y$4,"/",","),",",REPT(" ",99)),(ROW($1:$8)-1)*99+1,99)),IFERROR(('Final Calculation Sheet'!$X$9)&amp;"",""))))&gt;0,AND(ISNUMBER(SEARCH("blank",$Y$4)),NOT(ISNUMBER(SEARCH("nonblank",$Y$4))),IFERROR(('Final Calculation Sheet'!$X$9)&amp;"","")=""),AND(OR(ISNUMBER(SEARCH("nonblank",$Y$4)),ISNUMBER(SEARCH("&lt;&gt;",$Y$4))),IFERROR(('Final Calculation Sheet'!$X$9)&amp;"","")&lt;&gt;""),AND(TRIM($Y$4)="",IFERROR(('Final Calculation Sheet'!$X$9)&amp;"","")=""))))</f>
        <v>1</v>
      </c>
      <c r="CL10">
        <f>IF($Z$4="",1,--(OR(SUMPRODUCT(--(TRIM(MID(SUBSTITUTE(SUBSTITUTE($Z$4,"/",","),",",REPT(" ",99)),(ROW($1:$8)-1)*99+1,99))&lt;&gt;""),--ISNUMBER(SEARCH(TRIM(MID(SUBSTITUTE(SUBSTITUTE($Z$4,"/",","),",",REPT(" ",99)),(ROW($1:$8)-1)*99+1,99)),IFERROR(('Final Calculation Sheet'!$Y$9)&amp;"",""))))&gt;0,AND(ISNUMBER(SEARCH("blank",$Z$4)),NOT(ISNUMBER(SEARCH("nonblank",$Z$4))),IFERROR(('Final Calculation Sheet'!$Y$9)&amp;"","")=""),AND(OR(ISNUMBER(SEARCH("nonblank",$Z$4)),ISNUMBER(SEARCH("&lt;&gt;",$Z$4))),IFERROR(('Final Calculation Sheet'!$Y$9)&amp;"","")&lt;&gt;""),AND(TRIM($Z$4)="",IFERROR(('Final Calculation Sheet'!$Y$9)&amp;"","")=""))))</f>
        <v>1</v>
      </c>
      <c r="CM10">
        <f>IF($AA$4="",1,--(OR(SUMPRODUCT(--(TRIM(MID(SUBSTITUTE(SUBSTITUTE($AA$4,"/",","),",",REPT(" ",99)),(ROW($1:$8)-1)*99+1,99))&lt;&gt;""),--ISNUMBER(SEARCH(TRIM(MID(SUBSTITUTE(SUBSTITUTE($AA$4,"/",","),",",REPT(" ",99)),(ROW($1:$8)-1)*99+1,99)),IFERROR(('Final Calculation Sheet'!$Z$9)&amp;"",""))))&gt;0,AND(ISNUMBER(SEARCH("blank",$AA$4)),NOT(ISNUMBER(SEARCH("nonblank",$AA$4))),IFERROR(('Final Calculation Sheet'!$Z$9)&amp;"","")=""),AND(OR(ISNUMBER(SEARCH("nonblank",$AA$4)),ISNUMBER(SEARCH("&lt;&gt;",$AA$4))),IFERROR(('Final Calculation Sheet'!$Z$9)&amp;"","")&lt;&gt;""),AND(TRIM($AA$4)="",IFERROR(('Final Calculation Sheet'!$Z$9)&amp;"","")=""))))</f>
        <v>1</v>
      </c>
      <c r="CN10">
        <f>IF($AB$4="",1,--(OR(SUMPRODUCT(--(TRIM(MID(SUBSTITUTE(SUBSTITUTE($AB$4,"/",","),",",REPT(" ",99)),(ROW($1:$8)-1)*99+1,99))&lt;&gt;""),--ISNUMBER(SEARCH(TRIM(MID(SUBSTITUTE(SUBSTITUTE($AB$4,"/",","),",",REPT(" ",99)),(ROW($1:$8)-1)*99+1,99)),IFERROR(('Final Calculation Sheet'!$AA$9)&amp;"",""))))&gt;0,AND(ISNUMBER(SEARCH("blank",$AB$4)),NOT(ISNUMBER(SEARCH("nonblank",$AB$4))),IFERROR(('Final Calculation Sheet'!$AA$9)&amp;"","")=""),AND(OR(ISNUMBER(SEARCH("nonblank",$AB$4)),ISNUMBER(SEARCH("&lt;&gt;",$AB$4))),IFERROR(('Final Calculation Sheet'!$AA$9)&amp;"","")&lt;&gt;""),AND(TRIM($AB$4)="",IFERROR(('Final Calculation Sheet'!$AA$9)&amp;"","")=""))))</f>
        <v>1</v>
      </c>
      <c r="CO10">
        <f>IF($AC$4="",1,--(OR(SUMPRODUCT(--(TRIM(MID(SUBSTITUTE(SUBSTITUTE($AC$4,"/",","),",",REPT(" ",99)),(ROW($1:$8)-1)*99+1,99))&lt;&gt;""),--ISNUMBER(SEARCH(TRIM(MID(SUBSTITUTE(SUBSTITUTE($AC$4,"/",","),",",REPT(" ",99)),(ROW($1:$8)-1)*99+1,99)),IFERROR(('Final Calculation Sheet'!$AB$9)&amp;"",""))))&gt;0,AND(ISNUMBER(SEARCH("blank",$AC$4)),NOT(ISNUMBER(SEARCH("nonblank",$AC$4))),IFERROR(('Final Calculation Sheet'!$AB$9)&amp;"","")=""),AND(OR(ISNUMBER(SEARCH("nonblank",$AC$4)),ISNUMBER(SEARCH("&lt;&gt;",$AC$4))),IFERROR(('Final Calculation Sheet'!$AB$9)&amp;"","")&lt;&gt;""),AND(TRIM($AC$4)="",IFERROR(('Final Calculation Sheet'!$AB$9)&amp;"","")=""))))</f>
        <v>1</v>
      </c>
      <c r="CP10">
        <f>IF($AD$4="",1,--(OR(SUMPRODUCT(--(TRIM(MID(SUBSTITUTE(SUBSTITUTE($AD$4,"/",","),",",REPT(" ",99)),(ROW($1:$8)-1)*99+1,99))&lt;&gt;""),--ISNUMBER(SEARCH(TRIM(MID(SUBSTITUTE(SUBSTITUTE($AD$4,"/",","),",",REPT(" ",99)),(ROW($1:$8)-1)*99+1,99)),IFERROR(('Final Calculation Sheet'!$AC$9)&amp;"",""))))&gt;0,AND(ISNUMBER(SEARCH("blank",$AD$4)),NOT(ISNUMBER(SEARCH("nonblank",$AD$4))),IFERROR(('Final Calculation Sheet'!$AC$9)&amp;"","")=""),AND(OR(ISNUMBER(SEARCH("nonblank",$AD$4)),ISNUMBER(SEARCH("&lt;&gt;",$AD$4))),IFERROR(('Final Calculation Sheet'!$AC$9)&amp;"","")&lt;&gt;""),AND(TRIM($AD$4)="",IFERROR(('Final Calculation Sheet'!$AC$9)&amp;"","")=""))))</f>
        <v>1</v>
      </c>
      <c r="CQ10">
        <f>IF($AE$4="",1,--(OR(SUMPRODUCT(--(TRIM(MID(SUBSTITUTE(SUBSTITUTE($AE$4,"/",","),",",REPT(" ",99)),(ROW($1:$8)-1)*99+1,99))&lt;&gt;""),--ISNUMBER(SEARCH(TRIM(MID(SUBSTITUTE(SUBSTITUTE($AE$4,"/",","),",",REPT(" ",99)),(ROW($1:$8)-1)*99+1,99)),IFERROR(('Final Calculation Sheet'!$AD$9)&amp;"",""))))&gt;0,AND(ISNUMBER(SEARCH("blank",$AE$4)),NOT(ISNUMBER(SEARCH("nonblank",$AE$4))),IFERROR(('Final Calculation Sheet'!$AD$9)&amp;"","")=""),AND(OR(ISNUMBER(SEARCH("nonblank",$AE$4)),ISNUMBER(SEARCH("&lt;&gt;",$AE$4))),IFERROR(('Final Calculation Sheet'!$AD$9)&amp;"","")&lt;&gt;""),AND(TRIM($AE$4)="",IFERROR(('Final Calculation Sheet'!$AD$9)&amp;"","")=""))))</f>
        <v>1</v>
      </c>
      <c r="CR10">
        <f>IF($AF$4="",1,--(OR(SUMPRODUCT(--(TRIM(MID(SUBSTITUTE(SUBSTITUTE($AF$4,"/",","),",",REPT(" ",99)),(ROW($1:$8)-1)*99+1,99))&lt;&gt;""),--ISNUMBER(SEARCH(TRIM(MID(SUBSTITUTE(SUBSTITUTE($AF$4,"/",","),",",REPT(" ",99)),(ROW($1:$8)-1)*99+1,99)),IFERROR(('Final Calculation Sheet'!$AE$9)&amp;"",""))))&gt;0,AND(ISNUMBER(SEARCH("blank",$AF$4)),NOT(ISNUMBER(SEARCH("nonblank",$AF$4))),IFERROR(('Final Calculation Sheet'!$AE$9)&amp;"","")=""),AND(OR(ISNUMBER(SEARCH("nonblank",$AF$4)),ISNUMBER(SEARCH("&lt;&gt;",$AF$4))),IFERROR(('Final Calculation Sheet'!$AE$9)&amp;"","")&lt;&gt;""),AND(TRIM($AF$4)="",IFERROR(('Final Calculation Sheet'!$AE$9)&amp;"","")=""))))</f>
        <v>1</v>
      </c>
      <c r="CS10">
        <f>IF($AG$4="",1,--(OR(SUMPRODUCT(--(TRIM(MID(SUBSTITUTE(SUBSTITUTE($AG$4,"/",","),",",REPT(" ",99)),(ROW($1:$8)-1)*99+1,99))&lt;&gt;""),--ISNUMBER(SEARCH(TRIM(MID(SUBSTITUTE(SUBSTITUTE($AG$4,"/",","),",",REPT(" ",99)),(ROW($1:$8)-1)*99+1,99)),IFERROR(('Final Calculation Sheet'!$AF$9)&amp;"",""))))&gt;0,AND(ISNUMBER(SEARCH("blank",$AG$4)),NOT(ISNUMBER(SEARCH("nonblank",$AG$4))),IFERROR(('Final Calculation Sheet'!$AF$9)&amp;"","")=""),AND(OR(ISNUMBER(SEARCH("nonblank",$AG$4)),ISNUMBER(SEARCH("&lt;&gt;",$AG$4))),IFERROR(('Final Calculation Sheet'!$AF$9)&amp;"","")&lt;&gt;""),AND(TRIM($AG$4)="",IFERROR(('Final Calculation Sheet'!$AF$9)&amp;"","")=""))))</f>
        <v>1</v>
      </c>
      <c r="CT10">
        <f>IF($AH$4="",1,--(OR(SUMPRODUCT(--(TRIM(MID(SUBSTITUTE(SUBSTITUTE($AH$4,"/",","),",",REPT(" ",99)),(ROW($1:$8)-1)*99+1,99))&lt;&gt;""),--ISNUMBER(SEARCH(TRIM(MID(SUBSTITUTE(SUBSTITUTE($AH$4,"/",","),",",REPT(" ",99)),(ROW($1:$8)-1)*99+1,99)),IFERROR(('Final Calculation Sheet'!$AG$9)&amp;"",""))))&gt;0,AND(ISNUMBER(SEARCH("blank",$AH$4)),NOT(ISNUMBER(SEARCH("nonblank",$AH$4))),IFERROR(('Final Calculation Sheet'!$AG$9)&amp;"","")=""),AND(OR(ISNUMBER(SEARCH("nonblank",$AH$4)),ISNUMBER(SEARCH("&lt;&gt;",$AH$4))),IFERROR(('Final Calculation Sheet'!$AG$9)&amp;"","")&lt;&gt;""),AND(TRIM($AH$4)="",IFERROR(('Final Calculation Sheet'!$AG$9)&amp;"","")=""))))</f>
        <v>1</v>
      </c>
      <c r="CU10">
        <f>IF($AI$4="",1,--(OR(SUMPRODUCT(--(TRIM(MID(SUBSTITUTE(SUBSTITUTE($AI$4,"/",","),",",REPT(" ",99)),(ROW($1:$8)-1)*99+1,99))&lt;&gt;""),--ISNUMBER(SEARCH(TRIM(MID(SUBSTITUTE(SUBSTITUTE($AI$4,"/",","),",",REPT(" ",99)),(ROW($1:$8)-1)*99+1,99)),IFERROR((IF('Final Calculation Sheet'!$AD$9&lt;=5,"SETTLED","OUTSTANDING"))&amp;"",""))))&gt;0,AND(ISNUMBER(SEARCH("blank",$AI$4)),NOT(ISNUMBER(SEARCH("nonblank",$AI$4))),IFERROR((IF('Final Calculation Sheet'!$AD$9&lt;=5,"SETTLED","OUTSTANDING"))&amp;"","")=""),AND(OR(ISNUMBER(SEARCH("nonblank",$AI$4)),ISNUMBER(SEARCH("&lt;&gt;",$AI$4))),IFERROR((IF('Final Calculation Sheet'!$AD$9&lt;=5,"SETTLED","OUTSTANDING"))&amp;"","")&lt;&gt;""),AND(TRIM($AI$4)="",IFERROR((IF('Final Calculation Sheet'!$AD$9&lt;=5,"SETTLED","OUTSTANDING"))&amp;"","")=""))))</f>
        <v>1</v>
      </c>
    </row>
    <row r="11" ht="15" customHeight="1" s="137">
      <c r="A11" s="67">
        <f>IF($BJ10&gt;0,INDEX($BA$5:$BA$41,MATCH(10,$BB$5:$BB$41,0)),IF(OR($BI10=1,$BL10=1,$BH10&gt;0),"∑",""))</f>
        <v>6</v>
      </c>
      <c r="B11" s="76">
        <f>IF($BJ10&gt;0,IF(INDEX('Final Calculation Sheet'!$F$4:$F$40,$BJ10-3)="","",INDEX('Final Calculation Sheet'!$F$4:$F$40,$BJ10-3)),"")</f>
        <v>1976</v>
      </c>
      <c r="C11" s="76" t="str">
        <f>IF($BJ10&gt;0,IF(INDEX('Final Calculation Sheet'!$G$4:$G$40,$BJ10-3)="","",INDEX('Final Calculation Sheet'!$G$4:$G$40,$BJ10-3)),IF(OR($BI10=1,$BL10=1,$BH10&gt;0),IF($BI10=1,37,IF($BL10=1,37-INDEX($BD$4:$BD$13,10),INDEX($BD$4:$BD$13,$BH10)))&amp;" lot(s)",""))</f>
        <v>SHAR JAHAN TRADERS</v>
      </c>
      <c r="D11" s="80" t="str">
        <f>IF($BJ10&gt;0,IF(INDEX('Final Calculation Sheet'!$B$4:$B$40,$BJ10-3)="","",INDEX('Final Calculation Sheet'!$B$4:$B$40,$BJ10-3)),IF(OR($BI10=1,$BL10=1,$BH10&gt;0),IF($BI10=1,"GRAND TOTAL  —  matching + remaining",IF($BL10=1,"TOTAL MATCHED  —  every group together",IF($BH10=10,"REMAINING  —  did not match the search",IF($BH10=9,IF(COUNTIF($A$4:$AI$4,"&lt;&gt;")&gt;0,"FILTERED LOTS  —  column fields","ALL LOTS  —  nothing typed in the box"),"GROUP "&amp;$BH10&amp;" TOTAL  —  lots matching  "&amp;INDEX($AR$6:$AY$6,$BH10))))),""))</f>
        <v>Scrap Power Transformer</v>
      </c>
      <c r="E11" s="80">
        <f>IF($BJ10&gt;0,IF(INDEX('Final Calculation Sheet'!$D$4:$D$40,$BJ10-3)="","",INDEX('Final Calculation Sheet'!$D$4:$D$40,$BJ10-3)),IF(OR($BI10=1,$BL10=1,$BH10&gt;0),"–",""))</f>
        <v>21977</v>
      </c>
      <c r="F11" s="80">
        <f>IF($BJ10&gt;0,IF(INDEX('Final Calculation Sheet'!$A$4:$A$40,$BJ10-3)="","",INDEX('Final Calculation Sheet'!$A$4:$A$40,$BJ10-3)),IF(OR($BI10=1,$BL10=1,$BH10&gt;0),IF($BI10=1,SUM('Final Calculation Sheet'!$A$4:$A$40),IF($BL10=1,SUM('Final Calculation Sheet'!$A$4:$A$40)-SUMIFS('Final Calculation Sheet'!$A$4:$A$40,$AZ$5:$AZ$41,10),SUMIFS('Final Calculation Sheet'!$A$4:$A$40,$AZ$5:$AZ$41,$BH10))),""))</f>
        <v>1</v>
      </c>
      <c r="G11" s="80" t="str">
        <f>IF($BJ10&gt;0,IF(INDEX('Final Calculation Sheet'!$E$4:$E$40,$BJ10-3)="","",INDEX('Final Calculation Sheet'!$E$4:$E$40,$BJ10-3)),IF(OR($BI10=1,$BL10=1,$BH10&gt;0),"–",""))</f>
        <v>NO</v>
      </c>
      <c r="H11" s="70">
        <f>IF($BJ10&gt;0,IF(INDEX('Final Calculation Sheet'!$C$4:$C$40,$BJ10-3)="","",INDEX('Final Calculation Sheet'!$C$4:$C$40,$BJ10-3)),IF(OR($BI10=1,$BL10=1,$BH10&gt;0),"–",""))</f>
        <v>2787314</v>
      </c>
      <c r="I11" s="70">
        <f>IF($BJ10&gt;0,IF(INDEX('Final Calculation Sheet'!$H$4:$H$40,$BJ10-3)="","",INDEX('Final Calculation Sheet'!$H$4:$H$40,$BJ10-3)),IF(OR($BI10=1,$BL10=1,$BH10&gt;0),IF($BI10=1,SUM('Final Calculation Sheet'!$H$4:$H$40),IF($BL10=1,SUM('Final Calculation Sheet'!$H$4:$H$40)-SUMIFS('Final Calculation Sheet'!$H$4:$H$40,$AZ$5:$AZ$41,10),SUMIFS('Final Calculation Sheet'!$H$4:$H$40,$AZ$5:$AZ$41,$BH10))),""))</f>
        <v>2787314</v>
      </c>
      <c r="J11" s="70">
        <f>IF($BJ10&gt;0,IF(INDEX('Final Calculation Sheet'!$I$4:$I$40,$BJ10-3)="","",INDEX('Final Calculation Sheet'!$I$4:$I$40,$BJ10-3)),IF(OR($BI10=1,$BL10=1,$BH10&gt;0),IF($BI10=1,SUM('Final Calculation Sheet'!$I$4:$I$40),IF($BL10=1,SUM('Final Calculation Sheet'!$I$4:$I$40)-SUMIFS('Final Calculation Sheet'!$I$4:$I$40,$AZ$5:$AZ$41,10),SUMIFS('Final Calculation Sheet'!$I$4:$I$40,$AZ$5:$AZ$41,$BH10))),""))</f>
        <v>501717</v>
      </c>
      <c r="K11" s="70">
        <f>IF($BJ10&gt;0,IF(INDEX('Final Calculation Sheet'!$J$4:$J$40,$BJ10-3)="","",INDEX('Final Calculation Sheet'!$J$4:$J$40,$BJ10-3)),IF(OR($BI10=1,$BL10=1,$BH10&gt;0),IF($BI10=1,SUM('Final Calculation Sheet'!$J$4:$J$40),IF($BL10=1,SUM('Final Calculation Sheet'!$J$4:$J$40)-SUMIFS('Final Calculation Sheet'!$J$4:$J$40,$AZ$5:$AZ$41,10),SUMIFS('Final Calculation Sheet'!$J$4:$J$40,$AZ$5:$AZ$41,$BH10))),""))</f>
        <v>3289031</v>
      </c>
      <c r="L11" s="70">
        <f>IF($BJ10&gt;0,IF(INDEX('Final Calculation Sheet'!$K$4:$K$40,$BJ10-3)="","",INDEX('Final Calculation Sheet'!$K$4:$K$40,$BJ10-3)),IF(OR($BI10=1,$BL10=1,$BH10&gt;0),IF($BI10=1,SUM('Final Calculation Sheet'!$K$4:$K$40),IF($BL10=1,SUM('Final Calculation Sheet'!$K$4:$K$40)-SUMIFS('Final Calculation Sheet'!$K$4:$K$40,$AZ$5:$AZ$41,10),SUMIFS('Final Calculation Sheet'!$K$4:$K$40,$AZ$5:$AZ$41,$BH10))),""))</f>
        <v>65781</v>
      </c>
      <c r="M11" s="70">
        <f>IF($BJ10&gt;0,IF(INDEX('Final Calculation Sheet'!$L$4:$L$40,$BJ10-3)="","",INDEX('Final Calculation Sheet'!$L$4:$L$40,$BJ10-3)),IF(OR($BI10=1,$BL10=1,$BH10&gt;0),IF($BI10=1,SUM('Final Calculation Sheet'!$L$4:$L$40),IF($BL10=1,SUM('Final Calculation Sheet'!$L$4:$L$40)-SUMIFS('Final Calculation Sheet'!$L$4:$L$40,$AZ$5:$AZ$41,10),SUMIFS('Final Calculation Sheet'!$L$4:$L$40,$AZ$5:$AZ$41,$BH10))),""))</f>
        <v>2787.3139999999999</v>
      </c>
      <c r="N11" s="70">
        <f>IF($BJ10&gt;0,IF(INDEX('Final Calculation Sheet'!$M$4:$M$40,$BJ10-3)="","",INDEX('Final Calculation Sheet'!$M$4:$M$40,$BJ10-3)),IF(OR($BI10=1,$BL10=1,$BH10&gt;0),IF($BI10=1,SUM('Final Calculation Sheet'!$M$4:$M$40),IF($BL10=1,SUM('Final Calculation Sheet'!$M$4:$M$40)-SUMIFS('Final Calculation Sheet'!$M$4:$M$40,$AZ$5:$AZ$41,10),SUMIFS('Final Calculation Sheet'!$M$4:$M$40,$AZ$5:$AZ$41,$BH10))),""))</f>
        <v>74003.186699999991</v>
      </c>
      <c r="O11" s="71">
        <f>IF($BJ10&gt;0,IF(INDEX('Final Calculation Sheet'!$N$4:$N$40,$BJ10-3)="","",INDEX('Final Calculation Sheet'!$N$4:$N$40,$BJ10-3)),IF(OR($BI10=1,$BL10=1,$BH10&gt;0),IF($BI10=1,SUM('Final Calculation Sheet'!$N$4:$N$40),IF($BL10=1,SUM('Final Calculation Sheet'!$N$4:$N$40)-SUMIFS('Final Calculation Sheet'!$N$4:$N$40,$AZ$5:$AZ$41,10),SUMIFS('Final Calculation Sheet'!$N$4:$N$40,$AZ$5:$AZ$41,$BH10))),""))</f>
        <v>1254.2912999999999</v>
      </c>
      <c r="P11" s="70">
        <f>IF($BJ10&gt;0,IF(INDEX('Final Calculation Sheet'!$O$4:$O$40,$BJ10-3)="","",INDEX('Final Calculation Sheet'!$O$4:$O$40,$BJ10-3)),IF(OR($BI10=1,$BL10=1,$BH10&gt;0),IF($BI10=1,SUM('Final Calculation Sheet'!$O$4:$O$40),IF($BL10=1,SUM('Final Calculation Sheet'!$O$4:$O$40)-SUMIFS('Final Calculation Sheet'!$O$4:$O$40,$AZ$5:$AZ$41,10),SUMIFS('Final Calculation Sheet'!$O$4:$O$40,$AZ$5:$AZ$41,$BH10))),""))</f>
        <v>72748.895399999994</v>
      </c>
      <c r="Q11" s="70">
        <f>IF($BJ10&gt;0,IF(INDEX('Final Calculation Sheet'!$P$4:$P$40,$BJ10-3)="","",INDEX('Final Calculation Sheet'!$P$4:$P$40,$BJ10-3)),IF(OR($BI10=1,$BL10=1,$BH10&gt;0),IF($BI10=1,SUM('Final Calculation Sheet'!$P$4:$P$40),IF($BL10=1,SUM('Final Calculation Sheet'!$P$4:$P$40)-SUMIFS('Final Calculation Sheet'!$P$4:$P$40,$AZ$5:$AZ$41,10),SUMIFS('Final Calculation Sheet'!$P$4:$P$40,$AZ$5:$AZ$41,$BH10))),""))</f>
        <v>75536</v>
      </c>
      <c r="R11" s="72">
        <f>IF($BJ10&gt;0,IF(INDEX('Final Calculation Sheet'!$Q$4:$Q$40,$BJ10-3)="","",INDEX('Final Calculation Sheet'!$Q$4:$Q$40,$BJ10-3)),IF(OR($BI10=1,$BL10=1,$BH10&gt;0),"–",""))</f>
        <v>0</v>
      </c>
      <c r="S11" s="70">
        <f>IF($BJ10&gt;0,IF(INDEX('Final Calculation Sheet'!$R$4:$R$40,$BJ10-3)="","",INDEX('Final Calculation Sheet'!$R$4:$R$40,$BJ10-3)),IF(OR($BI10=1,$BL10=1,$BH10&gt;0),IF($BI10=1,SUM('Final Calculation Sheet'!$R$4:$R$40),IF($BL10=1,SUM('Final Calculation Sheet'!$R$4:$R$40)-SUMIFS('Final Calculation Sheet'!$R$4:$R$40,$AZ$5:$AZ$41,10),SUMIFS('Final Calculation Sheet'!$R$4:$R$40,$AZ$5:$AZ$41,$BH10))),""))</f>
        <v>0</v>
      </c>
      <c r="T11" s="70">
        <f>IF($BJ10&gt;0,IF(INDEX('Final Calculation Sheet'!$S$4:$S$40,$BJ10-3)="","",INDEX('Final Calculation Sheet'!$S$4:$S$40,$BJ10-3)),IF(OR($BI10=1,$BL10=1,$BH10&gt;0),IF($BI10=1,SUM('Final Calculation Sheet'!$S$4:$S$40),IF($BL10=1,SUM('Final Calculation Sheet'!$S$4:$S$40)-SUMIFS('Final Calculation Sheet'!$S$4:$S$40,$AZ$5:$AZ$41,10),SUMIFS('Final Calculation Sheet'!$S$4:$S$40,$AZ$5:$AZ$41,$BH10))),""))</f>
        <v>3279275</v>
      </c>
      <c r="U11" s="70">
        <f>IF($BJ10&gt;0,IF(INDEX('Final Calculation Sheet'!$T$4:$T$40,$BJ10-3)="","",INDEX('Final Calculation Sheet'!$T$4:$T$40,$BJ10-3)),IF(OR($BI10=1,$BL10=1,$BH10&gt;0),IF($BI10=1,SUM('Final Calculation Sheet'!$T$4:$T$40),IF($BL10=1,SUM('Final Calculation Sheet'!$T$4:$T$40)-SUMIFS('Final Calculation Sheet'!$T$4:$T$40,$AZ$5:$AZ$41,10),SUMIFS('Final Calculation Sheet'!$T$4:$T$40,$AZ$5:$AZ$41,$BH10))),""))</f>
        <v>696829</v>
      </c>
      <c r="V11" s="73">
        <f>IF($BJ10&gt;0,IF(INDEX('Final Calculation Sheet'!$U$4:$U$40,$BJ10-3)="","",INDEX('Final Calculation Sheet'!$U$4:$U$40,$BJ10-3)),IF(OR($BI10=1,$BL10=1,$BH10&gt;0),IF($BI10=1,SUM('Final Calculation Sheet'!$U$4:$U$40),IF($BL10=1,SUM('Final Calculation Sheet'!$U$4:$U$40)-SUMIFS('Final Calculation Sheet'!$U$4:$U$40,$AZ$5:$AZ$41,10),SUMIFS('Final Calculation Sheet'!$U$4:$U$40,$AZ$5:$AZ$41,$BH10))),""))</f>
        <v>696829</v>
      </c>
      <c r="W11" s="70" t="str">
        <f>IF($BJ10&gt;0,IF(INDEX('Final Calculation Sheet'!$V$4:$V$40,$BJ10-3)="","",INDEX('Final Calculation Sheet'!$V$4:$V$40,$BJ10-3)),IF(OR($BI10=1,$BL10=1,$BH10&gt;0),"–",""))</f>
        <v>13.08.2026</v>
      </c>
      <c r="X11" s="70">
        <f>IF($BJ10&gt;0,IF(INDEX('Final Calculation Sheet'!$W$4:$W$40,$BJ10-3)="","",INDEX('Final Calculation Sheet'!$W$4:$W$40,$BJ10-3)),IF(OR($BI10=1,$BL10=1,$BH10&gt;0),IF($BI10=1,SUM('Final Calculation Sheet'!$W$4:$W$40),IF($BL10=1,SUM('Final Calculation Sheet'!$W$4:$W$40)-SUMIFS('Final Calculation Sheet'!$W$4:$W$40,$AZ$5:$AZ$41,10),SUMIFS('Final Calculation Sheet'!$W$4:$W$40,$AZ$5:$AZ$41,$BH10))),""))</f>
        <v>2582446</v>
      </c>
      <c r="Y11" s="70">
        <f>IF($BJ10&gt;0,IF(INDEX('Final Calculation Sheet'!$X$4:$X$40,$BJ10-3)="","",INDEX('Final Calculation Sheet'!$X$4:$X$40,$BJ10-3)),IF(OR($BI10=1,$BL10=1,$BH10&gt;0),IF($BI10=1,SUM('Final Calculation Sheet'!$X$4:$X$40),IF($BL10=1,SUM('Final Calculation Sheet'!$X$4:$X$40)-SUMIFS('Final Calculation Sheet'!$X$4:$X$40,$AZ$5:$AZ$41,10),SUMIFS('Final Calculation Sheet'!$X$4:$X$40,$AZ$5:$AZ$41,$BH10))),""))</f>
        <v>2582447.0942916102</v>
      </c>
      <c r="Z11" s="70" t="str">
        <f>IF($BJ10&gt;0,IF(INDEX('Final Calculation Sheet'!$Y$4:$Y$40,$BJ10-3)="","",INDEX('Final Calculation Sheet'!$Y$4:$Y$40,$BJ10-3)),IF(OR($BI10=1,$BL10=1,$BH10&gt;0),"–",""))</f>
        <v>13.08.2026</v>
      </c>
      <c r="AA11" s="70">
        <f>IF($BJ10&gt;0,IF(INDEX('Final Calculation Sheet'!$Z$4:$Z$40,$BJ10-3)="","",INDEX('Final Calculation Sheet'!$Z$4:$Z$40,$BJ10-3)),IF(OR($BI10=1,$BL10=1,$BH10&gt;0),IF($BI10=1,SUM('Final Calculation Sheet'!$Z$4:$Z$40),IF($BL10=1,SUM('Final Calculation Sheet'!$Z$4:$Z$40)-SUMIFS('Final Calculation Sheet'!$Z$4:$Z$40,$AZ$5:$AZ$41,10),SUMIFS('Final Calculation Sheet'!$Z$4:$Z$40,$AZ$5:$AZ$41,$BH10))),""))</f>
        <v>0</v>
      </c>
      <c r="AB11" s="70" t="str">
        <f>IF($BJ10&gt;0,IF(INDEX('Final Calculation Sheet'!$AA$4:$AA$40,$BJ10-3)="","",INDEX('Final Calculation Sheet'!$AA$4:$AA$40,$BJ10-3)),IF(OR($BI10=1,$BL10=1,$BH10&gt;0),IF($BI10=1,SUM('Final Calculation Sheet'!$AA$4:$AA$40),IF($BL10=1,SUM('Final Calculation Sheet'!$AA$4:$AA$40)-SUMIFS('Final Calculation Sheet'!$AA$4:$AA$40,$AZ$5:$AZ$41,10),SUMIFS('Final Calculation Sheet'!$AA$4:$AA$40,$AZ$5:$AZ$41,$BH10))),""))</f>
        <v/>
      </c>
      <c r="AC11" s="70" t="str">
        <f>IF($BJ10&gt;0,IF(INDEX('Final Calculation Sheet'!$AB$4:$AB$40,$BJ10-3)="","",INDEX('Final Calculation Sheet'!$AB$4:$AB$40,$BJ10-3)),IF(OR($BI10=1,$BL10=1,$BH10&gt;0),"–",""))</f>
        <v/>
      </c>
      <c r="AD11" s="70">
        <f>IF($BJ10&gt;0,IF(INDEX('Final Calculation Sheet'!$AC$4:$AC$40,$BJ10-3)="","",INDEX('Final Calculation Sheet'!$AC$4:$AC$40,$BJ10-3)),IF(OR($BI10=1,$BL10=1,$BH10&gt;0),IF($BI10=1,SUM('Final Calculation Sheet'!$AC$4:$AC$40),IF($BL10=1,SUM('Final Calculation Sheet'!$AC$4:$AC$40)-SUMIFS('Final Calculation Sheet'!$AC$4:$AC$40,$AZ$5:$AZ$41,10),SUMIFS('Final Calculation Sheet'!$AC$4:$AC$40,$AZ$5:$AZ$41,$BH10))),""))</f>
        <v>3279276.0942916102</v>
      </c>
      <c r="AE11" s="70">
        <f>IF($BJ10&gt;0,IF(INDEX('Final Calculation Sheet'!$AD$4:$AD$40,$BJ10-3)="","",INDEX('Final Calculation Sheet'!$AD$4:$AD$40,$BJ10-3)),IF(OR($BI10=1,$BL10=1,$BH10&gt;0),IF($BI10=1,SUM('Final Calculation Sheet'!$AD$4:$AD$40),IF($BL10=1,SUM('Final Calculation Sheet'!$AD$4:$AD$40)-SUMIFS('Final Calculation Sheet'!$AD$4:$AD$40,$AZ$5:$AZ$41,10),SUMIFS('Final Calculation Sheet'!$AD$4:$AD$40,$AZ$5:$AZ$41,$BH10))),""))</f>
        <v>-1.0942916101776063</v>
      </c>
      <c r="AF11" s="70" t="str">
        <f>IF($BJ10&gt;0,IF(INDEX('Final Calculation Sheet'!$AE$4:$AE$40,$BJ10-3)="","",INDEX('Final Calculation Sheet'!$AE$4:$AE$40,$BJ10-3)),IF(OR($BI10=1,$BL10=1,$BH10&gt;0),"–",""))</f>
        <v>DR2640100023</v>
      </c>
      <c r="AG11" s="74">
        <f>IF($BJ10&gt;0,IF(INDEX('Final Calculation Sheet'!$AF$4:$AF$40,$BJ10-3)="","",INDEX('Final Calculation Sheet'!$AF$4:$AF$40,$BJ10-3)),IF(OR($BI10=1,$BL10=1,$BH10&gt;0),"–",""))</f>
        <v>1800003194</v>
      </c>
      <c r="AH11" s="70" t="str">
        <f>IF($BJ10&gt;0,IF(INDEX('Final Calculation Sheet'!$AG$4:$AG$40,$BJ10-3)="","",INDEX('Final Calculation Sheet'!$AG$4:$AG$40,$BJ10-3)),IF(OR($BI10=1,$BL10=1,$BH10&gt;0),"–",""))</f>
        <v>17.08.2026</v>
      </c>
      <c r="AI11" s="75" t="str">
        <f>IF($BJ10&gt;0,IF(INDEX('Final Calculation Sheet'!$AD$4:$AD$40,$BJ10-3)="","",IF(INDEX('Final Calculation Sheet'!$AD$4:$AD$40,$BJ10-3)&lt;=5,"SETTLED","OUTSTANDING")),IF(OR($BI10=1,$BL10=1,$BH10&gt;0),IF(IF($BI10=1,SUM('Final Calculation Sheet'!$AD$4:$AD$40),IF($BL10=1,SUM('Final Calculation Sheet'!$AD$4:$AD$40)-SUMIFS('Final Calculation Sheet'!$AD$4:$AD$40,$AZ$5:$AZ$41,10),SUMIFS('Final Calculation Sheet'!$AD$4:$AD$40,$AZ$5:$AZ$41,$BH10)))&lt;=5,"ALL SETTLED","OUTSTANDING"),""))</f>
        <v>SETTLED</v>
      </c>
      <c r="AJ11" s="76" t="str">
        <f>IF($B$3="",IF(ROW()=5,"— type above —",""),IF(ROW()-4&gt;AL$41,"",INDEX('Final Calculation Sheet'!$F$4:$F$40,MATCH(ROW()-4,$AL$5:$AL$41,0))&amp;" — "&amp;INDEX('Final Calculation Sheet'!$G$4:$G$40,MATCH(ROW()-4,$AL$5:$AL$41,0))))</f>
        <v/>
      </c>
      <c r="AK11" t="str">
        <f>IF($F$3="Lot No.",'Final Calculation Sheet'!$F$10,IF($F$3="Buyer",'Final Calculation Sheet'!$G$10,IF($F$3="Lot Name",'Final Calculation Sheet'!$B$10,IF($F$3="Bid Sheet",'Final Calculation Sheet'!$D$10,IF($F$3="Unit",'Final Calculation Sheet'!$E$10,'Final Calculation Sheet'!$F$10&amp;" "&amp;'Final Calculation Sheet'!$G$10&amp;" "&amp;'Final Calculation Sheet'!$B$10)))))</f>
        <v>2002 NATIONAL ENTERPRISES Scrap of 132 KV CT</v>
      </c>
      <c r="AL11">
        <f>AL10+IF($B$3="",0,--(SUMPRODUCT(--($AR$6:$AY$6&lt;&gt;""),--ISNUMBER(SEARCH($AR$6:$AY$6,$AK11)))&gt;0))</f>
        <v>0</v>
      </c>
      <c r="AM11">
        <f>IF(COUNTIF($BM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1</v>
      </c>
      <c r="AZ11">
        <f>IF($B$3="",IF(COUNTIF($A$4:$AI$4,"&lt;&gt;")=0,9,IF($AM11=1,9,10)),IF($AM11=0,10,IF(AND($AR$6&lt;&gt;"",ISNUMBER(SEARCH($AR$6,$AK11))),1,IF(AND($AS$6&lt;&gt;"",ISNUMBER(SEARCH($AS$6,$AK11))),2,IF(AND($AT$6&lt;&gt;"",ISNUMBER(SEARCH($AT$6,$AK11))),3,IF(AND($AU$6&lt;&gt;"",ISNUMBER(SEARCH($AU$6,$AK11))),4,IF(AND($AV$6&lt;&gt;"",ISNUMBER(SEARCH($AV$6,$AK11))),5,IF(AND($AW$6&lt;&gt;"",ISNUMBER(SEARCH($AW$6,$AK11))),6,IF(AND($AX$6&lt;&gt;"",ISNUMBER(SEARCH($AX$6,$AK11))),7,IF(AND($AY$6&lt;&gt;"",ISNUMBER(SEARCH($AY$6,$AK11))),8,0))))))))))</f>
        <v>9</v>
      </c>
      <c r="BA11">
        <f>SUMPRODUCT(($AZ$5:$AZ$41=$AZ11)*($BC$5:$BC$41&lt;$BC11))+1</f>
        <v>7</v>
      </c>
      <c r="BB11">
        <f>IF(INDEX($BF$4:$BF$13,$AZ11)=0,0,INDEX($BE$4:$BE$13,$AZ11)+$BA11-1)</f>
        <v>11</v>
      </c>
      <c r="BC11" t="n">
        <v>10</v>
      </c>
      <c r="BD11">
        <f>COUNTIF($AZ$5:$AZ$41,8)</f>
        <v>0</v>
      </c>
      <c r="BE11">
        <f>IF($BD10=0,$BE10,$BF10+1)</f>
        <v>5</v>
      </c>
      <c r="BF11">
        <f>IF($BD11=0,0,$BE11+$BD11)</f>
        <v>0</v>
      </c>
      <c r="BH11">
        <f>IFERROR(MATCH(11,$BF$4:$BF$13,0),0)</f>
        <v>0</v>
      </c>
      <c r="BI11">
        <f>IF(11=$BG$5,1,0)</f>
        <v>0</v>
      </c>
      <c r="BJ11">
        <f>IF(OR($BH11&gt;0,$BI11=1,$BL11=1),0,IFERROR(INDEX($BC$5:$BC$41,MATCH(11,$BB$5:$BB$41,0)),0))</f>
        <v>10</v>
      </c>
      <c r="BK11">
        <f>IF($BJ11&gt;0,IF(INDEX($AZ$5:$AZ$41,MATCH(11,$BB$5:$BB$41,0))=10,1,0),IF($BH11=10,1,0))</f>
        <v>0</v>
      </c>
      <c r="BL11">
        <f>IF(11=$BG$4,1,0)</f>
        <v>0</v>
      </c>
      <c r="BM11">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1</v>
      </c>
      <c r="BN11">
        <f>IF($B$4="",1,--(OR(SUMPRODUCT(--(TRIM(MID(SUBSTITUTE(SUBSTITUTE($B$4,"/",","),",",REPT(" ",99)),(ROW($1:$8)-1)*99+1,99))&lt;&gt;""),--ISNUMBER(SEARCH(TRIM(MID(SUBSTITUTE(SUBSTITUTE($B$4,"/",","),",",REPT(" ",99)),(ROW($1:$8)-1)*99+1,99)),IFERROR(('Final Calculation Sheet'!$F$10)&amp;"",""))))&gt;0,AND(ISNUMBER(SEARCH("blank",$B$4)),NOT(ISNUMBER(SEARCH("nonblank",$B$4))),IFERROR(('Final Calculation Sheet'!$F$10)&amp;"","")=""),AND(OR(ISNUMBER(SEARCH("nonblank",$B$4)),ISNUMBER(SEARCH("&lt;&gt;",$B$4))),IFERROR(('Final Calculation Sheet'!$F$10)&amp;"","")&lt;&gt;""),AND(TRIM($B$4)="",IFERROR(('Final Calculation Sheet'!$F$10)&amp;"","")=""))))</f>
        <v>1</v>
      </c>
      <c r="BO11">
        <f>IF($C$4="",1,--(OR(SUMPRODUCT(--(TRIM(MID(SUBSTITUTE(SUBSTITUTE($C$4,"/",","),",",REPT(" ",99)),(ROW($1:$8)-1)*99+1,99))&lt;&gt;""),--ISNUMBER(SEARCH(TRIM(MID(SUBSTITUTE(SUBSTITUTE($C$4,"/",","),",",REPT(" ",99)),(ROW($1:$8)-1)*99+1,99)),IFERROR(('Final Calculation Sheet'!$G$10)&amp;"",""))))&gt;0,AND(ISNUMBER(SEARCH("blank",$C$4)),NOT(ISNUMBER(SEARCH("nonblank",$C$4))),IFERROR(('Final Calculation Sheet'!$G$10)&amp;"","")=""),AND(OR(ISNUMBER(SEARCH("nonblank",$C$4)),ISNUMBER(SEARCH("&lt;&gt;",$C$4))),IFERROR(('Final Calculation Sheet'!$G$10)&amp;"","")&lt;&gt;""),AND(TRIM($C$4)="",IFERROR(('Final Calculation Sheet'!$G$10)&amp;"","")=""))))</f>
        <v>1</v>
      </c>
      <c r="BP11">
        <f>IF($D$4="",1,--(OR(SUMPRODUCT(--(TRIM(MID(SUBSTITUTE(SUBSTITUTE($D$4,"/",","),",",REPT(" ",99)),(ROW($1:$8)-1)*99+1,99))&lt;&gt;""),--ISNUMBER(SEARCH(TRIM(MID(SUBSTITUTE(SUBSTITUTE($D$4,"/",","),",",REPT(" ",99)),(ROW($1:$8)-1)*99+1,99)),IFERROR(('Final Calculation Sheet'!$B$10)&amp;"",""))))&gt;0,AND(ISNUMBER(SEARCH("blank",$D$4)),NOT(ISNUMBER(SEARCH("nonblank",$D$4))),IFERROR(('Final Calculation Sheet'!$B$10)&amp;"","")=""),AND(OR(ISNUMBER(SEARCH("nonblank",$D$4)),ISNUMBER(SEARCH("&lt;&gt;",$D$4))),IFERROR(('Final Calculation Sheet'!$B$10)&amp;"","")&lt;&gt;""),AND(TRIM($D$4)="",IFERROR(('Final Calculation Sheet'!$B$10)&amp;"","")=""))))</f>
        <v>1</v>
      </c>
      <c r="BQ11">
        <f>IF($E$4="",1,--(OR(SUMPRODUCT(--(TRIM(MID(SUBSTITUTE(SUBSTITUTE($E$4,"/",","),",",REPT(" ",99)),(ROW($1:$8)-1)*99+1,99))&lt;&gt;""),--ISNUMBER(SEARCH(TRIM(MID(SUBSTITUTE(SUBSTITUTE($E$4,"/",","),",",REPT(" ",99)),(ROW($1:$8)-1)*99+1,99)),IFERROR(('Final Calculation Sheet'!$D$10)&amp;"",""))))&gt;0,AND(ISNUMBER(SEARCH("blank",$E$4)),NOT(ISNUMBER(SEARCH("nonblank",$E$4))),IFERROR(('Final Calculation Sheet'!$D$10)&amp;"","")=""),AND(OR(ISNUMBER(SEARCH("nonblank",$E$4)),ISNUMBER(SEARCH("&lt;&gt;",$E$4))),IFERROR(('Final Calculation Sheet'!$D$10)&amp;"","")&lt;&gt;""),AND(TRIM($E$4)="",IFERROR(('Final Calculation Sheet'!$D$10)&amp;"","")=""))))</f>
        <v>1</v>
      </c>
      <c r="BR11">
        <f>IF($F$4="",1,--(OR(SUMPRODUCT(--(TRIM(MID(SUBSTITUTE(SUBSTITUTE($F$4,"/",","),",",REPT(" ",99)),(ROW($1:$8)-1)*99+1,99))&lt;&gt;""),--ISNUMBER(SEARCH(TRIM(MID(SUBSTITUTE(SUBSTITUTE($F$4,"/",","),",",REPT(" ",99)),(ROW($1:$8)-1)*99+1,99)),IFERROR(('Final Calculation Sheet'!$A$10)&amp;"",""))))&gt;0,AND(ISNUMBER(SEARCH("blank",$F$4)),NOT(ISNUMBER(SEARCH("nonblank",$F$4))),IFERROR(('Final Calculation Sheet'!$A$10)&amp;"","")=""),AND(OR(ISNUMBER(SEARCH("nonblank",$F$4)),ISNUMBER(SEARCH("&lt;&gt;",$F$4))),IFERROR(('Final Calculation Sheet'!$A$10)&amp;"","")&lt;&gt;""),AND(TRIM($F$4)="",IFERROR(('Final Calculation Sheet'!$A$10)&amp;"","")=""))))</f>
        <v>1</v>
      </c>
      <c r="BS11">
        <f>IF($G$4="",1,--(OR(SUMPRODUCT(--(TRIM(MID(SUBSTITUTE(SUBSTITUTE($G$4,"/",","),",",REPT(" ",99)),(ROW($1:$8)-1)*99+1,99))&lt;&gt;""),--ISNUMBER(SEARCH(TRIM(MID(SUBSTITUTE(SUBSTITUTE($G$4,"/",","),",",REPT(" ",99)),(ROW($1:$8)-1)*99+1,99)),IFERROR(('Final Calculation Sheet'!$E$10)&amp;"",""))))&gt;0,AND(ISNUMBER(SEARCH("blank",$G$4)),NOT(ISNUMBER(SEARCH("nonblank",$G$4))),IFERROR(('Final Calculation Sheet'!$E$10)&amp;"","")=""),AND(OR(ISNUMBER(SEARCH("nonblank",$G$4)),ISNUMBER(SEARCH("&lt;&gt;",$G$4))),IFERROR(('Final Calculation Sheet'!$E$10)&amp;"","")&lt;&gt;""),AND(TRIM($G$4)="",IFERROR(('Final Calculation Sheet'!$E$10)&amp;"","")=""))))</f>
        <v>1</v>
      </c>
      <c r="BT11">
        <f>IF($H$4="",1,--(OR(SUMPRODUCT(--(TRIM(MID(SUBSTITUTE(SUBSTITUTE($H$4,"/",","),",",REPT(" ",99)),(ROW($1:$8)-1)*99+1,99))&lt;&gt;""),--ISNUMBER(SEARCH(TRIM(MID(SUBSTITUTE(SUBSTITUTE($H$4,"/",","),",",REPT(" ",99)),(ROW($1:$8)-1)*99+1,99)),IFERROR(('Final Calculation Sheet'!$C$10)&amp;"",""))))&gt;0,AND(ISNUMBER(SEARCH("blank",$H$4)),NOT(ISNUMBER(SEARCH("nonblank",$H$4))),IFERROR(('Final Calculation Sheet'!$C$10)&amp;"","")=""),AND(OR(ISNUMBER(SEARCH("nonblank",$H$4)),ISNUMBER(SEARCH("&lt;&gt;",$H$4))),IFERROR(('Final Calculation Sheet'!$C$10)&amp;"","")&lt;&gt;""),AND(TRIM($H$4)="",IFERROR(('Final Calculation Sheet'!$C$10)&amp;"","")=""))))</f>
        <v>1</v>
      </c>
      <c r="BU11">
        <f>IF($I$4="",1,--(OR(SUMPRODUCT(--(TRIM(MID(SUBSTITUTE(SUBSTITUTE($I$4,"/",","),",",REPT(" ",99)),(ROW($1:$8)-1)*99+1,99))&lt;&gt;""),--ISNUMBER(SEARCH(TRIM(MID(SUBSTITUTE(SUBSTITUTE($I$4,"/",","),",",REPT(" ",99)),(ROW($1:$8)-1)*99+1,99)),IFERROR(('Final Calculation Sheet'!$H$10)&amp;"",""))))&gt;0,AND(ISNUMBER(SEARCH("blank",$I$4)),NOT(ISNUMBER(SEARCH("nonblank",$I$4))),IFERROR(('Final Calculation Sheet'!$H$10)&amp;"","")=""),AND(OR(ISNUMBER(SEARCH("nonblank",$I$4)),ISNUMBER(SEARCH("&lt;&gt;",$I$4))),IFERROR(('Final Calculation Sheet'!$H$10)&amp;"","")&lt;&gt;""),AND(TRIM($I$4)="",IFERROR(('Final Calculation Sheet'!$H$10)&amp;"","")=""))))</f>
        <v>1</v>
      </c>
      <c r="BV11">
        <f>IF($J$4="",1,--(OR(SUMPRODUCT(--(TRIM(MID(SUBSTITUTE(SUBSTITUTE($J$4,"/",","),",",REPT(" ",99)),(ROW($1:$8)-1)*99+1,99))&lt;&gt;""),--ISNUMBER(SEARCH(TRIM(MID(SUBSTITUTE(SUBSTITUTE($J$4,"/",","),",",REPT(" ",99)),(ROW($1:$8)-1)*99+1,99)),IFERROR(('Final Calculation Sheet'!$I$10)&amp;"",""))))&gt;0,AND(ISNUMBER(SEARCH("blank",$J$4)),NOT(ISNUMBER(SEARCH("nonblank",$J$4))),IFERROR(('Final Calculation Sheet'!$I$10)&amp;"","")=""),AND(OR(ISNUMBER(SEARCH("nonblank",$J$4)),ISNUMBER(SEARCH("&lt;&gt;",$J$4))),IFERROR(('Final Calculation Sheet'!$I$10)&amp;"","")&lt;&gt;""),AND(TRIM($J$4)="",IFERROR(('Final Calculation Sheet'!$I$10)&amp;"","")=""))))</f>
        <v>1</v>
      </c>
      <c r="BW11">
        <f>IF($K$4="",1,--(OR(SUMPRODUCT(--(TRIM(MID(SUBSTITUTE(SUBSTITUTE($K$4,"/",","),",",REPT(" ",99)),(ROW($1:$8)-1)*99+1,99))&lt;&gt;""),--ISNUMBER(SEARCH(TRIM(MID(SUBSTITUTE(SUBSTITUTE($K$4,"/",","),",",REPT(" ",99)),(ROW($1:$8)-1)*99+1,99)),IFERROR(('Final Calculation Sheet'!$J$10)&amp;"",""))))&gt;0,AND(ISNUMBER(SEARCH("blank",$K$4)),NOT(ISNUMBER(SEARCH("nonblank",$K$4))),IFERROR(('Final Calculation Sheet'!$J$10)&amp;"","")=""),AND(OR(ISNUMBER(SEARCH("nonblank",$K$4)),ISNUMBER(SEARCH("&lt;&gt;",$K$4))),IFERROR(('Final Calculation Sheet'!$J$10)&amp;"","")&lt;&gt;""),AND(TRIM($K$4)="",IFERROR(('Final Calculation Sheet'!$J$10)&amp;"","")=""))))</f>
        <v>1</v>
      </c>
      <c r="BX11">
        <f>IF($L$4="",1,--(OR(SUMPRODUCT(--(TRIM(MID(SUBSTITUTE(SUBSTITUTE($L$4,"/",","),",",REPT(" ",99)),(ROW($1:$8)-1)*99+1,99))&lt;&gt;""),--ISNUMBER(SEARCH(TRIM(MID(SUBSTITUTE(SUBSTITUTE($L$4,"/",","),",",REPT(" ",99)),(ROW($1:$8)-1)*99+1,99)),IFERROR(('Final Calculation Sheet'!$K$10)&amp;"",""))))&gt;0,AND(ISNUMBER(SEARCH("blank",$L$4)),NOT(ISNUMBER(SEARCH("nonblank",$L$4))),IFERROR(('Final Calculation Sheet'!$K$10)&amp;"","")=""),AND(OR(ISNUMBER(SEARCH("nonblank",$L$4)),ISNUMBER(SEARCH("&lt;&gt;",$L$4))),IFERROR(('Final Calculation Sheet'!$K$10)&amp;"","")&lt;&gt;""),AND(TRIM($L$4)="",IFERROR(('Final Calculation Sheet'!$K$10)&amp;"","")=""))))</f>
        <v>1</v>
      </c>
      <c r="BY11">
        <f>IF($M$4="",1,--(OR(SUMPRODUCT(--(TRIM(MID(SUBSTITUTE(SUBSTITUTE($M$4,"/",","),",",REPT(" ",99)),(ROW($1:$8)-1)*99+1,99))&lt;&gt;""),--ISNUMBER(SEARCH(TRIM(MID(SUBSTITUTE(SUBSTITUTE($M$4,"/",","),",",REPT(" ",99)),(ROW($1:$8)-1)*99+1,99)),IFERROR(('Final Calculation Sheet'!$L$10)&amp;"",""))))&gt;0,AND(ISNUMBER(SEARCH("blank",$M$4)),NOT(ISNUMBER(SEARCH("nonblank",$M$4))),IFERROR(('Final Calculation Sheet'!$L$10)&amp;"","")=""),AND(OR(ISNUMBER(SEARCH("nonblank",$M$4)),ISNUMBER(SEARCH("&lt;&gt;",$M$4))),IFERROR(('Final Calculation Sheet'!$L$10)&amp;"","")&lt;&gt;""),AND(TRIM($M$4)="",IFERROR(('Final Calculation Sheet'!$L$10)&amp;"","")=""))))</f>
        <v>1</v>
      </c>
      <c r="BZ11">
        <f>IF($N$4="",1,--(OR(SUMPRODUCT(--(TRIM(MID(SUBSTITUTE(SUBSTITUTE($N$4,"/",","),",",REPT(" ",99)),(ROW($1:$8)-1)*99+1,99))&lt;&gt;""),--ISNUMBER(SEARCH(TRIM(MID(SUBSTITUTE(SUBSTITUTE($N$4,"/",","),",",REPT(" ",99)),(ROW($1:$8)-1)*99+1,99)),IFERROR(('Final Calculation Sheet'!$M$10)&amp;"",""))))&gt;0,AND(ISNUMBER(SEARCH("blank",$N$4)),NOT(ISNUMBER(SEARCH("nonblank",$N$4))),IFERROR(('Final Calculation Sheet'!$M$10)&amp;"","")=""),AND(OR(ISNUMBER(SEARCH("nonblank",$N$4)),ISNUMBER(SEARCH("&lt;&gt;",$N$4))),IFERROR(('Final Calculation Sheet'!$M$10)&amp;"","")&lt;&gt;""),AND(TRIM($N$4)="",IFERROR(('Final Calculation Sheet'!$M$10)&amp;"","")=""))))</f>
        <v>1</v>
      </c>
      <c r="CA11">
        <f>IF($O$4="",1,--(OR(SUMPRODUCT(--(TRIM(MID(SUBSTITUTE(SUBSTITUTE($O$4,"/",","),",",REPT(" ",99)),(ROW($1:$8)-1)*99+1,99))&lt;&gt;""),--ISNUMBER(SEARCH(TRIM(MID(SUBSTITUTE(SUBSTITUTE($O$4,"/",","),",",REPT(" ",99)),(ROW($1:$8)-1)*99+1,99)),IFERROR(('Final Calculation Sheet'!$N$10)&amp;"",""))))&gt;0,AND(ISNUMBER(SEARCH("blank",$O$4)),NOT(ISNUMBER(SEARCH("nonblank",$O$4))),IFERROR(('Final Calculation Sheet'!$N$10)&amp;"","")=""),AND(OR(ISNUMBER(SEARCH("nonblank",$O$4)),ISNUMBER(SEARCH("&lt;&gt;",$O$4))),IFERROR(('Final Calculation Sheet'!$N$10)&amp;"","")&lt;&gt;""),AND(TRIM($O$4)="",IFERROR(('Final Calculation Sheet'!$N$10)&amp;"","")=""))))</f>
        <v>1</v>
      </c>
      <c r="CB11">
        <f>IF($P$4="",1,--(OR(SUMPRODUCT(--(TRIM(MID(SUBSTITUTE(SUBSTITUTE($P$4,"/",","),",",REPT(" ",99)),(ROW($1:$8)-1)*99+1,99))&lt;&gt;""),--ISNUMBER(SEARCH(TRIM(MID(SUBSTITUTE(SUBSTITUTE($P$4,"/",","),",",REPT(" ",99)),(ROW($1:$8)-1)*99+1,99)),IFERROR(('Final Calculation Sheet'!$O$10)&amp;"",""))))&gt;0,AND(ISNUMBER(SEARCH("blank",$P$4)),NOT(ISNUMBER(SEARCH("nonblank",$P$4))),IFERROR(('Final Calculation Sheet'!$O$10)&amp;"","")=""),AND(OR(ISNUMBER(SEARCH("nonblank",$P$4)),ISNUMBER(SEARCH("&lt;&gt;",$P$4))),IFERROR(('Final Calculation Sheet'!$O$10)&amp;"","")&lt;&gt;""),AND(TRIM($P$4)="",IFERROR(('Final Calculation Sheet'!$O$10)&amp;"","")=""))))</f>
        <v>1</v>
      </c>
      <c r="CC11">
        <f>IF($Q$4="",1,--(OR(SUMPRODUCT(--(TRIM(MID(SUBSTITUTE(SUBSTITUTE($Q$4,"/",","),",",REPT(" ",99)),(ROW($1:$8)-1)*99+1,99))&lt;&gt;""),--ISNUMBER(SEARCH(TRIM(MID(SUBSTITUTE(SUBSTITUTE($Q$4,"/",","),",",REPT(" ",99)),(ROW($1:$8)-1)*99+1,99)),IFERROR(('Final Calculation Sheet'!$P$10)&amp;"",""))))&gt;0,AND(ISNUMBER(SEARCH("blank",$Q$4)),NOT(ISNUMBER(SEARCH("nonblank",$Q$4))),IFERROR(('Final Calculation Sheet'!$P$10)&amp;"","")=""),AND(OR(ISNUMBER(SEARCH("nonblank",$Q$4)),ISNUMBER(SEARCH("&lt;&gt;",$Q$4))),IFERROR(('Final Calculation Sheet'!$P$10)&amp;"","")&lt;&gt;""),AND(TRIM($Q$4)="",IFERROR(('Final Calculation Sheet'!$P$10)&amp;"","")=""))))</f>
        <v>1</v>
      </c>
      <c r="CD11">
        <f>IF($R$4="",1,--(OR(SUMPRODUCT(--(TRIM(MID(SUBSTITUTE(SUBSTITUTE($R$4,"/",","),",",REPT(" ",99)),(ROW($1:$8)-1)*99+1,99))&lt;&gt;""),--ISNUMBER(SEARCH(TRIM(MID(SUBSTITUTE(SUBSTITUTE($R$4,"/",","),",",REPT(" ",99)),(ROW($1:$8)-1)*99+1,99)),IFERROR(('Final Calculation Sheet'!$Q$10)&amp;"",""))))&gt;0,AND(ISNUMBER(SEARCH("blank",$R$4)),NOT(ISNUMBER(SEARCH("nonblank",$R$4))),IFERROR(('Final Calculation Sheet'!$Q$10)&amp;"","")=""),AND(OR(ISNUMBER(SEARCH("nonblank",$R$4)),ISNUMBER(SEARCH("&lt;&gt;",$R$4))),IFERROR(('Final Calculation Sheet'!$Q$10)&amp;"","")&lt;&gt;""),AND(TRIM($R$4)="",IFERROR(('Final Calculation Sheet'!$Q$10)&amp;"","")=""))))</f>
        <v>1</v>
      </c>
      <c r="CE11">
        <f>IF($S$4="",1,--(OR(SUMPRODUCT(--(TRIM(MID(SUBSTITUTE(SUBSTITUTE($S$4,"/",","),",",REPT(" ",99)),(ROW($1:$8)-1)*99+1,99))&lt;&gt;""),--ISNUMBER(SEARCH(TRIM(MID(SUBSTITUTE(SUBSTITUTE($S$4,"/",","),",",REPT(" ",99)),(ROW($1:$8)-1)*99+1,99)),IFERROR(('Final Calculation Sheet'!$R$10)&amp;"",""))))&gt;0,AND(ISNUMBER(SEARCH("blank",$S$4)),NOT(ISNUMBER(SEARCH("nonblank",$S$4))),IFERROR(('Final Calculation Sheet'!$R$10)&amp;"","")=""),AND(OR(ISNUMBER(SEARCH("nonblank",$S$4)),ISNUMBER(SEARCH("&lt;&gt;",$S$4))),IFERROR(('Final Calculation Sheet'!$R$10)&amp;"","")&lt;&gt;""),AND(TRIM($S$4)="",IFERROR(('Final Calculation Sheet'!$R$10)&amp;"","")=""))))</f>
        <v>1</v>
      </c>
      <c r="CF11">
        <f>IF($T$4="",1,--(OR(SUMPRODUCT(--(TRIM(MID(SUBSTITUTE(SUBSTITUTE($T$4,"/",","),",",REPT(" ",99)),(ROW($1:$8)-1)*99+1,99))&lt;&gt;""),--ISNUMBER(SEARCH(TRIM(MID(SUBSTITUTE(SUBSTITUTE($T$4,"/",","),",",REPT(" ",99)),(ROW($1:$8)-1)*99+1,99)),IFERROR(('Final Calculation Sheet'!$S$10)&amp;"",""))))&gt;0,AND(ISNUMBER(SEARCH("blank",$T$4)),NOT(ISNUMBER(SEARCH("nonblank",$T$4))),IFERROR(('Final Calculation Sheet'!$S$10)&amp;"","")=""),AND(OR(ISNUMBER(SEARCH("nonblank",$T$4)),ISNUMBER(SEARCH("&lt;&gt;",$T$4))),IFERROR(('Final Calculation Sheet'!$S$10)&amp;"","")&lt;&gt;""),AND(TRIM($T$4)="",IFERROR(('Final Calculation Sheet'!$S$10)&amp;"","")=""))))</f>
        <v>1</v>
      </c>
      <c r="CG11">
        <f>IF($U$4="",1,--(OR(SUMPRODUCT(--(TRIM(MID(SUBSTITUTE(SUBSTITUTE($U$4,"/",","),",",REPT(" ",99)),(ROW($1:$8)-1)*99+1,99))&lt;&gt;""),--ISNUMBER(SEARCH(TRIM(MID(SUBSTITUTE(SUBSTITUTE($U$4,"/",","),",",REPT(" ",99)),(ROW($1:$8)-1)*99+1,99)),IFERROR(('Final Calculation Sheet'!$T$10)&amp;"",""))))&gt;0,AND(ISNUMBER(SEARCH("blank",$U$4)),NOT(ISNUMBER(SEARCH("nonblank",$U$4))),IFERROR(('Final Calculation Sheet'!$T$10)&amp;"","")=""),AND(OR(ISNUMBER(SEARCH("nonblank",$U$4)),ISNUMBER(SEARCH("&lt;&gt;",$U$4))),IFERROR(('Final Calculation Sheet'!$T$10)&amp;"","")&lt;&gt;""),AND(TRIM($U$4)="",IFERROR(('Final Calculation Sheet'!$T$10)&amp;"","")=""))))</f>
        <v>1</v>
      </c>
      <c r="CH11">
        <f>IF($V$4="",1,--(OR(SUMPRODUCT(--(TRIM(MID(SUBSTITUTE(SUBSTITUTE($V$4,"/",","),",",REPT(" ",99)),(ROW($1:$8)-1)*99+1,99))&lt;&gt;""),--ISNUMBER(SEARCH(TRIM(MID(SUBSTITUTE(SUBSTITUTE($V$4,"/",","),",",REPT(" ",99)),(ROW($1:$8)-1)*99+1,99)),IFERROR(('Final Calculation Sheet'!$U$10)&amp;"",""))))&gt;0,AND(ISNUMBER(SEARCH("blank",$V$4)),NOT(ISNUMBER(SEARCH("nonblank",$V$4))),IFERROR(('Final Calculation Sheet'!$U$10)&amp;"","")=""),AND(OR(ISNUMBER(SEARCH("nonblank",$V$4)),ISNUMBER(SEARCH("&lt;&gt;",$V$4))),IFERROR(('Final Calculation Sheet'!$U$10)&amp;"","")&lt;&gt;""),AND(TRIM($V$4)="",IFERROR(('Final Calculation Sheet'!$U$10)&amp;"","")=""))))</f>
        <v>1</v>
      </c>
      <c r="CI11">
        <f>IF($W$4="",1,--(OR(SUMPRODUCT(--(TRIM(MID(SUBSTITUTE(SUBSTITUTE($W$4,"/",","),",",REPT(" ",99)),(ROW($1:$8)-1)*99+1,99))&lt;&gt;""),--ISNUMBER(SEARCH(TRIM(MID(SUBSTITUTE(SUBSTITUTE($W$4,"/",","),",",REPT(" ",99)),(ROW($1:$8)-1)*99+1,99)),IFERROR(('Final Calculation Sheet'!$V$10)&amp;"",""))))&gt;0,AND(ISNUMBER(SEARCH("blank",$W$4)),NOT(ISNUMBER(SEARCH("nonblank",$W$4))),IFERROR(('Final Calculation Sheet'!$V$10)&amp;"","")=""),AND(OR(ISNUMBER(SEARCH("nonblank",$W$4)),ISNUMBER(SEARCH("&lt;&gt;",$W$4))),IFERROR(('Final Calculation Sheet'!$V$10)&amp;"","")&lt;&gt;""),AND(TRIM($W$4)="",IFERROR(('Final Calculation Sheet'!$V$10)&amp;"","")=""))))</f>
        <v>1</v>
      </c>
      <c r="CJ11">
        <f>IF($X$4="",1,--(OR(SUMPRODUCT(--(TRIM(MID(SUBSTITUTE(SUBSTITUTE($X$4,"/",","),",",REPT(" ",99)),(ROW($1:$8)-1)*99+1,99))&lt;&gt;""),--ISNUMBER(SEARCH(TRIM(MID(SUBSTITUTE(SUBSTITUTE($X$4,"/",","),",",REPT(" ",99)),(ROW($1:$8)-1)*99+1,99)),IFERROR(('Final Calculation Sheet'!$W$10)&amp;"",""))))&gt;0,AND(ISNUMBER(SEARCH("blank",$X$4)),NOT(ISNUMBER(SEARCH("nonblank",$X$4))),IFERROR(('Final Calculation Sheet'!$W$10)&amp;"","")=""),AND(OR(ISNUMBER(SEARCH("nonblank",$X$4)),ISNUMBER(SEARCH("&lt;&gt;",$X$4))),IFERROR(('Final Calculation Sheet'!$W$10)&amp;"","")&lt;&gt;""),AND(TRIM($X$4)="",IFERROR(('Final Calculation Sheet'!$W$10)&amp;"","")=""))))</f>
        <v>1</v>
      </c>
      <c r="CK11">
        <f>IF($Y$4="",1,--(OR(SUMPRODUCT(--(TRIM(MID(SUBSTITUTE(SUBSTITUTE($Y$4,"/",","),",",REPT(" ",99)),(ROW($1:$8)-1)*99+1,99))&lt;&gt;""),--ISNUMBER(SEARCH(TRIM(MID(SUBSTITUTE(SUBSTITUTE($Y$4,"/",","),",",REPT(" ",99)),(ROW($1:$8)-1)*99+1,99)),IFERROR(('Final Calculation Sheet'!$X$10)&amp;"",""))))&gt;0,AND(ISNUMBER(SEARCH("blank",$Y$4)),NOT(ISNUMBER(SEARCH("nonblank",$Y$4))),IFERROR(('Final Calculation Sheet'!$X$10)&amp;"","")=""),AND(OR(ISNUMBER(SEARCH("nonblank",$Y$4)),ISNUMBER(SEARCH("&lt;&gt;",$Y$4))),IFERROR(('Final Calculation Sheet'!$X$10)&amp;"","")&lt;&gt;""),AND(TRIM($Y$4)="",IFERROR(('Final Calculation Sheet'!$X$10)&amp;"","")=""))))</f>
        <v>1</v>
      </c>
      <c r="CL11">
        <f>IF($Z$4="",1,--(OR(SUMPRODUCT(--(TRIM(MID(SUBSTITUTE(SUBSTITUTE($Z$4,"/",","),",",REPT(" ",99)),(ROW($1:$8)-1)*99+1,99))&lt;&gt;""),--ISNUMBER(SEARCH(TRIM(MID(SUBSTITUTE(SUBSTITUTE($Z$4,"/",","),",",REPT(" ",99)),(ROW($1:$8)-1)*99+1,99)),IFERROR(('Final Calculation Sheet'!$Y$10)&amp;"",""))))&gt;0,AND(ISNUMBER(SEARCH("blank",$Z$4)),NOT(ISNUMBER(SEARCH("nonblank",$Z$4))),IFERROR(('Final Calculation Sheet'!$Y$10)&amp;"","")=""),AND(OR(ISNUMBER(SEARCH("nonblank",$Z$4)),ISNUMBER(SEARCH("&lt;&gt;",$Z$4))),IFERROR(('Final Calculation Sheet'!$Y$10)&amp;"","")&lt;&gt;""),AND(TRIM($Z$4)="",IFERROR(('Final Calculation Sheet'!$Y$10)&amp;"","")=""))))</f>
        <v>1</v>
      </c>
      <c r="CM11">
        <f>IF($AA$4="",1,--(OR(SUMPRODUCT(--(TRIM(MID(SUBSTITUTE(SUBSTITUTE($AA$4,"/",","),",",REPT(" ",99)),(ROW($1:$8)-1)*99+1,99))&lt;&gt;""),--ISNUMBER(SEARCH(TRIM(MID(SUBSTITUTE(SUBSTITUTE($AA$4,"/",","),",",REPT(" ",99)),(ROW($1:$8)-1)*99+1,99)),IFERROR(('Final Calculation Sheet'!$Z$10)&amp;"",""))))&gt;0,AND(ISNUMBER(SEARCH("blank",$AA$4)),NOT(ISNUMBER(SEARCH("nonblank",$AA$4))),IFERROR(('Final Calculation Sheet'!$Z$10)&amp;"","")=""),AND(OR(ISNUMBER(SEARCH("nonblank",$AA$4)),ISNUMBER(SEARCH("&lt;&gt;",$AA$4))),IFERROR(('Final Calculation Sheet'!$Z$10)&amp;"","")&lt;&gt;""),AND(TRIM($AA$4)="",IFERROR(('Final Calculation Sheet'!$Z$10)&amp;"","")=""))))</f>
        <v>1</v>
      </c>
      <c r="CN11">
        <f>IF($AB$4="",1,--(OR(SUMPRODUCT(--(TRIM(MID(SUBSTITUTE(SUBSTITUTE($AB$4,"/",","),",",REPT(" ",99)),(ROW($1:$8)-1)*99+1,99))&lt;&gt;""),--ISNUMBER(SEARCH(TRIM(MID(SUBSTITUTE(SUBSTITUTE($AB$4,"/",","),",",REPT(" ",99)),(ROW($1:$8)-1)*99+1,99)),IFERROR(('Final Calculation Sheet'!$AA$10)&amp;"",""))))&gt;0,AND(ISNUMBER(SEARCH("blank",$AB$4)),NOT(ISNUMBER(SEARCH("nonblank",$AB$4))),IFERROR(('Final Calculation Sheet'!$AA$10)&amp;"","")=""),AND(OR(ISNUMBER(SEARCH("nonblank",$AB$4)),ISNUMBER(SEARCH("&lt;&gt;",$AB$4))),IFERROR(('Final Calculation Sheet'!$AA$10)&amp;"","")&lt;&gt;""),AND(TRIM($AB$4)="",IFERROR(('Final Calculation Sheet'!$AA$10)&amp;"","")=""))))</f>
        <v>1</v>
      </c>
      <c r="CO11">
        <f>IF($AC$4="",1,--(OR(SUMPRODUCT(--(TRIM(MID(SUBSTITUTE(SUBSTITUTE($AC$4,"/",","),",",REPT(" ",99)),(ROW($1:$8)-1)*99+1,99))&lt;&gt;""),--ISNUMBER(SEARCH(TRIM(MID(SUBSTITUTE(SUBSTITUTE($AC$4,"/",","),",",REPT(" ",99)),(ROW($1:$8)-1)*99+1,99)),IFERROR(('Final Calculation Sheet'!$AB$10)&amp;"",""))))&gt;0,AND(ISNUMBER(SEARCH("blank",$AC$4)),NOT(ISNUMBER(SEARCH("nonblank",$AC$4))),IFERROR(('Final Calculation Sheet'!$AB$10)&amp;"","")=""),AND(OR(ISNUMBER(SEARCH("nonblank",$AC$4)),ISNUMBER(SEARCH("&lt;&gt;",$AC$4))),IFERROR(('Final Calculation Sheet'!$AB$10)&amp;"","")&lt;&gt;""),AND(TRIM($AC$4)="",IFERROR(('Final Calculation Sheet'!$AB$10)&amp;"","")=""))))</f>
        <v>1</v>
      </c>
      <c r="CP11">
        <f>IF($AD$4="",1,--(OR(SUMPRODUCT(--(TRIM(MID(SUBSTITUTE(SUBSTITUTE($AD$4,"/",","),",",REPT(" ",99)),(ROW($1:$8)-1)*99+1,99))&lt;&gt;""),--ISNUMBER(SEARCH(TRIM(MID(SUBSTITUTE(SUBSTITUTE($AD$4,"/",","),",",REPT(" ",99)),(ROW($1:$8)-1)*99+1,99)),IFERROR(('Final Calculation Sheet'!$AC$10)&amp;"",""))))&gt;0,AND(ISNUMBER(SEARCH("blank",$AD$4)),NOT(ISNUMBER(SEARCH("nonblank",$AD$4))),IFERROR(('Final Calculation Sheet'!$AC$10)&amp;"","")=""),AND(OR(ISNUMBER(SEARCH("nonblank",$AD$4)),ISNUMBER(SEARCH("&lt;&gt;",$AD$4))),IFERROR(('Final Calculation Sheet'!$AC$10)&amp;"","")&lt;&gt;""),AND(TRIM($AD$4)="",IFERROR(('Final Calculation Sheet'!$AC$10)&amp;"","")=""))))</f>
        <v>1</v>
      </c>
      <c r="CQ11">
        <f>IF($AE$4="",1,--(OR(SUMPRODUCT(--(TRIM(MID(SUBSTITUTE(SUBSTITUTE($AE$4,"/",","),",",REPT(" ",99)),(ROW($1:$8)-1)*99+1,99))&lt;&gt;""),--ISNUMBER(SEARCH(TRIM(MID(SUBSTITUTE(SUBSTITUTE($AE$4,"/",","),",",REPT(" ",99)),(ROW($1:$8)-1)*99+1,99)),IFERROR(('Final Calculation Sheet'!$AD$10)&amp;"",""))))&gt;0,AND(ISNUMBER(SEARCH("blank",$AE$4)),NOT(ISNUMBER(SEARCH("nonblank",$AE$4))),IFERROR(('Final Calculation Sheet'!$AD$10)&amp;"","")=""),AND(OR(ISNUMBER(SEARCH("nonblank",$AE$4)),ISNUMBER(SEARCH("&lt;&gt;",$AE$4))),IFERROR(('Final Calculation Sheet'!$AD$10)&amp;"","")&lt;&gt;""),AND(TRIM($AE$4)="",IFERROR(('Final Calculation Sheet'!$AD$10)&amp;"","")=""))))</f>
        <v>1</v>
      </c>
      <c r="CR11">
        <f>IF($AF$4="",1,--(OR(SUMPRODUCT(--(TRIM(MID(SUBSTITUTE(SUBSTITUTE($AF$4,"/",","),",",REPT(" ",99)),(ROW($1:$8)-1)*99+1,99))&lt;&gt;""),--ISNUMBER(SEARCH(TRIM(MID(SUBSTITUTE(SUBSTITUTE($AF$4,"/",","),",",REPT(" ",99)),(ROW($1:$8)-1)*99+1,99)),IFERROR(('Final Calculation Sheet'!$AE$10)&amp;"",""))))&gt;0,AND(ISNUMBER(SEARCH("blank",$AF$4)),NOT(ISNUMBER(SEARCH("nonblank",$AF$4))),IFERROR(('Final Calculation Sheet'!$AE$10)&amp;"","")=""),AND(OR(ISNUMBER(SEARCH("nonblank",$AF$4)),ISNUMBER(SEARCH("&lt;&gt;",$AF$4))),IFERROR(('Final Calculation Sheet'!$AE$10)&amp;"","")&lt;&gt;""),AND(TRIM($AF$4)="",IFERROR(('Final Calculation Sheet'!$AE$10)&amp;"","")=""))))</f>
        <v>1</v>
      </c>
      <c r="CS11">
        <f>IF($AG$4="",1,--(OR(SUMPRODUCT(--(TRIM(MID(SUBSTITUTE(SUBSTITUTE($AG$4,"/",","),",",REPT(" ",99)),(ROW($1:$8)-1)*99+1,99))&lt;&gt;""),--ISNUMBER(SEARCH(TRIM(MID(SUBSTITUTE(SUBSTITUTE($AG$4,"/",","),",",REPT(" ",99)),(ROW($1:$8)-1)*99+1,99)),IFERROR(('Final Calculation Sheet'!$AF$10)&amp;"",""))))&gt;0,AND(ISNUMBER(SEARCH("blank",$AG$4)),NOT(ISNUMBER(SEARCH("nonblank",$AG$4))),IFERROR(('Final Calculation Sheet'!$AF$10)&amp;"","")=""),AND(OR(ISNUMBER(SEARCH("nonblank",$AG$4)),ISNUMBER(SEARCH("&lt;&gt;",$AG$4))),IFERROR(('Final Calculation Sheet'!$AF$10)&amp;"","")&lt;&gt;""),AND(TRIM($AG$4)="",IFERROR(('Final Calculation Sheet'!$AF$10)&amp;"","")=""))))</f>
        <v>1</v>
      </c>
      <c r="CT11">
        <f>IF($AH$4="",1,--(OR(SUMPRODUCT(--(TRIM(MID(SUBSTITUTE(SUBSTITUTE($AH$4,"/",","),",",REPT(" ",99)),(ROW($1:$8)-1)*99+1,99))&lt;&gt;""),--ISNUMBER(SEARCH(TRIM(MID(SUBSTITUTE(SUBSTITUTE($AH$4,"/",","),",",REPT(" ",99)),(ROW($1:$8)-1)*99+1,99)),IFERROR(('Final Calculation Sheet'!$AG$10)&amp;"",""))))&gt;0,AND(ISNUMBER(SEARCH("blank",$AH$4)),NOT(ISNUMBER(SEARCH("nonblank",$AH$4))),IFERROR(('Final Calculation Sheet'!$AG$10)&amp;"","")=""),AND(OR(ISNUMBER(SEARCH("nonblank",$AH$4)),ISNUMBER(SEARCH("&lt;&gt;",$AH$4))),IFERROR(('Final Calculation Sheet'!$AG$10)&amp;"","")&lt;&gt;""),AND(TRIM($AH$4)="",IFERROR(('Final Calculation Sheet'!$AG$10)&amp;"","")=""))))</f>
        <v>1</v>
      </c>
      <c r="CU11">
        <f>IF($AI$4="",1,--(OR(SUMPRODUCT(--(TRIM(MID(SUBSTITUTE(SUBSTITUTE($AI$4,"/",","),",",REPT(" ",99)),(ROW($1:$8)-1)*99+1,99))&lt;&gt;""),--ISNUMBER(SEARCH(TRIM(MID(SUBSTITUTE(SUBSTITUTE($AI$4,"/",","),",",REPT(" ",99)),(ROW($1:$8)-1)*99+1,99)),IFERROR((IF('Final Calculation Sheet'!$AD$10&lt;=5,"SETTLED","OUTSTANDING"))&amp;"",""))))&gt;0,AND(ISNUMBER(SEARCH("blank",$AI$4)),NOT(ISNUMBER(SEARCH("nonblank",$AI$4))),IFERROR((IF('Final Calculation Sheet'!$AD$10&lt;=5,"SETTLED","OUTSTANDING"))&amp;"","")=""),AND(OR(ISNUMBER(SEARCH("nonblank",$AI$4)),ISNUMBER(SEARCH("&lt;&gt;",$AI$4))),IFERROR((IF('Final Calculation Sheet'!$AD$10&lt;=5,"SETTLED","OUTSTANDING"))&amp;"","")&lt;&gt;""),AND(TRIM($AI$4)="",IFERROR((IF('Final Calculation Sheet'!$AD$10&lt;=5,"SETTLED","OUTSTANDING"))&amp;"","")=""))))</f>
        <v>1</v>
      </c>
    </row>
    <row r="12" ht="15" customHeight="1" s="137">
      <c r="A12" s="67">
        <f>IF($BJ11&gt;0,INDEX($BA$5:$BA$41,MATCH(11,$BB$5:$BB$41,0)),IF(OR($BI11=1,$BL11=1,$BH11&gt;0),"∑",""))</f>
        <v>7</v>
      </c>
      <c r="B12" s="76">
        <f>IF($BJ11&gt;0,IF(INDEX('Final Calculation Sheet'!$F$4:$F$40,$BJ11-3)="","",INDEX('Final Calculation Sheet'!$F$4:$F$40,$BJ11-3)),"")</f>
        <v>2002</v>
      </c>
      <c r="C12" s="76" t="str">
        <f>IF($BJ11&gt;0,IF(INDEX('Final Calculation Sheet'!$G$4:$G$40,$BJ11-3)="","",INDEX('Final Calculation Sheet'!$G$4:$G$40,$BJ11-3)),IF(OR($BI11=1,$BL11=1,$BH11&gt;0),IF($BI11=1,37,IF($BL11=1,37-INDEX($BD$4:$BD$13,10),INDEX($BD$4:$BD$13,$BH11)))&amp;" lot(s)",""))</f>
        <v>NATIONAL ENTERPRISES</v>
      </c>
      <c r="D12" s="80" t="str">
        <f>IF($BJ11&gt;0,IF(INDEX('Final Calculation Sheet'!$B$4:$B$40,$BJ11-3)="","",INDEX('Final Calculation Sheet'!$B$4:$B$40,$BJ11-3)),IF(OR($BI11=1,$BL11=1,$BH11&gt;0),IF($BI11=1,"GRAND TOTAL  —  matching + remaining",IF($BL11=1,"TOTAL MATCHED  —  every group together",IF($BH11=10,"REMAINING  —  did not match the search",IF($BH11=9,IF(COUNTIF($A$4:$AI$4,"&lt;&gt;")&gt;0,"FILTERED LOTS  —  column fields","ALL LOTS  —  nothing typed in the box"),"GROUP "&amp;$BH11&amp;" TOTAL  —  lots matching  "&amp;INDEX($AR$6:$AY$6,$BH11))))),""))</f>
        <v>Scrap of 132 KV CT</v>
      </c>
      <c r="E12" s="80">
        <f>IF($BJ11&gt;0,IF(INDEX('Final Calculation Sheet'!$D$4:$D$40,$BJ11-3)="","",INDEX('Final Calculation Sheet'!$D$4:$D$40,$BJ11-3)),IF(OR($BI11=1,$BL11=1,$BH11&gt;0),"–",""))</f>
        <v>21977</v>
      </c>
      <c r="F12" s="80">
        <f>IF($BJ11&gt;0,IF(INDEX('Final Calculation Sheet'!$A$4:$A$40,$BJ11-3)="","",INDEX('Final Calculation Sheet'!$A$4:$A$40,$BJ11-3)),IF(OR($BI11=1,$BL11=1,$BH11&gt;0),IF($BI11=1,SUM('Final Calculation Sheet'!$A$4:$A$40),IF($BL11=1,SUM('Final Calculation Sheet'!$A$4:$A$40)-SUMIFS('Final Calculation Sheet'!$A$4:$A$40,$AZ$5:$AZ$41,10),SUMIFS('Final Calculation Sheet'!$A$4:$A$40,$AZ$5:$AZ$41,$BH11))),""))</f>
        <v>4</v>
      </c>
      <c r="G12" s="80" t="str">
        <f>IF($BJ11&gt;0,IF(INDEX('Final Calculation Sheet'!$E$4:$E$40,$BJ11-3)="","",INDEX('Final Calculation Sheet'!$E$4:$E$40,$BJ11-3)),IF(OR($BI11=1,$BL11=1,$BH11&gt;0),"–",""))</f>
        <v>NO</v>
      </c>
      <c r="H12" s="70">
        <f>IF($BJ11&gt;0,IF(INDEX('Final Calculation Sheet'!$C$4:$C$40,$BJ11-3)="","",INDEX('Final Calculation Sheet'!$C$4:$C$40,$BJ11-3)),IF(OR($BI11=1,$BL11=1,$BH11&gt;0),"–",""))</f>
        <v>51511</v>
      </c>
      <c r="I12" s="70">
        <f>IF($BJ11&gt;0,IF(INDEX('Final Calculation Sheet'!$H$4:$H$40,$BJ11-3)="","",INDEX('Final Calculation Sheet'!$H$4:$H$40,$BJ11-3)),IF(OR($BI11=1,$BL11=1,$BH11&gt;0),IF($BI11=1,SUM('Final Calculation Sheet'!$H$4:$H$40),IF($BL11=1,SUM('Final Calculation Sheet'!$H$4:$H$40)-SUMIFS('Final Calculation Sheet'!$H$4:$H$40,$AZ$5:$AZ$41,10),SUMIFS('Final Calculation Sheet'!$H$4:$H$40,$AZ$5:$AZ$41,$BH11))),""))</f>
        <v>206044</v>
      </c>
      <c r="J12" s="70">
        <f>IF($BJ11&gt;0,IF(INDEX('Final Calculation Sheet'!$I$4:$I$40,$BJ11-3)="","",INDEX('Final Calculation Sheet'!$I$4:$I$40,$BJ11-3)),IF(OR($BI11=1,$BL11=1,$BH11&gt;0),IF($BI11=1,SUM('Final Calculation Sheet'!$I$4:$I$40),IF($BL11=1,SUM('Final Calculation Sheet'!$I$4:$I$40)-SUMIFS('Final Calculation Sheet'!$I$4:$I$40,$AZ$5:$AZ$41,10),SUMIFS('Final Calculation Sheet'!$I$4:$I$40,$AZ$5:$AZ$41,$BH11))),""))</f>
        <v>37088</v>
      </c>
      <c r="K12" s="70">
        <f>IF($BJ11&gt;0,IF(INDEX('Final Calculation Sheet'!$J$4:$J$40,$BJ11-3)="","",INDEX('Final Calculation Sheet'!$J$4:$J$40,$BJ11-3)),IF(OR($BI11=1,$BL11=1,$BH11&gt;0),IF($BI11=1,SUM('Final Calculation Sheet'!$J$4:$J$40),IF($BL11=1,SUM('Final Calculation Sheet'!$J$4:$J$40)-SUMIFS('Final Calculation Sheet'!$J$4:$J$40,$AZ$5:$AZ$41,10),SUMIFS('Final Calculation Sheet'!$J$4:$J$40,$AZ$5:$AZ$41,$BH11))),""))</f>
        <v>243132</v>
      </c>
      <c r="L12" s="70">
        <f>IF($BJ11&gt;0,IF(INDEX('Final Calculation Sheet'!$K$4:$K$40,$BJ11-3)="","",INDEX('Final Calculation Sheet'!$K$4:$K$40,$BJ11-3)),IF(OR($BI11=1,$BL11=1,$BH11&gt;0),IF($BI11=1,SUM('Final Calculation Sheet'!$K$4:$K$40),IF($BL11=1,SUM('Final Calculation Sheet'!$K$4:$K$40)-SUMIFS('Final Calculation Sheet'!$K$4:$K$40,$AZ$5:$AZ$41,10),SUMIFS('Final Calculation Sheet'!$K$4:$K$40,$AZ$5:$AZ$41,$BH11))),""))</f>
        <v>4863</v>
      </c>
      <c r="M12" s="70">
        <f>IF($BJ11&gt;0,IF(INDEX('Final Calculation Sheet'!$L$4:$L$40,$BJ11-3)="","",INDEX('Final Calculation Sheet'!$L$4:$L$40,$BJ11-3)),IF(OR($BI11=1,$BL11=1,$BH11&gt;0),IF($BI11=1,SUM('Final Calculation Sheet'!$L$4:$L$40),IF($BL11=1,SUM('Final Calculation Sheet'!$L$4:$L$40)-SUMIFS('Final Calculation Sheet'!$L$4:$L$40,$AZ$5:$AZ$41,10),SUMIFS('Final Calculation Sheet'!$L$4:$L$40,$AZ$5:$AZ$41,$BH11))),""))</f>
        <v>206.04400000000001</v>
      </c>
      <c r="N12" s="70">
        <f>IF($BJ11&gt;0,IF(INDEX('Final Calculation Sheet'!$M$4:$M$40,$BJ11-3)="","",INDEX('Final Calculation Sheet'!$M$4:$M$40,$BJ11-3)),IF(OR($BI11=1,$BL11=1,$BH11&gt;0),IF($BI11=1,SUM('Final Calculation Sheet'!$M$4:$M$40),IF($BL11=1,SUM('Final Calculation Sheet'!$M$4:$M$40)-SUMIFS('Final Calculation Sheet'!$M$4:$M$40,$AZ$5:$AZ$41,10),SUMIFS('Final Calculation Sheet'!$M$4:$M$40,$AZ$5:$AZ$41,$BH11))),""))</f>
        <v>5470.4681999999993</v>
      </c>
      <c r="O12" s="71">
        <f>IF($BJ11&gt;0,IF(INDEX('Final Calculation Sheet'!$N$4:$N$40,$BJ11-3)="","",INDEX('Final Calculation Sheet'!$N$4:$N$40,$BJ11-3)),IF(OR($BI11=1,$BL11=1,$BH11&gt;0),IF($BI11=1,SUM('Final Calculation Sheet'!$N$4:$N$40),IF($BL11=1,SUM('Final Calculation Sheet'!$N$4:$N$40)-SUMIFS('Final Calculation Sheet'!$N$4:$N$40,$AZ$5:$AZ$41,10),SUMIFS('Final Calculation Sheet'!$N$4:$N$40,$AZ$5:$AZ$41,$BH11))),""))</f>
        <v>92.719799999999992</v>
      </c>
      <c r="P12" s="70">
        <f>IF($BJ11&gt;0,IF(INDEX('Final Calculation Sheet'!$O$4:$O$40,$BJ11-3)="","",INDEX('Final Calculation Sheet'!$O$4:$O$40,$BJ11-3)),IF(OR($BI11=1,$BL11=1,$BH11&gt;0),IF($BI11=1,SUM('Final Calculation Sheet'!$O$4:$O$40),IF($BL11=1,SUM('Final Calculation Sheet'!$O$4:$O$40)-SUMIFS('Final Calculation Sheet'!$O$4:$O$40,$AZ$5:$AZ$41,10),SUMIFS('Final Calculation Sheet'!$O$4:$O$40,$AZ$5:$AZ$41,$BH11))),""))</f>
        <v>5377.7483999999995</v>
      </c>
      <c r="Q12" s="70">
        <f>IF($BJ11&gt;0,IF(INDEX('Final Calculation Sheet'!$P$4:$P$40,$BJ11-3)="","",INDEX('Final Calculation Sheet'!$P$4:$P$40,$BJ11-3)),IF(OR($BI11=1,$BL11=1,$BH11&gt;0),IF($BI11=1,SUM('Final Calculation Sheet'!$P$4:$P$40),IF($BL11=1,SUM('Final Calculation Sheet'!$P$4:$P$40)-SUMIFS('Final Calculation Sheet'!$P$4:$P$40,$AZ$5:$AZ$41,10),SUMIFS('Final Calculation Sheet'!$P$4:$P$40,$AZ$5:$AZ$41,$BH11))),""))</f>
        <v>5584</v>
      </c>
      <c r="R12" s="72">
        <f>IF($BJ11&gt;0,IF(INDEX('Final Calculation Sheet'!$Q$4:$Q$40,$BJ11-3)="","",INDEX('Final Calculation Sheet'!$Q$4:$Q$40,$BJ11-3)),IF(OR($BI11=1,$BL11=1,$BH11&gt;0),"–",""))</f>
        <v>0</v>
      </c>
      <c r="S12" s="70">
        <f>IF($BJ11&gt;0,IF(INDEX('Final Calculation Sheet'!$R$4:$R$40,$BJ11-3)="","",INDEX('Final Calculation Sheet'!$R$4:$R$40,$BJ11-3)),IF(OR($BI11=1,$BL11=1,$BH11&gt;0),IF($BI11=1,SUM('Final Calculation Sheet'!$R$4:$R$40),IF($BL11=1,SUM('Final Calculation Sheet'!$R$4:$R$40)-SUMIFS('Final Calculation Sheet'!$R$4:$R$40,$AZ$5:$AZ$41,10),SUMIFS('Final Calculation Sheet'!$R$4:$R$40,$AZ$5:$AZ$41,$BH11))),""))</f>
        <v>0</v>
      </c>
      <c r="T12" s="70">
        <f>IF($BJ11&gt;0,IF(INDEX('Final Calculation Sheet'!$S$4:$S$40,$BJ11-3)="","",INDEX('Final Calculation Sheet'!$S$4:$S$40,$BJ11-3)),IF(OR($BI11=1,$BL11=1,$BH11&gt;0),IF($BI11=1,SUM('Final Calculation Sheet'!$S$4:$S$40),IF($BL11=1,SUM('Final Calculation Sheet'!$S$4:$S$40)-SUMIFS('Final Calculation Sheet'!$S$4:$S$40,$AZ$5:$AZ$41,10),SUMIFS('Final Calculation Sheet'!$S$4:$S$40,$AZ$5:$AZ$41,$BH11))),""))</f>
        <v>242411</v>
      </c>
      <c r="U12" s="70">
        <f>IF($BJ11&gt;0,IF(INDEX('Final Calculation Sheet'!$T$4:$T$40,$BJ11-3)="","",INDEX('Final Calculation Sheet'!$T$4:$T$40,$BJ11-3)),IF(OR($BI11=1,$BL11=1,$BH11&gt;0),IF($BI11=1,SUM('Final Calculation Sheet'!$T$4:$T$40),IF($BL11=1,SUM('Final Calculation Sheet'!$T$4:$T$40)-SUMIFS('Final Calculation Sheet'!$T$4:$T$40,$AZ$5:$AZ$41,10),SUMIFS('Final Calculation Sheet'!$T$4:$T$40,$AZ$5:$AZ$41,$BH11))),""))</f>
        <v>51511</v>
      </c>
      <c r="V12" s="73">
        <f>IF($BJ11&gt;0,IF(INDEX('Final Calculation Sheet'!$U$4:$U$40,$BJ11-3)="","",INDEX('Final Calculation Sheet'!$U$4:$U$40,$BJ11-3)),IF(OR($BI11=1,$BL11=1,$BH11&gt;0),IF($BI11=1,SUM('Final Calculation Sheet'!$U$4:$U$40),IF($BL11=1,SUM('Final Calculation Sheet'!$U$4:$U$40)-SUMIFS('Final Calculation Sheet'!$U$4:$U$40,$AZ$5:$AZ$41,10),SUMIFS('Final Calculation Sheet'!$U$4:$U$40,$AZ$5:$AZ$41,$BH11))),""))</f>
        <v>51511</v>
      </c>
      <c r="W12" s="70" t="str">
        <f>IF($BJ11&gt;0,IF(INDEX('Final Calculation Sheet'!$V$4:$V$40,$BJ11-3)="","",INDEX('Final Calculation Sheet'!$V$4:$V$40,$BJ11-3)),IF(OR($BI11=1,$BL11=1,$BH11&gt;0),"–",""))</f>
        <v>13.08.2026</v>
      </c>
      <c r="X12" s="70">
        <f>IF($BJ11&gt;0,IF(INDEX('Final Calculation Sheet'!$W$4:$W$40,$BJ11-3)="","",INDEX('Final Calculation Sheet'!$W$4:$W$40,$BJ11-3)),IF(OR($BI11=1,$BL11=1,$BH11&gt;0),IF($BI11=1,SUM('Final Calculation Sheet'!$W$4:$W$40),IF($BL11=1,SUM('Final Calculation Sheet'!$W$4:$W$40)-SUMIFS('Final Calculation Sheet'!$W$4:$W$40,$AZ$5:$AZ$41,10),SUMIFS('Final Calculation Sheet'!$W$4:$W$40,$AZ$5:$AZ$41,$BH11))),""))</f>
        <v>190900</v>
      </c>
      <c r="Y12" s="70">
        <f>IF($BJ11&gt;0,IF(INDEX('Final Calculation Sheet'!$X$4:$X$40,$BJ11-3)="","",INDEX('Final Calculation Sheet'!$X$4:$X$40,$BJ11-3)),IF(OR($BI11=1,$BL11=1,$BH11&gt;0),IF($BI11=1,SUM('Final Calculation Sheet'!$X$4:$X$40),IF($BL11=1,SUM('Final Calculation Sheet'!$X$4:$X$40)-SUMIFS('Final Calculation Sheet'!$X$4:$X$40,$AZ$5:$AZ$41,10),SUMIFS('Final Calculation Sheet'!$X$4:$X$40,$AZ$5:$AZ$41,$BH11))),""))</f>
        <v>190900</v>
      </c>
      <c r="Z12" s="70" t="str">
        <f>IF($BJ11&gt;0,IF(INDEX('Final Calculation Sheet'!$Y$4:$Y$40,$BJ11-3)="","",INDEX('Final Calculation Sheet'!$Y$4:$Y$40,$BJ11-3)),IF(OR($BI11=1,$BL11=1,$BH11&gt;0),"–",""))</f>
        <v>24.08.2026</v>
      </c>
      <c r="AA12" s="70">
        <f>IF($BJ11&gt;0,IF(INDEX('Final Calculation Sheet'!$Z$4:$Z$40,$BJ11-3)="","",INDEX('Final Calculation Sheet'!$Z$4:$Z$40,$BJ11-3)),IF(OR($BI11=1,$BL11=1,$BH11&gt;0),IF($BI11=1,SUM('Final Calculation Sheet'!$Z$4:$Z$40),IF($BL11=1,SUM('Final Calculation Sheet'!$Z$4:$Z$40)-SUMIFS('Final Calculation Sheet'!$Z$4:$Z$40,$AZ$5:$AZ$41,10),SUMIFS('Final Calculation Sheet'!$Z$4:$Z$40,$AZ$5:$AZ$41,$BH11))),""))</f>
        <v>0</v>
      </c>
      <c r="AB12" s="70" t="str">
        <f>IF($BJ11&gt;0,IF(INDEX('Final Calculation Sheet'!$AA$4:$AA$40,$BJ11-3)="","",INDEX('Final Calculation Sheet'!$AA$4:$AA$40,$BJ11-3)),IF(OR($BI11=1,$BL11=1,$BH11&gt;0),IF($BI11=1,SUM('Final Calculation Sheet'!$AA$4:$AA$40),IF($BL11=1,SUM('Final Calculation Sheet'!$AA$4:$AA$40)-SUMIFS('Final Calculation Sheet'!$AA$4:$AA$40,$AZ$5:$AZ$41,10),SUMIFS('Final Calculation Sheet'!$AA$4:$AA$40,$AZ$5:$AZ$41,$BH11))),""))</f>
        <v/>
      </c>
      <c r="AC12" s="70" t="str">
        <f>IF($BJ11&gt;0,IF(INDEX('Final Calculation Sheet'!$AB$4:$AB$40,$BJ11-3)="","",INDEX('Final Calculation Sheet'!$AB$4:$AB$40,$BJ11-3)),IF(OR($BI11=1,$BL11=1,$BH11&gt;0),"–",""))</f>
        <v/>
      </c>
      <c r="AD12" s="70">
        <f>IF($BJ11&gt;0,IF(INDEX('Final Calculation Sheet'!$AC$4:$AC$40,$BJ11-3)="","",INDEX('Final Calculation Sheet'!$AC$4:$AC$40,$BJ11-3)),IF(OR($BI11=1,$BL11=1,$BH11&gt;0),IF($BI11=1,SUM('Final Calculation Sheet'!$AC$4:$AC$40),IF($BL11=1,SUM('Final Calculation Sheet'!$AC$4:$AC$40)-SUMIFS('Final Calculation Sheet'!$AC$4:$AC$40,$AZ$5:$AZ$41,10),SUMIFS('Final Calculation Sheet'!$AC$4:$AC$40,$AZ$5:$AZ$41,$BH11))),""))</f>
        <v>242411</v>
      </c>
      <c r="AE12" s="70">
        <f>IF($BJ11&gt;0,IF(INDEX('Final Calculation Sheet'!$AD$4:$AD$40,$BJ11-3)="","",INDEX('Final Calculation Sheet'!$AD$4:$AD$40,$BJ11-3)),IF(OR($BI11=1,$BL11=1,$BH11&gt;0),IF($BI11=1,SUM('Final Calculation Sheet'!$AD$4:$AD$40),IF($BL11=1,SUM('Final Calculation Sheet'!$AD$4:$AD$40)-SUMIFS('Final Calculation Sheet'!$AD$4:$AD$40,$AZ$5:$AZ$41,10),SUMIFS('Final Calculation Sheet'!$AD$4:$AD$40,$AZ$5:$AZ$41,$BH11))),""))</f>
        <v>0</v>
      </c>
      <c r="AF12" s="70" t="str">
        <f>IF($BJ11&gt;0,IF(INDEX('Final Calculation Sheet'!$AE$4:$AE$40,$BJ11-3)="","",INDEX('Final Calculation Sheet'!$AE$4:$AE$40,$BJ11-3)),IF(OR($BI11=1,$BL11=1,$BH11&gt;0),"–",""))</f>
        <v>DR2640100031</v>
      </c>
      <c r="AG12" s="74">
        <f>IF($BJ11&gt;0,IF(INDEX('Final Calculation Sheet'!$AF$4:$AF$40,$BJ11-3)="","",INDEX('Final Calculation Sheet'!$AF$4:$AF$40,$BJ11-3)),IF(OR($BI11=1,$BL11=1,$BH11&gt;0),"–",""))</f>
        <v>1800003303</v>
      </c>
      <c r="AH12" s="70" t="str">
        <f>IF($BJ11&gt;0,IF(INDEX('Final Calculation Sheet'!$AG$4:$AG$40,$BJ11-3)="","",INDEX('Final Calculation Sheet'!$AG$4:$AG$40,$BJ11-3)),IF(OR($BI11=1,$BL11=1,$BH11&gt;0),"–",""))</f>
        <v>27.08.2026</v>
      </c>
      <c r="AI12" s="75" t="str">
        <f>IF($BJ11&gt;0,IF(INDEX('Final Calculation Sheet'!$AD$4:$AD$40,$BJ11-3)="","",IF(INDEX('Final Calculation Sheet'!$AD$4:$AD$40,$BJ11-3)&lt;=5,"SETTLED","OUTSTANDING")),IF(OR($BI11=1,$BL11=1,$BH11&gt;0),IF(IF($BI11=1,SUM('Final Calculation Sheet'!$AD$4:$AD$40),IF($BL11=1,SUM('Final Calculation Sheet'!$AD$4:$AD$40)-SUMIFS('Final Calculation Sheet'!$AD$4:$AD$40,$AZ$5:$AZ$41,10),SUMIFS('Final Calculation Sheet'!$AD$4:$AD$40,$AZ$5:$AZ$41,$BH11)))&lt;=5,"ALL SETTLED","OUTSTANDING"),""))</f>
        <v>SETTLED</v>
      </c>
      <c r="AJ12" s="76" t="str">
        <f>IF($B$3="",IF(ROW()=5,"— type above —",""),IF(ROW()-4&gt;AL$41,"",INDEX('Final Calculation Sheet'!$F$4:$F$40,MATCH(ROW()-4,$AL$5:$AL$41,0))&amp;" — "&amp;INDEX('Final Calculation Sheet'!$G$4:$G$40,MATCH(ROW()-4,$AL$5:$AL$41,0))))</f>
        <v/>
      </c>
      <c r="AK12" t="str">
        <f>IF($F$3="Lot No.",'Final Calculation Sheet'!$F$11,IF($F$3="Buyer",'Final Calculation Sheet'!$G$11,IF($F$3="Lot Name",'Final Calculation Sheet'!$B$11,IF($F$3="Bid Sheet",'Final Calculation Sheet'!$D$11,IF($F$3="Unit",'Final Calculation Sheet'!$E$11,'Final Calculation Sheet'!$F$11&amp;" "&amp;'Final Calculation Sheet'!$G$11&amp;" "&amp;'Final Calculation Sheet'!$B$11)))))</f>
        <v>2003 NATIONAL ENTERPRISES Scrap of 145 KV CB</v>
      </c>
      <c r="AL12">
        <f>AL11+IF($B$3="",0,--(SUMPRODUCT(--($AR$6:$AY$6&lt;&gt;""),--ISNUMBER(SEARCH($AR$6:$AY$6,$AK12)))&gt;0))</f>
        <v>0</v>
      </c>
      <c r="AM12">
        <f>IF(COUNTIF($BM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1</v>
      </c>
      <c r="AZ12">
        <f>IF($B$3="",IF(COUNTIF($A$4:$AI$4,"&lt;&gt;")=0,9,IF($AM12=1,9,10)),IF($AM12=0,10,IF(AND($AR$6&lt;&gt;"",ISNUMBER(SEARCH($AR$6,$AK12))),1,IF(AND($AS$6&lt;&gt;"",ISNUMBER(SEARCH($AS$6,$AK12))),2,IF(AND($AT$6&lt;&gt;"",ISNUMBER(SEARCH($AT$6,$AK12))),3,IF(AND($AU$6&lt;&gt;"",ISNUMBER(SEARCH($AU$6,$AK12))),4,IF(AND($AV$6&lt;&gt;"",ISNUMBER(SEARCH($AV$6,$AK12))),5,IF(AND($AW$6&lt;&gt;"",ISNUMBER(SEARCH($AW$6,$AK12))),6,IF(AND($AX$6&lt;&gt;"",ISNUMBER(SEARCH($AX$6,$AK12))),7,IF(AND($AY$6&lt;&gt;"",ISNUMBER(SEARCH($AY$6,$AK12))),8,0))))))))))</f>
        <v>9</v>
      </c>
      <c r="BA12">
        <f>SUMPRODUCT(($AZ$5:$AZ$41=$AZ12)*($BC$5:$BC$41&lt;$BC12))+1</f>
        <v>8</v>
      </c>
      <c r="BB12">
        <f>IF(INDEX($BF$4:$BF$13,$AZ12)=0,0,INDEX($BE$4:$BE$13,$AZ12)+$BA12-1)</f>
        <v>12</v>
      </c>
      <c r="BC12" t="n">
        <v>11</v>
      </c>
      <c r="BD12">
        <f>COUNTIF($AZ$5:$AZ$41,9)</f>
        <v>37</v>
      </c>
      <c r="BE12">
        <f>IF($BD11=0,$BE11,$BF11+1)</f>
        <v>5</v>
      </c>
      <c r="BF12">
        <f>IF($BD12=0,0,$BE12+$BD12)</f>
        <v>42</v>
      </c>
      <c r="BH12">
        <f>IFERROR(MATCH(12,$BF$4:$BF$13,0),0)</f>
        <v>0</v>
      </c>
      <c r="BI12">
        <f>IF(12=$BG$5,1,0)</f>
        <v>0</v>
      </c>
      <c r="BJ12">
        <f>IF(OR($BH12&gt;0,$BI12=1,$BL12=1),0,IFERROR(INDEX($BC$5:$BC$41,MATCH(12,$BB$5:$BB$41,0)),0))</f>
        <v>11</v>
      </c>
      <c r="BK12">
        <f>IF($BJ12&gt;0,IF(INDEX($AZ$5:$AZ$41,MATCH(12,$BB$5:$BB$41,0))=10,1,0),IF($BH12=10,1,0))</f>
        <v>0</v>
      </c>
      <c r="BL12">
        <f>IF(12=$BG$4,1,0)</f>
        <v>0</v>
      </c>
      <c r="BM12">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1</v>
      </c>
      <c r="BN12">
        <f>IF($B$4="",1,--(OR(SUMPRODUCT(--(TRIM(MID(SUBSTITUTE(SUBSTITUTE($B$4,"/",","),",",REPT(" ",99)),(ROW($1:$8)-1)*99+1,99))&lt;&gt;""),--ISNUMBER(SEARCH(TRIM(MID(SUBSTITUTE(SUBSTITUTE($B$4,"/",","),",",REPT(" ",99)),(ROW($1:$8)-1)*99+1,99)),IFERROR(('Final Calculation Sheet'!$F$11)&amp;"",""))))&gt;0,AND(ISNUMBER(SEARCH("blank",$B$4)),NOT(ISNUMBER(SEARCH("nonblank",$B$4))),IFERROR(('Final Calculation Sheet'!$F$11)&amp;"","")=""),AND(OR(ISNUMBER(SEARCH("nonblank",$B$4)),ISNUMBER(SEARCH("&lt;&gt;",$B$4))),IFERROR(('Final Calculation Sheet'!$F$11)&amp;"","")&lt;&gt;""),AND(TRIM($B$4)="",IFERROR(('Final Calculation Sheet'!$F$11)&amp;"","")=""))))</f>
        <v>1</v>
      </c>
      <c r="BO12">
        <f>IF($C$4="",1,--(OR(SUMPRODUCT(--(TRIM(MID(SUBSTITUTE(SUBSTITUTE($C$4,"/",","),",",REPT(" ",99)),(ROW($1:$8)-1)*99+1,99))&lt;&gt;""),--ISNUMBER(SEARCH(TRIM(MID(SUBSTITUTE(SUBSTITUTE($C$4,"/",","),",",REPT(" ",99)),(ROW($1:$8)-1)*99+1,99)),IFERROR(('Final Calculation Sheet'!$G$11)&amp;"",""))))&gt;0,AND(ISNUMBER(SEARCH("blank",$C$4)),NOT(ISNUMBER(SEARCH("nonblank",$C$4))),IFERROR(('Final Calculation Sheet'!$G$11)&amp;"","")=""),AND(OR(ISNUMBER(SEARCH("nonblank",$C$4)),ISNUMBER(SEARCH("&lt;&gt;",$C$4))),IFERROR(('Final Calculation Sheet'!$G$11)&amp;"","")&lt;&gt;""),AND(TRIM($C$4)="",IFERROR(('Final Calculation Sheet'!$G$11)&amp;"","")=""))))</f>
        <v>1</v>
      </c>
      <c r="BP12">
        <f>IF($D$4="",1,--(OR(SUMPRODUCT(--(TRIM(MID(SUBSTITUTE(SUBSTITUTE($D$4,"/",","),",",REPT(" ",99)),(ROW($1:$8)-1)*99+1,99))&lt;&gt;""),--ISNUMBER(SEARCH(TRIM(MID(SUBSTITUTE(SUBSTITUTE($D$4,"/",","),",",REPT(" ",99)),(ROW($1:$8)-1)*99+1,99)),IFERROR(('Final Calculation Sheet'!$B$11)&amp;"",""))))&gt;0,AND(ISNUMBER(SEARCH("blank",$D$4)),NOT(ISNUMBER(SEARCH("nonblank",$D$4))),IFERROR(('Final Calculation Sheet'!$B$11)&amp;"","")=""),AND(OR(ISNUMBER(SEARCH("nonblank",$D$4)),ISNUMBER(SEARCH("&lt;&gt;",$D$4))),IFERROR(('Final Calculation Sheet'!$B$11)&amp;"","")&lt;&gt;""),AND(TRIM($D$4)="",IFERROR(('Final Calculation Sheet'!$B$11)&amp;"","")=""))))</f>
        <v>1</v>
      </c>
      <c r="BQ12">
        <f>IF($E$4="",1,--(OR(SUMPRODUCT(--(TRIM(MID(SUBSTITUTE(SUBSTITUTE($E$4,"/",","),",",REPT(" ",99)),(ROW($1:$8)-1)*99+1,99))&lt;&gt;""),--ISNUMBER(SEARCH(TRIM(MID(SUBSTITUTE(SUBSTITUTE($E$4,"/",","),",",REPT(" ",99)),(ROW($1:$8)-1)*99+1,99)),IFERROR(('Final Calculation Sheet'!$D$11)&amp;"",""))))&gt;0,AND(ISNUMBER(SEARCH("blank",$E$4)),NOT(ISNUMBER(SEARCH("nonblank",$E$4))),IFERROR(('Final Calculation Sheet'!$D$11)&amp;"","")=""),AND(OR(ISNUMBER(SEARCH("nonblank",$E$4)),ISNUMBER(SEARCH("&lt;&gt;",$E$4))),IFERROR(('Final Calculation Sheet'!$D$11)&amp;"","")&lt;&gt;""),AND(TRIM($E$4)="",IFERROR(('Final Calculation Sheet'!$D$11)&amp;"","")=""))))</f>
        <v>1</v>
      </c>
      <c r="BR12">
        <f>IF($F$4="",1,--(OR(SUMPRODUCT(--(TRIM(MID(SUBSTITUTE(SUBSTITUTE($F$4,"/",","),",",REPT(" ",99)),(ROW($1:$8)-1)*99+1,99))&lt;&gt;""),--ISNUMBER(SEARCH(TRIM(MID(SUBSTITUTE(SUBSTITUTE($F$4,"/",","),",",REPT(" ",99)),(ROW($1:$8)-1)*99+1,99)),IFERROR(('Final Calculation Sheet'!$A$11)&amp;"",""))))&gt;0,AND(ISNUMBER(SEARCH("blank",$F$4)),NOT(ISNUMBER(SEARCH("nonblank",$F$4))),IFERROR(('Final Calculation Sheet'!$A$11)&amp;"","")=""),AND(OR(ISNUMBER(SEARCH("nonblank",$F$4)),ISNUMBER(SEARCH("&lt;&gt;",$F$4))),IFERROR(('Final Calculation Sheet'!$A$11)&amp;"","")&lt;&gt;""),AND(TRIM($F$4)="",IFERROR(('Final Calculation Sheet'!$A$11)&amp;"","")=""))))</f>
        <v>1</v>
      </c>
      <c r="BS12">
        <f>IF($G$4="",1,--(OR(SUMPRODUCT(--(TRIM(MID(SUBSTITUTE(SUBSTITUTE($G$4,"/",","),",",REPT(" ",99)),(ROW($1:$8)-1)*99+1,99))&lt;&gt;""),--ISNUMBER(SEARCH(TRIM(MID(SUBSTITUTE(SUBSTITUTE($G$4,"/",","),",",REPT(" ",99)),(ROW($1:$8)-1)*99+1,99)),IFERROR(('Final Calculation Sheet'!$E$11)&amp;"",""))))&gt;0,AND(ISNUMBER(SEARCH("blank",$G$4)),NOT(ISNUMBER(SEARCH("nonblank",$G$4))),IFERROR(('Final Calculation Sheet'!$E$11)&amp;"","")=""),AND(OR(ISNUMBER(SEARCH("nonblank",$G$4)),ISNUMBER(SEARCH("&lt;&gt;",$G$4))),IFERROR(('Final Calculation Sheet'!$E$11)&amp;"","")&lt;&gt;""),AND(TRIM($G$4)="",IFERROR(('Final Calculation Sheet'!$E$11)&amp;"","")=""))))</f>
        <v>1</v>
      </c>
      <c r="BT12">
        <f>IF($H$4="",1,--(OR(SUMPRODUCT(--(TRIM(MID(SUBSTITUTE(SUBSTITUTE($H$4,"/",","),",",REPT(" ",99)),(ROW($1:$8)-1)*99+1,99))&lt;&gt;""),--ISNUMBER(SEARCH(TRIM(MID(SUBSTITUTE(SUBSTITUTE($H$4,"/",","),",",REPT(" ",99)),(ROW($1:$8)-1)*99+1,99)),IFERROR(('Final Calculation Sheet'!$C$11)&amp;"",""))))&gt;0,AND(ISNUMBER(SEARCH("blank",$H$4)),NOT(ISNUMBER(SEARCH("nonblank",$H$4))),IFERROR(('Final Calculation Sheet'!$C$11)&amp;"","")=""),AND(OR(ISNUMBER(SEARCH("nonblank",$H$4)),ISNUMBER(SEARCH("&lt;&gt;",$H$4))),IFERROR(('Final Calculation Sheet'!$C$11)&amp;"","")&lt;&gt;""),AND(TRIM($H$4)="",IFERROR(('Final Calculation Sheet'!$C$11)&amp;"","")=""))))</f>
        <v>1</v>
      </c>
      <c r="BU12">
        <f>IF($I$4="",1,--(OR(SUMPRODUCT(--(TRIM(MID(SUBSTITUTE(SUBSTITUTE($I$4,"/",","),",",REPT(" ",99)),(ROW($1:$8)-1)*99+1,99))&lt;&gt;""),--ISNUMBER(SEARCH(TRIM(MID(SUBSTITUTE(SUBSTITUTE($I$4,"/",","),",",REPT(" ",99)),(ROW($1:$8)-1)*99+1,99)),IFERROR(('Final Calculation Sheet'!$H$11)&amp;"",""))))&gt;0,AND(ISNUMBER(SEARCH("blank",$I$4)),NOT(ISNUMBER(SEARCH("nonblank",$I$4))),IFERROR(('Final Calculation Sheet'!$H$11)&amp;"","")=""),AND(OR(ISNUMBER(SEARCH("nonblank",$I$4)),ISNUMBER(SEARCH("&lt;&gt;",$I$4))),IFERROR(('Final Calculation Sheet'!$H$11)&amp;"","")&lt;&gt;""),AND(TRIM($I$4)="",IFERROR(('Final Calculation Sheet'!$H$11)&amp;"","")=""))))</f>
        <v>1</v>
      </c>
      <c r="BV12">
        <f>IF($J$4="",1,--(OR(SUMPRODUCT(--(TRIM(MID(SUBSTITUTE(SUBSTITUTE($J$4,"/",","),",",REPT(" ",99)),(ROW($1:$8)-1)*99+1,99))&lt;&gt;""),--ISNUMBER(SEARCH(TRIM(MID(SUBSTITUTE(SUBSTITUTE($J$4,"/",","),",",REPT(" ",99)),(ROW($1:$8)-1)*99+1,99)),IFERROR(('Final Calculation Sheet'!$I$11)&amp;"",""))))&gt;0,AND(ISNUMBER(SEARCH("blank",$J$4)),NOT(ISNUMBER(SEARCH("nonblank",$J$4))),IFERROR(('Final Calculation Sheet'!$I$11)&amp;"","")=""),AND(OR(ISNUMBER(SEARCH("nonblank",$J$4)),ISNUMBER(SEARCH("&lt;&gt;",$J$4))),IFERROR(('Final Calculation Sheet'!$I$11)&amp;"","")&lt;&gt;""),AND(TRIM($J$4)="",IFERROR(('Final Calculation Sheet'!$I$11)&amp;"","")=""))))</f>
        <v>1</v>
      </c>
      <c r="BW12">
        <f>IF($K$4="",1,--(OR(SUMPRODUCT(--(TRIM(MID(SUBSTITUTE(SUBSTITUTE($K$4,"/",","),",",REPT(" ",99)),(ROW($1:$8)-1)*99+1,99))&lt;&gt;""),--ISNUMBER(SEARCH(TRIM(MID(SUBSTITUTE(SUBSTITUTE($K$4,"/",","),",",REPT(" ",99)),(ROW($1:$8)-1)*99+1,99)),IFERROR(('Final Calculation Sheet'!$J$11)&amp;"",""))))&gt;0,AND(ISNUMBER(SEARCH("blank",$K$4)),NOT(ISNUMBER(SEARCH("nonblank",$K$4))),IFERROR(('Final Calculation Sheet'!$J$11)&amp;"","")=""),AND(OR(ISNUMBER(SEARCH("nonblank",$K$4)),ISNUMBER(SEARCH("&lt;&gt;",$K$4))),IFERROR(('Final Calculation Sheet'!$J$11)&amp;"","")&lt;&gt;""),AND(TRIM($K$4)="",IFERROR(('Final Calculation Sheet'!$J$11)&amp;"","")=""))))</f>
        <v>1</v>
      </c>
      <c r="BX12">
        <f>IF($L$4="",1,--(OR(SUMPRODUCT(--(TRIM(MID(SUBSTITUTE(SUBSTITUTE($L$4,"/",","),",",REPT(" ",99)),(ROW($1:$8)-1)*99+1,99))&lt;&gt;""),--ISNUMBER(SEARCH(TRIM(MID(SUBSTITUTE(SUBSTITUTE($L$4,"/",","),",",REPT(" ",99)),(ROW($1:$8)-1)*99+1,99)),IFERROR(('Final Calculation Sheet'!$K$11)&amp;"",""))))&gt;0,AND(ISNUMBER(SEARCH("blank",$L$4)),NOT(ISNUMBER(SEARCH("nonblank",$L$4))),IFERROR(('Final Calculation Sheet'!$K$11)&amp;"","")=""),AND(OR(ISNUMBER(SEARCH("nonblank",$L$4)),ISNUMBER(SEARCH("&lt;&gt;",$L$4))),IFERROR(('Final Calculation Sheet'!$K$11)&amp;"","")&lt;&gt;""),AND(TRIM($L$4)="",IFERROR(('Final Calculation Sheet'!$K$11)&amp;"","")=""))))</f>
        <v>1</v>
      </c>
      <c r="BY12">
        <f>IF($M$4="",1,--(OR(SUMPRODUCT(--(TRIM(MID(SUBSTITUTE(SUBSTITUTE($M$4,"/",","),",",REPT(" ",99)),(ROW($1:$8)-1)*99+1,99))&lt;&gt;""),--ISNUMBER(SEARCH(TRIM(MID(SUBSTITUTE(SUBSTITUTE($M$4,"/",","),",",REPT(" ",99)),(ROW($1:$8)-1)*99+1,99)),IFERROR(('Final Calculation Sheet'!$L$11)&amp;"",""))))&gt;0,AND(ISNUMBER(SEARCH("blank",$M$4)),NOT(ISNUMBER(SEARCH("nonblank",$M$4))),IFERROR(('Final Calculation Sheet'!$L$11)&amp;"","")=""),AND(OR(ISNUMBER(SEARCH("nonblank",$M$4)),ISNUMBER(SEARCH("&lt;&gt;",$M$4))),IFERROR(('Final Calculation Sheet'!$L$11)&amp;"","")&lt;&gt;""),AND(TRIM($M$4)="",IFERROR(('Final Calculation Sheet'!$L$11)&amp;"","")=""))))</f>
        <v>1</v>
      </c>
      <c r="BZ12">
        <f>IF($N$4="",1,--(OR(SUMPRODUCT(--(TRIM(MID(SUBSTITUTE(SUBSTITUTE($N$4,"/",","),",",REPT(" ",99)),(ROW($1:$8)-1)*99+1,99))&lt;&gt;""),--ISNUMBER(SEARCH(TRIM(MID(SUBSTITUTE(SUBSTITUTE($N$4,"/",","),",",REPT(" ",99)),(ROW($1:$8)-1)*99+1,99)),IFERROR(('Final Calculation Sheet'!$M$11)&amp;"",""))))&gt;0,AND(ISNUMBER(SEARCH("blank",$N$4)),NOT(ISNUMBER(SEARCH("nonblank",$N$4))),IFERROR(('Final Calculation Sheet'!$M$11)&amp;"","")=""),AND(OR(ISNUMBER(SEARCH("nonblank",$N$4)),ISNUMBER(SEARCH("&lt;&gt;",$N$4))),IFERROR(('Final Calculation Sheet'!$M$11)&amp;"","")&lt;&gt;""),AND(TRIM($N$4)="",IFERROR(('Final Calculation Sheet'!$M$11)&amp;"","")=""))))</f>
        <v>1</v>
      </c>
      <c r="CA12">
        <f>IF($O$4="",1,--(OR(SUMPRODUCT(--(TRIM(MID(SUBSTITUTE(SUBSTITUTE($O$4,"/",","),",",REPT(" ",99)),(ROW($1:$8)-1)*99+1,99))&lt;&gt;""),--ISNUMBER(SEARCH(TRIM(MID(SUBSTITUTE(SUBSTITUTE($O$4,"/",","),",",REPT(" ",99)),(ROW($1:$8)-1)*99+1,99)),IFERROR(('Final Calculation Sheet'!$N$11)&amp;"",""))))&gt;0,AND(ISNUMBER(SEARCH("blank",$O$4)),NOT(ISNUMBER(SEARCH("nonblank",$O$4))),IFERROR(('Final Calculation Sheet'!$N$11)&amp;"","")=""),AND(OR(ISNUMBER(SEARCH("nonblank",$O$4)),ISNUMBER(SEARCH("&lt;&gt;",$O$4))),IFERROR(('Final Calculation Sheet'!$N$11)&amp;"","")&lt;&gt;""),AND(TRIM($O$4)="",IFERROR(('Final Calculation Sheet'!$N$11)&amp;"","")=""))))</f>
        <v>1</v>
      </c>
      <c r="CB12">
        <f>IF($P$4="",1,--(OR(SUMPRODUCT(--(TRIM(MID(SUBSTITUTE(SUBSTITUTE($P$4,"/",","),",",REPT(" ",99)),(ROW($1:$8)-1)*99+1,99))&lt;&gt;""),--ISNUMBER(SEARCH(TRIM(MID(SUBSTITUTE(SUBSTITUTE($P$4,"/",","),",",REPT(" ",99)),(ROW($1:$8)-1)*99+1,99)),IFERROR(('Final Calculation Sheet'!$O$11)&amp;"",""))))&gt;0,AND(ISNUMBER(SEARCH("blank",$P$4)),NOT(ISNUMBER(SEARCH("nonblank",$P$4))),IFERROR(('Final Calculation Sheet'!$O$11)&amp;"","")=""),AND(OR(ISNUMBER(SEARCH("nonblank",$P$4)),ISNUMBER(SEARCH("&lt;&gt;",$P$4))),IFERROR(('Final Calculation Sheet'!$O$11)&amp;"","")&lt;&gt;""),AND(TRIM($P$4)="",IFERROR(('Final Calculation Sheet'!$O$11)&amp;"","")=""))))</f>
        <v>1</v>
      </c>
      <c r="CC12">
        <f>IF($Q$4="",1,--(OR(SUMPRODUCT(--(TRIM(MID(SUBSTITUTE(SUBSTITUTE($Q$4,"/",","),",",REPT(" ",99)),(ROW($1:$8)-1)*99+1,99))&lt;&gt;""),--ISNUMBER(SEARCH(TRIM(MID(SUBSTITUTE(SUBSTITUTE($Q$4,"/",","),",",REPT(" ",99)),(ROW($1:$8)-1)*99+1,99)),IFERROR(('Final Calculation Sheet'!$P$11)&amp;"",""))))&gt;0,AND(ISNUMBER(SEARCH("blank",$Q$4)),NOT(ISNUMBER(SEARCH("nonblank",$Q$4))),IFERROR(('Final Calculation Sheet'!$P$11)&amp;"","")=""),AND(OR(ISNUMBER(SEARCH("nonblank",$Q$4)),ISNUMBER(SEARCH("&lt;&gt;",$Q$4))),IFERROR(('Final Calculation Sheet'!$P$11)&amp;"","")&lt;&gt;""),AND(TRIM($Q$4)="",IFERROR(('Final Calculation Sheet'!$P$11)&amp;"","")=""))))</f>
        <v>1</v>
      </c>
      <c r="CD12">
        <f>IF($R$4="",1,--(OR(SUMPRODUCT(--(TRIM(MID(SUBSTITUTE(SUBSTITUTE($R$4,"/",","),",",REPT(" ",99)),(ROW($1:$8)-1)*99+1,99))&lt;&gt;""),--ISNUMBER(SEARCH(TRIM(MID(SUBSTITUTE(SUBSTITUTE($R$4,"/",","),",",REPT(" ",99)),(ROW($1:$8)-1)*99+1,99)),IFERROR(('Final Calculation Sheet'!$Q$11)&amp;"",""))))&gt;0,AND(ISNUMBER(SEARCH("blank",$R$4)),NOT(ISNUMBER(SEARCH("nonblank",$R$4))),IFERROR(('Final Calculation Sheet'!$Q$11)&amp;"","")=""),AND(OR(ISNUMBER(SEARCH("nonblank",$R$4)),ISNUMBER(SEARCH("&lt;&gt;",$R$4))),IFERROR(('Final Calculation Sheet'!$Q$11)&amp;"","")&lt;&gt;""),AND(TRIM($R$4)="",IFERROR(('Final Calculation Sheet'!$Q$11)&amp;"","")=""))))</f>
        <v>1</v>
      </c>
      <c r="CE12">
        <f>IF($S$4="",1,--(OR(SUMPRODUCT(--(TRIM(MID(SUBSTITUTE(SUBSTITUTE($S$4,"/",","),",",REPT(" ",99)),(ROW($1:$8)-1)*99+1,99))&lt;&gt;""),--ISNUMBER(SEARCH(TRIM(MID(SUBSTITUTE(SUBSTITUTE($S$4,"/",","),",",REPT(" ",99)),(ROW($1:$8)-1)*99+1,99)),IFERROR(('Final Calculation Sheet'!$R$11)&amp;"",""))))&gt;0,AND(ISNUMBER(SEARCH("blank",$S$4)),NOT(ISNUMBER(SEARCH("nonblank",$S$4))),IFERROR(('Final Calculation Sheet'!$R$11)&amp;"","")=""),AND(OR(ISNUMBER(SEARCH("nonblank",$S$4)),ISNUMBER(SEARCH("&lt;&gt;",$S$4))),IFERROR(('Final Calculation Sheet'!$R$11)&amp;"","")&lt;&gt;""),AND(TRIM($S$4)="",IFERROR(('Final Calculation Sheet'!$R$11)&amp;"","")=""))))</f>
        <v>1</v>
      </c>
      <c r="CF12">
        <f>IF($T$4="",1,--(OR(SUMPRODUCT(--(TRIM(MID(SUBSTITUTE(SUBSTITUTE($T$4,"/",","),",",REPT(" ",99)),(ROW($1:$8)-1)*99+1,99))&lt;&gt;""),--ISNUMBER(SEARCH(TRIM(MID(SUBSTITUTE(SUBSTITUTE($T$4,"/",","),",",REPT(" ",99)),(ROW($1:$8)-1)*99+1,99)),IFERROR(('Final Calculation Sheet'!$S$11)&amp;"",""))))&gt;0,AND(ISNUMBER(SEARCH("blank",$T$4)),NOT(ISNUMBER(SEARCH("nonblank",$T$4))),IFERROR(('Final Calculation Sheet'!$S$11)&amp;"","")=""),AND(OR(ISNUMBER(SEARCH("nonblank",$T$4)),ISNUMBER(SEARCH("&lt;&gt;",$T$4))),IFERROR(('Final Calculation Sheet'!$S$11)&amp;"","")&lt;&gt;""),AND(TRIM($T$4)="",IFERROR(('Final Calculation Sheet'!$S$11)&amp;"","")=""))))</f>
        <v>1</v>
      </c>
      <c r="CG12">
        <f>IF($U$4="",1,--(OR(SUMPRODUCT(--(TRIM(MID(SUBSTITUTE(SUBSTITUTE($U$4,"/",","),",",REPT(" ",99)),(ROW($1:$8)-1)*99+1,99))&lt;&gt;""),--ISNUMBER(SEARCH(TRIM(MID(SUBSTITUTE(SUBSTITUTE($U$4,"/",","),",",REPT(" ",99)),(ROW($1:$8)-1)*99+1,99)),IFERROR(('Final Calculation Sheet'!$T$11)&amp;"",""))))&gt;0,AND(ISNUMBER(SEARCH("blank",$U$4)),NOT(ISNUMBER(SEARCH("nonblank",$U$4))),IFERROR(('Final Calculation Sheet'!$T$11)&amp;"","")=""),AND(OR(ISNUMBER(SEARCH("nonblank",$U$4)),ISNUMBER(SEARCH("&lt;&gt;",$U$4))),IFERROR(('Final Calculation Sheet'!$T$11)&amp;"","")&lt;&gt;""),AND(TRIM($U$4)="",IFERROR(('Final Calculation Sheet'!$T$11)&amp;"","")=""))))</f>
        <v>1</v>
      </c>
      <c r="CH12">
        <f>IF($V$4="",1,--(OR(SUMPRODUCT(--(TRIM(MID(SUBSTITUTE(SUBSTITUTE($V$4,"/",","),",",REPT(" ",99)),(ROW($1:$8)-1)*99+1,99))&lt;&gt;""),--ISNUMBER(SEARCH(TRIM(MID(SUBSTITUTE(SUBSTITUTE($V$4,"/",","),",",REPT(" ",99)),(ROW($1:$8)-1)*99+1,99)),IFERROR(('Final Calculation Sheet'!$U$11)&amp;"",""))))&gt;0,AND(ISNUMBER(SEARCH("blank",$V$4)),NOT(ISNUMBER(SEARCH("nonblank",$V$4))),IFERROR(('Final Calculation Sheet'!$U$11)&amp;"","")=""),AND(OR(ISNUMBER(SEARCH("nonblank",$V$4)),ISNUMBER(SEARCH("&lt;&gt;",$V$4))),IFERROR(('Final Calculation Sheet'!$U$11)&amp;"","")&lt;&gt;""),AND(TRIM($V$4)="",IFERROR(('Final Calculation Sheet'!$U$11)&amp;"","")=""))))</f>
        <v>1</v>
      </c>
      <c r="CI12">
        <f>IF($W$4="",1,--(OR(SUMPRODUCT(--(TRIM(MID(SUBSTITUTE(SUBSTITUTE($W$4,"/",","),",",REPT(" ",99)),(ROW($1:$8)-1)*99+1,99))&lt;&gt;""),--ISNUMBER(SEARCH(TRIM(MID(SUBSTITUTE(SUBSTITUTE($W$4,"/",","),",",REPT(" ",99)),(ROW($1:$8)-1)*99+1,99)),IFERROR(('Final Calculation Sheet'!$V$11)&amp;"",""))))&gt;0,AND(ISNUMBER(SEARCH("blank",$W$4)),NOT(ISNUMBER(SEARCH("nonblank",$W$4))),IFERROR(('Final Calculation Sheet'!$V$11)&amp;"","")=""),AND(OR(ISNUMBER(SEARCH("nonblank",$W$4)),ISNUMBER(SEARCH("&lt;&gt;",$W$4))),IFERROR(('Final Calculation Sheet'!$V$11)&amp;"","")&lt;&gt;""),AND(TRIM($W$4)="",IFERROR(('Final Calculation Sheet'!$V$11)&amp;"","")=""))))</f>
        <v>1</v>
      </c>
      <c r="CJ12">
        <f>IF($X$4="",1,--(OR(SUMPRODUCT(--(TRIM(MID(SUBSTITUTE(SUBSTITUTE($X$4,"/",","),",",REPT(" ",99)),(ROW($1:$8)-1)*99+1,99))&lt;&gt;""),--ISNUMBER(SEARCH(TRIM(MID(SUBSTITUTE(SUBSTITUTE($X$4,"/",","),",",REPT(" ",99)),(ROW($1:$8)-1)*99+1,99)),IFERROR(('Final Calculation Sheet'!$W$11)&amp;"",""))))&gt;0,AND(ISNUMBER(SEARCH("blank",$X$4)),NOT(ISNUMBER(SEARCH("nonblank",$X$4))),IFERROR(('Final Calculation Sheet'!$W$11)&amp;"","")=""),AND(OR(ISNUMBER(SEARCH("nonblank",$X$4)),ISNUMBER(SEARCH("&lt;&gt;",$X$4))),IFERROR(('Final Calculation Sheet'!$W$11)&amp;"","")&lt;&gt;""),AND(TRIM($X$4)="",IFERROR(('Final Calculation Sheet'!$W$11)&amp;"","")=""))))</f>
        <v>1</v>
      </c>
      <c r="CK12">
        <f>IF($Y$4="",1,--(OR(SUMPRODUCT(--(TRIM(MID(SUBSTITUTE(SUBSTITUTE($Y$4,"/",","),",",REPT(" ",99)),(ROW($1:$8)-1)*99+1,99))&lt;&gt;""),--ISNUMBER(SEARCH(TRIM(MID(SUBSTITUTE(SUBSTITUTE($Y$4,"/",","),",",REPT(" ",99)),(ROW($1:$8)-1)*99+1,99)),IFERROR(('Final Calculation Sheet'!$X$11)&amp;"",""))))&gt;0,AND(ISNUMBER(SEARCH("blank",$Y$4)),NOT(ISNUMBER(SEARCH("nonblank",$Y$4))),IFERROR(('Final Calculation Sheet'!$X$11)&amp;"","")=""),AND(OR(ISNUMBER(SEARCH("nonblank",$Y$4)),ISNUMBER(SEARCH("&lt;&gt;",$Y$4))),IFERROR(('Final Calculation Sheet'!$X$11)&amp;"","")&lt;&gt;""),AND(TRIM($Y$4)="",IFERROR(('Final Calculation Sheet'!$X$11)&amp;"","")=""))))</f>
        <v>1</v>
      </c>
      <c r="CL12">
        <f>IF($Z$4="",1,--(OR(SUMPRODUCT(--(TRIM(MID(SUBSTITUTE(SUBSTITUTE($Z$4,"/",","),",",REPT(" ",99)),(ROW($1:$8)-1)*99+1,99))&lt;&gt;""),--ISNUMBER(SEARCH(TRIM(MID(SUBSTITUTE(SUBSTITUTE($Z$4,"/",","),",",REPT(" ",99)),(ROW($1:$8)-1)*99+1,99)),IFERROR(('Final Calculation Sheet'!$Y$11)&amp;"",""))))&gt;0,AND(ISNUMBER(SEARCH("blank",$Z$4)),NOT(ISNUMBER(SEARCH("nonblank",$Z$4))),IFERROR(('Final Calculation Sheet'!$Y$11)&amp;"","")=""),AND(OR(ISNUMBER(SEARCH("nonblank",$Z$4)),ISNUMBER(SEARCH("&lt;&gt;",$Z$4))),IFERROR(('Final Calculation Sheet'!$Y$11)&amp;"","")&lt;&gt;""),AND(TRIM($Z$4)="",IFERROR(('Final Calculation Sheet'!$Y$11)&amp;"","")=""))))</f>
        <v>1</v>
      </c>
      <c r="CM12">
        <f>IF($AA$4="",1,--(OR(SUMPRODUCT(--(TRIM(MID(SUBSTITUTE(SUBSTITUTE($AA$4,"/",","),",",REPT(" ",99)),(ROW($1:$8)-1)*99+1,99))&lt;&gt;""),--ISNUMBER(SEARCH(TRIM(MID(SUBSTITUTE(SUBSTITUTE($AA$4,"/",","),",",REPT(" ",99)),(ROW($1:$8)-1)*99+1,99)),IFERROR(('Final Calculation Sheet'!$Z$11)&amp;"",""))))&gt;0,AND(ISNUMBER(SEARCH("blank",$AA$4)),NOT(ISNUMBER(SEARCH("nonblank",$AA$4))),IFERROR(('Final Calculation Sheet'!$Z$11)&amp;"","")=""),AND(OR(ISNUMBER(SEARCH("nonblank",$AA$4)),ISNUMBER(SEARCH("&lt;&gt;",$AA$4))),IFERROR(('Final Calculation Sheet'!$Z$11)&amp;"","")&lt;&gt;""),AND(TRIM($AA$4)="",IFERROR(('Final Calculation Sheet'!$Z$11)&amp;"","")=""))))</f>
        <v>1</v>
      </c>
      <c r="CN12">
        <f>IF($AB$4="",1,--(OR(SUMPRODUCT(--(TRIM(MID(SUBSTITUTE(SUBSTITUTE($AB$4,"/",","),",",REPT(" ",99)),(ROW($1:$8)-1)*99+1,99))&lt;&gt;""),--ISNUMBER(SEARCH(TRIM(MID(SUBSTITUTE(SUBSTITUTE($AB$4,"/",","),",",REPT(" ",99)),(ROW($1:$8)-1)*99+1,99)),IFERROR(('Final Calculation Sheet'!$AA$11)&amp;"",""))))&gt;0,AND(ISNUMBER(SEARCH("blank",$AB$4)),NOT(ISNUMBER(SEARCH("nonblank",$AB$4))),IFERROR(('Final Calculation Sheet'!$AA$11)&amp;"","")=""),AND(OR(ISNUMBER(SEARCH("nonblank",$AB$4)),ISNUMBER(SEARCH("&lt;&gt;",$AB$4))),IFERROR(('Final Calculation Sheet'!$AA$11)&amp;"","")&lt;&gt;""),AND(TRIM($AB$4)="",IFERROR(('Final Calculation Sheet'!$AA$11)&amp;"","")=""))))</f>
        <v>1</v>
      </c>
      <c r="CO12">
        <f>IF($AC$4="",1,--(OR(SUMPRODUCT(--(TRIM(MID(SUBSTITUTE(SUBSTITUTE($AC$4,"/",","),",",REPT(" ",99)),(ROW($1:$8)-1)*99+1,99))&lt;&gt;""),--ISNUMBER(SEARCH(TRIM(MID(SUBSTITUTE(SUBSTITUTE($AC$4,"/",","),",",REPT(" ",99)),(ROW($1:$8)-1)*99+1,99)),IFERROR(('Final Calculation Sheet'!$AB$11)&amp;"",""))))&gt;0,AND(ISNUMBER(SEARCH("blank",$AC$4)),NOT(ISNUMBER(SEARCH("nonblank",$AC$4))),IFERROR(('Final Calculation Sheet'!$AB$11)&amp;"","")=""),AND(OR(ISNUMBER(SEARCH("nonblank",$AC$4)),ISNUMBER(SEARCH("&lt;&gt;",$AC$4))),IFERROR(('Final Calculation Sheet'!$AB$11)&amp;"","")&lt;&gt;""),AND(TRIM($AC$4)="",IFERROR(('Final Calculation Sheet'!$AB$11)&amp;"","")=""))))</f>
        <v>1</v>
      </c>
      <c r="CP12">
        <f>IF($AD$4="",1,--(OR(SUMPRODUCT(--(TRIM(MID(SUBSTITUTE(SUBSTITUTE($AD$4,"/",","),",",REPT(" ",99)),(ROW($1:$8)-1)*99+1,99))&lt;&gt;""),--ISNUMBER(SEARCH(TRIM(MID(SUBSTITUTE(SUBSTITUTE($AD$4,"/",","),",",REPT(" ",99)),(ROW($1:$8)-1)*99+1,99)),IFERROR(('Final Calculation Sheet'!$AC$11)&amp;"",""))))&gt;0,AND(ISNUMBER(SEARCH("blank",$AD$4)),NOT(ISNUMBER(SEARCH("nonblank",$AD$4))),IFERROR(('Final Calculation Sheet'!$AC$11)&amp;"","")=""),AND(OR(ISNUMBER(SEARCH("nonblank",$AD$4)),ISNUMBER(SEARCH("&lt;&gt;",$AD$4))),IFERROR(('Final Calculation Sheet'!$AC$11)&amp;"","")&lt;&gt;""),AND(TRIM($AD$4)="",IFERROR(('Final Calculation Sheet'!$AC$11)&amp;"","")=""))))</f>
        <v>1</v>
      </c>
      <c r="CQ12">
        <f>IF($AE$4="",1,--(OR(SUMPRODUCT(--(TRIM(MID(SUBSTITUTE(SUBSTITUTE($AE$4,"/",","),",",REPT(" ",99)),(ROW($1:$8)-1)*99+1,99))&lt;&gt;""),--ISNUMBER(SEARCH(TRIM(MID(SUBSTITUTE(SUBSTITUTE($AE$4,"/",","),",",REPT(" ",99)),(ROW($1:$8)-1)*99+1,99)),IFERROR(('Final Calculation Sheet'!$AD$11)&amp;"",""))))&gt;0,AND(ISNUMBER(SEARCH("blank",$AE$4)),NOT(ISNUMBER(SEARCH("nonblank",$AE$4))),IFERROR(('Final Calculation Sheet'!$AD$11)&amp;"","")=""),AND(OR(ISNUMBER(SEARCH("nonblank",$AE$4)),ISNUMBER(SEARCH("&lt;&gt;",$AE$4))),IFERROR(('Final Calculation Sheet'!$AD$11)&amp;"","")&lt;&gt;""),AND(TRIM($AE$4)="",IFERROR(('Final Calculation Sheet'!$AD$11)&amp;"","")=""))))</f>
        <v>1</v>
      </c>
      <c r="CR12">
        <f>IF($AF$4="",1,--(OR(SUMPRODUCT(--(TRIM(MID(SUBSTITUTE(SUBSTITUTE($AF$4,"/",","),",",REPT(" ",99)),(ROW($1:$8)-1)*99+1,99))&lt;&gt;""),--ISNUMBER(SEARCH(TRIM(MID(SUBSTITUTE(SUBSTITUTE($AF$4,"/",","),",",REPT(" ",99)),(ROW($1:$8)-1)*99+1,99)),IFERROR(('Final Calculation Sheet'!$AE$11)&amp;"",""))))&gt;0,AND(ISNUMBER(SEARCH("blank",$AF$4)),NOT(ISNUMBER(SEARCH("nonblank",$AF$4))),IFERROR(('Final Calculation Sheet'!$AE$11)&amp;"","")=""),AND(OR(ISNUMBER(SEARCH("nonblank",$AF$4)),ISNUMBER(SEARCH("&lt;&gt;",$AF$4))),IFERROR(('Final Calculation Sheet'!$AE$11)&amp;"","")&lt;&gt;""),AND(TRIM($AF$4)="",IFERROR(('Final Calculation Sheet'!$AE$11)&amp;"","")=""))))</f>
        <v>1</v>
      </c>
      <c r="CS12">
        <f>IF($AG$4="",1,--(OR(SUMPRODUCT(--(TRIM(MID(SUBSTITUTE(SUBSTITUTE($AG$4,"/",","),",",REPT(" ",99)),(ROW($1:$8)-1)*99+1,99))&lt;&gt;""),--ISNUMBER(SEARCH(TRIM(MID(SUBSTITUTE(SUBSTITUTE($AG$4,"/",","),",",REPT(" ",99)),(ROW($1:$8)-1)*99+1,99)),IFERROR(('Final Calculation Sheet'!$AF$11)&amp;"",""))))&gt;0,AND(ISNUMBER(SEARCH("blank",$AG$4)),NOT(ISNUMBER(SEARCH("nonblank",$AG$4))),IFERROR(('Final Calculation Sheet'!$AF$11)&amp;"","")=""),AND(OR(ISNUMBER(SEARCH("nonblank",$AG$4)),ISNUMBER(SEARCH("&lt;&gt;",$AG$4))),IFERROR(('Final Calculation Sheet'!$AF$11)&amp;"","")&lt;&gt;""),AND(TRIM($AG$4)="",IFERROR(('Final Calculation Sheet'!$AF$11)&amp;"","")=""))))</f>
        <v>1</v>
      </c>
      <c r="CT12">
        <f>IF($AH$4="",1,--(OR(SUMPRODUCT(--(TRIM(MID(SUBSTITUTE(SUBSTITUTE($AH$4,"/",","),",",REPT(" ",99)),(ROW($1:$8)-1)*99+1,99))&lt;&gt;""),--ISNUMBER(SEARCH(TRIM(MID(SUBSTITUTE(SUBSTITUTE($AH$4,"/",","),",",REPT(" ",99)),(ROW($1:$8)-1)*99+1,99)),IFERROR(('Final Calculation Sheet'!$AG$11)&amp;"",""))))&gt;0,AND(ISNUMBER(SEARCH("blank",$AH$4)),NOT(ISNUMBER(SEARCH("nonblank",$AH$4))),IFERROR(('Final Calculation Sheet'!$AG$11)&amp;"","")=""),AND(OR(ISNUMBER(SEARCH("nonblank",$AH$4)),ISNUMBER(SEARCH("&lt;&gt;",$AH$4))),IFERROR(('Final Calculation Sheet'!$AG$11)&amp;"","")&lt;&gt;""),AND(TRIM($AH$4)="",IFERROR(('Final Calculation Sheet'!$AG$11)&amp;"","")=""))))</f>
        <v>1</v>
      </c>
      <c r="CU12">
        <f>IF($AI$4="",1,--(OR(SUMPRODUCT(--(TRIM(MID(SUBSTITUTE(SUBSTITUTE($AI$4,"/",","),",",REPT(" ",99)),(ROW($1:$8)-1)*99+1,99))&lt;&gt;""),--ISNUMBER(SEARCH(TRIM(MID(SUBSTITUTE(SUBSTITUTE($AI$4,"/",","),",",REPT(" ",99)),(ROW($1:$8)-1)*99+1,99)),IFERROR((IF('Final Calculation Sheet'!$AD$11&lt;=5,"SETTLED","OUTSTANDING"))&amp;"",""))))&gt;0,AND(ISNUMBER(SEARCH("blank",$AI$4)),NOT(ISNUMBER(SEARCH("nonblank",$AI$4))),IFERROR((IF('Final Calculation Sheet'!$AD$11&lt;=5,"SETTLED","OUTSTANDING"))&amp;"","")=""),AND(OR(ISNUMBER(SEARCH("nonblank",$AI$4)),ISNUMBER(SEARCH("&lt;&gt;",$AI$4))),IFERROR((IF('Final Calculation Sheet'!$AD$11&lt;=5,"SETTLED","OUTSTANDING"))&amp;"","")&lt;&gt;""),AND(TRIM($AI$4)="",IFERROR((IF('Final Calculation Sheet'!$AD$11&lt;=5,"SETTLED","OUTSTANDING"))&amp;"","")=""))))</f>
        <v>1</v>
      </c>
    </row>
    <row r="13" ht="15" customHeight="1" s="137">
      <c r="A13" s="67">
        <f>IF($BJ12&gt;0,INDEX($BA$5:$BA$41,MATCH(12,$BB$5:$BB$41,0)),IF(OR($BI12=1,$BL12=1,$BH12&gt;0),"∑",""))</f>
        <v>8</v>
      </c>
      <c r="B13" s="76">
        <f>IF($BJ12&gt;0,IF(INDEX('Final Calculation Sheet'!$F$4:$F$40,$BJ12-3)="","",INDEX('Final Calculation Sheet'!$F$4:$F$40,$BJ12-3)),"")</f>
        <v>2003</v>
      </c>
      <c r="C13" s="76" t="str">
        <f>IF($BJ12&gt;0,IF(INDEX('Final Calculation Sheet'!$G$4:$G$40,$BJ12-3)="","",INDEX('Final Calculation Sheet'!$G$4:$G$40,$BJ12-3)),IF(OR($BI12=1,$BL12=1,$BH12&gt;0),IF($BI12=1,37,IF($BL12=1,37-INDEX($BD$4:$BD$13,10),INDEX($BD$4:$BD$13,$BH12)))&amp;" lot(s)",""))</f>
        <v>NATIONAL ENTERPRISES</v>
      </c>
      <c r="D13" s="80" t="str">
        <f>IF($BJ12&gt;0,IF(INDEX('Final Calculation Sheet'!$B$4:$B$40,$BJ12-3)="","",INDEX('Final Calculation Sheet'!$B$4:$B$40,$BJ12-3)),IF(OR($BI12=1,$BL12=1,$BH12&gt;0),IF($BI12=1,"GRAND TOTAL  —  matching + remaining",IF($BL12=1,"TOTAL MATCHED  —  every group together",IF($BH12=10,"REMAINING  —  did not match the search",IF($BH12=9,IF(COUNTIF($A$4:$AI$4,"&lt;&gt;")&gt;0,"FILTERED LOTS  —  column fields","ALL LOTS  —  nothing typed in the box"),"GROUP "&amp;$BH12&amp;" TOTAL  —  lots matching  "&amp;INDEX($AR$6:$AY$6,$BH12))))),""))</f>
        <v>Scrap of 145 KV CB</v>
      </c>
      <c r="E13" s="80">
        <f>IF($BJ12&gt;0,IF(INDEX('Final Calculation Sheet'!$D$4:$D$40,$BJ12-3)="","",INDEX('Final Calculation Sheet'!$D$4:$D$40,$BJ12-3)),IF(OR($BI12=1,$BL12=1,$BH12&gt;0),"–",""))</f>
        <v>21977</v>
      </c>
      <c r="F13" s="80">
        <f>IF($BJ12&gt;0,IF(INDEX('Final Calculation Sheet'!$A$4:$A$40,$BJ12-3)="","",INDEX('Final Calculation Sheet'!$A$4:$A$40,$BJ12-3)),IF(OR($BI12=1,$BL12=1,$BH12&gt;0),IF($BI12=1,SUM('Final Calculation Sheet'!$A$4:$A$40),IF($BL12=1,SUM('Final Calculation Sheet'!$A$4:$A$40)-SUMIFS('Final Calculation Sheet'!$A$4:$A$40,$AZ$5:$AZ$41,10),SUMIFS('Final Calculation Sheet'!$A$4:$A$40,$AZ$5:$AZ$41,$BH12))),""))</f>
        <v>1</v>
      </c>
      <c r="G13" s="80" t="str">
        <f>IF($BJ12&gt;0,IF(INDEX('Final Calculation Sheet'!$E$4:$E$40,$BJ12-3)="","",INDEX('Final Calculation Sheet'!$E$4:$E$40,$BJ12-3)),IF(OR($BI12=1,$BL12=1,$BH12&gt;0),"–",""))</f>
        <v>NO</v>
      </c>
      <c r="H13" s="70">
        <f>IF($BJ12&gt;0,IF(INDEX('Final Calculation Sheet'!$C$4:$C$40,$BJ12-3)="","",INDEX('Final Calculation Sheet'!$C$4:$C$40,$BJ12-3)),IF(OR($BI12=1,$BL12=1,$BH12&gt;0),"–",""))</f>
        <v>65007</v>
      </c>
      <c r="I13" s="70">
        <f>IF($BJ12&gt;0,IF(INDEX('Final Calculation Sheet'!$H$4:$H$40,$BJ12-3)="","",INDEX('Final Calculation Sheet'!$H$4:$H$40,$BJ12-3)),IF(OR($BI12=1,$BL12=1,$BH12&gt;0),IF($BI12=1,SUM('Final Calculation Sheet'!$H$4:$H$40),IF($BL12=1,SUM('Final Calculation Sheet'!$H$4:$H$40)-SUMIFS('Final Calculation Sheet'!$H$4:$H$40,$AZ$5:$AZ$41,10),SUMIFS('Final Calculation Sheet'!$H$4:$H$40,$AZ$5:$AZ$41,$BH12))),""))</f>
        <v>65007</v>
      </c>
      <c r="J13" s="70">
        <f>IF($BJ12&gt;0,IF(INDEX('Final Calculation Sheet'!$I$4:$I$40,$BJ12-3)="","",INDEX('Final Calculation Sheet'!$I$4:$I$40,$BJ12-3)),IF(OR($BI12=1,$BL12=1,$BH12&gt;0),IF($BI12=1,SUM('Final Calculation Sheet'!$I$4:$I$40),IF($BL12=1,SUM('Final Calculation Sheet'!$I$4:$I$40)-SUMIFS('Final Calculation Sheet'!$I$4:$I$40,$AZ$5:$AZ$41,10),SUMIFS('Final Calculation Sheet'!$I$4:$I$40,$AZ$5:$AZ$41,$BH12))),""))</f>
        <v>11701</v>
      </c>
      <c r="K13" s="70">
        <f>IF($BJ12&gt;0,IF(INDEX('Final Calculation Sheet'!$J$4:$J$40,$BJ12-3)="","",INDEX('Final Calculation Sheet'!$J$4:$J$40,$BJ12-3)),IF(OR($BI12=1,$BL12=1,$BH12&gt;0),IF($BI12=1,SUM('Final Calculation Sheet'!$J$4:$J$40),IF($BL12=1,SUM('Final Calculation Sheet'!$J$4:$J$40)-SUMIFS('Final Calculation Sheet'!$J$4:$J$40,$AZ$5:$AZ$41,10),SUMIFS('Final Calculation Sheet'!$J$4:$J$40,$AZ$5:$AZ$41,$BH12))),""))</f>
        <v>76708</v>
      </c>
      <c r="L13" s="70">
        <f>IF($BJ12&gt;0,IF(INDEX('Final Calculation Sheet'!$K$4:$K$40,$BJ12-3)="","",INDEX('Final Calculation Sheet'!$K$4:$K$40,$BJ12-3)),IF(OR($BI12=1,$BL12=1,$BH12&gt;0),IF($BI12=1,SUM('Final Calculation Sheet'!$K$4:$K$40),IF($BL12=1,SUM('Final Calculation Sheet'!$K$4:$K$40)-SUMIFS('Final Calculation Sheet'!$K$4:$K$40,$AZ$5:$AZ$41,10),SUMIFS('Final Calculation Sheet'!$K$4:$K$40,$AZ$5:$AZ$41,$BH12))),""))</f>
        <v>1534</v>
      </c>
      <c r="M13" s="70">
        <f>IF($BJ12&gt;0,IF(INDEX('Final Calculation Sheet'!$L$4:$L$40,$BJ12-3)="","",INDEX('Final Calculation Sheet'!$L$4:$L$40,$BJ12-3)),IF(OR($BI12=1,$BL12=1,$BH12&gt;0),IF($BI12=1,SUM('Final Calculation Sheet'!$L$4:$L$40),IF($BL12=1,SUM('Final Calculation Sheet'!$L$4:$L$40)-SUMIFS('Final Calculation Sheet'!$L$4:$L$40,$AZ$5:$AZ$41,10),SUMIFS('Final Calculation Sheet'!$L$4:$L$40,$AZ$5:$AZ$41,$BH12))),""))</f>
        <v>65.007000000000005</v>
      </c>
      <c r="N13" s="70">
        <f>IF($BJ12&gt;0,IF(INDEX('Final Calculation Sheet'!$M$4:$M$40,$BJ12-3)="","",INDEX('Final Calculation Sheet'!$M$4:$M$40,$BJ12-3)),IF(OR($BI12=1,$BL12=1,$BH12&gt;0),IF($BI12=1,SUM('Final Calculation Sheet'!$M$4:$M$40),IF($BL12=1,SUM('Final Calculation Sheet'!$M$4:$M$40)-SUMIFS('Final Calculation Sheet'!$M$4:$M$40,$AZ$5:$AZ$41,10),SUMIFS('Final Calculation Sheet'!$M$4:$M$40,$AZ$5:$AZ$41,$BH12))),""))</f>
        <v>1725.9358499999998</v>
      </c>
      <c r="O13" s="71">
        <f>IF($BJ12&gt;0,IF(INDEX('Final Calculation Sheet'!$N$4:$N$40,$BJ12-3)="","",INDEX('Final Calculation Sheet'!$N$4:$N$40,$BJ12-3)),IF(OR($BI12=1,$BL12=1,$BH12&gt;0),IF($BI12=1,SUM('Final Calculation Sheet'!$N$4:$N$40),IF($BL12=1,SUM('Final Calculation Sheet'!$N$4:$N$40)-SUMIFS('Final Calculation Sheet'!$N$4:$N$40,$AZ$5:$AZ$41,10),SUMIFS('Final Calculation Sheet'!$N$4:$N$40,$AZ$5:$AZ$41,$BH12))),""))</f>
        <v>29.253150000000002</v>
      </c>
      <c r="P13" s="70">
        <f>IF($BJ12&gt;0,IF(INDEX('Final Calculation Sheet'!$O$4:$O$40,$BJ12-3)="","",INDEX('Final Calculation Sheet'!$O$4:$O$40,$BJ12-3)),IF(OR($BI12=1,$BL12=1,$BH12&gt;0),IF($BI12=1,SUM('Final Calculation Sheet'!$O$4:$O$40),IF($BL12=1,SUM('Final Calculation Sheet'!$O$4:$O$40)-SUMIFS('Final Calculation Sheet'!$O$4:$O$40,$AZ$5:$AZ$41,10),SUMIFS('Final Calculation Sheet'!$O$4:$O$40,$AZ$5:$AZ$41,$BH12))),""))</f>
        <v>1696.6826999999998</v>
      </c>
      <c r="Q13" s="70">
        <f>IF($BJ12&gt;0,IF(INDEX('Final Calculation Sheet'!$P$4:$P$40,$BJ12-3)="","",INDEX('Final Calculation Sheet'!$P$4:$P$40,$BJ12-3)),IF(OR($BI12=1,$BL12=1,$BH12&gt;0),IF($BI12=1,SUM('Final Calculation Sheet'!$P$4:$P$40),IF($BL12=1,SUM('Final Calculation Sheet'!$P$4:$P$40)-SUMIFS('Final Calculation Sheet'!$P$4:$P$40,$AZ$5:$AZ$41,10),SUMIFS('Final Calculation Sheet'!$P$4:$P$40,$AZ$5:$AZ$41,$BH12))),""))</f>
        <v>1762</v>
      </c>
      <c r="R13" s="72">
        <f>IF($BJ12&gt;0,IF(INDEX('Final Calculation Sheet'!$Q$4:$Q$40,$BJ12-3)="","",INDEX('Final Calculation Sheet'!$Q$4:$Q$40,$BJ12-3)),IF(OR($BI12=1,$BL12=1,$BH12&gt;0),"–",""))</f>
        <v>0</v>
      </c>
      <c r="S13" s="70">
        <f>IF($BJ12&gt;0,IF(INDEX('Final Calculation Sheet'!$R$4:$R$40,$BJ12-3)="","",INDEX('Final Calculation Sheet'!$R$4:$R$40,$BJ12-3)),IF(OR($BI12=1,$BL12=1,$BH12&gt;0),IF($BI12=1,SUM('Final Calculation Sheet'!$R$4:$R$40),IF($BL12=1,SUM('Final Calculation Sheet'!$R$4:$R$40)-SUMIFS('Final Calculation Sheet'!$R$4:$R$40,$AZ$5:$AZ$41,10),SUMIFS('Final Calculation Sheet'!$R$4:$R$40,$AZ$5:$AZ$41,$BH12))),""))</f>
        <v>0</v>
      </c>
      <c r="T13" s="70">
        <f>IF($BJ12&gt;0,IF(INDEX('Final Calculation Sheet'!$S$4:$S$40,$BJ12-3)="","",INDEX('Final Calculation Sheet'!$S$4:$S$40,$BJ12-3)),IF(OR($BI12=1,$BL12=1,$BH12&gt;0),IF($BI12=1,SUM('Final Calculation Sheet'!$S$4:$S$40),IF($BL12=1,SUM('Final Calculation Sheet'!$S$4:$S$40)-SUMIFS('Final Calculation Sheet'!$S$4:$S$40,$AZ$5:$AZ$41,10),SUMIFS('Final Calculation Sheet'!$S$4:$S$40,$AZ$5:$AZ$41,$BH12))),""))</f>
        <v>76481</v>
      </c>
      <c r="U13" s="70">
        <f>IF($BJ12&gt;0,IF(INDEX('Final Calculation Sheet'!$T$4:$T$40,$BJ12-3)="","",INDEX('Final Calculation Sheet'!$T$4:$T$40,$BJ12-3)),IF(OR($BI12=1,$BL12=1,$BH12&gt;0),IF($BI12=1,SUM('Final Calculation Sheet'!$T$4:$T$40),IF($BL12=1,SUM('Final Calculation Sheet'!$T$4:$T$40)-SUMIFS('Final Calculation Sheet'!$T$4:$T$40,$AZ$5:$AZ$41,10),SUMIFS('Final Calculation Sheet'!$T$4:$T$40,$AZ$5:$AZ$41,$BH12))),""))</f>
        <v>16252</v>
      </c>
      <c r="V13" s="73">
        <f>IF($BJ12&gt;0,IF(INDEX('Final Calculation Sheet'!$U$4:$U$40,$BJ12-3)="","",INDEX('Final Calculation Sheet'!$U$4:$U$40,$BJ12-3)),IF(OR($BI12=1,$BL12=1,$BH12&gt;0),IF($BI12=1,SUM('Final Calculation Sheet'!$U$4:$U$40),IF($BL12=1,SUM('Final Calculation Sheet'!$U$4:$U$40)-SUMIFS('Final Calculation Sheet'!$U$4:$U$40,$AZ$5:$AZ$41,10),SUMIFS('Final Calculation Sheet'!$U$4:$U$40,$AZ$5:$AZ$41,$BH12))),""))</f>
        <v>16252</v>
      </c>
      <c r="W13" s="70" t="str">
        <f>IF($BJ12&gt;0,IF(INDEX('Final Calculation Sheet'!$V$4:$V$40,$BJ12-3)="","",INDEX('Final Calculation Sheet'!$V$4:$V$40,$BJ12-3)),IF(OR($BI12=1,$BL12=1,$BH12&gt;0),"–",""))</f>
        <v>13.08.2026</v>
      </c>
      <c r="X13" s="70">
        <f>IF($BJ12&gt;0,IF(INDEX('Final Calculation Sheet'!$W$4:$W$40,$BJ12-3)="","",INDEX('Final Calculation Sheet'!$W$4:$W$40,$BJ12-3)),IF(OR($BI12=1,$BL12=1,$BH12&gt;0),IF($BI12=1,SUM('Final Calculation Sheet'!$W$4:$W$40),IF($BL12=1,SUM('Final Calculation Sheet'!$W$4:$W$40)-SUMIFS('Final Calculation Sheet'!$W$4:$W$40,$AZ$5:$AZ$41,10),SUMIFS('Final Calculation Sheet'!$W$4:$W$40,$AZ$5:$AZ$41,$BH12))),""))</f>
        <v>60229</v>
      </c>
      <c r="Y13" s="70">
        <f>IF($BJ12&gt;0,IF(INDEX('Final Calculation Sheet'!$X$4:$X$40,$BJ12-3)="","",INDEX('Final Calculation Sheet'!$X$4:$X$40,$BJ12-3)),IF(OR($BI12=1,$BL12=1,$BH12&gt;0),IF($BI12=1,SUM('Final Calculation Sheet'!$X$4:$X$40),IF($BL12=1,SUM('Final Calculation Sheet'!$X$4:$X$40)-SUMIFS('Final Calculation Sheet'!$X$4:$X$40,$AZ$5:$AZ$41,10),SUMIFS('Final Calculation Sheet'!$X$4:$X$40,$AZ$5:$AZ$41,$BH12))),""))</f>
        <v>60229</v>
      </c>
      <c r="Z13" s="70" t="str">
        <f>IF($BJ12&gt;0,IF(INDEX('Final Calculation Sheet'!$Y$4:$Y$40,$BJ12-3)="","",INDEX('Final Calculation Sheet'!$Y$4:$Y$40,$BJ12-3)),IF(OR($BI12=1,$BL12=1,$BH12&gt;0),"–",""))</f>
        <v>24.08.2026</v>
      </c>
      <c r="AA13" s="70">
        <f>IF($BJ12&gt;0,IF(INDEX('Final Calculation Sheet'!$Z$4:$Z$40,$BJ12-3)="","",INDEX('Final Calculation Sheet'!$Z$4:$Z$40,$BJ12-3)),IF(OR($BI12=1,$BL12=1,$BH12&gt;0),IF($BI12=1,SUM('Final Calculation Sheet'!$Z$4:$Z$40),IF($BL12=1,SUM('Final Calculation Sheet'!$Z$4:$Z$40)-SUMIFS('Final Calculation Sheet'!$Z$4:$Z$40,$AZ$5:$AZ$41,10),SUMIFS('Final Calculation Sheet'!$Z$4:$Z$40,$AZ$5:$AZ$41,$BH12))),""))</f>
        <v>0</v>
      </c>
      <c r="AB13" s="70" t="str">
        <f>IF($BJ12&gt;0,IF(INDEX('Final Calculation Sheet'!$AA$4:$AA$40,$BJ12-3)="","",INDEX('Final Calculation Sheet'!$AA$4:$AA$40,$BJ12-3)),IF(OR($BI12=1,$BL12=1,$BH12&gt;0),IF($BI12=1,SUM('Final Calculation Sheet'!$AA$4:$AA$40),IF($BL12=1,SUM('Final Calculation Sheet'!$AA$4:$AA$40)-SUMIFS('Final Calculation Sheet'!$AA$4:$AA$40,$AZ$5:$AZ$41,10),SUMIFS('Final Calculation Sheet'!$AA$4:$AA$40,$AZ$5:$AZ$41,$BH12))),""))</f>
        <v/>
      </c>
      <c r="AC13" s="70" t="str">
        <f>IF($BJ12&gt;0,IF(INDEX('Final Calculation Sheet'!$AB$4:$AB$40,$BJ12-3)="","",INDEX('Final Calculation Sheet'!$AB$4:$AB$40,$BJ12-3)),IF(OR($BI12=1,$BL12=1,$BH12&gt;0),"–",""))</f>
        <v/>
      </c>
      <c r="AD13" s="70">
        <f>IF($BJ12&gt;0,IF(INDEX('Final Calculation Sheet'!$AC$4:$AC$40,$BJ12-3)="","",INDEX('Final Calculation Sheet'!$AC$4:$AC$40,$BJ12-3)),IF(OR($BI12=1,$BL12=1,$BH12&gt;0),IF($BI12=1,SUM('Final Calculation Sheet'!$AC$4:$AC$40),IF($BL12=1,SUM('Final Calculation Sheet'!$AC$4:$AC$40)-SUMIFS('Final Calculation Sheet'!$AC$4:$AC$40,$AZ$5:$AZ$41,10),SUMIFS('Final Calculation Sheet'!$AC$4:$AC$40,$AZ$5:$AZ$41,$BH12))),""))</f>
        <v>76481</v>
      </c>
      <c r="AE13" s="70">
        <f>IF($BJ12&gt;0,IF(INDEX('Final Calculation Sheet'!$AD$4:$AD$40,$BJ12-3)="","",INDEX('Final Calculation Sheet'!$AD$4:$AD$40,$BJ12-3)),IF(OR($BI12=1,$BL12=1,$BH12&gt;0),IF($BI12=1,SUM('Final Calculation Sheet'!$AD$4:$AD$40),IF($BL12=1,SUM('Final Calculation Sheet'!$AD$4:$AD$40)-SUMIFS('Final Calculation Sheet'!$AD$4:$AD$40,$AZ$5:$AZ$41,10),SUMIFS('Final Calculation Sheet'!$AD$4:$AD$40,$AZ$5:$AZ$41,$BH12))),""))</f>
        <v>0</v>
      </c>
      <c r="AF13" s="70" t="str">
        <f>IF($BJ12&gt;0,IF(INDEX('Final Calculation Sheet'!$AE$4:$AE$40,$BJ12-3)="","",INDEX('Final Calculation Sheet'!$AE$4:$AE$40,$BJ12-3)),IF(OR($BI12=1,$BL12=1,$BH12&gt;0),"–",""))</f>
        <v>DR2640100032</v>
      </c>
      <c r="AG13" s="74">
        <f>IF($BJ12&gt;0,IF(INDEX('Final Calculation Sheet'!$AF$4:$AF$40,$BJ12-3)="","",INDEX('Final Calculation Sheet'!$AF$4:$AF$40,$BJ12-3)),IF(OR($BI12=1,$BL12=1,$BH12&gt;0),"–",""))</f>
        <v>1800003304</v>
      </c>
      <c r="AH13" s="70" t="str">
        <f>IF($BJ12&gt;0,IF(INDEX('Final Calculation Sheet'!$AG$4:$AG$40,$BJ12-3)="","",INDEX('Final Calculation Sheet'!$AG$4:$AG$40,$BJ12-3)),IF(OR($BI12=1,$BL12=1,$BH12&gt;0),"–",""))</f>
        <v>27.08.2026</v>
      </c>
      <c r="AI13" s="75" t="str">
        <f>IF($BJ12&gt;0,IF(INDEX('Final Calculation Sheet'!$AD$4:$AD$40,$BJ12-3)="","",IF(INDEX('Final Calculation Sheet'!$AD$4:$AD$40,$BJ12-3)&lt;=5,"SETTLED","OUTSTANDING")),IF(OR($BI12=1,$BL12=1,$BH12&gt;0),IF(IF($BI12=1,SUM('Final Calculation Sheet'!$AD$4:$AD$40),IF($BL12=1,SUM('Final Calculation Sheet'!$AD$4:$AD$40)-SUMIFS('Final Calculation Sheet'!$AD$4:$AD$40,$AZ$5:$AZ$41,10),SUMIFS('Final Calculation Sheet'!$AD$4:$AD$40,$AZ$5:$AZ$41,$BH12)))&lt;=5,"ALL SETTLED","OUTSTANDING"),""))</f>
        <v>SETTLED</v>
      </c>
      <c r="AK13" t="str">
        <f>IF($F$3="Lot No.",'Final Calculation Sheet'!$F$12,IF($F$3="Buyer",'Final Calculation Sheet'!$G$12,IF($F$3="Lot Name",'Final Calculation Sheet'!$B$12,IF($F$3="Bid Sheet",'Final Calculation Sheet'!$D$12,IF($F$3="Unit",'Final Calculation Sheet'!$E$12,'Final Calculation Sheet'!$F$12&amp;" "&amp;'Final Calculation Sheet'!$G$12&amp;" "&amp;'Final Calculation Sheet'!$B$12)))))</f>
        <v>2005 NATIONAL ENTERPRISES Scrap of 220KV CT</v>
      </c>
      <c r="AL13">
        <f>AL12+IF($B$3="",0,--(SUMPRODUCT(--($AR$6:$AY$6&lt;&gt;""),--ISNUMBER(SEARCH($AR$6:$AY$6,$AK13)))&gt;0))</f>
        <v>0</v>
      </c>
      <c r="AM13">
        <f>IF(COUNTIF($BM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1</v>
      </c>
      <c r="AZ13">
        <f>IF($B$3="",IF(COUNTIF($A$4:$AI$4,"&lt;&gt;")=0,9,IF($AM13=1,9,10)),IF($AM13=0,10,IF(AND($AR$6&lt;&gt;"",ISNUMBER(SEARCH($AR$6,$AK13))),1,IF(AND($AS$6&lt;&gt;"",ISNUMBER(SEARCH($AS$6,$AK13))),2,IF(AND($AT$6&lt;&gt;"",ISNUMBER(SEARCH($AT$6,$AK13))),3,IF(AND($AU$6&lt;&gt;"",ISNUMBER(SEARCH($AU$6,$AK13))),4,IF(AND($AV$6&lt;&gt;"",ISNUMBER(SEARCH($AV$6,$AK13))),5,IF(AND($AW$6&lt;&gt;"",ISNUMBER(SEARCH($AW$6,$AK13))),6,IF(AND($AX$6&lt;&gt;"",ISNUMBER(SEARCH($AX$6,$AK13))),7,IF(AND($AY$6&lt;&gt;"",ISNUMBER(SEARCH($AY$6,$AK13))),8,0))))))))))</f>
        <v>9</v>
      </c>
      <c r="BA13">
        <f>SUMPRODUCT(($AZ$5:$AZ$41=$AZ13)*($BC$5:$BC$41&lt;$BC13))+1</f>
        <v>9</v>
      </c>
      <c r="BB13">
        <f>IF(INDEX($BF$4:$BF$13,$AZ13)=0,0,INDEX($BE$4:$BE$13,$AZ13)+$BA13-1)</f>
        <v>13</v>
      </c>
      <c r="BC13" t="n">
        <v>12</v>
      </c>
      <c r="BD13">
        <f>COUNTIF($AZ$5:$AZ$41,10)</f>
        <v>0</v>
      </c>
      <c r="BE13">
        <f>$BG$4+1</f>
        <v>44</v>
      </c>
      <c r="BF13">
        <f>IF($BD13=0,0,$BE13+$BD13)</f>
        <v>0</v>
      </c>
      <c r="BH13">
        <f>IFERROR(MATCH(13,$BF$4:$BF$13,0),0)</f>
        <v>0</v>
      </c>
      <c r="BI13">
        <f>IF(13=$BG$5,1,0)</f>
        <v>0</v>
      </c>
      <c r="BJ13">
        <f>IF(OR($BH13&gt;0,$BI13=1,$BL13=1),0,IFERROR(INDEX($BC$5:$BC$41,MATCH(13,$BB$5:$BB$41,0)),0))</f>
        <v>12</v>
      </c>
      <c r="BK13">
        <f>IF($BJ13&gt;0,IF(INDEX($AZ$5:$AZ$41,MATCH(13,$BB$5:$BB$41,0))=10,1,0),IF($BH13=10,1,0))</f>
        <v>0</v>
      </c>
      <c r="BL13">
        <f>IF(13=$BG$4,1,0)</f>
        <v>0</v>
      </c>
      <c r="BM13">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1</v>
      </c>
      <c r="BN13">
        <f>IF($B$4="",1,--(OR(SUMPRODUCT(--(TRIM(MID(SUBSTITUTE(SUBSTITUTE($B$4,"/",","),",",REPT(" ",99)),(ROW($1:$8)-1)*99+1,99))&lt;&gt;""),--ISNUMBER(SEARCH(TRIM(MID(SUBSTITUTE(SUBSTITUTE($B$4,"/",","),",",REPT(" ",99)),(ROW($1:$8)-1)*99+1,99)),IFERROR(('Final Calculation Sheet'!$F$12)&amp;"",""))))&gt;0,AND(ISNUMBER(SEARCH("blank",$B$4)),NOT(ISNUMBER(SEARCH("nonblank",$B$4))),IFERROR(('Final Calculation Sheet'!$F$12)&amp;"","")=""),AND(OR(ISNUMBER(SEARCH("nonblank",$B$4)),ISNUMBER(SEARCH("&lt;&gt;",$B$4))),IFERROR(('Final Calculation Sheet'!$F$12)&amp;"","")&lt;&gt;""),AND(TRIM($B$4)="",IFERROR(('Final Calculation Sheet'!$F$12)&amp;"","")=""))))</f>
        <v>1</v>
      </c>
      <c r="BO13">
        <f>IF($C$4="",1,--(OR(SUMPRODUCT(--(TRIM(MID(SUBSTITUTE(SUBSTITUTE($C$4,"/",","),",",REPT(" ",99)),(ROW($1:$8)-1)*99+1,99))&lt;&gt;""),--ISNUMBER(SEARCH(TRIM(MID(SUBSTITUTE(SUBSTITUTE($C$4,"/",","),",",REPT(" ",99)),(ROW($1:$8)-1)*99+1,99)),IFERROR(('Final Calculation Sheet'!$G$12)&amp;"",""))))&gt;0,AND(ISNUMBER(SEARCH("blank",$C$4)),NOT(ISNUMBER(SEARCH("nonblank",$C$4))),IFERROR(('Final Calculation Sheet'!$G$12)&amp;"","")=""),AND(OR(ISNUMBER(SEARCH("nonblank",$C$4)),ISNUMBER(SEARCH("&lt;&gt;",$C$4))),IFERROR(('Final Calculation Sheet'!$G$12)&amp;"","")&lt;&gt;""),AND(TRIM($C$4)="",IFERROR(('Final Calculation Sheet'!$G$12)&amp;"","")=""))))</f>
        <v>1</v>
      </c>
      <c r="BP13">
        <f>IF($D$4="",1,--(OR(SUMPRODUCT(--(TRIM(MID(SUBSTITUTE(SUBSTITUTE($D$4,"/",","),",",REPT(" ",99)),(ROW($1:$8)-1)*99+1,99))&lt;&gt;""),--ISNUMBER(SEARCH(TRIM(MID(SUBSTITUTE(SUBSTITUTE($D$4,"/",","),",",REPT(" ",99)),(ROW($1:$8)-1)*99+1,99)),IFERROR(('Final Calculation Sheet'!$B$12)&amp;"",""))))&gt;0,AND(ISNUMBER(SEARCH("blank",$D$4)),NOT(ISNUMBER(SEARCH("nonblank",$D$4))),IFERROR(('Final Calculation Sheet'!$B$12)&amp;"","")=""),AND(OR(ISNUMBER(SEARCH("nonblank",$D$4)),ISNUMBER(SEARCH("&lt;&gt;",$D$4))),IFERROR(('Final Calculation Sheet'!$B$12)&amp;"","")&lt;&gt;""),AND(TRIM($D$4)="",IFERROR(('Final Calculation Sheet'!$B$12)&amp;"","")=""))))</f>
        <v>1</v>
      </c>
      <c r="BQ13">
        <f>IF($E$4="",1,--(OR(SUMPRODUCT(--(TRIM(MID(SUBSTITUTE(SUBSTITUTE($E$4,"/",","),",",REPT(" ",99)),(ROW($1:$8)-1)*99+1,99))&lt;&gt;""),--ISNUMBER(SEARCH(TRIM(MID(SUBSTITUTE(SUBSTITUTE($E$4,"/",","),",",REPT(" ",99)),(ROW($1:$8)-1)*99+1,99)),IFERROR(('Final Calculation Sheet'!$D$12)&amp;"",""))))&gt;0,AND(ISNUMBER(SEARCH("blank",$E$4)),NOT(ISNUMBER(SEARCH("nonblank",$E$4))),IFERROR(('Final Calculation Sheet'!$D$12)&amp;"","")=""),AND(OR(ISNUMBER(SEARCH("nonblank",$E$4)),ISNUMBER(SEARCH("&lt;&gt;",$E$4))),IFERROR(('Final Calculation Sheet'!$D$12)&amp;"","")&lt;&gt;""),AND(TRIM($E$4)="",IFERROR(('Final Calculation Sheet'!$D$12)&amp;"","")=""))))</f>
        <v>1</v>
      </c>
      <c r="BR13">
        <f>IF($F$4="",1,--(OR(SUMPRODUCT(--(TRIM(MID(SUBSTITUTE(SUBSTITUTE($F$4,"/",","),",",REPT(" ",99)),(ROW($1:$8)-1)*99+1,99))&lt;&gt;""),--ISNUMBER(SEARCH(TRIM(MID(SUBSTITUTE(SUBSTITUTE($F$4,"/",","),",",REPT(" ",99)),(ROW($1:$8)-1)*99+1,99)),IFERROR(('Final Calculation Sheet'!$A$12)&amp;"",""))))&gt;0,AND(ISNUMBER(SEARCH("blank",$F$4)),NOT(ISNUMBER(SEARCH("nonblank",$F$4))),IFERROR(('Final Calculation Sheet'!$A$12)&amp;"","")=""),AND(OR(ISNUMBER(SEARCH("nonblank",$F$4)),ISNUMBER(SEARCH("&lt;&gt;",$F$4))),IFERROR(('Final Calculation Sheet'!$A$12)&amp;"","")&lt;&gt;""),AND(TRIM($F$4)="",IFERROR(('Final Calculation Sheet'!$A$12)&amp;"","")=""))))</f>
        <v>1</v>
      </c>
      <c r="BS13">
        <f>IF($G$4="",1,--(OR(SUMPRODUCT(--(TRIM(MID(SUBSTITUTE(SUBSTITUTE($G$4,"/",","),",",REPT(" ",99)),(ROW($1:$8)-1)*99+1,99))&lt;&gt;""),--ISNUMBER(SEARCH(TRIM(MID(SUBSTITUTE(SUBSTITUTE($G$4,"/",","),",",REPT(" ",99)),(ROW($1:$8)-1)*99+1,99)),IFERROR(('Final Calculation Sheet'!$E$12)&amp;"",""))))&gt;0,AND(ISNUMBER(SEARCH("blank",$G$4)),NOT(ISNUMBER(SEARCH("nonblank",$G$4))),IFERROR(('Final Calculation Sheet'!$E$12)&amp;"","")=""),AND(OR(ISNUMBER(SEARCH("nonblank",$G$4)),ISNUMBER(SEARCH("&lt;&gt;",$G$4))),IFERROR(('Final Calculation Sheet'!$E$12)&amp;"","")&lt;&gt;""),AND(TRIM($G$4)="",IFERROR(('Final Calculation Sheet'!$E$12)&amp;"","")=""))))</f>
        <v>1</v>
      </c>
      <c r="BT13">
        <f>IF($H$4="",1,--(OR(SUMPRODUCT(--(TRIM(MID(SUBSTITUTE(SUBSTITUTE($H$4,"/",","),",",REPT(" ",99)),(ROW($1:$8)-1)*99+1,99))&lt;&gt;""),--ISNUMBER(SEARCH(TRIM(MID(SUBSTITUTE(SUBSTITUTE($H$4,"/",","),",",REPT(" ",99)),(ROW($1:$8)-1)*99+1,99)),IFERROR(('Final Calculation Sheet'!$C$12)&amp;"",""))))&gt;0,AND(ISNUMBER(SEARCH("blank",$H$4)),NOT(ISNUMBER(SEARCH("nonblank",$H$4))),IFERROR(('Final Calculation Sheet'!$C$12)&amp;"","")=""),AND(OR(ISNUMBER(SEARCH("nonblank",$H$4)),ISNUMBER(SEARCH("&lt;&gt;",$H$4))),IFERROR(('Final Calculation Sheet'!$C$12)&amp;"","")&lt;&gt;""),AND(TRIM($H$4)="",IFERROR(('Final Calculation Sheet'!$C$12)&amp;"","")=""))))</f>
        <v>1</v>
      </c>
      <c r="BU13">
        <f>IF($I$4="",1,--(OR(SUMPRODUCT(--(TRIM(MID(SUBSTITUTE(SUBSTITUTE($I$4,"/",","),",",REPT(" ",99)),(ROW($1:$8)-1)*99+1,99))&lt;&gt;""),--ISNUMBER(SEARCH(TRIM(MID(SUBSTITUTE(SUBSTITUTE($I$4,"/",","),",",REPT(" ",99)),(ROW($1:$8)-1)*99+1,99)),IFERROR(('Final Calculation Sheet'!$H$12)&amp;"",""))))&gt;0,AND(ISNUMBER(SEARCH("blank",$I$4)),NOT(ISNUMBER(SEARCH("nonblank",$I$4))),IFERROR(('Final Calculation Sheet'!$H$12)&amp;"","")=""),AND(OR(ISNUMBER(SEARCH("nonblank",$I$4)),ISNUMBER(SEARCH("&lt;&gt;",$I$4))),IFERROR(('Final Calculation Sheet'!$H$12)&amp;"","")&lt;&gt;""),AND(TRIM($I$4)="",IFERROR(('Final Calculation Sheet'!$H$12)&amp;"","")=""))))</f>
        <v>1</v>
      </c>
      <c r="BV13">
        <f>IF($J$4="",1,--(OR(SUMPRODUCT(--(TRIM(MID(SUBSTITUTE(SUBSTITUTE($J$4,"/",","),",",REPT(" ",99)),(ROW($1:$8)-1)*99+1,99))&lt;&gt;""),--ISNUMBER(SEARCH(TRIM(MID(SUBSTITUTE(SUBSTITUTE($J$4,"/",","),",",REPT(" ",99)),(ROW($1:$8)-1)*99+1,99)),IFERROR(('Final Calculation Sheet'!$I$12)&amp;"",""))))&gt;0,AND(ISNUMBER(SEARCH("blank",$J$4)),NOT(ISNUMBER(SEARCH("nonblank",$J$4))),IFERROR(('Final Calculation Sheet'!$I$12)&amp;"","")=""),AND(OR(ISNUMBER(SEARCH("nonblank",$J$4)),ISNUMBER(SEARCH("&lt;&gt;",$J$4))),IFERROR(('Final Calculation Sheet'!$I$12)&amp;"","")&lt;&gt;""),AND(TRIM($J$4)="",IFERROR(('Final Calculation Sheet'!$I$12)&amp;"","")=""))))</f>
        <v>1</v>
      </c>
      <c r="BW13">
        <f>IF($K$4="",1,--(OR(SUMPRODUCT(--(TRIM(MID(SUBSTITUTE(SUBSTITUTE($K$4,"/",","),",",REPT(" ",99)),(ROW($1:$8)-1)*99+1,99))&lt;&gt;""),--ISNUMBER(SEARCH(TRIM(MID(SUBSTITUTE(SUBSTITUTE($K$4,"/",","),",",REPT(" ",99)),(ROW($1:$8)-1)*99+1,99)),IFERROR(('Final Calculation Sheet'!$J$12)&amp;"",""))))&gt;0,AND(ISNUMBER(SEARCH("blank",$K$4)),NOT(ISNUMBER(SEARCH("nonblank",$K$4))),IFERROR(('Final Calculation Sheet'!$J$12)&amp;"","")=""),AND(OR(ISNUMBER(SEARCH("nonblank",$K$4)),ISNUMBER(SEARCH("&lt;&gt;",$K$4))),IFERROR(('Final Calculation Sheet'!$J$12)&amp;"","")&lt;&gt;""),AND(TRIM($K$4)="",IFERROR(('Final Calculation Sheet'!$J$12)&amp;"","")=""))))</f>
        <v>1</v>
      </c>
      <c r="BX13">
        <f>IF($L$4="",1,--(OR(SUMPRODUCT(--(TRIM(MID(SUBSTITUTE(SUBSTITUTE($L$4,"/",","),",",REPT(" ",99)),(ROW($1:$8)-1)*99+1,99))&lt;&gt;""),--ISNUMBER(SEARCH(TRIM(MID(SUBSTITUTE(SUBSTITUTE($L$4,"/",","),",",REPT(" ",99)),(ROW($1:$8)-1)*99+1,99)),IFERROR(('Final Calculation Sheet'!$K$12)&amp;"",""))))&gt;0,AND(ISNUMBER(SEARCH("blank",$L$4)),NOT(ISNUMBER(SEARCH("nonblank",$L$4))),IFERROR(('Final Calculation Sheet'!$K$12)&amp;"","")=""),AND(OR(ISNUMBER(SEARCH("nonblank",$L$4)),ISNUMBER(SEARCH("&lt;&gt;",$L$4))),IFERROR(('Final Calculation Sheet'!$K$12)&amp;"","")&lt;&gt;""),AND(TRIM($L$4)="",IFERROR(('Final Calculation Sheet'!$K$12)&amp;"","")=""))))</f>
        <v>1</v>
      </c>
      <c r="BY13">
        <f>IF($M$4="",1,--(OR(SUMPRODUCT(--(TRIM(MID(SUBSTITUTE(SUBSTITUTE($M$4,"/",","),",",REPT(" ",99)),(ROW($1:$8)-1)*99+1,99))&lt;&gt;""),--ISNUMBER(SEARCH(TRIM(MID(SUBSTITUTE(SUBSTITUTE($M$4,"/",","),",",REPT(" ",99)),(ROW($1:$8)-1)*99+1,99)),IFERROR(('Final Calculation Sheet'!$L$12)&amp;"",""))))&gt;0,AND(ISNUMBER(SEARCH("blank",$M$4)),NOT(ISNUMBER(SEARCH("nonblank",$M$4))),IFERROR(('Final Calculation Sheet'!$L$12)&amp;"","")=""),AND(OR(ISNUMBER(SEARCH("nonblank",$M$4)),ISNUMBER(SEARCH("&lt;&gt;",$M$4))),IFERROR(('Final Calculation Sheet'!$L$12)&amp;"","")&lt;&gt;""),AND(TRIM($M$4)="",IFERROR(('Final Calculation Sheet'!$L$12)&amp;"","")=""))))</f>
        <v>1</v>
      </c>
      <c r="BZ13">
        <f>IF($N$4="",1,--(OR(SUMPRODUCT(--(TRIM(MID(SUBSTITUTE(SUBSTITUTE($N$4,"/",","),",",REPT(" ",99)),(ROW($1:$8)-1)*99+1,99))&lt;&gt;""),--ISNUMBER(SEARCH(TRIM(MID(SUBSTITUTE(SUBSTITUTE($N$4,"/",","),",",REPT(" ",99)),(ROW($1:$8)-1)*99+1,99)),IFERROR(('Final Calculation Sheet'!$M$12)&amp;"",""))))&gt;0,AND(ISNUMBER(SEARCH("blank",$N$4)),NOT(ISNUMBER(SEARCH("nonblank",$N$4))),IFERROR(('Final Calculation Sheet'!$M$12)&amp;"","")=""),AND(OR(ISNUMBER(SEARCH("nonblank",$N$4)),ISNUMBER(SEARCH("&lt;&gt;",$N$4))),IFERROR(('Final Calculation Sheet'!$M$12)&amp;"","")&lt;&gt;""),AND(TRIM($N$4)="",IFERROR(('Final Calculation Sheet'!$M$12)&amp;"","")=""))))</f>
        <v>1</v>
      </c>
      <c r="CA13">
        <f>IF($O$4="",1,--(OR(SUMPRODUCT(--(TRIM(MID(SUBSTITUTE(SUBSTITUTE($O$4,"/",","),",",REPT(" ",99)),(ROW($1:$8)-1)*99+1,99))&lt;&gt;""),--ISNUMBER(SEARCH(TRIM(MID(SUBSTITUTE(SUBSTITUTE($O$4,"/",","),",",REPT(" ",99)),(ROW($1:$8)-1)*99+1,99)),IFERROR(('Final Calculation Sheet'!$N$12)&amp;"",""))))&gt;0,AND(ISNUMBER(SEARCH("blank",$O$4)),NOT(ISNUMBER(SEARCH("nonblank",$O$4))),IFERROR(('Final Calculation Sheet'!$N$12)&amp;"","")=""),AND(OR(ISNUMBER(SEARCH("nonblank",$O$4)),ISNUMBER(SEARCH("&lt;&gt;",$O$4))),IFERROR(('Final Calculation Sheet'!$N$12)&amp;"","")&lt;&gt;""),AND(TRIM($O$4)="",IFERROR(('Final Calculation Sheet'!$N$12)&amp;"","")=""))))</f>
        <v>1</v>
      </c>
      <c r="CB13">
        <f>IF($P$4="",1,--(OR(SUMPRODUCT(--(TRIM(MID(SUBSTITUTE(SUBSTITUTE($P$4,"/",","),",",REPT(" ",99)),(ROW($1:$8)-1)*99+1,99))&lt;&gt;""),--ISNUMBER(SEARCH(TRIM(MID(SUBSTITUTE(SUBSTITUTE($P$4,"/",","),",",REPT(" ",99)),(ROW($1:$8)-1)*99+1,99)),IFERROR(('Final Calculation Sheet'!$O$12)&amp;"",""))))&gt;0,AND(ISNUMBER(SEARCH("blank",$P$4)),NOT(ISNUMBER(SEARCH("nonblank",$P$4))),IFERROR(('Final Calculation Sheet'!$O$12)&amp;"","")=""),AND(OR(ISNUMBER(SEARCH("nonblank",$P$4)),ISNUMBER(SEARCH("&lt;&gt;",$P$4))),IFERROR(('Final Calculation Sheet'!$O$12)&amp;"","")&lt;&gt;""),AND(TRIM($P$4)="",IFERROR(('Final Calculation Sheet'!$O$12)&amp;"","")=""))))</f>
        <v>1</v>
      </c>
      <c r="CC13">
        <f>IF($Q$4="",1,--(OR(SUMPRODUCT(--(TRIM(MID(SUBSTITUTE(SUBSTITUTE($Q$4,"/",","),",",REPT(" ",99)),(ROW($1:$8)-1)*99+1,99))&lt;&gt;""),--ISNUMBER(SEARCH(TRIM(MID(SUBSTITUTE(SUBSTITUTE($Q$4,"/",","),",",REPT(" ",99)),(ROW($1:$8)-1)*99+1,99)),IFERROR(('Final Calculation Sheet'!$P$12)&amp;"",""))))&gt;0,AND(ISNUMBER(SEARCH("blank",$Q$4)),NOT(ISNUMBER(SEARCH("nonblank",$Q$4))),IFERROR(('Final Calculation Sheet'!$P$12)&amp;"","")=""),AND(OR(ISNUMBER(SEARCH("nonblank",$Q$4)),ISNUMBER(SEARCH("&lt;&gt;",$Q$4))),IFERROR(('Final Calculation Sheet'!$P$12)&amp;"","")&lt;&gt;""),AND(TRIM($Q$4)="",IFERROR(('Final Calculation Sheet'!$P$12)&amp;"","")=""))))</f>
        <v>1</v>
      </c>
      <c r="CD13">
        <f>IF($R$4="",1,--(OR(SUMPRODUCT(--(TRIM(MID(SUBSTITUTE(SUBSTITUTE($R$4,"/",","),",",REPT(" ",99)),(ROW($1:$8)-1)*99+1,99))&lt;&gt;""),--ISNUMBER(SEARCH(TRIM(MID(SUBSTITUTE(SUBSTITUTE($R$4,"/",","),",",REPT(" ",99)),(ROW($1:$8)-1)*99+1,99)),IFERROR(('Final Calculation Sheet'!$Q$12)&amp;"",""))))&gt;0,AND(ISNUMBER(SEARCH("blank",$R$4)),NOT(ISNUMBER(SEARCH("nonblank",$R$4))),IFERROR(('Final Calculation Sheet'!$Q$12)&amp;"","")=""),AND(OR(ISNUMBER(SEARCH("nonblank",$R$4)),ISNUMBER(SEARCH("&lt;&gt;",$R$4))),IFERROR(('Final Calculation Sheet'!$Q$12)&amp;"","")&lt;&gt;""),AND(TRIM($R$4)="",IFERROR(('Final Calculation Sheet'!$Q$12)&amp;"","")=""))))</f>
        <v>1</v>
      </c>
      <c r="CE13">
        <f>IF($S$4="",1,--(OR(SUMPRODUCT(--(TRIM(MID(SUBSTITUTE(SUBSTITUTE($S$4,"/",","),",",REPT(" ",99)),(ROW($1:$8)-1)*99+1,99))&lt;&gt;""),--ISNUMBER(SEARCH(TRIM(MID(SUBSTITUTE(SUBSTITUTE($S$4,"/",","),",",REPT(" ",99)),(ROW($1:$8)-1)*99+1,99)),IFERROR(('Final Calculation Sheet'!$R$12)&amp;"",""))))&gt;0,AND(ISNUMBER(SEARCH("blank",$S$4)),NOT(ISNUMBER(SEARCH("nonblank",$S$4))),IFERROR(('Final Calculation Sheet'!$R$12)&amp;"","")=""),AND(OR(ISNUMBER(SEARCH("nonblank",$S$4)),ISNUMBER(SEARCH("&lt;&gt;",$S$4))),IFERROR(('Final Calculation Sheet'!$R$12)&amp;"","")&lt;&gt;""),AND(TRIM($S$4)="",IFERROR(('Final Calculation Sheet'!$R$12)&amp;"","")=""))))</f>
        <v>1</v>
      </c>
      <c r="CF13">
        <f>IF($T$4="",1,--(OR(SUMPRODUCT(--(TRIM(MID(SUBSTITUTE(SUBSTITUTE($T$4,"/",","),",",REPT(" ",99)),(ROW($1:$8)-1)*99+1,99))&lt;&gt;""),--ISNUMBER(SEARCH(TRIM(MID(SUBSTITUTE(SUBSTITUTE($T$4,"/",","),",",REPT(" ",99)),(ROW($1:$8)-1)*99+1,99)),IFERROR(('Final Calculation Sheet'!$S$12)&amp;"",""))))&gt;0,AND(ISNUMBER(SEARCH("blank",$T$4)),NOT(ISNUMBER(SEARCH("nonblank",$T$4))),IFERROR(('Final Calculation Sheet'!$S$12)&amp;"","")=""),AND(OR(ISNUMBER(SEARCH("nonblank",$T$4)),ISNUMBER(SEARCH("&lt;&gt;",$T$4))),IFERROR(('Final Calculation Sheet'!$S$12)&amp;"","")&lt;&gt;""),AND(TRIM($T$4)="",IFERROR(('Final Calculation Sheet'!$S$12)&amp;"","")=""))))</f>
        <v>1</v>
      </c>
      <c r="CG13">
        <f>IF($U$4="",1,--(OR(SUMPRODUCT(--(TRIM(MID(SUBSTITUTE(SUBSTITUTE($U$4,"/",","),",",REPT(" ",99)),(ROW($1:$8)-1)*99+1,99))&lt;&gt;""),--ISNUMBER(SEARCH(TRIM(MID(SUBSTITUTE(SUBSTITUTE($U$4,"/",","),",",REPT(" ",99)),(ROW($1:$8)-1)*99+1,99)),IFERROR(('Final Calculation Sheet'!$T$12)&amp;"",""))))&gt;0,AND(ISNUMBER(SEARCH("blank",$U$4)),NOT(ISNUMBER(SEARCH("nonblank",$U$4))),IFERROR(('Final Calculation Sheet'!$T$12)&amp;"","")=""),AND(OR(ISNUMBER(SEARCH("nonblank",$U$4)),ISNUMBER(SEARCH("&lt;&gt;",$U$4))),IFERROR(('Final Calculation Sheet'!$T$12)&amp;"","")&lt;&gt;""),AND(TRIM($U$4)="",IFERROR(('Final Calculation Sheet'!$T$12)&amp;"","")=""))))</f>
        <v>1</v>
      </c>
      <c r="CH13">
        <f>IF($V$4="",1,--(OR(SUMPRODUCT(--(TRIM(MID(SUBSTITUTE(SUBSTITUTE($V$4,"/",","),",",REPT(" ",99)),(ROW($1:$8)-1)*99+1,99))&lt;&gt;""),--ISNUMBER(SEARCH(TRIM(MID(SUBSTITUTE(SUBSTITUTE($V$4,"/",","),",",REPT(" ",99)),(ROW($1:$8)-1)*99+1,99)),IFERROR(('Final Calculation Sheet'!$U$12)&amp;"",""))))&gt;0,AND(ISNUMBER(SEARCH("blank",$V$4)),NOT(ISNUMBER(SEARCH("nonblank",$V$4))),IFERROR(('Final Calculation Sheet'!$U$12)&amp;"","")=""),AND(OR(ISNUMBER(SEARCH("nonblank",$V$4)),ISNUMBER(SEARCH("&lt;&gt;",$V$4))),IFERROR(('Final Calculation Sheet'!$U$12)&amp;"","")&lt;&gt;""),AND(TRIM($V$4)="",IFERROR(('Final Calculation Sheet'!$U$12)&amp;"","")=""))))</f>
        <v>1</v>
      </c>
      <c r="CI13">
        <f>IF($W$4="",1,--(OR(SUMPRODUCT(--(TRIM(MID(SUBSTITUTE(SUBSTITUTE($W$4,"/",","),",",REPT(" ",99)),(ROW($1:$8)-1)*99+1,99))&lt;&gt;""),--ISNUMBER(SEARCH(TRIM(MID(SUBSTITUTE(SUBSTITUTE($W$4,"/",","),",",REPT(" ",99)),(ROW($1:$8)-1)*99+1,99)),IFERROR(('Final Calculation Sheet'!$V$12)&amp;"",""))))&gt;0,AND(ISNUMBER(SEARCH("blank",$W$4)),NOT(ISNUMBER(SEARCH("nonblank",$W$4))),IFERROR(('Final Calculation Sheet'!$V$12)&amp;"","")=""),AND(OR(ISNUMBER(SEARCH("nonblank",$W$4)),ISNUMBER(SEARCH("&lt;&gt;",$W$4))),IFERROR(('Final Calculation Sheet'!$V$12)&amp;"","")&lt;&gt;""),AND(TRIM($W$4)="",IFERROR(('Final Calculation Sheet'!$V$12)&amp;"","")=""))))</f>
        <v>1</v>
      </c>
      <c r="CJ13">
        <f>IF($X$4="",1,--(OR(SUMPRODUCT(--(TRIM(MID(SUBSTITUTE(SUBSTITUTE($X$4,"/",","),",",REPT(" ",99)),(ROW($1:$8)-1)*99+1,99))&lt;&gt;""),--ISNUMBER(SEARCH(TRIM(MID(SUBSTITUTE(SUBSTITUTE($X$4,"/",","),",",REPT(" ",99)),(ROW($1:$8)-1)*99+1,99)),IFERROR(('Final Calculation Sheet'!$W$12)&amp;"",""))))&gt;0,AND(ISNUMBER(SEARCH("blank",$X$4)),NOT(ISNUMBER(SEARCH("nonblank",$X$4))),IFERROR(('Final Calculation Sheet'!$W$12)&amp;"","")=""),AND(OR(ISNUMBER(SEARCH("nonblank",$X$4)),ISNUMBER(SEARCH("&lt;&gt;",$X$4))),IFERROR(('Final Calculation Sheet'!$W$12)&amp;"","")&lt;&gt;""),AND(TRIM($X$4)="",IFERROR(('Final Calculation Sheet'!$W$12)&amp;"","")=""))))</f>
        <v>1</v>
      </c>
      <c r="CK13">
        <f>IF($Y$4="",1,--(OR(SUMPRODUCT(--(TRIM(MID(SUBSTITUTE(SUBSTITUTE($Y$4,"/",","),",",REPT(" ",99)),(ROW($1:$8)-1)*99+1,99))&lt;&gt;""),--ISNUMBER(SEARCH(TRIM(MID(SUBSTITUTE(SUBSTITUTE($Y$4,"/",","),",",REPT(" ",99)),(ROW($1:$8)-1)*99+1,99)),IFERROR(('Final Calculation Sheet'!$X$12)&amp;"",""))))&gt;0,AND(ISNUMBER(SEARCH("blank",$Y$4)),NOT(ISNUMBER(SEARCH("nonblank",$Y$4))),IFERROR(('Final Calculation Sheet'!$X$12)&amp;"","")=""),AND(OR(ISNUMBER(SEARCH("nonblank",$Y$4)),ISNUMBER(SEARCH("&lt;&gt;",$Y$4))),IFERROR(('Final Calculation Sheet'!$X$12)&amp;"","")&lt;&gt;""),AND(TRIM($Y$4)="",IFERROR(('Final Calculation Sheet'!$X$12)&amp;"","")=""))))</f>
        <v>1</v>
      </c>
      <c r="CL13">
        <f>IF($Z$4="",1,--(OR(SUMPRODUCT(--(TRIM(MID(SUBSTITUTE(SUBSTITUTE($Z$4,"/",","),",",REPT(" ",99)),(ROW($1:$8)-1)*99+1,99))&lt;&gt;""),--ISNUMBER(SEARCH(TRIM(MID(SUBSTITUTE(SUBSTITUTE($Z$4,"/",","),",",REPT(" ",99)),(ROW($1:$8)-1)*99+1,99)),IFERROR(('Final Calculation Sheet'!$Y$12)&amp;"",""))))&gt;0,AND(ISNUMBER(SEARCH("blank",$Z$4)),NOT(ISNUMBER(SEARCH("nonblank",$Z$4))),IFERROR(('Final Calculation Sheet'!$Y$12)&amp;"","")=""),AND(OR(ISNUMBER(SEARCH("nonblank",$Z$4)),ISNUMBER(SEARCH("&lt;&gt;",$Z$4))),IFERROR(('Final Calculation Sheet'!$Y$12)&amp;"","")&lt;&gt;""),AND(TRIM($Z$4)="",IFERROR(('Final Calculation Sheet'!$Y$12)&amp;"","")=""))))</f>
        <v>1</v>
      </c>
      <c r="CM13">
        <f>IF($AA$4="",1,--(OR(SUMPRODUCT(--(TRIM(MID(SUBSTITUTE(SUBSTITUTE($AA$4,"/",","),",",REPT(" ",99)),(ROW($1:$8)-1)*99+1,99))&lt;&gt;""),--ISNUMBER(SEARCH(TRIM(MID(SUBSTITUTE(SUBSTITUTE($AA$4,"/",","),",",REPT(" ",99)),(ROW($1:$8)-1)*99+1,99)),IFERROR(('Final Calculation Sheet'!$Z$12)&amp;"",""))))&gt;0,AND(ISNUMBER(SEARCH("blank",$AA$4)),NOT(ISNUMBER(SEARCH("nonblank",$AA$4))),IFERROR(('Final Calculation Sheet'!$Z$12)&amp;"","")=""),AND(OR(ISNUMBER(SEARCH("nonblank",$AA$4)),ISNUMBER(SEARCH("&lt;&gt;",$AA$4))),IFERROR(('Final Calculation Sheet'!$Z$12)&amp;"","")&lt;&gt;""),AND(TRIM($AA$4)="",IFERROR(('Final Calculation Sheet'!$Z$12)&amp;"","")=""))))</f>
        <v>1</v>
      </c>
      <c r="CN13">
        <f>IF($AB$4="",1,--(OR(SUMPRODUCT(--(TRIM(MID(SUBSTITUTE(SUBSTITUTE($AB$4,"/",","),",",REPT(" ",99)),(ROW($1:$8)-1)*99+1,99))&lt;&gt;""),--ISNUMBER(SEARCH(TRIM(MID(SUBSTITUTE(SUBSTITUTE($AB$4,"/",","),",",REPT(" ",99)),(ROW($1:$8)-1)*99+1,99)),IFERROR(('Final Calculation Sheet'!$AA$12)&amp;"",""))))&gt;0,AND(ISNUMBER(SEARCH("blank",$AB$4)),NOT(ISNUMBER(SEARCH("nonblank",$AB$4))),IFERROR(('Final Calculation Sheet'!$AA$12)&amp;"","")=""),AND(OR(ISNUMBER(SEARCH("nonblank",$AB$4)),ISNUMBER(SEARCH("&lt;&gt;",$AB$4))),IFERROR(('Final Calculation Sheet'!$AA$12)&amp;"","")&lt;&gt;""),AND(TRIM($AB$4)="",IFERROR(('Final Calculation Sheet'!$AA$12)&amp;"","")=""))))</f>
        <v>1</v>
      </c>
      <c r="CO13">
        <f>IF($AC$4="",1,--(OR(SUMPRODUCT(--(TRIM(MID(SUBSTITUTE(SUBSTITUTE($AC$4,"/",","),",",REPT(" ",99)),(ROW($1:$8)-1)*99+1,99))&lt;&gt;""),--ISNUMBER(SEARCH(TRIM(MID(SUBSTITUTE(SUBSTITUTE($AC$4,"/",","),",",REPT(" ",99)),(ROW($1:$8)-1)*99+1,99)),IFERROR(('Final Calculation Sheet'!$AB$12)&amp;"",""))))&gt;0,AND(ISNUMBER(SEARCH("blank",$AC$4)),NOT(ISNUMBER(SEARCH("nonblank",$AC$4))),IFERROR(('Final Calculation Sheet'!$AB$12)&amp;"","")=""),AND(OR(ISNUMBER(SEARCH("nonblank",$AC$4)),ISNUMBER(SEARCH("&lt;&gt;",$AC$4))),IFERROR(('Final Calculation Sheet'!$AB$12)&amp;"","")&lt;&gt;""),AND(TRIM($AC$4)="",IFERROR(('Final Calculation Sheet'!$AB$12)&amp;"","")=""))))</f>
        <v>1</v>
      </c>
      <c r="CP13">
        <f>IF($AD$4="",1,--(OR(SUMPRODUCT(--(TRIM(MID(SUBSTITUTE(SUBSTITUTE($AD$4,"/",","),",",REPT(" ",99)),(ROW($1:$8)-1)*99+1,99))&lt;&gt;""),--ISNUMBER(SEARCH(TRIM(MID(SUBSTITUTE(SUBSTITUTE($AD$4,"/",","),",",REPT(" ",99)),(ROW($1:$8)-1)*99+1,99)),IFERROR(('Final Calculation Sheet'!$AC$12)&amp;"",""))))&gt;0,AND(ISNUMBER(SEARCH("blank",$AD$4)),NOT(ISNUMBER(SEARCH("nonblank",$AD$4))),IFERROR(('Final Calculation Sheet'!$AC$12)&amp;"","")=""),AND(OR(ISNUMBER(SEARCH("nonblank",$AD$4)),ISNUMBER(SEARCH("&lt;&gt;",$AD$4))),IFERROR(('Final Calculation Sheet'!$AC$12)&amp;"","")&lt;&gt;""),AND(TRIM($AD$4)="",IFERROR(('Final Calculation Sheet'!$AC$12)&amp;"","")=""))))</f>
        <v>1</v>
      </c>
      <c r="CQ13">
        <f>IF($AE$4="",1,--(OR(SUMPRODUCT(--(TRIM(MID(SUBSTITUTE(SUBSTITUTE($AE$4,"/",","),",",REPT(" ",99)),(ROW($1:$8)-1)*99+1,99))&lt;&gt;""),--ISNUMBER(SEARCH(TRIM(MID(SUBSTITUTE(SUBSTITUTE($AE$4,"/",","),",",REPT(" ",99)),(ROW($1:$8)-1)*99+1,99)),IFERROR(('Final Calculation Sheet'!$AD$12)&amp;"",""))))&gt;0,AND(ISNUMBER(SEARCH("blank",$AE$4)),NOT(ISNUMBER(SEARCH("nonblank",$AE$4))),IFERROR(('Final Calculation Sheet'!$AD$12)&amp;"","")=""),AND(OR(ISNUMBER(SEARCH("nonblank",$AE$4)),ISNUMBER(SEARCH("&lt;&gt;",$AE$4))),IFERROR(('Final Calculation Sheet'!$AD$12)&amp;"","")&lt;&gt;""),AND(TRIM($AE$4)="",IFERROR(('Final Calculation Sheet'!$AD$12)&amp;"","")=""))))</f>
        <v>1</v>
      </c>
      <c r="CR13">
        <f>IF($AF$4="",1,--(OR(SUMPRODUCT(--(TRIM(MID(SUBSTITUTE(SUBSTITUTE($AF$4,"/",","),",",REPT(" ",99)),(ROW($1:$8)-1)*99+1,99))&lt;&gt;""),--ISNUMBER(SEARCH(TRIM(MID(SUBSTITUTE(SUBSTITUTE($AF$4,"/",","),",",REPT(" ",99)),(ROW($1:$8)-1)*99+1,99)),IFERROR(('Final Calculation Sheet'!$AE$12)&amp;"",""))))&gt;0,AND(ISNUMBER(SEARCH("blank",$AF$4)),NOT(ISNUMBER(SEARCH("nonblank",$AF$4))),IFERROR(('Final Calculation Sheet'!$AE$12)&amp;"","")=""),AND(OR(ISNUMBER(SEARCH("nonblank",$AF$4)),ISNUMBER(SEARCH("&lt;&gt;",$AF$4))),IFERROR(('Final Calculation Sheet'!$AE$12)&amp;"","")&lt;&gt;""),AND(TRIM($AF$4)="",IFERROR(('Final Calculation Sheet'!$AE$12)&amp;"","")=""))))</f>
        <v>1</v>
      </c>
      <c r="CS13">
        <f>IF($AG$4="",1,--(OR(SUMPRODUCT(--(TRIM(MID(SUBSTITUTE(SUBSTITUTE($AG$4,"/",","),",",REPT(" ",99)),(ROW($1:$8)-1)*99+1,99))&lt;&gt;""),--ISNUMBER(SEARCH(TRIM(MID(SUBSTITUTE(SUBSTITUTE($AG$4,"/",","),",",REPT(" ",99)),(ROW($1:$8)-1)*99+1,99)),IFERROR(('Final Calculation Sheet'!$AF$12)&amp;"",""))))&gt;0,AND(ISNUMBER(SEARCH("blank",$AG$4)),NOT(ISNUMBER(SEARCH("nonblank",$AG$4))),IFERROR(('Final Calculation Sheet'!$AF$12)&amp;"","")=""),AND(OR(ISNUMBER(SEARCH("nonblank",$AG$4)),ISNUMBER(SEARCH("&lt;&gt;",$AG$4))),IFERROR(('Final Calculation Sheet'!$AF$12)&amp;"","")&lt;&gt;""),AND(TRIM($AG$4)="",IFERROR(('Final Calculation Sheet'!$AF$12)&amp;"","")=""))))</f>
        <v>1</v>
      </c>
      <c r="CT13">
        <f>IF($AH$4="",1,--(OR(SUMPRODUCT(--(TRIM(MID(SUBSTITUTE(SUBSTITUTE($AH$4,"/",","),",",REPT(" ",99)),(ROW($1:$8)-1)*99+1,99))&lt;&gt;""),--ISNUMBER(SEARCH(TRIM(MID(SUBSTITUTE(SUBSTITUTE($AH$4,"/",","),",",REPT(" ",99)),(ROW($1:$8)-1)*99+1,99)),IFERROR(('Final Calculation Sheet'!$AG$12)&amp;"",""))))&gt;0,AND(ISNUMBER(SEARCH("blank",$AH$4)),NOT(ISNUMBER(SEARCH("nonblank",$AH$4))),IFERROR(('Final Calculation Sheet'!$AG$12)&amp;"","")=""),AND(OR(ISNUMBER(SEARCH("nonblank",$AH$4)),ISNUMBER(SEARCH("&lt;&gt;",$AH$4))),IFERROR(('Final Calculation Sheet'!$AG$12)&amp;"","")&lt;&gt;""),AND(TRIM($AH$4)="",IFERROR(('Final Calculation Sheet'!$AG$12)&amp;"","")=""))))</f>
        <v>1</v>
      </c>
      <c r="CU13">
        <f>IF($AI$4="",1,--(OR(SUMPRODUCT(--(TRIM(MID(SUBSTITUTE(SUBSTITUTE($AI$4,"/",","),",",REPT(" ",99)),(ROW($1:$8)-1)*99+1,99))&lt;&gt;""),--ISNUMBER(SEARCH(TRIM(MID(SUBSTITUTE(SUBSTITUTE($AI$4,"/",","),",",REPT(" ",99)),(ROW($1:$8)-1)*99+1,99)),IFERROR((IF('Final Calculation Sheet'!$AD$12&lt;=5,"SETTLED","OUTSTANDING"))&amp;"",""))))&gt;0,AND(ISNUMBER(SEARCH("blank",$AI$4)),NOT(ISNUMBER(SEARCH("nonblank",$AI$4))),IFERROR((IF('Final Calculation Sheet'!$AD$12&lt;=5,"SETTLED","OUTSTANDING"))&amp;"","")=""),AND(OR(ISNUMBER(SEARCH("nonblank",$AI$4)),ISNUMBER(SEARCH("&lt;&gt;",$AI$4))),IFERROR((IF('Final Calculation Sheet'!$AD$12&lt;=5,"SETTLED","OUTSTANDING"))&amp;"","")&lt;&gt;""),AND(TRIM($AI$4)="",IFERROR((IF('Final Calculation Sheet'!$AD$12&lt;=5,"SETTLED","OUTSTANDING"))&amp;"","")=""))))</f>
        <v>1</v>
      </c>
    </row>
    <row r="14" ht="15" customHeight="1" s="137">
      <c r="A14" s="67">
        <f>IF($BJ13&gt;0,INDEX($BA$5:$BA$41,MATCH(13,$BB$5:$BB$41,0)),IF(OR($BI13=1,$BL13=1,$BH13&gt;0),"∑",""))</f>
        <v>9</v>
      </c>
      <c r="B14" s="76">
        <f>IF($BJ13&gt;0,IF(INDEX('Final Calculation Sheet'!$F$4:$F$40,$BJ13-3)="","",INDEX('Final Calculation Sheet'!$F$4:$F$40,$BJ13-3)),"")</f>
        <v>2005</v>
      </c>
      <c r="C14" s="76" t="str">
        <f>IF($BJ13&gt;0,IF(INDEX('Final Calculation Sheet'!$G$4:$G$40,$BJ13-3)="","",INDEX('Final Calculation Sheet'!$G$4:$G$40,$BJ13-3)),IF(OR($BI13=1,$BL13=1,$BH13&gt;0),IF($BI13=1,37,IF($BL13=1,37-INDEX($BD$4:$BD$13,10),INDEX($BD$4:$BD$13,$BH13)))&amp;" lot(s)",""))</f>
        <v>NATIONAL ENTERPRISES</v>
      </c>
      <c r="D14" s="80" t="str">
        <f>IF($BJ13&gt;0,IF(INDEX('Final Calculation Sheet'!$B$4:$B$40,$BJ13-3)="","",INDEX('Final Calculation Sheet'!$B$4:$B$40,$BJ13-3)),IF(OR($BI13=1,$BL13=1,$BH13&gt;0),IF($BI13=1,"GRAND TOTAL  —  matching + remaining",IF($BL13=1,"TOTAL MATCHED  —  every group together",IF($BH13=10,"REMAINING  —  did not match the search",IF($BH13=9,IF(COUNTIF($A$4:$AI$4,"&lt;&gt;")&gt;0,"FILTERED LOTS  —  column fields","ALL LOTS  —  nothing typed in the box"),"GROUP "&amp;$BH13&amp;" TOTAL  —  lots matching  "&amp;INDEX($AR$6:$AY$6,$BH13))))),""))</f>
        <v>Scrap of 220KV CT</v>
      </c>
      <c r="E14" s="80">
        <f>IF($BJ13&gt;0,IF(INDEX('Final Calculation Sheet'!$D$4:$D$40,$BJ13-3)="","",INDEX('Final Calculation Sheet'!$D$4:$D$40,$BJ13-3)),IF(OR($BI13=1,$BL13=1,$BH13&gt;0),"–",""))</f>
        <v>21977</v>
      </c>
      <c r="F14" s="80">
        <f>IF($BJ13&gt;0,IF(INDEX('Final Calculation Sheet'!$A$4:$A$40,$BJ13-3)="","",INDEX('Final Calculation Sheet'!$A$4:$A$40,$BJ13-3)),IF(OR($BI13=1,$BL13=1,$BH13&gt;0),IF($BI13=1,SUM('Final Calculation Sheet'!$A$4:$A$40),IF($BL13=1,SUM('Final Calculation Sheet'!$A$4:$A$40)-SUMIFS('Final Calculation Sheet'!$A$4:$A$40,$AZ$5:$AZ$41,10),SUMIFS('Final Calculation Sheet'!$A$4:$A$40,$AZ$5:$AZ$41,$BH13))),""))</f>
        <v>1</v>
      </c>
      <c r="G14" s="80" t="str">
        <f>IF($BJ13&gt;0,IF(INDEX('Final Calculation Sheet'!$E$4:$E$40,$BJ13-3)="","",INDEX('Final Calculation Sheet'!$E$4:$E$40,$BJ13-3)),IF(OR($BI13=1,$BL13=1,$BH13&gt;0),"–",""))</f>
        <v>NO</v>
      </c>
      <c r="H14" s="70">
        <f>IF($BJ13&gt;0,IF(INDEX('Final Calculation Sheet'!$C$4:$C$40,$BJ13-3)="","",INDEX('Final Calculation Sheet'!$C$4:$C$40,$BJ13-3)),IF(OR($BI13=1,$BL13=1,$BH13&gt;0),"–",""))</f>
        <v>70006</v>
      </c>
      <c r="I14" s="70">
        <f>IF($BJ13&gt;0,IF(INDEX('Final Calculation Sheet'!$H$4:$H$40,$BJ13-3)="","",INDEX('Final Calculation Sheet'!$H$4:$H$40,$BJ13-3)),IF(OR($BI13=1,$BL13=1,$BH13&gt;0),IF($BI13=1,SUM('Final Calculation Sheet'!$H$4:$H$40),IF($BL13=1,SUM('Final Calculation Sheet'!$H$4:$H$40)-SUMIFS('Final Calculation Sheet'!$H$4:$H$40,$AZ$5:$AZ$41,10),SUMIFS('Final Calculation Sheet'!$H$4:$H$40,$AZ$5:$AZ$41,$BH13))),""))</f>
        <v>70006</v>
      </c>
      <c r="J14" s="70">
        <f>IF($BJ13&gt;0,IF(INDEX('Final Calculation Sheet'!$I$4:$I$40,$BJ13-3)="","",INDEX('Final Calculation Sheet'!$I$4:$I$40,$BJ13-3)),IF(OR($BI13=1,$BL13=1,$BH13&gt;0),IF($BI13=1,SUM('Final Calculation Sheet'!$I$4:$I$40),IF($BL13=1,SUM('Final Calculation Sheet'!$I$4:$I$40)-SUMIFS('Final Calculation Sheet'!$I$4:$I$40,$AZ$5:$AZ$41,10),SUMIFS('Final Calculation Sheet'!$I$4:$I$40,$AZ$5:$AZ$41,$BH13))),""))</f>
        <v>12601</v>
      </c>
      <c r="K14" s="70">
        <f>IF($BJ13&gt;0,IF(INDEX('Final Calculation Sheet'!$J$4:$J$40,$BJ13-3)="","",INDEX('Final Calculation Sheet'!$J$4:$J$40,$BJ13-3)),IF(OR($BI13=1,$BL13=1,$BH13&gt;0),IF($BI13=1,SUM('Final Calculation Sheet'!$J$4:$J$40),IF($BL13=1,SUM('Final Calculation Sheet'!$J$4:$J$40)-SUMIFS('Final Calculation Sheet'!$J$4:$J$40,$AZ$5:$AZ$41,10),SUMIFS('Final Calculation Sheet'!$J$4:$J$40,$AZ$5:$AZ$41,$BH13))),""))</f>
        <v>82607</v>
      </c>
      <c r="L14" s="70">
        <f>IF($BJ13&gt;0,IF(INDEX('Final Calculation Sheet'!$K$4:$K$40,$BJ13-3)="","",INDEX('Final Calculation Sheet'!$K$4:$K$40,$BJ13-3)),IF(OR($BI13=1,$BL13=1,$BH13&gt;0),IF($BI13=1,SUM('Final Calculation Sheet'!$K$4:$K$40),IF($BL13=1,SUM('Final Calculation Sheet'!$K$4:$K$40)-SUMIFS('Final Calculation Sheet'!$K$4:$K$40,$AZ$5:$AZ$41,10),SUMIFS('Final Calculation Sheet'!$K$4:$K$40,$AZ$5:$AZ$41,$BH13))),""))</f>
        <v>1652</v>
      </c>
      <c r="M14" s="70">
        <f>IF($BJ13&gt;0,IF(INDEX('Final Calculation Sheet'!$L$4:$L$40,$BJ13-3)="","",INDEX('Final Calculation Sheet'!$L$4:$L$40,$BJ13-3)),IF(OR($BI13=1,$BL13=1,$BH13&gt;0),IF($BI13=1,SUM('Final Calculation Sheet'!$L$4:$L$40),IF($BL13=1,SUM('Final Calculation Sheet'!$L$4:$L$40)-SUMIFS('Final Calculation Sheet'!$L$4:$L$40,$AZ$5:$AZ$41,10),SUMIFS('Final Calculation Sheet'!$L$4:$L$40,$AZ$5:$AZ$41,$BH13))),""))</f>
        <v>70.006</v>
      </c>
      <c r="N14" s="70">
        <f>IF($BJ13&gt;0,IF(INDEX('Final Calculation Sheet'!$M$4:$M$40,$BJ13-3)="","",INDEX('Final Calculation Sheet'!$M$4:$M$40,$BJ13-3)),IF(OR($BI13=1,$BL13=1,$BH13&gt;0),IF($BI13=1,SUM('Final Calculation Sheet'!$M$4:$M$40),IF($BL13=1,SUM('Final Calculation Sheet'!$M$4:$M$40)-SUMIFS('Final Calculation Sheet'!$M$4:$M$40,$AZ$5:$AZ$41,10),SUMIFS('Final Calculation Sheet'!$M$4:$M$40,$AZ$5:$AZ$41,$BH13))),""))</f>
        <v>1858.6592999999998</v>
      </c>
      <c r="O14" s="71">
        <f>IF($BJ13&gt;0,IF(INDEX('Final Calculation Sheet'!$N$4:$N$40,$BJ13-3)="","",INDEX('Final Calculation Sheet'!$N$4:$N$40,$BJ13-3)),IF(OR($BI13=1,$BL13=1,$BH13&gt;0),IF($BI13=1,SUM('Final Calculation Sheet'!$N$4:$N$40),IF($BL13=1,SUM('Final Calculation Sheet'!$N$4:$N$40)-SUMIFS('Final Calculation Sheet'!$N$4:$N$40,$AZ$5:$AZ$41,10),SUMIFS('Final Calculation Sheet'!$N$4:$N$40,$AZ$5:$AZ$41,$BH13))),""))</f>
        <v>31.502700000000001</v>
      </c>
      <c r="P14" s="70">
        <f>IF($BJ13&gt;0,IF(INDEX('Final Calculation Sheet'!$O$4:$O$40,$BJ13-3)="","",INDEX('Final Calculation Sheet'!$O$4:$O$40,$BJ13-3)),IF(OR($BI13=1,$BL13=1,$BH13&gt;0),IF($BI13=1,SUM('Final Calculation Sheet'!$O$4:$O$40),IF($BL13=1,SUM('Final Calculation Sheet'!$O$4:$O$40)-SUMIFS('Final Calculation Sheet'!$O$4:$O$40,$AZ$5:$AZ$41,10),SUMIFS('Final Calculation Sheet'!$O$4:$O$40,$AZ$5:$AZ$41,$BH13))),""))</f>
        <v>1827.1565999999998</v>
      </c>
      <c r="Q14" s="70">
        <f>IF($BJ13&gt;0,IF(INDEX('Final Calculation Sheet'!$P$4:$P$40,$BJ13-3)="","",INDEX('Final Calculation Sheet'!$P$4:$P$40,$BJ13-3)),IF(OR($BI13=1,$BL13=1,$BH13&gt;0),IF($BI13=1,SUM('Final Calculation Sheet'!$P$4:$P$40),IF($BL13=1,SUM('Final Calculation Sheet'!$P$4:$P$40)-SUMIFS('Final Calculation Sheet'!$P$4:$P$40,$AZ$5:$AZ$41,10),SUMIFS('Final Calculation Sheet'!$P$4:$P$40,$AZ$5:$AZ$41,$BH13))),""))</f>
        <v>1897</v>
      </c>
      <c r="R14" s="72">
        <f>IF($BJ13&gt;0,IF(INDEX('Final Calculation Sheet'!$Q$4:$Q$40,$BJ13-3)="","",INDEX('Final Calculation Sheet'!$Q$4:$Q$40,$BJ13-3)),IF(OR($BI13=1,$BL13=1,$BH13&gt;0),"–",""))</f>
        <v>0</v>
      </c>
      <c r="S14" s="70">
        <f>IF($BJ13&gt;0,IF(INDEX('Final Calculation Sheet'!$R$4:$R$40,$BJ13-3)="","",INDEX('Final Calculation Sheet'!$R$4:$R$40,$BJ13-3)),IF(OR($BI13=1,$BL13=1,$BH13&gt;0),IF($BI13=1,SUM('Final Calculation Sheet'!$R$4:$R$40),IF($BL13=1,SUM('Final Calculation Sheet'!$R$4:$R$40)-SUMIFS('Final Calculation Sheet'!$R$4:$R$40,$AZ$5:$AZ$41,10),SUMIFS('Final Calculation Sheet'!$R$4:$R$40,$AZ$5:$AZ$41,$BH13))),""))</f>
        <v>0</v>
      </c>
      <c r="T14" s="70">
        <f>IF($BJ13&gt;0,IF(INDEX('Final Calculation Sheet'!$S$4:$S$40,$BJ13-3)="","",INDEX('Final Calculation Sheet'!$S$4:$S$40,$BJ13-3)),IF(OR($BI13=1,$BL13=1,$BH13&gt;0),IF($BI13=1,SUM('Final Calculation Sheet'!$S$4:$S$40),IF($BL13=1,SUM('Final Calculation Sheet'!$S$4:$S$40)-SUMIFS('Final Calculation Sheet'!$S$4:$S$40,$AZ$5:$AZ$41,10),SUMIFS('Final Calculation Sheet'!$S$4:$S$40,$AZ$5:$AZ$41,$BH13))),""))</f>
        <v>82362</v>
      </c>
      <c r="U14" s="70">
        <f>IF($BJ13&gt;0,IF(INDEX('Final Calculation Sheet'!$T$4:$T$40,$BJ13-3)="","",INDEX('Final Calculation Sheet'!$T$4:$T$40,$BJ13-3)),IF(OR($BI13=1,$BL13=1,$BH13&gt;0),IF($BI13=1,SUM('Final Calculation Sheet'!$T$4:$T$40),IF($BL13=1,SUM('Final Calculation Sheet'!$T$4:$T$40)-SUMIFS('Final Calculation Sheet'!$T$4:$T$40,$AZ$5:$AZ$41,10),SUMIFS('Final Calculation Sheet'!$T$4:$T$40,$AZ$5:$AZ$41,$BH13))),""))</f>
        <v>17502</v>
      </c>
      <c r="V14" s="73">
        <f>IF($BJ13&gt;0,IF(INDEX('Final Calculation Sheet'!$U$4:$U$40,$BJ13-3)="","",INDEX('Final Calculation Sheet'!$U$4:$U$40,$BJ13-3)),IF(OR($BI13=1,$BL13=1,$BH13&gt;0),IF($BI13=1,SUM('Final Calculation Sheet'!$U$4:$U$40),IF($BL13=1,SUM('Final Calculation Sheet'!$U$4:$U$40)-SUMIFS('Final Calculation Sheet'!$U$4:$U$40,$AZ$5:$AZ$41,10),SUMIFS('Final Calculation Sheet'!$U$4:$U$40,$AZ$5:$AZ$41,$BH13))),""))</f>
        <v>17502</v>
      </c>
      <c r="W14" s="70" t="str">
        <f>IF($BJ13&gt;0,IF(INDEX('Final Calculation Sheet'!$V$4:$V$40,$BJ13-3)="","",INDEX('Final Calculation Sheet'!$V$4:$V$40,$BJ13-3)),IF(OR($BI13=1,$BL13=1,$BH13&gt;0),"–",""))</f>
        <v>13.08.2026</v>
      </c>
      <c r="X14" s="70">
        <f>IF($BJ13&gt;0,IF(INDEX('Final Calculation Sheet'!$W$4:$W$40,$BJ13-3)="","",INDEX('Final Calculation Sheet'!$W$4:$W$40,$BJ13-3)),IF(OR($BI13=1,$BL13=1,$BH13&gt;0),IF($BI13=1,SUM('Final Calculation Sheet'!$W$4:$W$40),IF($BL13=1,SUM('Final Calculation Sheet'!$W$4:$W$40)-SUMIFS('Final Calculation Sheet'!$W$4:$W$40,$AZ$5:$AZ$41,10),SUMIFS('Final Calculation Sheet'!$W$4:$W$40,$AZ$5:$AZ$41,$BH13))),""))</f>
        <v>64861</v>
      </c>
      <c r="Y14" s="70">
        <f>IF($BJ13&gt;0,IF(INDEX('Final Calculation Sheet'!$X$4:$X$40,$BJ13-3)="","",INDEX('Final Calculation Sheet'!$X$4:$X$40,$BJ13-3)),IF(OR($BI13=1,$BL13=1,$BH13&gt;0),IF($BI13=1,SUM('Final Calculation Sheet'!$X$4:$X$40),IF($BL13=1,SUM('Final Calculation Sheet'!$X$4:$X$40)-SUMIFS('Final Calculation Sheet'!$X$4:$X$40,$AZ$5:$AZ$41,10),SUMIFS('Final Calculation Sheet'!$X$4:$X$40,$AZ$5:$AZ$41,$BH13))),""))</f>
        <v>64859</v>
      </c>
      <c r="Z14" s="70" t="str">
        <f>IF($BJ13&gt;0,IF(INDEX('Final Calculation Sheet'!$Y$4:$Y$40,$BJ13-3)="","",INDEX('Final Calculation Sheet'!$Y$4:$Y$40,$BJ13-3)),IF(OR($BI13=1,$BL13=1,$BH13&gt;0),"–",""))</f>
        <v>24.08.2026</v>
      </c>
      <c r="AA14" s="70">
        <f>IF($BJ13&gt;0,IF(INDEX('Final Calculation Sheet'!$Z$4:$Z$40,$BJ13-3)="","",INDEX('Final Calculation Sheet'!$Z$4:$Z$40,$BJ13-3)),IF(OR($BI13=1,$BL13=1,$BH13&gt;0),IF($BI13=1,SUM('Final Calculation Sheet'!$Z$4:$Z$40),IF($BL13=1,SUM('Final Calculation Sheet'!$Z$4:$Z$40)-SUMIFS('Final Calculation Sheet'!$Z$4:$Z$40,$AZ$5:$AZ$41,10),SUMIFS('Final Calculation Sheet'!$Z$4:$Z$40,$AZ$5:$AZ$41,$BH13))),""))</f>
        <v>0</v>
      </c>
      <c r="AB14" s="70" t="str">
        <f>IF($BJ13&gt;0,IF(INDEX('Final Calculation Sheet'!$AA$4:$AA$40,$BJ13-3)="","",INDEX('Final Calculation Sheet'!$AA$4:$AA$40,$BJ13-3)),IF(OR($BI13=1,$BL13=1,$BH13&gt;0),IF($BI13=1,SUM('Final Calculation Sheet'!$AA$4:$AA$40),IF($BL13=1,SUM('Final Calculation Sheet'!$AA$4:$AA$40)-SUMIFS('Final Calculation Sheet'!$AA$4:$AA$40,$AZ$5:$AZ$41,10),SUMIFS('Final Calculation Sheet'!$AA$4:$AA$40,$AZ$5:$AZ$41,$BH13))),""))</f>
        <v/>
      </c>
      <c r="AC14" s="70" t="str">
        <f>IF($BJ13&gt;0,IF(INDEX('Final Calculation Sheet'!$AB$4:$AB$40,$BJ13-3)="","",INDEX('Final Calculation Sheet'!$AB$4:$AB$40,$BJ13-3)),IF(OR($BI13=1,$BL13=1,$BH13&gt;0),"–",""))</f>
        <v/>
      </c>
      <c r="AD14" s="70">
        <f>IF($BJ13&gt;0,IF(INDEX('Final Calculation Sheet'!$AC$4:$AC$40,$BJ13-3)="","",INDEX('Final Calculation Sheet'!$AC$4:$AC$40,$BJ13-3)),IF(OR($BI13=1,$BL13=1,$BH13&gt;0),IF($BI13=1,SUM('Final Calculation Sheet'!$AC$4:$AC$40),IF($BL13=1,SUM('Final Calculation Sheet'!$AC$4:$AC$40)-SUMIFS('Final Calculation Sheet'!$AC$4:$AC$40,$AZ$5:$AZ$41,10),SUMIFS('Final Calculation Sheet'!$AC$4:$AC$40,$AZ$5:$AZ$41,$BH13))),""))</f>
        <v>82361</v>
      </c>
      <c r="AE14" s="70">
        <f>IF($BJ13&gt;0,IF(INDEX('Final Calculation Sheet'!$AD$4:$AD$40,$BJ13-3)="","",INDEX('Final Calculation Sheet'!$AD$4:$AD$40,$BJ13-3)),IF(OR($BI13=1,$BL13=1,$BH13&gt;0),IF($BI13=1,SUM('Final Calculation Sheet'!$AD$4:$AD$40),IF($BL13=1,SUM('Final Calculation Sheet'!$AD$4:$AD$40)-SUMIFS('Final Calculation Sheet'!$AD$4:$AD$40,$AZ$5:$AZ$41,10),SUMIFS('Final Calculation Sheet'!$AD$4:$AD$40,$AZ$5:$AZ$41,$BH13))),""))</f>
        <v>1</v>
      </c>
      <c r="AF14" s="70" t="str">
        <f>IF($BJ13&gt;0,IF(INDEX('Final Calculation Sheet'!$AE$4:$AE$40,$BJ13-3)="","",INDEX('Final Calculation Sheet'!$AE$4:$AE$40,$BJ13-3)),IF(OR($BI13=1,$BL13=1,$BH13&gt;0),"–",""))</f>
        <v>DR2640100033</v>
      </c>
      <c r="AG14" s="74">
        <f>IF($BJ13&gt;0,IF(INDEX('Final Calculation Sheet'!$AF$4:$AF$40,$BJ13-3)="","",INDEX('Final Calculation Sheet'!$AF$4:$AF$40,$BJ13-3)),IF(OR($BI13=1,$BL13=1,$BH13&gt;0),"–",""))</f>
        <v>1800003305</v>
      </c>
      <c r="AH14" s="70" t="str">
        <f>IF($BJ13&gt;0,IF(INDEX('Final Calculation Sheet'!$AG$4:$AG$40,$BJ13-3)="","",INDEX('Final Calculation Sheet'!$AG$4:$AG$40,$BJ13-3)),IF(OR($BI13=1,$BL13=1,$BH13&gt;0),"–",""))</f>
        <v>27.08.2026</v>
      </c>
      <c r="AI14" s="75" t="str">
        <f>IF($BJ13&gt;0,IF(INDEX('Final Calculation Sheet'!$AD$4:$AD$40,$BJ13-3)="","",IF(INDEX('Final Calculation Sheet'!$AD$4:$AD$40,$BJ13-3)&lt;=5,"SETTLED","OUTSTANDING")),IF(OR($BI13=1,$BL13=1,$BH13&gt;0),IF(IF($BI13=1,SUM('Final Calculation Sheet'!$AD$4:$AD$40),IF($BL13=1,SUM('Final Calculation Sheet'!$AD$4:$AD$40)-SUMIFS('Final Calculation Sheet'!$AD$4:$AD$40,$AZ$5:$AZ$41,10),SUMIFS('Final Calculation Sheet'!$AD$4:$AD$40,$AZ$5:$AZ$41,$BH13)))&lt;=5,"ALL SETTLED","OUTSTANDING"),""))</f>
        <v>SETTLED</v>
      </c>
      <c r="AK14" t="str">
        <f>IF($F$3="Lot No.",'Final Calculation Sheet'!$F$13,IF($F$3="Buyer",'Final Calculation Sheet'!$G$13,IF($F$3="Lot Name",'Final Calculation Sheet'!$B$13,IF($F$3="Bid Sheet",'Final Calculation Sheet'!$D$13,IF($F$3="Unit",'Final Calculation Sheet'!$E$13,'Final Calculation Sheet'!$F$13&amp;" "&amp;'Final Calculation Sheet'!$G$13&amp;" "&amp;'Final Calculation Sheet'!$B$13)))))</f>
        <v>2006 STERLING ENTERPRISES Scrap of empty oil drums</v>
      </c>
      <c r="AL14">
        <f>AL13+IF($B$3="",0,--(SUMPRODUCT(--($AR$6:$AY$6&lt;&gt;""),--ISNUMBER(SEARCH($AR$6:$AY$6,$AK14)))&gt;0))</f>
        <v>0</v>
      </c>
      <c r="AM14">
        <f>IF(COUNTIF($BM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1</v>
      </c>
      <c r="AZ14">
        <f>IF($B$3="",IF(COUNTIF($A$4:$AI$4,"&lt;&gt;")=0,9,IF($AM14=1,9,10)),IF($AM14=0,10,IF(AND($AR$6&lt;&gt;"",ISNUMBER(SEARCH($AR$6,$AK14))),1,IF(AND($AS$6&lt;&gt;"",ISNUMBER(SEARCH($AS$6,$AK14))),2,IF(AND($AT$6&lt;&gt;"",ISNUMBER(SEARCH($AT$6,$AK14))),3,IF(AND($AU$6&lt;&gt;"",ISNUMBER(SEARCH($AU$6,$AK14))),4,IF(AND($AV$6&lt;&gt;"",ISNUMBER(SEARCH($AV$6,$AK14))),5,IF(AND($AW$6&lt;&gt;"",ISNUMBER(SEARCH($AW$6,$AK14))),6,IF(AND($AX$6&lt;&gt;"",ISNUMBER(SEARCH($AX$6,$AK14))),7,IF(AND($AY$6&lt;&gt;"",ISNUMBER(SEARCH($AY$6,$AK14))),8,0))))))))))</f>
        <v>9</v>
      </c>
      <c r="BA14">
        <f>SUMPRODUCT(($AZ$5:$AZ$41=$AZ14)*($BC$5:$BC$41&lt;$BC14))+1</f>
        <v>10</v>
      </c>
      <c r="BB14">
        <f>IF(INDEX($BF$4:$BF$13,$AZ14)=0,0,INDEX($BE$4:$BE$13,$AZ14)+$BA14-1)</f>
        <v>14</v>
      </c>
      <c r="BC14" t="n">
        <v>13</v>
      </c>
      <c r="BH14">
        <f>IFERROR(MATCH(14,$BF$4:$BF$13,0),0)</f>
        <v>0</v>
      </c>
      <c r="BI14">
        <f>IF(14=$BG$5,1,0)</f>
        <v>0</v>
      </c>
      <c r="BJ14">
        <f>IF(OR($BH14&gt;0,$BI14=1,$BL14=1),0,IFERROR(INDEX($BC$5:$BC$41,MATCH(14,$BB$5:$BB$41,0)),0))</f>
        <v>13</v>
      </c>
      <c r="BK14">
        <f>IF($BJ14&gt;0,IF(INDEX($AZ$5:$AZ$41,MATCH(14,$BB$5:$BB$41,0))=10,1,0),IF($BH14=10,1,0))</f>
        <v>0</v>
      </c>
      <c r="BL14">
        <f>IF(14=$BG$4,1,0)</f>
        <v>0</v>
      </c>
      <c r="BM14">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1</v>
      </c>
      <c r="BN14">
        <f>IF($B$4="",1,--(OR(SUMPRODUCT(--(TRIM(MID(SUBSTITUTE(SUBSTITUTE($B$4,"/",","),",",REPT(" ",99)),(ROW($1:$8)-1)*99+1,99))&lt;&gt;""),--ISNUMBER(SEARCH(TRIM(MID(SUBSTITUTE(SUBSTITUTE($B$4,"/",","),",",REPT(" ",99)),(ROW($1:$8)-1)*99+1,99)),IFERROR(('Final Calculation Sheet'!$F$13)&amp;"",""))))&gt;0,AND(ISNUMBER(SEARCH("blank",$B$4)),NOT(ISNUMBER(SEARCH("nonblank",$B$4))),IFERROR(('Final Calculation Sheet'!$F$13)&amp;"","")=""),AND(OR(ISNUMBER(SEARCH("nonblank",$B$4)),ISNUMBER(SEARCH("&lt;&gt;",$B$4))),IFERROR(('Final Calculation Sheet'!$F$13)&amp;"","")&lt;&gt;""),AND(TRIM($B$4)="",IFERROR(('Final Calculation Sheet'!$F$13)&amp;"","")=""))))</f>
        <v>1</v>
      </c>
      <c r="BO14">
        <f>IF($C$4="",1,--(OR(SUMPRODUCT(--(TRIM(MID(SUBSTITUTE(SUBSTITUTE($C$4,"/",","),",",REPT(" ",99)),(ROW($1:$8)-1)*99+1,99))&lt;&gt;""),--ISNUMBER(SEARCH(TRIM(MID(SUBSTITUTE(SUBSTITUTE($C$4,"/",","),",",REPT(" ",99)),(ROW($1:$8)-1)*99+1,99)),IFERROR(('Final Calculation Sheet'!$G$13)&amp;"",""))))&gt;0,AND(ISNUMBER(SEARCH("blank",$C$4)),NOT(ISNUMBER(SEARCH("nonblank",$C$4))),IFERROR(('Final Calculation Sheet'!$G$13)&amp;"","")=""),AND(OR(ISNUMBER(SEARCH("nonblank",$C$4)),ISNUMBER(SEARCH("&lt;&gt;",$C$4))),IFERROR(('Final Calculation Sheet'!$G$13)&amp;"","")&lt;&gt;""),AND(TRIM($C$4)="",IFERROR(('Final Calculation Sheet'!$G$13)&amp;"","")=""))))</f>
        <v>1</v>
      </c>
      <c r="BP14">
        <f>IF($D$4="",1,--(OR(SUMPRODUCT(--(TRIM(MID(SUBSTITUTE(SUBSTITUTE($D$4,"/",","),",",REPT(" ",99)),(ROW($1:$8)-1)*99+1,99))&lt;&gt;""),--ISNUMBER(SEARCH(TRIM(MID(SUBSTITUTE(SUBSTITUTE($D$4,"/",","),",",REPT(" ",99)),(ROW($1:$8)-1)*99+1,99)),IFERROR(('Final Calculation Sheet'!$B$13)&amp;"",""))))&gt;0,AND(ISNUMBER(SEARCH("blank",$D$4)),NOT(ISNUMBER(SEARCH("nonblank",$D$4))),IFERROR(('Final Calculation Sheet'!$B$13)&amp;"","")=""),AND(OR(ISNUMBER(SEARCH("nonblank",$D$4)),ISNUMBER(SEARCH("&lt;&gt;",$D$4))),IFERROR(('Final Calculation Sheet'!$B$13)&amp;"","")&lt;&gt;""),AND(TRIM($D$4)="",IFERROR(('Final Calculation Sheet'!$B$13)&amp;"","")=""))))</f>
        <v>1</v>
      </c>
      <c r="BQ14">
        <f>IF($E$4="",1,--(OR(SUMPRODUCT(--(TRIM(MID(SUBSTITUTE(SUBSTITUTE($E$4,"/",","),",",REPT(" ",99)),(ROW($1:$8)-1)*99+1,99))&lt;&gt;""),--ISNUMBER(SEARCH(TRIM(MID(SUBSTITUTE(SUBSTITUTE($E$4,"/",","),",",REPT(" ",99)),(ROW($1:$8)-1)*99+1,99)),IFERROR(('Final Calculation Sheet'!$D$13)&amp;"",""))))&gt;0,AND(ISNUMBER(SEARCH("blank",$E$4)),NOT(ISNUMBER(SEARCH("nonblank",$E$4))),IFERROR(('Final Calculation Sheet'!$D$13)&amp;"","")=""),AND(OR(ISNUMBER(SEARCH("nonblank",$E$4)),ISNUMBER(SEARCH("&lt;&gt;",$E$4))),IFERROR(('Final Calculation Sheet'!$D$13)&amp;"","")&lt;&gt;""),AND(TRIM($E$4)="",IFERROR(('Final Calculation Sheet'!$D$13)&amp;"","")=""))))</f>
        <v>1</v>
      </c>
      <c r="BR14">
        <f>IF($F$4="",1,--(OR(SUMPRODUCT(--(TRIM(MID(SUBSTITUTE(SUBSTITUTE($F$4,"/",","),",",REPT(" ",99)),(ROW($1:$8)-1)*99+1,99))&lt;&gt;""),--ISNUMBER(SEARCH(TRIM(MID(SUBSTITUTE(SUBSTITUTE($F$4,"/",","),",",REPT(" ",99)),(ROW($1:$8)-1)*99+1,99)),IFERROR(('Final Calculation Sheet'!$A$13)&amp;"",""))))&gt;0,AND(ISNUMBER(SEARCH("blank",$F$4)),NOT(ISNUMBER(SEARCH("nonblank",$F$4))),IFERROR(('Final Calculation Sheet'!$A$13)&amp;"","")=""),AND(OR(ISNUMBER(SEARCH("nonblank",$F$4)),ISNUMBER(SEARCH("&lt;&gt;",$F$4))),IFERROR(('Final Calculation Sheet'!$A$13)&amp;"","")&lt;&gt;""),AND(TRIM($F$4)="",IFERROR(('Final Calculation Sheet'!$A$13)&amp;"","")=""))))</f>
        <v>1</v>
      </c>
      <c r="BS14">
        <f>IF($G$4="",1,--(OR(SUMPRODUCT(--(TRIM(MID(SUBSTITUTE(SUBSTITUTE($G$4,"/",","),",",REPT(" ",99)),(ROW($1:$8)-1)*99+1,99))&lt;&gt;""),--ISNUMBER(SEARCH(TRIM(MID(SUBSTITUTE(SUBSTITUTE($G$4,"/",","),",",REPT(" ",99)),(ROW($1:$8)-1)*99+1,99)),IFERROR(('Final Calculation Sheet'!$E$13)&amp;"",""))))&gt;0,AND(ISNUMBER(SEARCH("blank",$G$4)),NOT(ISNUMBER(SEARCH("nonblank",$G$4))),IFERROR(('Final Calculation Sheet'!$E$13)&amp;"","")=""),AND(OR(ISNUMBER(SEARCH("nonblank",$G$4)),ISNUMBER(SEARCH("&lt;&gt;",$G$4))),IFERROR(('Final Calculation Sheet'!$E$13)&amp;"","")&lt;&gt;""),AND(TRIM($G$4)="",IFERROR(('Final Calculation Sheet'!$E$13)&amp;"","")=""))))</f>
        <v>1</v>
      </c>
      <c r="BT14">
        <f>IF($H$4="",1,--(OR(SUMPRODUCT(--(TRIM(MID(SUBSTITUTE(SUBSTITUTE($H$4,"/",","),",",REPT(" ",99)),(ROW($1:$8)-1)*99+1,99))&lt;&gt;""),--ISNUMBER(SEARCH(TRIM(MID(SUBSTITUTE(SUBSTITUTE($H$4,"/",","),",",REPT(" ",99)),(ROW($1:$8)-1)*99+1,99)),IFERROR(('Final Calculation Sheet'!$C$13)&amp;"",""))))&gt;0,AND(ISNUMBER(SEARCH("blank",$H$4)),NOT(ISNUMBER(SEARCH("nonblank",$H$4))),IFERROR(('Final Calculation Sheet'!$C$13)&amp;"","")=""),AND(OR(ISNUMBER(SEARCH("nonblank",$H$4)),ISNUMBER(SEARCH("&lt;&gt;",$H$4))),IFERROR(('Final Calculation Sheet'!$C$13)&amp;"","")&lt;&gt;""),AND(TRIM($H$4)="",IFERROR(('Final Calculation Sheet'!$C$13)&amp;"","")=""))))</f>
        <v>1</v>
      </c>
      <c r="BU14">
        <f>IF($I$4="",1,--(OR(SUMPRODUCT(--(TRIM(MID(SUBSTITUTE(SUBSTITUTE($I$4,"/",","),",",REPT(" ",99)),(ROW($1:$8)-1)*99+1,99))&lt;&gt;""),--ISNUMBER(SEARCH(TRIM(MID(SUBSTITUTE(SUBSTITUTE($I$4,"/",","),",",REPT(" ",99)),(ROW($1:$8)-1)*99+1,99)),IFERROR(('Final Calculation Sheet'!$H$13)&amp;"",""))))&gt;0,AND(ISNUMBER(SEARCH("blank",$I$4)),NOT(ISNUMBER(SEARCH("nonblank",$I$4))),IFERROR(('Final Calculation Sheet'!$H$13)&amp;"","")=""),AND(OR(ISNUMBER(SEARCH("nonblank",$I$4)),ISNUMBER(SEARCH("&lt;&gt;",$I$4))),IFERROR(('Final Calculation Sheet'!$H$13)&amp;"","")&lt;&gt;""),AND(TRIM($I$4)="",IFERROR(('Final Calculation Sheet'!$H$13)&amp;"","")=""))))</f>
        <v>1</v>
      </c>
      <c r="BV14">
        <f>IF($J$4="",1,--(OR(SUMPRODUCT(--(TRIM(MID(SUBSTITUTE(SUBSTITUTE($J$4,"/",","),",",REPT(" ",99)),(ROW($1:$8)-1)*99+1,99))&lt;&gt;""),--ISNUMBER(SEARCH(TRIM(MID(SUBSTITUTE(SUBSTITUTE($J$4,"/",","),",",REPT(" ",99)),(ROW($1:$8)-1)*99+1,99)),IFERROR(('Final Calculation Sheet'!$I$13)&amp;"",""))))&gt;0,AND(ISNUMBER(SEARCH("blank",$J$4)),NOT(ISNUMBER(SEARCH("nonblank",$J$4))),IFERROR(('Final Calculation Sheet'!$I$13)&amp;"","")=""),AND(OR(ISNUMBER(SEARCH("nonblank",$J$4)),ISNUMBER(SEARCH("&lt;&gt;",$J$4))),IFERROR(('Final Calculation Sheet'!$I$13)&amp;"","")&lt;&gt;""),AND(TRIM($J$4)="",IFERROR(('Final Calculation Sheet'!$I$13)&amp;"","")=""))))</f>
        <v>1</v>
      </c>
      <c r="BW14">
        <f>IF($K$4="",1,--(OR(SUMPRODUCT(--(TRIM(MID(SUBSTITUTE(SUBSTITUTE($K$4,"/",","),",",REPT(" ",99)),(ROW($1:$8)-1)*99+1,99))&lt;&gt;""),--ISNUMBER(SEARCH(TRIM(MID(SUBSTITUTE(SUBSTITUTE($K$4,"/",","),",",REPT(" ",99)),(ROW($1:$8)-1)*99+1,99)),IFERROR(('Final Calculation Sheet'!$J$13)&amp;"",""))))&gt;0,AND(ISNUMBER(SEARCH("blank",$K$4)),NOT(ISNUMBER(SEARCH("nonblank",$K$4))),IFERROR(('Final Calculation Sheet'!$J$13)&amp;"","")=""),AND(OR(ISNUMBER(SEARCH("nonblank",$K$4)),ISNUMBER(SEARCH("&lt;&gt;",$K$4))),IFERROR(('Final Calculation Sheet'!$J$13)&amp;"","")&lt;&gt;""),AND(TRIM($K$4)="",IFERROR(('Final Calculation Sheet'!$J$13)&amp;"","")=""))))</f>
        <v>1</v>
      </c>
      <c r="BX14">
        <f>IF($L$4="",1,--(OR(SUMPRODUCT(--(TRIM(MID(SUBSTITUTE(SUBSTITUTE($L$4,"/",","),",",REPT(" ",99)),(ROW($1:$8)-1)*99+1,99))&lt;&gt;""),--ISNUMBER(SEARCH(TRIM(MID(SUBSTITUTE(SUBSTITUTE($L$4,"/",","),",",REPT(" ",99)),(ROW($1:$8)-1)*99+1,99)),IFERROR(('Final Calculation Sheet'!$K$13)&amp;"",""))))&gt;0,AND(ISNUMBER(SEARCH("blank",$L$4)),NOT(ISNUMBER(SEARCH("nonblank",$L$4))),IFERROR(('Final Calculation Sheet'!$K$13)&amp;"","")=""),AND(OR(ISNUMBER(SEARCH("nonblank",$L$4)),ISNUMBER(SEARCH("&lt;&gt;",$L$4))),IFERROR(('Final Calculation Sheet'!$K$13)&amp;"","")&lt;&gt;""),AND(TRIM($L$4)="",IFERROR(('Final Calculation Sheet'!$K$13)&amp;"","")=""))))</f>
        <v>1</v>
      </c>
      <c r="BY14">
        <f>IF($M$4="",1,--(OR(SUMPRODUCT(--(TRIM(MID(SUBSTITUTE(SUBSTITUTE($M$4,"/",","),",",REPT(" ",99)),(ROW($1:$8)-1)*99+1,99))&lt;&gt;""),--ISNUMBER(SEARCH(TRIM(MID(SUBSTITUTE(SUBSTITUTE($M$4,"/",","),",",REPT(" ",99)),(ROW($1:$8)-1)*99+1,99)),IFERROR(('Final Calculation Sheet'!$L$13)&amp;"",""))))&gt;0,AND(ISNUMBER(SEARCH("blank",$M$4)),NOT(ISNUMBER(SEARCH("nonblank",$M$4))),IFERROR(('Final Calculation Sheet'!$L$13)&amp;"","")=""),AND(OR(ISNUMBER(SEARCH("nonblank",$M$4)),ISNUMBER(SEARCH("&lt;&gt;",$M$4))),IFERROR(('Final Calculation Sheet'!$L$13)&amp;"","")&lt;&gt;""),AND(TRIM($M$4)="",IFERROR(('Final Calculation Sheet'!$L$13)&amp;"","")=""))))</f>
        <v>1</v>
      </c>
      <c r="BZ14">
        <f>IF($N$4="",1,--(OR(SUMPRODUCT(--(TRIM(MID(SUBSTITUTE(SUBSTITUTE($N$4,"/",","),",",REPT(" ",99)),(ROW($1:$8)-1)*99+1,99))&lt;&gt;""),--ISNUMBER(SEARCH(TRIM(MID(SUBSTITUTE(SUBSTITUTE($N$4,"/",","),",",REPT(" ",99)),(ROW($1:$8)-1)*99+1,99)),IFERROR(('Final Calculation Sheet'!$M$13)&amp;"",""))))&gt;0,AND(ISNUMBER(SEARCH("blank",$N$4)),NOT(ISNUMBER(SEARCH("nonblank",$N$4))),IFERROR(('Final Calculation Sheet'!$M$13)&amp;"","")=""),AND(OR(ISNUMBER(SEARCH("nonblank",$N$4)),ISNUMBER(SEARCH("&lt;&gt;",$N$4))),IFERROR(('Final Calculation Sheet'!$M$13)&amp;"","")&lt;&gt;""),AND(TRIM($N$4)="",IFERROR(('Final Calculation Sheet'!$M$13)&amp;"","")=""))))</f>
        <v>1</v>
      </c>
      <c r="CA14">
        <f>IF($O$4="",1,--(OR(SUMPRODUCT(--(TRIM(MID(SUBSTITUTE(SUBSTITUTE($O$4,"/",","),",",REPT(" ",99)),(ROW($1:$8)-1)*99+1,99))&lt;&gt;""),--ISNUMBER(SEARCH(TRIM(MID(SUBSTITUTE(SUBSTITUTE($O$4,"/",","),",",REPT(" ",99)),(ROW($1:$8)-1)*99+1,99)),IFERROR(('Final Calculation Sheet'!$N$13)&amp;"",""))))&gt;0,AND(ISNUMBER(SEARCH("blank",$O$4)),NOT(ISNUMBER(SEARCH("nonblank",$O$4))),IFERROR(('Final Calculation Sheet'!$N$13)&amp;"","")=""),AND(OR(ISNUMBER(SEARCH("nonblank",$O$4)),ISNUMBER(SEARCH("&lt;&gt;",$O$4))),IFERROR(('Final Calculation Sheet'!$N$13)&amp;"","")&lt;&gt;""),AND(TRIM($O$4)="",IFERROR(('Final Calculation Sheet'!$N$13)&amp;"","")=""))))</f>
        <v>1</v>
      </c>
      <c r="CB14">
        <f>IF($P$4="",1,--(OR(SUMPRODUCT(--(TRIM(MID(SUBSTITUTE(SUBSTITUTE($P$4,"/",","),",",REPT(" ",99)),(ROW($1:$8)-1)*99+1,99))&lt;&gt;""),--ISNUMBER(SEARCH(TRIM(MID(SUBSTITUTE(SUBSTITUTE($P$4,"/",","),",",REPT(" ",99)),(ROW($1:$8)-1)*99+1,99)),IFERROR(('Final Calculation Sheet'!$O$13)&amp;"",""))))&gt;0,AND(ISNUMBER(SEARCH("blank",$P$4)),NOT(ISNUMBER(SEARCH("nonblank",$P$4))),IFERROR(('Final Calculation Sheet'!$O$13)&amp;"","")=""),AND(OR(ISNUMBER(SEARCH("nonblank",$P$4)),ISNUMBER(SEARCH("&lt;&gt;",$P$4))),IFERROR(('Final Calculation Sheet'!$O$13)&amp;"","")&lt;&gt;""),AND(TRIM($P$4)="",IFERROR(('Final Calculation Sheet'!$O$13)&amp;"","")=""))))</f>
        <v>1</v>
      </c>
      <c r="CC14">
        <f>IF($Q$4="",1,--(OR(SUMPRODUCT(--(TRIM(MID(SUBSTITUTE(SUBSTITUTE($Q$4,"/",","),",",REPT(" ",99)),(ROW($1:$8)-1)*99+1,99))&lt;&gt;""),--ISNUMBER(SEARCH(TRIM(MID(SUBSTITUTE(SUBSTITUTE($Q$4,"/",","),",",REPT(" ",99)),(ROW($1:$8)-1)*99+1,99)),IFERROR(('Final Calculation Sheet'!$P$13)&amp;"",""))))&gt;0,AND(ISNUMBER(SEARCH("blank",$Q$4)),NOT(ISNUMBER(SEARCH("nonblank",$Q$4))),IFERROR(('Final Calculation Sheet'!$P$13)&amp;"","")=""),AND(OR(ISNUMBER(SEARCH("nonblank",$Q$4)),ISNUMBER(SEARCH("&lt;&gt;",$Q$4))),IFERROR(('Final Calculation Sheet'!$P$13)&amp;"","")&lt;&gt;""),AND(TRIM($Q$4)="",IFERROR(('Final Calculation Sheet'!$P$13)&amp;"","")=""))))</f>
        <v>1</v>
      </c>
      <c r="CD14">
        <f>IF($R$4="",1,--(OR(SUMPRODUCT(--(TRIM(MID(SUBSTITUTE(SUBSTITUTE($R$4,"/",","),",",REPT(" ",99)),(ROW($1:$8)-1)*99+1,99))&lt;&gt;""),--ISNUMBER(SEARCH(TRIM(MID(SUBSTITUTE(SUBSTITUTE($R$4,"/",","),",",REPT(" ",99)),(ROW($1:$8)-1)*99+1,99)),IFERROR(('Final Calculation Sheet'!$Q$13)&amp;"",""))))&gt;0,AND(ISNUMBER(SEARCH("blank",$R$4)),NOT(ISNUMBER(SEARCH("nonblank",$R$4))),IFERROR(('Final Calculation Sheet'!$Q$13)&amp;"","")=""),AND(OR(ISNUMBER(SEARCH("nonblank",$R$4)),ISNUMBER(SEARCH("&lt;&gt;",$R$4))),IFERROR(('Final Calculation Sheet'!$Q$13)&amp;"","")&lt;&gt;""),AND(TRIM($R$4)="",IFERROR(('Final Calculation Sheet'!$Q$13)&amp;"","")=""))))</f>
        <v>1</v>
      </c>
      <c r="CE14">
        <f>IF($S$4="",1,--(OR(SUMPRODUCT(--(TRIM(MID(SUBSTITUTE(SUBSTITUTE($S$4,"/",","),",",REPT(" ",99)),(ROW($1:$8)-1)*99+1,99))&lt;&gt;""),--ISNUMBER(SEARCH(TRIM(MID(SUBSTITUTE(SUBSTITUTE($S$4,"/",","),",",REPT(" ",99)),(ROW($1:$8)-1)*99+1,99)),IFERROR(('Final Calculation Sheet'!$R$13)&amp;"",""))))&gt;0,AND(ISNUMBER(SEARCH("blank",$S$4)),NOT(ISNUMBER(SEARCH("nonblank",$S$4))),IFERROR(('Final Calculation Sheet'!$R$13)&amp;"","")=""),AND(OR(ISNUMBER(SEARCH("nonblank",$S$4)),ISNUMBER(SEARCH("&lt;&gt;",$S$4))),IFERROR(('Final Calculation Sheet'!$R$13)&amp;"","")&lt;&gt;""),AND(TRIM($S$4)="",IFERROR(('Final Calculation Sheet'!$R$13)&amp;"","")=""))))</f>
        <v>1</v>
      </c>
      <c r="CF14">
        <f>IF($T$4="",1,--(OR(SUMPRODUCT(--(TRIM(MID(SUBSTITUTE(SUBSTITUTE($T$4,"/",","),",",REPT(" ",99)),(ROW($1:$8)-1)*99+1,99))&lt;&gt;""),--ISNUMBER(SEARCH(TRIM(MID(SUBSTITUTE(SUBSTITUTE($T$4,"/",","),",",REPT(" ",99)),(ROW($1:$8)-1)*99+1,99)),IFERROR(('Final Calculation Sheet'!$S$13)&amp;"",""))))&gt;0,AND(ISNUMBER(SEARCH("blank",$T$4)),NOT(ISNUMBER(SEARCH("nonblank",$T$4))),IFERROR(('Final Calculation Sheet'!$S$13)&amp;"","")=""),AND(OR(ISNUMBER(SEARCH("nonblank",$T$4)),ISNUMBER(SEARCH("&lt;&gt;",$T$4))),IFERROR(('Final Calculation Sheet'!$S$13)&amp;"","")&lt;&gt;""),AND(TRIM($T$4)="",IFERROR(('Final Calculation Sheet'!$S$13)&amp;"","")=""))))</f>
        <v>1</v>
      </c>
      <c r="CG14">
        <f>IF($U$4="",1,--(OR(SUMPRODUCT(--(TRIM(MID(SUBSTITUTE(SUBSTITUTE($U$4,"/",","),",",REPT(" ",99)),(ROW($1:$8)-1)*99+1,99))&lt;&gt;""),--ISNUMBER(SEARCH(TRIM(MID(SUBSTITUTE(SUBSTITUTE($U$4,"/",","),",",REPT(" ",99)),(ROW($1:$8)-1)*99+1,99)),IFERROR(('Final Calculation Sheet'!$T$13)&amp;"",""))))&gt;0,AND(ISNUMBER(SEARCH("blank",$U$4)),NOT(ISNUMBER(SEARCH("nonblank",$U$4))),IFERROR(('Final Calculation Sheet'!$T$13)&amp;"","")=""),AND(OR(ISNUMBER(SEARCH("nonblank",$U$4)),ISNUMBER(SEARCH("&lt;&gt;",$U$4))),IFERROR(('Final Calculation Sheet'!$T$13)&amp;"","")&lt;&gt;""),AND(TRIM($U$4)="",IFERROR(('Final Calculation Sheet'!$T$13)&amp;"","")=""))))</f>
        <v>1</v>
      </c>
      <c r="CH14">
        <f>IF($V$4="",1,--(OR(SUMPRODUCT(--(TRIM(MID(SUBSTITUTE(SUBSTITUTE($V$4,"/",","),",",REPT(" ",99)),(ROW($1:$8)-1)*99+1,99))&lt;&gt;""),--ISNUMBER(SEARCH(TRIM(MID(SUBSTITUTE(SUBSTITUTE($V$4,"/",","),",",REPT(" ",99)),(ROW($1:$8)-1)*99+1,99)),IFERROR(('Final Calculation Sheet'!$U$13)&amp;"",""))))&gt;0,AND(ISNUMBER(SEARCH("blank",$V$4)),NOT(ISNUMBER(SEARCH("nonblank",$V$4))),IFERROR(('Final Calculation Sheet'!$U$13)&amp;"","")=""),AND(OR(ISNUMBER(SEARCH("nonblank",$V$4)),ISNUMBER(SEARCH("&lt;&gt;",$V$4))),IFERROR(('Final Calculation Sheet'!$U$13)&amp;"","")&lt;&gt;""),AND(TRIM($V$4)="",IFERROR(('Final Calculation Sheet'!$U$13)&amp;"","")=""))))</f>
        <v>1</v>
      </c>
      <c r="CI14">
        <f>IF($W$4="",1,--(OR(SUMPRODUCT(--(TRIM(MID(SUBSTITUTE(SUBSTITUTE($W$4,"/",","),",",REPT(" ",99)),(ROW($1:$8)-1)*99+1,99))&lt;&gt;""),--ISNUMBER(SEARCH(TRIM(MID(SUBSTITUTE(SUBSTITUTE($W$4,"/",","),",",REPT(" ",99)),(ROW($1:$8)-1)*99+1,99)),IFERROR(('Final Calculation Sheet'!$V$13)&amp;"",""))))&gt;0,AND(ISNUMBER(SEARCH("blank",$W$4)),NOT(ISNUMBER(SEARCH("nonblank",$W$4))),IFERROR(('Final Calculation Sheet'!$V$13)&amp;"","")=""),AND(OR(ISNUMBER(SEARCH("nonblank",$W$4)),ISNUMBER(SEARCH("&lt;&gt;",$W$4))),IFERROR(('Final Calculation Sheet'!$V$13)&amp;"","")&lt;&gt;""),AND(TRIM($W$4)="",IFERROR(('Final Calculation Sheet'!$V$13)&amp;"","")=""))))</f>
        <v>1</v>
      </c>
      <c r="CJ14">
        <f>IF($X$4="",1,--(OR(SUMPRODUCT(--(TRIM(MID(SUBSTITUTE(SUBSTITUTE($X$4,"/",","),",",REPT(" ",99)),(ROW($1:$8)-1)*99+1,99))&lt;&gt;""),--ISNUMBER(SEARCH(TRIM(MID(SUBSTITUTE(SUBSTITUTE($X$4,"/",","),",",REPT(" ",99)),(ROW($1:$8)-1)*99+1,99)),IFERROR(('Final Calculation Sheet'!$W$13)&amp;"",""))))&gt;0,AND(ISNUMBER(SEARCH("blank",$X$4)),NOT(ISNUMBER(SEARCH("nonblank",$X$4))),IFERROR(('Final Calculation Sheet'!$W$13)&amp;"","")=""),AND(OR(ISNUMBER(SEARCH("nonblank",$X$4)),ISNUMBER(SEARCH("&lt;&gt;",$X$4))),IFERROR(('Final Calculation Sheet'!$W$13)&amp;"","")&lt;&gt;""),AND(TRIM($X$4)="",IFERROR(('Final Calculation Sheet'!$W$13)&amp;"","")=""))))</f>
        <v>1</v>
      </c>
      <c r="CK14">
        <f>IF($Y$4="",1,--(OR(SUMPRODUCT(--(TRIM(MID(SUBSTITUTE(SUBSTITUTE($Y$4,"/",","),",",REPT(" ",99)),(ROW($1:$8)-1)*99+1,99))&lt;&gt;""),--ISNUMBER(SEARCH(TRIM(MID(SUBSTITUTE(SUBSTITUTE($Y$4,"/",","),",",REPT(" ",99)),(ROW($1:$8)-1)*99+1,99)),IFERROR(('Final Calculation Sheet'!$X$13)&amp;"",""))))&gt;0,AND(ISNUMBER(SEARCH("blank",$Y$4)),NOT(ISNUMBER(SEARCH("nonblank",$Y$4))),IFERROR(('Final Calculation Sheet'!$X$13)&amp;"","")=""),AND(OR(ISNUMBER(SEARCH("nonblank",$Y$4)),ISNUMBER(SEARCH("&lt;&gt;",$Y$4))),IFERROR(('Final Calculation Sheet'!$X$13)&amp;"","")&lt;&gt;""),AND(TRIM($Y$4)="",IFERROR(('Final Calculation Sheet'!$X$13)&amp;"","")=""))))</f>
        <v>1</v>
      </c>
      <c r="CL14">
        <f>IF($Z$4="",1,--(OR(SUMPRODUCT(--(TRIM(MID(SUBSTITUTE(SUBSTITUTE($Z$4,"/",","),",",REPT(" ",99)),(ROW($1:$8)-1)*99+1,99))&lt;&gt;""),--ISNUMBER(SEARCH(TRIM(MID(SUBSTITUTE(SUBSTITUTE($Z$4,"/",","),",",REPT(" ",99)),(ROW($1:$8)-1)*99+1,99)),IFERROR(('Final Calculation Sheet'!$Y$13)&amp;"",""))))&gt;0,AND(ISNUMBER(SEARCH("blank",$Z$4)),NOT(ISNUMBER(SEARCH("nonblank",$Z$4))),IFERROR(('Final Calculation Sheet'!$Y$13)&amp;"","")=""),AND(OR(ISNUMBER(SEARCH("nonblank",$Z$4)),ISNUMBER(SEARCH("&lt;&gt;",$Z$4))),IFERROR(('Final Calculation Sheet'!$Y$13)&amp;"","")&lt;&gt;""),AND(TRIM($Z$4)="",IFERROR(('Final Calculation Sheet'!$Y$13)&amp;"","")=""))))</f>
        <v>1</v>
      </c>
      <c r="CM14">
        <f>IF($AA$4="",1,--(OR(SUMPRODUCT(--(TRIM(MID(SUBSTITUTE(SUBSTITUTE($AA$4,"/",","),",",REPT(" ",99)),(ROW($1:$8)-1)*99+1,99))&lt;&gt;""),--ISNUMBER(SEARCH(TRIM(MID(SUBSTITUTE(SUBSTITUTE($AA$4,"/",","),",",REPT(" ",99)),(ROW($1:$8)-1)*99+1,99)),IFERROR(('Final Calculation Sheet'!$Z$13)&amp;"",""))))&gt;0,AND(ISNUMBER(SEARCH("blank",$AA$4)),NOT(ISNUMBER(SEARCH("nonblank",$AA$4))),IFERROR(('Final Calculation Sheet'!$Z$13)&amp;"","")=""),AND(OR(ISNUMBER(SEARCH("nonblank",$AA$4)),ISNUMBER(SEARCH("&lt;&gt;",$AA$4))),IFERROR(('Final Calculation Sheet'!$Z$13)&amp;"","")&lt;&gt;""),AND(TRIM($AA$4)="",IFERROR(('Final Calculation Sheet'!$Z$13)&amp;"","")=""))))</f>
        <v>1</v>
      </c>
      <c r="CN14">
        <f>IF($AB$4="",1,--(OR(SUMPRODUCT(--(TRIM(MID(SUBSTITUTE(SUBSTITUTE($AB$4,"/",","),",",REPT(" ",99)),(ROW($1:$8)-1)*99+1,99))&lt;&gt;""),--ISNUMBER(SEARCH(TRIM(MID(SUBSTITUTE(SUBSTITUTE($AB$4,"/",","),",",REPT(" ",99)),(ROW($1:$8)-1)*99+1,99)),IFERROR(('Final Calculation Sheet'!$AA$13)&amp;"",""))))&gt;0,AND(ISNUMBER(SEARCH("blank",$AB$4)),NOT(ISNUMBER(SEARCH("nonblank",$AB$4))),IFERROR(('Final Calculation Sheet'!$AA$13)&amp;"","")=""),AND(OR(ISNUMBER(SEARCH("nonblank",$AB$4)),ISNUMBER(SEARCH("&lt;&gt;",$AB$4))),IFERROR(('Final Calculation Sheet'!$AA$13)&amp;"","")&lt;&gt;""),AND(TRIM($AB$4)="",IFERROR(('Final Calculation Sheet'!$AA$13)&amp;"","")=""))))</f>
        <v>1</v>
      </c>
      <c r="CO14">
        <f>IF($AC$4="",1,--(OR(SUMPRODUCT(--(TRIM(MID(SUBSTITUTE(SUBSTITUTE($AC$4,"/",","),",",REPT(" ",99)),(ROW($1:$8)-1)*99+1,99))&lt;&gt;""),--ISNUMBER(SEARCH(TRIM(MID(SUBSTITUTE(SUBSTITUTE($AC$4,"/",","),",",REPT(" ",99)),(ROW($1:$8)-1)*99+1,99)),IFERROR(('Final Calculation Sheet'!$AB$13)&amp;"",""))))&gt;0,AND(ISNUMBER(SEARCH("blank",$AC$4)),NOT(ISNUMBER(SEARCH("nonblank",$AC$4))),IFERROR(('Final Calculation Sheet'!$AB$13)&amp;"","")=""),AND(OR(ISNUMBER(SEARCH("nonblank",$AC$4)),ISNUMBER(SEARCH("&lt;&gt;",$AC$4))),IFERROR(('Final Calculation Sheet'!$AB$13)&amp;"","")&lt;&gt;""),AND(TRIM($AC$4)="",IFERROR(('Final Calculation Sheet'!$AB$13)&amp;"","")=""))))</f>
        <v>1</v>
      </c>
      <c r="CP14">
        <f>IF($AD$4="",1,--(OR(SUMPRODUCT(--(TRIM(MID(SUBSTITUTE(SUBSTITUTE($AD$4,"/",","),",",REPT(" ",99)),(ROW($1:$8)-1)*99+1,99))&lt;&gt;""),--ISNUMBER(SEARCH(TRIM(MID(SUBSTITUTE(SUBSTITUTE($AD$4,"/",","),",",REPT(" ",99)),(ROW($1:$8)-1)*99+1,99)),IFERROR(('Final Calculation Sheet'!$AC$13)&amp;"",""))))&gt;0,AND(ISNUMBER(SEARCH("blank",$AD$4)),NOT(ISNUMBER(SEARCH("nonblank",$AD$4))),IFERROR(('Final Calculation Sheet'!$AC$13)&amp;"","")=""),AND(OR(ISNUMBER(SEARCH("nonblank",$AD$4)),ISNUMBER(SEARCH("&lt;&gt;",$AD$4))),IFERROR(('Final Calculation Sheet'!$AC$13)&amp;"","")&lt;&gt;""),AND(TRIM($AD$4)="",IFERROR(('Final Calculation Sheet'!$AC$13)&amp;"","")=""))))</f>
        <v>1</v>
      </c>
      <c r="CQ14">
        <f>IF($AE$4="",1,--(OR(SUMPRODUCT(--(TRIM(MID(SUBSTITUTE(SUBSTITUTE($AE$4,"/",","),",",REPT(" ",99)),(ROW($1:$8)-1)*99+1,99))&lt;&gt;""),--ISNUMBER(SEARCH(TRIM(MID(SUBSTITUTE(SUBSTITUTE($AE$4,"/",","),",",REPT(" ",99)),(ROW($1:$8)-1)*99+1,99)),IFERROR(('Final Calculation Sheet'!$AD$13)&amp;"",""))))&gt;0,AND(ISNUMBER(SEARCH("blank",$AE$4)),NOT(ISNUMBER(SEARCH("nonblank",$AE$4))),IFERROR(('Final Calculation Sheet'!$AD$13)&amp;"","")=""),AND(OR(ISNUMBER(SEARCH("nonblank",$AE$4)),ISNUMBER(SEARCH("&lt;&gt;",$AE$4))),IFERROR(('Final Calculation Sheet'!$AD$13)&amp;"","")&lt;&gt;""),AND(TRIM($AE$4)="",IFERROR(('Final Calculation Sheet'!$AD$13)&amp;"","")=""))))</f>
        <v>1</v>
      </c>
      <c r="CR14">
        <f>IF($AF$4="",1,--(OR(SUMPRODUCT(--(TRIM(MID(SUBSTITUTE(SUBSTITUTE($AF$4,"/",","),",",REPT(" ",99)),(ROW($1:$8)-1)*99+1,99))&lt;&gt;""),--ISNUMBER(SEARCH(TRIM(MID(SUBSTITUTE(SUBSTITUTE($AF$4,"/",","),",",REPT(" ",99)),(ROW($1:$8)-1)*99+1,99)),IFERROR(('Final Calculation Sheet'!$AE$13)&amp;"",""))))&gt;0,AND(ISNUMBER(SEARCH("blank",$AF$4)),NOT(ISNUMBER(SEARCH("nonblank",$AF$4))),IFERROR(('Final Calculation Sheet'!$AE$13)&amp;"","")=""),AND(OR(ISNUMBER(SEARCH("nonblank",$AF$4)),ISNUMBER(SEARCH("&lt;&gt;",$AF$4))),IFERROR(('Final Calculation Sheet'!$AE$13)&amp;"","")&lt;&gt;""),AND(TRIM($AF$4)="",IFERROR(('Final Calculation Sheet'!$AE$13)&amp;"","")=""))))</f>
        <v>1</v>
      </c>
      <c r="CS14">
        <f>IF($AG$4="",1,--(OR(SUMPRODUCT(--(TRIM(MID(SUBSTITUTE(SUBSTITUTE($AG$4,"/",","),",",REPT(" ",99)),(ROW($1:$8)-1)*99+1,99))&lt;&gt;""),--ISNUMBER(SEARCH(TRIM(MID(SUBSTITUTE(SUBSTITUTE($AG$4,"/",","),",",REPT(" ",99)),(ROW($1:$8)-1)*99+1,99)),IFERROR(('Final Calculation Sheet'!$AF$13)&amp;"",""))))&gt;0,AND(ISNUMBER(SEARCH("blank",$AG$4)),NOT(ISNUMBER(SEARCH("nonblank",$AG$4))),IFERROR(('Final Calculation Sheet'!$AF$13)&amp;"","")=""),AND(OR(ISNUMBER(SEARCH("nonblank",$AG$4)),ISNUMBER(SEARCH("&lt;&gt;",$AG$4))),IFERROR(('Final Calculation Sheet'!$AF$13)&amp;"","")&lt;&gt;""),AND(TRIM($AG$4)="",IFERROR(('Final Calculation Sheet'!$AF$13)&amp;"","")=""))))</f>
        <v>1</v>
      </c>
      <c r="CT14">
        <f>IF($AH$4="",1,--(OR(SUMPRODUCT(--(TRIM(MID(SUBSTITUTE(SUBSTITUTE($AH$4,"/",","),",",REPT(" ",99)),(ROW($1:$8)-1)*99+1,99))&lt;&gt;""),--ISNUMBER(SEARCH(TRIM(MID(SUBSTITUTE(SUBSTITUTE($AH$4,"/",","),",",REPT(" ",99)),(ROW($1:$8)-1)*99+1,99)),IFERROR(('Final Calculation Sheet'!$AG$13)&amp;"",""))))&gt;0,AND(ISNUMBER(SEARCH("blank",$AH$4)),NOT(ISNUMBER(SEARCH("nonblank",$AH$4))),IFERROR(('Final Calculation Sheet'!$AG$13)&amp;"","")=""),AND(OR(ISNUMBER(SEARCH("nonblank",$AH$4)),ISNUMBER(SEARCH("&lt;&gt;",$AH$4))),IFERROR(('Final Calculation Sheet'!$AG$13)&amp;"","")&lt;&gt;""),AND(TRIM($AH$4)="",IFERROR(('Final Calculation Sheet'!$AG$13)&amp;"","")=""))))</f>
        <v>1</v>
      </c>
      <c r="CU14">
        <f>IF($AI$4="",1,--(OR(SUMPRODUCT(--(TRIM(MID(SUBSTITUTE(SUBSTITUTE($AI$4,"/",","),",",REPT(" ",99)),(ROW($1:$8)-1)*99+1,99))&lt;&gt;""),--ISNUMBER(SEARCH(TRIM(MID(SUBSTITUTE(SUBSTITUTE($AI$4,"/",","),",",REPT(" ",99)),(ROW($1:$8)-1)*99+1,99)),IFERROR((IF('Final Calculation Sheet'!$AD$13&lt;=5,"SETTLED","OUTSTANDING"))&amp;"",""))))&gt;0,AND(ISNUMBER(SEARCH("blank",$AI$4)),NOT(ISNUMBER(SEARCH("nonblank",$AI$4))),IFERROR((IF('Final Calculation Sheet'!$AD$13&lt;=5,"SETTLED","OUTSTANDING"))&amp;"","")=""),AND(OR(ISNUMBER(SEARCH("nonblank",$AI$4)),ISNUMBER(SEARCH("&lt;&gt;",$AI$4))),IFERROR((IF('Final Calculation Sheet'!$AD$13&lt;=5,"SETTLED","OUTSTANDING"))&amp;"","")&lt;&gt;""),AND(TRIM($AI$4)="",IFERROR((IF('Final Calculation Sheet'!$AD$13&lt;=5,"SETTLED","OUTSTANDING"))&amp;"","")=""))))</f>
        <v>1</v>
      </c>
    </row>
    <row r="15" ht="15" customHeight="1" s="137">
      <c r="A15" s="67">
        <f>IF($BJ14&gt;0,INDEX($BA$5:$BA$41,MATCH(14,$BB$5:$BB$41,0)),IF(OR($BI14=1,$BL14=1,$BH14&gt;0),"∑",""))</f>
        <v>10</v>
      </c>
      <c r="B15" s="76">
        <f>IF($BJ14&gt;0,IF(INDEX('Final Calculation Sheet'!$F$4:$F$40,$BJ14-3)="","",INDEX('Final Calculation Sheet'!$F$4:$F$40,$BJ14-3)),"")</f>
        <v>2006</v>
      </c>
      <c r="C15" s="76" t="str">
        <f>IF($BJ14&gt;0,IF(INDEX('Final Calculation Sheet'!$G$4:$G$40,$BJ14-3)="","",INDEX('Final Calculation Sheet'!$G$4:$G$40,$BJ14-3)),IF(OR($BI14=1,$BL14=1,$BH14&gt;0),IF($BI14=1,37,IF($BL14=1,37-INDEX($BD$4:$BD$13,10),INDEX($BD$4:$BD$13,$BH14)))&amp;" lot(s)",""))</f>
        <v>STERLING ENTERPRISES</v>
      </c>
      <c r="D15" s="80" t="str">
        <f>IF($BJ14&gt;0,IF(INDEX('Final Calculation Sheet'!$B$4:$B$40,$BJ14-3)="","",INDEX('Final Calculation Sheet'!$B$4:$B$40,$BJ14-3)),IF(OR($BI14=1,$BL14=1,$BH14&gt;0),IF($BI14=1,"GRAND TOTAL  —  matching + remaining",IF($BL14=1,"TOTAL MATCHED  —  every group together",IF($BH14=10,"REMAINING  —  did not match the search",IF($BH14=9,IF(COUNTIF($A$4:$AI$4,"&lt;&gt;")&gt;0,"FILTERED LOTS  —  column fields","ALL LOTS  —  nothing typed in the box"),"GROUP "&amp;$BH14&amp;" TOTAL  —  lots matching  "&amp;INDEX($AR$6:$AY$6,$BH14))))),""))</f>
        <v>Scrap of empty oil drums</v>
      </c>
      <c r="E15" s="80">
        <f>IF($BJ14&gt;0,IF(INDEX('Final Calculation Sheet'!$D$4:$D$40,$BJ14-3)="","",INDEX('Final Calculation Sheet'!$D$4:$D$40,$BJ14-3)),IF(OR($BI14=1,$BL14=1,$BH14&gt;0),"–",""))</f>
        <v>21977</v>
      </c>
      <c r="F15" s="80">
        <f>IF($BJ14&gt;0,IF(INDEX('Final Calculation Sheet'!$A$4:$A$40,$BJ14-3)="","",INDEX('Final Calculation Sheet'!$A$4:$A$40,$BJ14-3)),IF(OR($BI14=1,$BL14=1,$BH14&gt;0),IF($BI14=1,SUM('Final Calculation Sheet'!$A$4:$A$40),IF($BL14=1,SUM('Final Calculation Sheet'!$A$4:$A$40)-SUMIFS('Final Calculation Sheet'!$A$4:$A$40,$AZ$5:$AZ$41,10),SUMIFS('Final Calculation Sheet'!$A$4:$A$40,$AZ$5:$AZ$41,$BH14))),""))</f>
        <v>25</v>
      </c>
      <c r="G15" s="80" t="str">
        <f>IF($BJ14&gt;0,IF(INDEX('Final Calculation Sheet'!$E$4:$E$40,$BJ14-3)="","",INDEX('Final Calculation Sheet'!$E$4:$E$40,$BJ14-3)),IF(OR($BI14=1,$BL14=1,$BH14&gt;0),"–",""))</f>
        <v>NO</v>
      </c>
      <c r="H15" s="70">
        <f>IF($BJ14&gt;0,IF(INDEX('Final Calculation Sheet'!$C$4:$C$40,$BJ14-3)="","",INDEX('Final Calculation Sheet'!$C$4:$C$40,$BJ14-3)),IF(OR($BI14=1,$BL14=1,$BH14&gt;0),"–",""))</f>
        <v>700</v>
      </c>
      <c r="I15" s="70">
        <f>IF($BJ14&gt;0,IF(INDEX('Final Calculation Sheet'!$H$4:$H$40,$BJ14-3)="","",INDEX('Final Calculation Sheet'!$H$4:$H$40,$BJ14-3)),IF(OR($BI14=1,$BL14=1,$BH14&gt;0),IF($BI14=1,SUM('Final Calculation Sheet'!$H$4:$H$40),IF($BL14=1,SUM('Final Calculation Sheet'!$H$4:$H$40)-SUMIFS('Final Calculation Sheet'!$H$4:$H$40,$AZ$5:$AZ$41,10),SUMIFS('Final Calculation Sheet'!$H$4:$H$40,$AZ$5:$AZ$41,$BH14))),""))</f>
        <v>17500</v>
      </c>
      <c r="J15" s="70">
        <f>IF($BJ14&gt;0,IF(INDEX('Final Calculation Sheet'!$I$4:$I$40,$BJ14-3)="","",INDEX('Final Calculation Sheet'!$I$4:$I$40,$BJ14-3)),IF(OR($BI14=1,$BL14=1,$BH14&gt;0),IF($BI14=1,SUM('Final Calculation Sheet'!$I$4:$I$40),IF($BL14=1,SUM('Final Calculation Sheet'!$I$4:$I$40)-SUMIFS('Final Calculation Sheet'!$I$4:$I$40,$AZ$5:$AZ$41,10),SUMIFS('Final Calculation Sheet'!$I$4:$I$40,$AZ$5:$AZ$41,$BH14))),""))</f>
        <v>3150</v>
      </c>
      <c r="K15" s="70">
        <f>IF($BJ14&gt;0,IF(INDEX('Final Calculation Sheet'!$J$4:$J$40,$BJ14-3)="","",INDEX('Final Calculation Sheet'!$J$4:$J$40,$BJ14-3)),IF(OR($BI14=1,$BL14=1,$BH14&gt;0),IF($BI14=1,SUM('Final Calculation Sheet'!$J$4:$J$40),IF($BL14=1,SUM('Final Calculation Sheet'!$J$4:$J$40)-SUMIFS('Final Calculation Sheet'!$J$4:$J$40,$AZ$5:$AZ$41,10),SUMIFS('Final Calculation Sheet'!$J$4:$J$40,$AZ$5:$AZ$41,$BH14))),""))</f>
        <v>20650</v>
      </c>
      <c r="L15" s="70">
        <f>IF($BJ14&gt;0,IF(INDEX('Final Calculation Sheet'!$K$4:$K$40,$BJ14-3)="","",INDEX('Final Calculation Sheet'!$K$4:$K$40,$BJ14-3)),IF(OR($BI14=1,$BL14=1,$BH14&gt;0),IF($BI14=1,SUM('Final Calculation Sheet'!$K$4:$K$40),IF($BL14=1,SUM('Final Calculation Sheet'!$K$4:$K$40)-SUMIFS('Final Calculation Sheet'!$K$4:$K$40,$AZ$5:$AZ$41,10),SUMIFS('Final Calculation Sheet'!$K$4:$K$40,$AZ$5:$AZ$41,$BH14))),""))</f>
        <v>413</v>
      </c>
      <c r="M15" s="70">
        <f>IF($BJ14&gt;0,IF(INDEX('Final Calculation Sheet'!$L$4:$L$40,$BJ14-3)="","",INDEX('Final Calculation Sheet'!$L$4:$L$40,$BJ14-3)),IF(OR($BI14=1,$BL14=1,$BH14&gt;0),IF($BI14=1,SUM('Final Calculation Sheet'!$L$4:$L$40),IF($BL14=1,SUM('Final Calculation Sheet'!$L$4:$L$40)-SUMIFS('Final Calculation Sheet'!$L$4:$L$40,$AZ$5:$AZ$41,10),SUMIFS('Final Calculation Sheet'!$L$4:$L$40,$AZ$5:$AZ$41,$BH14))),""))</f>
        <v>17.5</v>
      </c>
      <c r="N15" s="70">
        <f>IF($BJ14&gt;0,IF(INDEX('Final Calculation Sheet'!$M$4:$M$40,$BJ14-3)="","",INDEX('Final Calculation Sheet'!$M$4:$M$40,$BJ14-3)),IF(OR($BI14=1,$BL14=1,$BH14&gt;0),IF($BI14=1,SUM('Final Calculation Sheet'!$M$4:$M$40),IF($BL14=1,SUM('Final Calculation Sheet'!$M$4:$M$40)-SUMIFS('Final Calculation Sheet'!$M$4:$M$40,$AZ$5:$AZ$41,10),SUMIFS('Final Calculation Sheet'!$M$4:$M$40,$AZ$5:$AZ$41,$BH14))),""))</f>
        <v>464.625</v>
      </c>
      <c r="O15" s="71">
        <f>IF($BJ14&gt;0,IF(INDEX('Final Calculation Sheet'!$N$4:$N$40,$BJ14-3)="","",INDEX('Final Calculation Sheet'!$N$4:$N$40,$BJ14-3)),IF(OR($BI14=1,$BL14=1,$BH14&gt;0),IF($BI14=1,SUM('Final Calculation Sheet'!$N$4:$N$40),IF($BL14=1,SUM('Final Calculation Sheet'!$N$4:$N$40)-SUMIFS('Final Calculation Sheet'!$N$4:$N$40,$AZ$5:$AZ$41,10),SUMIFS('Final Calculation Sheet'!$N$4:$N$40,$AZ$5:$AZ$41,$BH14))),""))</f>
        <v>7.875</v>
      </c>
      <c r="P15" s="70">
        <f>IF($BJ14&gt;0,IF(INDEX('Final Calculation Sheet'!$O$4:$O$40,$BJ14-3)="","",INDEX('Final Calculation Sheet'!$O$4:$O$40,$BJ14-3)),IF(OR($BI14=1,$BL14=1,$BH14&gt;0),IF($BI14=1,SUM('Final Calculation Sheet'!$O$4:$O$40),IF($BL14=1,SUM('Final Calculation Sheet'!$O$4:$O$40)-SUMIFS('Final Calculation Sheet'!$O$4:$O$40,$AZ$5:$AZ$41,10),SUMIFS('Final Calculation Sheet'!$O$4:$O$40,$AZ$5:$AZ$41,$BH14))),""))</f>
        <v>456.75</v>
      </c>
      <c r="Q15" s="70">
        <f>IF($BJ14&gt;0,IF(INDEX('Final Calculation Sheet'!$P$4:$P$40,$BJ14-3)="","",INDEX('Final Calculation Sheet'!$P$4:$P$40,$BJ14-3)),IF(OR($BI14=1,$BL14=1,$BH14&gt;0),IF($BI14=1,SUM('Final Calculation Sheet'!$P$4:$P$40),IF($BL14=1,SUM('Final Calculation Sheet'!$P$4:$P$40)-SUMIFS('Final Calculation Sheet'!$P$4:$P$40,$AZ$5:$AZ$41,10),SUMIFS('Final Calculation Sheet'!$P$4:$P$40,$AZ$5:$AZ$41,$BH14))),""))</f>
        <v>474</v>
      </c>
      <c r="R15" s="72">
        <f>IF($BJ14&gt;0,IF(INDEX('Final Calculation Sheet'!$Q$4:$Q$40,$BJ14-3)="","",INDEX('Final Calculation Sheet'!$Q$4:$Q$40,$BJ14-3)),IF(OR($BI14=1,$BL14=1,$BH14&gt;0),"–",""))</f>
        <v>0</v>
      </c>
      <c r="S15" s="70">
        <f>IF($BJ14&gt;0,IF(INDEX('Final Calculation Sheet'!$R$4:$R$40,$BJ14-3)="","",INDEX('Final Calculation Sheet'!$R$4:$R$40,$BJ14-3)),IF(OR($BI14=1,$BL14=1,$BH14&gt;0),IF($BI14=1,SUM('Final Calculation Sheet'!$R$4:$R$40),IF($BL14=1,SUM('Final Calculation Sheet'!$R$4:$R$40)-SUMIFS('Final Calculation Sheet'!$R$4:$R$40,$AZ$5:$AZ$41,10),SUMIFS('Final Calculation Sheet'!$R$4:$R$40,$AZ$5:$AZ$41,$BH14))),""))</f>
        <v>0</v>
      </c>
      <c r="T15" s="70">
        <f>IF($BJ14&gt;0,IF(INDEX('Final Calculation Sheet'!$S$4:$S$40,$BJ14-3)="","",INDEX('Final Calculation Sheet'!$S$4:$S$40,$BJ14-3)),IF(OR($BI14=1,$BL14=1,$BH14&gt;0),IF($BI14=1,SUM('Final Calculation Sheet'!$S$4:$S$40),IF($BL14=1,SUM('Final Calculation Sheet'!$S$4:$S$40)-SUMIFS('Final Calculation Sheet'!$S$4:$S$40,$AZ$5:$AZ$41,10),SUMIFS('Final Calculation Sheet'!$S$4:$S$40,$AZ$5:$AZ$41,$BH14))),""))</f>
        <v>20589</v>
      </c>
      <c r="U15" s="70">
        <f>IF($BJ14&gt;0,IF(INDEX('Final Calculation Sheet'!$T$4:$T$40,$BJ14-3)="","",INDEX('Final Calculation Sheet'!$T$4:$T$40,$BJ14-3)),IF(OR($BI14=1,$BL14=1,$BH14&gt;0),IF($BI14=1,SUM('Final Calculation Sheet'!$T$4:$T$40),IF($BL14=1,SUM('Final Calculation Sheet'!$T$4:$T$40)-SUMIFS('Final Calculation Sheet'!$T$4:$T$40,$AZ$5:$AZ$41,10),SUMIFS('Final Calculation Sheet'!$T$4:$T$40,$AZ$5:$AZ$41,$BH14))),""))</f>
        <v>4375</v>
      </c>
      <c r="V15" s="73">
        <f>IF($BJ14&gt;0,IF(INDEX('Final Calculation Sheet'!$U$4:$U$40,$BJ14-3)="","",INDEX('Final Calculation Sheet'!$U$4:$U$40,$BJ14-3)),IF(OR($BI14=1,$BL14=1,$BH14&gt;0),IF($BI14=1,SUM('Final Calculation Sheet'!$U$4:$U$40),IF($BL14=1,SUM('Final Calculation Sheet'!$U$4:$U$40)-SUMIFS('Final Calculation Sheet'!$U$4:$U$40,$AZ$5:$AZ$41,10),SUMIFS('Final Calculation Sheet'!$U$4:$U$40,$AZ$5:$AZ$41,$BH14))),""))</f>
        <v>4375</v>
      </c>
      <c r="W15" s="70" t="str">
        <f>IF($BJ14&gt;0,IF(INDEX('Final Calculation Sheet'!$V$4:$V$40,$BJ14-3)="","",INDEX('Final Calculation Sheet'!$V$4:$V$40,$BJ14-3)),IF(OR($BI14=1,$BL14=1,$BH14&gt;0),"–",""))</f>
        <v>11.08.2026</v>
      </c>
      <c r="X15" s="70">
        <f>IF($BJ14&gt;0,IF(INDEX('Final Calculation Sheet'!$W$4:$W$40,$BJ14-3)="","",INDEX('Final Calculation Sheet'!$W$4:$W$40,$BJ14-3)),IF(OR($BI14=1,$BL14=1,$BH14&gt;0),IF($BI14=1,SUM('Final Calculation Sheet'!$W$4:$W$40),IF($BL14=1,SUM('Final Calculation Sheet'!$W$4:$W$40)-SUMIFS('Final Calculation Sheet'!$W$4:$W$40,$AZ$5:$AZ$41,10),SUMIFS('Final Calculation Sheet'!$W$4:$W$40,$AZ$5:$AZ$41,$BH14))),""))</f>
        <v>16214</v>
      </c>
      <c r="Y15" s="70">
        <f>IF($BJ14&gt;0,IF(INDEX('Final Calculation Sheet'!$X$4:$X$40,$BJ14-3)="","",INDEX('Final Calculation Sheet'!$X$4:$X$40,$BJ14-3)),IF(OR($BI14=1,$BL14=1,$BH14&gt;0),IF($BI14=1,SUM('Final Calculation Sheet'!$X$4:$X$40),IF($BL14=1,SUM('Final Calculation Sheet'!$X$4:$X$40)-SUMIFS('Final Calculation Sheet'!$X$4:$X$40,$AZ$5:$AZ$41,10),SUMIFS('Final Calculation Sheet'!$X$4:$X$40,$AZ$5:$AZ$41,$BH14))),""))</f>
        <v>16214</v>
      </c>
      <c r="Z15" s="70" t="str">
        <f>IF($BJ14&gt;0,IF(INDEX('Final Calculation Sheet'!$Y$4:$Y$40,$BJ14-3)="","",INDEX('Final Calculation Sheet'!$Y$4:$Y$40,$BJ14-3)),IF(OR($BI14=1,$BL14=1,$BH14&gt;0),"–",""))</f>
        <v>11.08.2026</v>
      </c>
      <c r="AA15" s="70">
        <f>IF($BJ14&gt;0,IF(INDEX('Final Calculation Sheet'!$Z$4:$Z$40,$BJ14-3)="","",INDEX('Final Calculation Sheet'!$Z$4:$Z$40,$BJ14-3)),IF(OR($BI14=1,$BL14=1,$BH14&gt;0),IF($BI14=1,SUM('Final Calculation Sheet'!$Z$4:$Z$40),IF($BL14=1,SUM('Final Calculation Sheet'!$Z$4:$Z$40)-SUMIFS('Final Calculation Sheet'!$Z$4:$Z$40,$AZ$5:$AZ$41,10),SUMIFS('Final Calculation Sheet'!$Z$4:$Z$40,$AZ$5:$AZ$41,$BH14))),""))</f>
        <v>0</v>
      </c>
      <c r="AB15" s="70" t="str">
        <f>IF($BJ14&gt;0,IF(INDEX('Final Calculation Sheet'!$AA$4:$AA$40,$BJ14-3)="","",INDEX('Final Calculation Sheet'!$AA$4:$AA$40,$BJ14-3)),IF(OR($BI14=1,$BL14=1,$BH14&gt;0),IF($BI14=1,SUM('Final Calculation Sheet'!$AA$4:$AA$40),IF($BL14=1,SUM('Final Calculation Sheet'!$AA$4:$AA$40)-SUMIFS('Final Calculation Sheet'!$AA$4:$AA$40,$AZ$5:$AZ$41,10),SUMIFS('Final Calculation Sheet'!$AA$4:$AA$40,$AZ$5:$AZ$41,$BH14))),""))</f>
        <v/>
      </c>
      <c r="AC15" s="70" t="str">
        <f>IF($BJ14&gt;0,IF(INDEX('Final Calculation Sheet'!$AB$4:$AB$40,$BJ14-3)="","",INDEX('Final Calculation Sheet'!$AB$4:$AB$40,$BJ14-3)),IF(OR($BI14=1,$BL14=1,$BH14&gt;0),"–",""))</f>
        <v/>
      </c>
      <c r="AD15" s="70">
        <f>IF($BJ14&gt;0,IF(INDEX('Final Calculation Sheet'!$AC$4:$AC$40,$BJ14-3)="","",INDEX('Final Calculation Sheet'!$AC$4:$AC$40,$BJ14-3)),IF(OR($BI14=1,$BL14=1,$BH14&gt;0),IF($BI14=1,SUM('Final Calculation Sheet'!$AC$4:$AC$40),IF($BL14=1,SUM('Final Calculation Sheet'!$AC$4:$AC$40)-SUMIFS('Final Calculation Sheet'!$AC$4:$AC$40,$AZ$5:$AZ$41,10),SUMIFS('Final Calculation Sheet'!$AC$4:$AC$40,$AZ$5:$AZ$41,$BH14))),""))</f>
        <v>20589</v>
      </c>
      <c r="AE15" s="70">
        <f>IF($BJ14&gt;0,IF(INDEX('Final Calculation Sheet'!$AD$4:$AD$40,$BJ14-3)="","",INDEX('Final Calculation Sheet'!$AD$4:$AD$40,$BJ14-3)),IF(OR($BI14=1,$BL14=1,$BH14&gt;0),IF($BI14=1,SUM('Final Calculation Sheet'!$AD$4:$AD$40),IF($BL14=1,SUM('Final Calculation Sheet'!$AD$4:$AD$40)-SUMIFS('Final Calculation Sheet'!$AD$4:$AD$40,$AZ$5:$AZ$41,10),SUMIFS('Final Calculation Sheet'!$AD$4:$AD$40,$AZ$5:$AZ$41,$BH14))),""))</f>
        <v>0</v>
      </c>
      <c r="AF15" s="70" t="str">
        <f>IF($BJ14&gt;0,IF(INDEX('Final Calculation Sheet'!$AE$4:$AE$40,$BJ14-3)="","",INDEX('Final Calculation Sheet'!$AE$4:$AE$40,$BJ14-3)),IF(OR($BI14=1,$BL14=1,$BH14&gt;0),"–",""))</f>
        <v>DR2640100018</v>
      </c>
      <c r="AG15" s="74">
        <f>IF($BJ14&gt;0,IF(INDEX('Final Calculation Sheet'!$AF$4:$AF$40,$BJ14-3)="","",INDEX('Final Calculation Sheet'!$AF$4:$AF$40,$BJ14-3)),IF(OR($BI14=1,$BL14=1,$BH14&gt;0),"–",""))</f>
        <v>1800003156</v>
      </c>
      <c r="AH15" s="70" t="str">
        <f>IF($BJ14&gt;0,IF(INDEX('Final Calculation Sheet'!$AG$4:$AG$40,$BJ14-3)="","",INDEX('Final Calculation Sheet'!$AG$4:$AG$40,$BJ14-3)),IF(OR($BI14=1,$BL14=1,$BH14&gt;0),"–",""))</f>
        <v>14.08.2026</v>
      </c>
      <c r="AI15" s="75" t="str">
        <f>IF($BJ14&gt;0,IF(INDEX('Final Calculation Sheet'!$AD$4:$AD$40,$BJ14-3)="","",IF(INDEX('Final Calculation Sheet'!$AD$4:$AD$40,$BJ14-3)&lt;=5,"SETTLED","OUTSTANDING")),IF(OR($BI14=1,$BL14=1,$BH14&gt;0),IF(IF($BI14=1,SUM('Final Calculation Sheet'!$AD$4:$AD$40),IF($BL14=1,SUM('Final Calculation Sheet'!$AD$4:$AD$40)-SUMIFS('Final Calculation Sheet'!$AD$4:$AD$40,$AZ$5:$AZ$41,10),SUMIFS('Final Calculation Sheet'!$AD$4:$AD$40,$AZ$5:$AZ$41,$BH14)))&lt;=5,"ALL SETTLED","OUTSTANDING"),""))</f>
        <v>SETTLED</v>
      </c>
      <c r="AK15" t="str">
        <f>IF($F$3="Lot No.",'Final Calculation Sheet'!$F$14,IF($F$3="Buyer",'Final Calculation Sheet'!$G$14,IF($F$3="Lot Name",'Final Calculation Sheet'!$B$14,IF($F$3="Bid Sheet",'Final Calculation Sheet'!$D$14,IF($F$3="Unit",'Final Calculation Sheet'!$E$14,'Final Calculation Sheet'!$F$14&amp;" "&amp;'Final Calculation Sheet'!$G$14&amp;" "&amp;'Final Calculation Sheet'!$B$14)))))</f>
        <v>2007 SHAR JAHAN TRADERS SCRAP POWER TRANSFORMER</v>
      </c>
      <c r="AL15">
        <f>AL14+IF($B$3="",0,--(SUMPRODUCT(--($AR$6:$AY$6&lt;&gt;""),--ISNUMBER(SEARCH($AR$6:$AY$6,$AK15)))&gt;0))</f>
        <v>0</v>
      </c>
      <c r="AM15">
        <f>IF(COUNTIF($BM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1</v>
      </c>
      <c r="AZ15">
        <f>IF($B$3="",IF(COUNTIF($A$4:$AI$4,"&lt;&gt;")=0,9,IF($AM15=1,9,10)),IF($AM15=0,10,IF(AND($AR$6&lt;&gt;"",ISNUMBER(SEARCH($AR$6,$AK15))),1,IF(AND($AS$6&lt;&gt;"",ISNUMBER(SEARCH($AS$6,$AK15))),2,IF(AND($AT$6&lt;&gt;"",ISNUMBER(SEARCH($AT$6,$AK15))),3,IF(AND($AU$6&lt;&gt;"",ISNUMBER(SEARCH($AU$6,$AK15))),4,IF(AND($AV$6&lt;&gt;"",ISNUMBER(SEARCH($AV$6,$AK15))),5,IF(AND($AW$6&lt;&gt;"",ISNUMBER(SEARCH($AW$6,$AK15))),6,IF(AND($AX$6&lt;&gt;"",ISNUMBER(SEARCH($AX$6,$AK15))),7,IF(AND($AY$6&lt;&gt;"",ISNUMBER(SEARCH($AY$6,$AK15))),8,0))))))))))</f>
        <v>9</v>
      </c>
      <c r="BA15">
        <f>SUMPRODUCT(($AZ$5:$AZ$41=$AZ15)*($BC$5:$BC$41&lt;$BC15))+1</f>
        <v>11</v>
      </c>
      <c r="BB15">
        <f>IF(INDEX($BF$4:$BF$13,$AZ15)=0,0,INDEX($BE$4:$BE$13,$AZ15)+$BA15-1)</f>
        <v>15</v>
      </c>
      <c r="BC15" t="n">
        <v>14</v>
      </c>
      <c r="BH15">
        <f>IFERROR(MATCH(15,$BF$4:$BF$13,0),0)</f>
        <v>0</v>
      </c>
      <c r="BI15">
        <f>IF(15=$BG$5,1,0)</f>
        <v>0</v>
      </c>
      <c r="BJ15">
        <f>IF(OR($BH15&gt;0,$BI15=1,$BL15=1),0,IFERROR(INDEX($BC$5:$BC$41,MATCH(15,$BB$5:$BB$41,0)),0))</f>
        <v>14</v>
      </c>
      <c r="BK15">
        <f>IF($BJ15&gt;0,IF(INDEX($AZ$5:$AZ$41,MATCH(15,$BB$5:$BB$41,0))=10,1,0),IF($BH15=10,1,0))</f>
        <v>0</v>
      </c>
      <c r="BL15">
        <f>IF(15=$BG$4,1,0)</f>
        <v>0</v>
      </c>
      <c r="BM15">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1</v>
      </c>
      <c r="BN15">
        <f>IF($B$4="",1,--(OR(SUMPRODUCT(--(TRIM(MID(SUBSTITUTE(SUBSTITUTE($B$4,"/",","),",",REPT(" ",99)),(ROW($1:$8)-1)*99+1,99))&lt;&gt;""),--ISNUMBER(SEARCH(TRIM(MID(SUBSTITUTE(SUBSTITUTE($B$4,"/",","),",",REPT(" ",99)),(ROW($1:$8)-1)*99+1,99)),IFERROR(('Final Calculation Sheet'!$F$14)&amp;"",""))))&gt;0,AND(ISNUMBER(SEARCH("blank",$B$4)),NOT(ISNUMBER(SEARCH("nonblank",$B$4))),IFERROR(('Final Calculation Sheet'!$F$14)&amp;"","")=""),AND(OR(ISNUMBER(SEARCH("nonblank",$B$4)),ISNUMBER(SEARCH("&lt;&gt;",$B$4))),IFERROR(('Final Calculation Sheet'!$F$14)&amp;"","")&lt;&gt;""),AND(TRIM($B$4)="",IFERROR(('Final Calculation Sheet'!$F$14)&amp;"","")=""))))</f>
        <v>1</v>
      </c>
      <c r="BO15">
        <f>IF($C$4="",1,--(OR(SUMPRODUCT(--(TRIM(MID(SUBSTITUTE(SUBSTITUTE($C$4,"/",","),",",REPT(" ",99)),(ROW($1:$8)-1)*99+1,99))&lt;&gt;""),--ISNUMBER(SEARCH(TRIM(MID(SUBSTITUTE(SUBSTITUTE($C$4,"/",","),",",REPT(" ",99)),(ROW($1:$8)-1)*99+1,99)),IFERROR(('Final Calculation Sheet'!$G$14)&amp;"",""))))&gt;0,AND(ISNUMBER(SEARCH("blank",$C$4)),NOT(ISNUMBER(SEARCH("nonblank",$C$4))),IFERROR(('Final Calculation Sheet'!$G$14)&amp;"","")=""),AND(OR(ISNUMBER(SEARCH("nonblank",$C$4)),ISNUMBER(SEARCH("&lt;&gt;",$C$4))),IFERROR(('Final Calculation Sheet'!$G$14)&amp;"","")&lt;&gt;""),AND(TRIM($C$4)="",IFERROR(('Final Calculation Sheet'!$G$14)&amp;"","")=""))))</f>
        <v>1</v>
      </c>
      <c r="BP15">
        <f>IF($D$4="",1,--(OR(SUMPRODUCT(--(TRIM(MID(SUBSTITUTE(SUBSTITUTE($D$4,"/",","),",",REPT(" ",99)),(ROW($1:$8)-1)*99+1,99))&lt;&gt;""),--ISNUMBER(SEARCH(TRIM(MID(SUBSTITUTE(SUBSTITUTE($D$4,"/",","),",",REPT(" ",99)),(ROW($1:$8)-1)*99+1,99)),IFERROR(('Final Calculation Sheet'!$B$14)&amp;"",""))))&gt;0,AND(ISNUMBER(SEARCH("blank",$D$4)),NOT(ISNUMBER(SEARCH("nonblank",$D$4))),IFERROR(('Final Calculation Sheet'!$B$14)&amp;"","")=""),AND(OR(ISNUMBER(SEARCH("nonblank",$D$4)),ISNUMBER(SEARCH("&lt;&gt;",$D$4))),IFERROR(('Final Calculation Sheet'!$B$14)&amp;"","")&lt;&gt;""),AND(TRIM($D$4)="",IFERROR(('Final Calculation Sheet'!$B$14)&amp;"","")=""))))</f>
        <v>1</v>
      </c>
      <c r="BQ15">
        <f>IF($E$4="",1,--(OR(SUMPRODUCT(--(TRIM(MID(SUBSTITUTE(SUBSTITUTE($E$4,"/",","),",",REPT(" ",99)),(ROW($1:$8)-1)*99+1,99))&lt;&gt;""),--ISNUMBER(SEARCH(TRIM(MID(SUBSTITUTE(SUBSTITUTE($E$4,"/",","),",",REPT(" ",99)),(ROW($1:$8)-1)*99+1,99)),IFERROR(('Final Calculation Sheet'!$D$14)&amp;"",""))))&gt;0,AND(ISNUMBER(SEARCH("blank",$E$4)),NOT(ISNUMBER(SEARCH("nonblank",$E$4))),IFERROR(('Final Calculation Sheet'!$D$14)&amp;"","")=""),AND(OR(ISNUMBER(SEARCH("nonblank",$E$4)),ISNUMBER(SEARCH("&lt;&gt;",$E$4))),IFERROR(('Final Calculation Sheet'!$D$14)&amp;"","")&lt;&gt;""),AND(TRIM($E$4)="",IFERROR(('Final Calculation Sheet'!$D$14)&amp;"","")=""))))</f>
        <v>1</v>
      </c>
      <c r="BR15">
        <f>IF($F$4="",1,--(OR(SUMPRODUCT(--(TRIM(MID(SUBSTITUTE(SUBSTITUTE($F$4,"/",","),",",REPT(" ",99)),(ROW($1:$8)-1)*99+1,99))&lt;&gt;""),--ISNUMBER(SEARCH(TRIM(MID(SUBSTITUTE(SUBSTITUTE($F$4,"/",","),",",REPT(" ",99)),(ROW($1:$8)-1)*99+1,99)),IFERROR(('Final Calculation Sheet'!$A$14)&amp;"",""))))&gt;0,AND(ISNUMBER(SEARCH("blank",$F$4)),NOT(ISNUMBER(SEARCH("nonblank",$F$4))),IFERROR(('Final Calculation Sheet'!$A$14)&amp;"","")=""),AND(OR(ISNUMBER(SEARCH("nonblank",$F$4)),ISNUMBER(SEARCH("&lt;&gt;",$F$4))),IFERROR(('Final Calculation Sheet'!$A$14)&amp;"","")&lt;&gt;""),AND(TRIM($F$4)="",IFERROR(('Final Calculation Sheet'!$A$14)&amp;"","")=""))))</f>
        <v>1</v>
      </c>
      <c r="BS15">
        <f>IF($G$4="",1,--(OR(SUMPRODUCT(--(TRIM(MID(SUBSTITUTE(SUBSTITUTE($G$4,"/",","),",",REPT(" ",99)),(ROW($1:$8)-1)*99+1,99))&lt;&gt;""),--ISNUMBER(SEARCH(TRIM(MID(SUBSTITUTE(SUBSTITUTE($G$4,"/",","),",",REPT(" ",99)),(ROW($1:$8)-1)*99+1,99)),IFERROR(('Final Calculation Sheet'!$E$14)&amp;"",""))))&gt;0,AND(ISNUMBER(SEARCH("blank",$G$4)),NOT(ISNUMBER(SEARCH("nonblank",$G$4))),IFERROR(('Final Calculation Sheet'!$E$14)&amp;"","")=""),AND(OR(ISNUMBER(SEARCH("nonblank",$G$4)),ISNUMBER(SEARCH("&lt;&gt;",$G$4))),IFERROR(('Final Calculation Sheet'!$E$14)&amp;"","")&lt;&gt;""),AND(TRIM($G$4)="",IFERROR(('Final Calculation Sheet'!$E$14)&amp;"","")=""))))</f>
        <v>1</v>
      </c>
      <c r="BT15">
        <f>IF($H$4="",1,--(OR(SUMPRODUCT(--(TRIM(MID(SUBSTITUTE(SUBSTITUTE($H$4,"/",","),",",REPT(" ",99)),(ROW($1:$8)-1)*99+1,99))&lt;&gt;""),--ISNUMBER(SEARCH(TRIM(MID(SUBSTITUTE(SUBSTITUTE($H$4,"/",","),",",REPT(" ",99)),(ROW($1:$8)-1)*99+1,99)),IFERROR(('Final Calculation Sheet'!$C$14)&amp;"",""))))&gt;0,AND(ISNUMBER(SEARCH("blank",$H$4)),NOT(ISNUMBER(SEARCH("nonblank",$H$4))),IFERROR(('Final Calculation Sheet'!$C$14)&amp;"","")=""),AND(OR(ISNUMBER(SEARCH("nonblank",$H$4)),ISNUMBER(SEARCH("&lt;&gt;",$H$4))),IFERROR(('Final Calculation Sheet'!$C$14)&amp;"","")&lt;&gt;""),AND(TRIM($H$4)="",IFERROR(('Final Calculation Sheet'!$C$14)&amp;"","")=""))))</f>
        <v>1</v>
      </c>
      <c r="BU15">
        <f>IF($I$4="",1,--(OR(SUMPRODUCT(--(TRIM(MID(SUBSTITUTE(SUBSTITUTE($I$4,"/",","),",",REPT(" ",99)),(ROW($1:$8)-1)*99+1,99))&lt;&gt;""),--ISNUMBER(SEARCH(TRIM(MID(SUBSTITUTE(SUBSTITUTE($I$4,"/",","),",",REPT(" ",99)),(ROW($1:$8)-1)*99+1,99)),IFERROR(('Final Calculation Sheet'!$H$14)&amp;"",""))))&gt;0,AND(ISNUMBER(SEARCH("blank",$I$4)),NOT(ISNUMBER(SEARCH("nonblank",$I$4))),IFERROR(('Final Calculation Sheet'!$H$14)&amp;"","")=""),AND(OR(ISNUMBER(SEARCH("nonblank",$I$4)),ISNUMBER(SEARCH("&lt;&gt;",$I$4))),IFERROR(('Final Calculation Sheet'!$H$14)&amp;"","")&lt;&gt;""),AND(TRIM($I$4)="",IFERROR(('Final Calculation Sheet'!$H$14)&amp;"","")=""))))</f>
        <v>1</v>
      </c>
      <c r="BV15">
        <f>IF($J$4="",1,--(OR(SUMPRODUCT(--(TRIM(MID(SUBSTITUTE(SUBSTITUTE($J$4,"/",","),",",REPT(" ",99)),(ROW($1:$8)-1)*99+1,99))&lt;&gt;""),--ISNUMBER(SEARCH(TRIM(MID(SUBSTITUTE(SUBSTITUTE($J$4,"/",","),",",REPT(" ",99)),(ROW($1:$8)-1)*99+1,99)),IFERROR(('Final Calculation Sheet'!$I$14)&amp;"",""))))&gt;0,AND(ISNUMBER(SEARCH("blank",$J$4)),NOT(ISNUMBER(SEARCH("nonblank",$J$4))),IFERROR(('Final Calculation Sheet'!$I$14)&amp;"","")=""),AND(OR(ISNUMBER(SEARCH("nonblank",$J$4)),ISNUMBER(SEARCH("&lt;&gt;",$J$4))),IFERROR(('Final Calculation Sheet'!$I$14)&amp;"","")&lt;&gt;""),AND(TRIM($J$4)="",IFERROR(('Final Calculation Sheet'!$I$14)&amp;"","")=""))))</f>
        <v>1</v>
      </c>
      <c r="BW15">
        <f>IF($K$4="",1,--(OR(SUMPRODUCT(--(TRIM(MID(SUBSTITUTE(SUBSTITUTE($K$4,"/",","),",",REPT(" ",99)),(ROW($1:$8)-1)*99+1,99))&lt;&gt;""),--ISNUMBER(SEARCH(TRIM(MID(SUBSTITUTE(SUBSTITUTE($K$4,"/",","),",",REPT(" ",99)),(ROW($1:$8)-1)*99+1,99)),IFERROR(('Final Calculation Sheet'!$J$14)&amp;"",""))))&gt;0,AND(ISNUMBER(SEARCH("blank",$K$4)),NOT(ISNUMBER(SEARCH("nonblank",$K$4))),IFERROR(('Final Calculation Sheet'!$J$14)&amp;"","")=""),AND(OR(ISNUMBER(SEARCH("nonblank",$K$4)),ISNUMBER(SEARCH("&lt;&gt;",$K$4))),IFERROR(('Final Calculation Sheet'!$J$14)&amp;"","")&lt;&gt;""),AND(TRIM($K$4)="",IFERROR(('Final Calculation Sheet'!$J$14)&amp;"","")=""))))</f>
        <v>1</v>
      </c>
      <c r="BX15">
        <f>IF($L$4="",1,--(OR(SUMPRODUCT(--(TRIM(MID(SUBSTITUTE(SUBSTITUTE($L$4,"/",","),",",REPT(" ",99)),(ROW($1:$8)-1)*99+1,99))&lt;&gt;""),--ISNUMBER(SEARCH(TRIM(MID(SUBSTITUTE(SUBSTITUTE($L$4,"/",","),",",REPT(" ",99)),(ROW($1:$8)-1)*99+1,99)),IFERROR(('Final Calculation Sheet'!$K$14)&amp;"",""))))&gt;0,AND(ISNUMBER(SEARCH("blank",$L$4)),NOT(ISNUMBER(SEARCH("nonblank",$L$4))),IFERROR(('Final Calculation Sheet'!$K$14)&amp;"","")=""),AND(OR(ISNUMBER(SEARCH("nonblank",$L$4)),ISNUMBER(SEARCH("&lt;&gt;",$L$4))),IFERROR(('Final Calculation Sheet'!$K$14)&amp;"","")&lt;&gt;""),AND(TRIM($L$4)="",IFERROR(('Final Calculation Sheet'!$K$14)&amp;"","")=""))))</f>
        <v>1</v>
      </c>
      <c r="BY15">
        <f>IF($M$4="",1,--(OR(SUMPRODUCT(--(TRIM(MID(SUBSTITUTE(SUBSTITUTE($M$4,"/",","),",",REPT(" ",99)),(ROW($1:$8)-1)*99+1,99))&lt;&gt;""),--ISNUMBER(SEARCH(TRIM(MID(SUBSTITUTE(SUBSTITUTE($M$4,"/",","),",",REPT(" ",99)),(ROW($1:$8)-1)*99+1,99)),IFERROR(('Final Calculation Sheet'!$L$14)&amp;"",""))))&gt;0,AND(ISNUMBER(SEARCH("blank",$M$4)),NOT(ISNUMBER(SEARCH("nonblank",$M$4))),IFERROR(('Final Calculation Sheet'!$L$14)&amp;"","")=""),AND(OR(ISNUMBER(SEARCH("nonblank",$M$4)),ISNUMBER(SEARCH("&lt;&gt;",$M$4))),IFERROR(('Final Calculation Sheet'!$L$14)&amp;"","")&lt;&gt;""),AND(TRIM($M$4)="",IFERROR(('Final Calculation Sheet'!$L$14)&amp;"","")=""))))</f>
        <v>1</v>
      </c>
      <c r="BZ15">
        <f>IF($N$4="",1,--(OR(SUMPRODUCT(--(TRIM(MID(SUBSTITUTE(SUBSTITUTE($N$4,"/",","),",",REPT(" ",99)),(ROW($1:$8)-1)*99+1,99))&lt;&gt;""),--ISNUMBER(SEARCH(TRIM(MID(SUBSTITUTE(SUBSTITUTE($N$4,"/",","),",",REPT(" ",99)),(ROW($1:$8)-1)*99+1,99)),IFERROR(('Final Calculation Sheet'!$M$14)&amp;"",""))))&gt;0,AND(ISNUMBER(SEARCH("blank",$N$4)),NOT(ISNUMBER(SEARCH("nonblank",$N$4))),IFERROR(('Final Calculation Sheet'!$M$14)&amp;"","")=""),AND(OR(ISNUMBER(SEARCH("nonblank",$N$4)),ISNUMBER(SEARCH("&lt;&gt;",$N$4))),IFERROR(('Final Calculation Sheet'!$M$14)&amp;"","")&lt;&gt;""),AND(TRIM($N$4)="",IFERROR(('Final Calculation Sheet'!$M$14)&amp;"","")=""))))</f>
        <v>1</v>
      </c>
      <c r="CA15">
        <f>IF($O$4="",1,--(OR(SUMPRODUCT(--(TRIM(MID(SUBSTITUTE(SUBSTITUTE($O$4,"/",","),",",REPT(" ",99)),(ROW($1:$8)-1)*99+1,99))&lt;&gt;""),--ISNUMBER(SEARCH(TRIM(MID(SUBSTITUTE(SUBSTITUTE($O$4,"/",","),",",REPT(" ",99)),(ROW($1:$8)-1)*99+1,99)),IFERROR(('Final Calculation Sheet'!$N$14)&amp;"",""))))&gt;0,AND(ISNUMBER(SEARCH("blank",$O$4)),NOT(ISNUMBER(SEARCH("nonblank",$O$4))),IFERROR(('Final Calculation Sheet'!$N$14)&amp;"","")=""),AND(OR(ISNUMBER(SEARCH("nonblank",$O$4)),ISNUMBER(SEARCH("&lt;&gt;",$O$4))),IFERROR(('Final Calculation Sheet'!$N$14)&amp;"","")&lt;&gt;""),AND(TRIM($O$4)="",IFERROR(('Final Calculation Sheet'!$N$14)&amp;"","")=""))))</f>
        <v>1</v>
      </c>
      <c r="CB15">
        <f>IF($P$4="",1,--(OR(SUMPRODUCT(--(TRIM(MID(SUBSTITUTE(SUBSTITUTE($P$4,"/",","),",",REPT(" ",99)),(ROW($1:$8)-1)*99+1,99))&lt;&gt;""),--ISNUMBER(SEARCH(TRIM(MID(SUBSTITUTE(SUBSTITUTE($P$4,"/",","),",",REPT(" ",99)),(ROW($1:$8)-1)*99+1,99)),IFERROR(('Final Calculation Sheet'!$O$14)&amp;"",""))))&gt;0,AND(ISNUMBER(SEARCH("blank",$P$4)),NOT(ISNUMBER(SEARCH("nonblank",$P$4))),IFERROR(('Final Calculation Sheet'!$O$14)&amp;"","")=""),AND(OR(ISNUMBER(SEARCH("nonblank",$P$4)),ISNUMBER(SEARCH("&lt;&gt;",$P$4))),IFERROR(('Final Calculation Sheet'!$O$14)&amp;"","")&lt;&gt;""),AND(TRIM($P$4)="",IFERROR(('Final Calculation Sheet'!$O$14)&amp;"","")=""))))</f>
        <v>1</v>
      </c>
      <c r="CC15">
        <f>IF($Q$4="",1,--(OR(SUMPRODUCT(--(TRIM(MID(SUBSTITUTE(SUBSTITUTE($Q$4,"/",","),",",REPT(" ",99)),(ROW($1:$8)-1)*99+1,99))&lt;&gt;""),--ISNUMBER(SEARCH(TRIM(MID(SUBSTITUTE(SUBSTITUTE($Q$4,"/",","),",",REPT(" ",99)),(ROW($1:$8)-1)*99+1,99)),IFERROR(('Final Calculation Sheet'!$P$14)&amp;"",""))))&gt;0,AND(ISNUMBER(SEARCH("blank",$Q$4)),NOT(ISNUMBER(SEARCH("nonblank",$Q$4))),IFERROR(('Final Calculation Sheet'!$P$14)&amp;"","")=""),AND(OR(ISNUMBER(SEARCH("nonblank",$Q$4)),ISNUMBER(SEARCH("&lt;&gt;",$Q$4))),IFERROR(('Final Calculation Sheet'!$P$14)&amp;"","")&lt;&gt;""),AND(TRIM($Q$4)="",IFERROR(('Final Calculation Sheet'!$P$14)&amp;"","")=""))))</f>
        <v>1</v>
      </c>
      <c r="CD15">
        <f>IF($R$4="",1,--(OR(SUMPRODUCT(--(TRIM(MID(SUBSTITUTE(SUBSTITUTE($R$4,"/",","),",",REPT(" ",99)),(ROW($1:$8)-1)*99+1,99))&lt;&gt;""),--ISNUMBER(SEARCH(TRIM(MID(SUBSTITUTE(SUBSTITUTE($R$4,"/",","),",",REPT(" ",99)),(ROW($1:$8)-1)*99+1,99)),IFERROR(('Final Calculation Sheet'!$Q$14)&amp;"",""))))&gt;0,AND(ISNUMBER(SEARCH("blank",$R$4)),NOT(ISNUMBER(SEARCH("nonblank",$R$4))),IFERROR(('Final Calculation Sheet'!$Q$14)&amp;"","")=""),AND(OR(ISNUMBER(SEARCH("nonblank",$R$4)),ISNUMBER(SEARCH("&lt;&gt;",$R$4))),IFERROR(('Final Calculation Sheet'!$Q$14)&amp;"","")&lt;&gt;""),AND(TRIM($R$4)="",IFERROR(('Final Calculation Sheet'!$Q$14)&amp;"","")=""))))</f>
        <v>1</v>
      </c>
      <c r="CE15">
        <f>IF($S$4="",1,--(OR(SUMPRODUCT(--(TRIM(MID(SUBSTITUTE(SUBSTITUTE($S$4,"/",","),",",REPT(" ",99)),(ROW($1:$8)-1)*99+1,99))&lt;&gt;""),--ISNUMBER(SEARCH(TRIM(MID(SUBSTITUTE(SUBSTITUTE($S$4,"/",","),",",REPT(" ",99)),(ROW($1:$8)-1)*99+1,99)),IFERROR(('Final Calculation Sheet'!$R$14)&amp;"",""))))&gt;0,AND(ISNUMBER(SEARCH("blank",$S$4)),NOT(ISNUMBER(SEARCH("nonblank",$S$4))),IFERROR(('Final Calculation Sheet'!$R$14)&amp;"","")=""),AND(OR(ISNUMBER(SEARCH("nonblank",$S$4)),ISNUMBER(SEARCH("&lt;&gt;",$S$4))),IFERROR(('Final Calculation Sheet'!$R$14)&amp;"","")&lt;&gt;""),AND(TRIM($S$4)="",IFERROR(('Final Calculation Sheet'!$R$14)&amp;"","")=""))))</f>
        <v>1</v>
      </c>
      <c r="CF15">
        <f>IF($T$4="",1,--(OR(SUMPRODUCT(--(TRIM(MID(SUBSTITUTE(SUBSTITUTE($T$4,"/",","),",",REPT(" ",99)),(ROW($1:$8)-1)*99+1,99))&lt;&gt;""),--ISNUMBER(SEARCH(TRIM(MID(SUBSTITUTE(SUBSTITUTE($T$4,"/",","),",",REPT(" ",99)),(ROW($1:$8)-1)*99+1,99)),IFERROR(('Final Calculation Sheet'!$S$14)&amp;"",""))))&gt;0,AND(ISNUMBER(SEARCH("blank",$T$4)),NOT(ISNUMBER(SEARCH("nonblank",$T$4))),IFERROR(('Final Calculation Sheet'!$S$14)&amp;"","")=""),AND(OR(ISNUMBER(SEARCH("nonblank",$T$4)),ISNUMBER(SEARCH("&lt;&gt;",$T$4))),IFERROR(('Final Calculation Sheet'!$S$14)&amp;"","")&lt;&gt;""),AND(TRIM($T$4)="",IFERROR(('Final Calculation Sheet'!$S$14)&amp;"","")=""))))</f>
        <v>1</v>
      </c>
      <c r="CG15">
        <f>IF($U$4="",1,--(OR(SUMPRODUCT(--(TRIM(MID(SUBSTITUTE(SUBSTITUTE($U$4,"/",","),",",REPT(" ",99)),(ROW($1:$8)-1)*99+1,99))&lt;&gt;""),--ISNUMBER(SEARCH(TRIM(MID(SUBSTITUTE(SUBSTITUTE($U$4,"/",","),",",REPT(" ",99)),(ROW($1:$8)-1)*99+1,99)),IFERROR(('Final Calculation Sheet'!$T$14)&amp;"",""))))&gt;0,AND(ISNUMBER(SEARCH("blank",$U$4)),NOT(ISNUMBER(SEARCH("nonblank",$U$4))),IFERROR(('Final Calculation Sheet'!$T$14)&amp;"","")=""),AND(OR(ISNUMBER(SEARCH("nonblank",$U$4)),ISNUMBER(SEARCH("&lt;&gt;",$U$4))),IFERROR(('Final Calculation Sheet'!$T$14)&amp;"","")&lt;&gt;""),AND(TRIM($U$4)="",IFERROR(('Final Calculation Sheet'!$T$14)&amp;"","")=""))))</f>
        <v>1</v>
      </c>
      <c r="CH15">
        <f>IF($V$4="",1,--(OR(SUMPRODUCT(--(TRIM(MID(SUBSTITUTE(SUBSTITUTE($V$4,"/",","),",",REPT(" ",99)),(ROW($1:$8)-1)*99+1,99))&lt;&gt;""),--ISNUMBER(SEARCH(TRIM(MID(SUBSTITUTE(SUBSTITUTE($V$4,"/",","),",",REPT(" ",99)),(ROW($1:$8)-1)*99+1,99)),IFERROR(('Final Calculation Sheet'!$U$14)&amp;"",""))))&gt;0,AND(ISNUMBER(SEARCH("blank",$V$4)),NOT(ISNUMBER(SEARCH("nonblank",$V$4))),IFERROR(('Final Calculation Sheet'!$U$14)&amp;"","")=""),AND(OR(ISNUMBER(SEARCH("nonblank",$V$4)),ISNUMBER(SEARCH("&lt;&gt;",$V$4))),IFERROR(('Final Calculation Sheet'!$U$14)&amp;"","")&lt;&gt;""),AND(TRIM($V$4)="",IFERROR(('Final Calculation Sheet'!$U$14)&amp;"","")=""))))</f>
        <v>1</v>
      </c>
      <c r="CI15">
        <f>IF($W$4="",1,--(OR(SUMPRODUCT(--(TRIM(MID(SUBSTITUTE(SUBSTITUTE($W$4,"/",","),",",REPT(" ",99)),(ROW($1:$8)-1)*99+1,99))&lt;&gt;""),--ISNUMBER(SEARCH(TRIM(MID(SUBSTITUTE(SUBSTITUTE($W$4,"/",","),",",REPT(" ",99)),(ROW($1:$8)-1)*99+1,99)),IFERROR(('Final Calculation Sheet'!$V$14)&amp;"",""))))&gt;0,AND(ISNUMBER(SEARCH("blank",$W$4)),NOT(ISNUMBER(SEARCH("nonblank",$W$4))),IFERROR(('Final Calculation Sheet'!$V$14)&amp;"","")=""),AND(OR(ISNUMBER(SEARCH("nonblank",$W$4)),ISNUMBER(SEARCH("&lt;&gt;",$W$4))),IFERROR(('Final Calculation Sheet'!$V$14)&amp;"","")&lt;&gt;""),AND(TRIM($W$4)="",IFERROR(('Final Calculation Sheet'!$V$14)&amp;"","")=""))))</f>
        <v>1</v>
      </c>
      <c r="CJ15">
        <f>IF($X$4="",1,--(OR(SUMPRODUCT(--(TRIM(MID(SUBSTITUTE(SUBSTITUTE($X$4,"/",","),",",REPT(" ",99)),(ROW($1:$8)-1)*99+1,99))&lt;&gt;""),--ISNUMBER(SEARCH(TRIM(MID(SUBSTITUTE(SUBSTITUTE($X$4,"/",","),",",REPT(" ",99)),(ROW($1:$8)-1)*99+1,99)),IFERROR(('Final Calculation Sheet'!$W$14)&amp;"",""))))&gt;0,AND(ISNUMBER(SEARCH("blank",$X$4)),NOT(ISNUMBER(SEARCH("nonblank",$X$4))),IFERROR(('Final Calculation Sheet'!$W$14)&amp;"","")=""),AND(OR(ISNUMBER(SEARCH("nonblank",$X$4)),ISNUMBER(SEARCH("&lt;&gt;",$X$4))),IFERROR(('Final Calculation Sheet'!$W$14)&amp;"","")&lt;&gt;""),AND(TRIM($X$4)="",IFERROR(('Final Calculation Sheet'!$W$14)&amp;"","")=""))))</f>
        <v>1</v>
      </c>
      <c r="CK15">
        <f>IF($Y$4="",1,--(OR(SUMPRODUCT(--(TRIM(MID(SUBSTITUTE(SUBSTITUTE($Y$4,"/",","),",",REPT(" ",99)),(ROW($1:$8)-1)*99+1,99))&lt;&gt;""),--ISNUMBER(SEARCH(TRIM(MID(SUBSTITUTE(SUBSTITUTE($Y$4,"/",","),",",REPT(" ",99)),(ROW($1:$8)-1)*99+1,99)),IFERROR(('Final Calculation Sheet'!$X$14)&amp;"",""))))&gt;0,AND(ISNUMBER(SEARCH("blank",$Y$4)),NOT(ISNUMBER(SEARCH("nonblank",$Y$4))),IFERROR(('Final Calculation Sheet'!$X$14)&amp;"","")=""),AND(OR(ISNUMBER(SEARCH("nonblank",$Y$4)),ISNUMBER(SEARCH("&lt;&gt;",$Y$4))),IFERROR(('Final Calculation Sheet'!$X$14)&amp;"","")&lt;&gt;""),AND(TRIM($Y$4)="",IFERROR(('Final Calculation Sheet'!$X$14)&amp;"","")=""))))</f>
        <v>1</v>
      </c>
      <c r="CL15">
        <f>IF($Z$4="",1,--(OR(SUMPRODUCT(--(TRIM(MID(SUBSTITUTE(SUBSTITUTE($Z$4,"/",","),",",REPT(" ",99)),(ROW($1:$8)-1)*99+1,99))&lt;&gt;""),--ISNUMBER(SEARCH(TRIM(MID(SUBSTITUTE(SUBSTITUTE($Z$4,"/",","),",",REPT(" ",99)),(ROW($1:$8)-1)*99+1,99)),IFERROR(('Final Calculation Sheet'!$Y$14)&amp;"",""))))&gt;0,AND(ISNUMBER(SEARCH("blank",$Z$4)),NOT(ISNUMBER(SEARCH("nonblank",$Z$4))),IFERROR(('Final Calculation Sheet'!$Y$14)&amp;"","")=""),AND(OR(ISNUMBER(SEARCH("nonblank",$Z$4)),ISNUMBER(SEARCH("&lt;&gt;",$Z$4))),IFERROR(('Final Calculation Sheet'!$Y$14)&amp;"","")&lt;&gt;""),AND(TRIM($Z$4)="",IFERROR(('Final Calculation Sheet'!$Y$14)&amp;"","")=""))))</f>
        <v>1</v>
      </c>
      <c r="CM15">
        <f>IF($AA$4="",1,--(OR(SUMPRODUCT(--(TRIM(MID(SUBSTITUTE(SUBSTITUTE($AA$4,"/",","),",",REPT(" ",99)),(ROW($1:$8)-1)*99+1,99))&lt;&gt;""),--ISNUMBER(SEARCH(TRIM(MID(SUBSTITUTE(SUBSTITUTE($AA$4,"/",","),",",REPT(" ",99)),(ROW($1:$8)-1)*99+1,99)),IFERROR(('Final Calculation Sheet'!$Z$14)&amp;"",""))))&gt;0,AND(ISNUMBER(SEARCH("blank",$AA$4)),NOT(ISNUMBER(SEARCH("nonblank",$AA$4))),IFERROR(('Final Calculation Sheet'!$Z$14)&amp;"","")=""),AND(OR(ISNUMBER(SEARCH("nonblank",$AA$4)),ISNUMBER(SEARCH("&lt;&gt;",$AA$4))),IFERROR(('Final Calculation Sheet'!$Z$14)&amp;"","")&lt;&gt;""),AND(TRIM($AA$4)="",IFERROR(('Final Calculation Sheet'!$Z$14)&amp;"","")=""))))</f>
        <v>1</v>
      </c>
      <c r="CN15">
        <f>IF($AB$4="",1,--(OR(SUMPRODUCT(--(TRIM(MID(SUBSTITUTE(SUBSTITUTE($AB$4,"/",","),",",REPT(" ",99)),(ROW($1:$8)-1)*99+1,99))&lt;&gt;""),--ISNUMBER(SEARCH(TRIM(MID(SUBSTITUTE(SUBSTITUTE($AB$4,"/",","),",",REPT(" ",99)),(ROW($1:$8)-1)*99+1,99)),IFERROR(('Final Calculation Sheet'!$AA$14)&amp;"",""))))&gt;0,AND(ISNUMBER(SEARCH("blank",$AB$4)),NOT(ISNUMBER(SEARCH("nonblank",$AB$4))),IFERROR(('Final Calculation Sheet'!$AA$14)&amp;"","")=""),AND(OR(ISNUMBER(SEARCH("nonblank",$AB$4)),ISNUMBER(SEARCH("&lt;&gt;",$AB$4))),IFERROR(('Final Calculation Sheet'!$AA$14)&amp;"","")&lt;&gt;""),AND(TRIM($AB$4)="",IFERROR(('Final Calculation Sheet'!$AA$14)&amp;"","")=""))))</f>
        <v>1</v>
      </c>
      <c r="CO15">
        <f>IF($AC$4="",1,--(OR(SUMPRODUCT(--(TRIM(MID(SUBSTITUTE(SUBSTITUTE($AC$4,"/",","),",",REPT(" ",99)),(ROW($1:$8)-1)*99+1,99))&lt;&gt;""),--ISNUMBER(SEARCH(TRIM(MID(SUBSTITUTE(SUBSTITUTE($AC$4,"/",","),",",REPT(" ",99)),(ROW($1:$8)-1)*99+1,99)),IFERROR(('Final Calculation Sheet'!$AB$14)&amp;"",""))))&gt;0,AND(ISNUMBER(SEARCH("blank",$AC$4)),NOT(ISNUMBER(SEARCH("nonblank",$AC$4))),IFERROR(('Final Calculation Sheet'!$AB$14)&amp;"","")=""),AND(OR(ISNUMBER(SEARCH("nonblank",$AC$4)),ISNUMBER(SEARCH("&lt;&gt;",$AC$4))),IFERROR(('Final Calculation Sheet'!$AB$14)&amp;"","")&lt;&gt;""),AND(TRIM($AC$4)="",IFERROR(('Final Calculation Sheet'!$AB$14)&amp;"","")=""))))</f>
        <v>1</v>
      </c>
      <c r="CP15">
        <f>IF($AD$4="",1,--(OR(SUMPRODUCT(--(TRIM(MID(SUBSTITUTE(SUBSTITUTE($AD$4,"/",","),",",REPT(" ",99)),(ROW($1:$8)-1)*99+1,99))&lt;&gt;""),--ISNUMBER(SEARCH(TRIM(MID(SUBSTITUTE(SUBSTITUTE($AD$4,"/",","),",",REPT(" ",99)),(ROW($1:$8)-1)*99+1,99)),IFERROR(('Final Calculation Sheet'!$AC$14)&amp;"",""))))&gt;0,AND(ISNUMBER(SEARCH("blank",$AD$4)),NOT(ISNUMBER(SEARCH("nonblank",$AD$4))),IFERROR(('Final Calculation Sheet'!$AC$14)&amp;"","")=""),AND(OR(ISNUMBER(SEARCH("nonblank",$AD$4)),ISNUMBER(SEARCH("&lt;&gt;",$AD$4))),IFERROR(('Final Calculation Sheet'!$AC$14)&amp;"","")&lt;&gt;""),AND(TRIM($AD$4)="",IFERROR(('Final Calculation Sheet'!$AC$14)&amp;"","")=""))))</f>
        <v>1</v>
      </c>
      <c r="CQ15">
        <f>IF($AE$4="",1,--(OR(SUMPRODUCT(--(TRIM(MID(SUBSTITUTE(SUBSTITUTE($AE$4,"/",","),",",REPT(" ",99)),(ROW($1:$8)-1)*99+1,99))&lt;&gt;""),--ISNUMBER(SEARCH(TRIM(MID(SUBSTITUTE(SUBSTITUTE($AE$4,"/",","),",",REPT(" ",99)),(ROW($1:$8)-1)*99+1,99)),IFERROR(('Final Calculation Sheet'!$AD$14)&amp;"",""))))&gt;0,AND(ISNUMBER(SEARCH("blank",$AE$4)),NOT(ISNUMBER(SEARCH("nonblank",$AE$4))),IFERROR(('Final Calculation Sheet'!$AD$14)&amp;"","")=""),AND(OR(ISNUMBER(SEARCH("nonblank",$AE$4)),ISNUMBER(SEARCH("&lt;&gt;",$AE$4))),IFERROR(('Final Calculation Sheet'!$AD$14)&amp;"","")&lt;&gt;""),AND(TRIM($AE$4)="",IFERROR(('Final Calculation Sheet'!$AD$14)&amp;"","")=""))))</f>
        <v>1</v>
      </c>
      <c r="CR15">
        <f>IF($AF$4="",1,--(OR(SUMPRODUCT(--(TRIM(MID(SUBSTITUTE(SUBSTITUTE($AF$4,"/",","),",",REPT(" ",99)),(ROW($1:$8)-1)*99+1,99))&lt;&gt;""),--ISNUMBER(SEARCH(TRIM(MID(SUBSTITUTE(SUBSTITUTE($AF$4,"/",","),",",REPT(" ",99)),(ROW($1:$8)-1)*99+1,99)),IFERROR(('Final Calculation Sheet'!$AE$14)&amp;"",""))))&gt;0,AND(ISNUMBER(SEARCH("blank",$AF$4)),NOT(ISNUMBER(SEARCH("nonblank",$AF$4))),IFERROR(('Final Calculation Sheet'!$AE$14)&amp;"","")=""),AND(OR(ISNUMBER(SEARCH("nonblank",$AF$4)),ISNUMBER(SEARCH("&lt;&gt;",$AF$4))),IFERROR(('Final Calculation Sheet'!$AE$14)&amp;"","")&lt;&gt;""),AND(TRIM($AF$4)="",IFERROR(('Final Calculation Sheet'!$AE$14)&amp;"","")=""))))</f>
        <v>1</v>
      </c>
      <c r="CS15">
        <f>IF($AG$4="",1,--(OR(SUMPRODUCT(--(TRIM(MID(SUBSTITUTE(SUBSTITUTE($AG$4,"/",","),",",REPT(" ",99)),(ROW($1:$8)-1)*99+1,99))&lt;&gt;""),--ISNUMBER(SEARCH(TRIM(MID(SUBSTITUTE(SUBSTITUTE($AG$4,"/",","),",",REPT(" ",99)),(ROW($1:$8)-1)*99+1,99)),IFERROR(('Final Calculation Sheet'!$AF$14)&amp;"",""))))&gt;0,AND(ISNUMBER(SEARCH("blank",$AG$4)),NOT(ISNUMBER(SEARCH("nonblank",$AG$4))),IFERROR(('Final Calculation Sheet'!$AF$14)&amp;"","")=""),AND(OR(ISNUMBER(SEARCH("nonblank",$AG$4)),ISNUMBER(SEARCH("&lt;&gt;",$AG$4))),IFERROR(('Final Calculation Sheet'!$AF$14)&amp;"","")&lt;&gt;""),AND(TRIM($AG$4)="",IFERROR(('Final Calculation Sheet'!$AF$14)&amp;"","")=""))))</f>
        <v>1</v>
      </c>
      <c r="CT15">
        <f>IF($AH$4="",1,--(OR(SUMPRODUCT(--(TRIM(MID(SUBSTITUTE(SUBSTITUTE($AH$4,"/",","),",",REPT(" ",99)),(ROW($1:$8)-1)*99+1,99))&lt;&gt;""),--ISNUMBER(SEARCH(TRIM(MID(SUBSTITUTE(SUBSTITUTE($AH$4,"/",","),",",REPT(" ",99)),(ROW($1:$8)-1)*99+1,99)),IFERROR(('Final Calculation Sheet'!$AG$14)&amp;"",""))))&gt;0,AND(ISNUMBER(SEARCH("blank",$AH$4)),NOT(ISNUMBER(SEARCH("nonblank",$AH$4))),IFERROR(('Final Calculation Sheet'!$AG$14)&amp;"","")=""),AND(OR(ISNUMBER(SEARCH("nonblank",$AH$4)),ISNUMBER(SEARCH("&lt;&gt;",$AH$4))),IFERROR(('Final Calculation Sheet'!$AG$14)&amp;"","")&lt;&gt;""),AND(TRIM($AH$4)="",IFERROR(('Final Calculation Sheet'!$AG$14)&amp;"","")=""))))</f>
        <v>1</v>
      </c>
      <c r="CU15">
        <f>IF($AI$4="",1,--(OR(SUMPRODUCT(--(TRIM(MID(SUBSTITUTE(SUBSTITUTE($AI$4,"/",","),",",REPT(" ",99)),(ROW($1:$8)-1)*99+1,99))&lt;&gt;""),--ISNUMBER(SEARCH(TRIM(MID(SUBSTITUTE(SUBSTITUTE($AI$4,"/",","),",",REPT(" ",99)),(ROW($1:$8)-1)*99+1,99)),IFERROR((IF('Final Calculation Sheet'!$AD$14&lt;=5,"SETTLED","OUTSTANDING"))&amp;"",""))))&gt;0,AND(ISNUMBER(SEARCH("blank",$AI$4)),NOT(ISNUMBER(SEARCH("nonblank",$AI$4))),IFERROR((IF('Final Calculation Sheet'!$AD$14&lt;=5,"SETTLED","OUTSTANDING"))&amp;"","")=""),AND(OR(ISNUMBER(SEARCH("nonblank",$AI$4)),ISNUMBER(SEARCH("&lt;&gt;",$AI$4))),IFERROR((IF('Final Calculation Sheet'!$AD$14&lt;=5,"SETTLED","OUTSTANDING"))&amp;"","")&lt;&gt;""),AND(TRIM($AI$4)="",IFERROR((IF('Final Calculation Sheet'!$AD$14&lt;=5,"SETTLED","OUTSTANDING"))&amp;"","")=""))))</f>
        <v>1</v>
      </c>
    </row>
    <row r="16" ht="15" customHeight="1" s="137">
      <c r="A16" s="67">
        <f>IF($BJ15&gt;0,INDEX($BA$5:$BA$41,MATCH(15,$BB$5:$BB$41,0)),IF(OR($BI15=1,$BL15=1,$BH15&gt;0),"∑",""))</f>
        <v>11</v>
      </c>
      <c r="B16" s="76">
        <f>IF($BJ15&gt;0,IF(INDEX('Final Calculation Sheet'!$F$4:$F$40,$BJ15-3)="","",INDEX('Final Calculation Sheet'!$F$4:$F$40,$BJ15-3)),"")</f>
        <v>2007</v>
      </c>
      <c r="C16" s="76" t="str">
        <f>IF($BJ15&gt;0,IF(INDEX('Final Calculation Sheet'!$G$4:$G$40,$BJ15-3)="","",INDEX('Final Calculation Sheet'!$G$4:$G$40,$BJ15-3)),IF(OR($BI15=1,$BL15=1,$BH15&gt;0),IF($BI15=1,37,IF($BL15=1,37-INDEX($BD$4:$BD$13,10),INDEX($BD$4:$BD$13,$BH15)))&amp;" lot(s)",""))</f>
        <v>SHAR JAHAN TRADERS</v>
      </c>
      <c r="D16" s="80" t="str">
        <f>IF($BJ15&gt;0,IF(INDEX('Final Calculation Sheet'!$B$4:$B$40,$BJ15-3)="","",INDEX('Final Calculation Sheet'!$B$4:$B$40,$BJ15-3)),IF(OR($BI15=1,$BL15=1,$BH15&gt;0),IF($BI15=1,"GRAND TOTAL  —  matching + remaining",IF($BL15=1,"TOTAL MATCHED  —  every group together",IF($BH15=10,"REMAINING  —  did not match the search",IF($BH15=9,IF(COUNTIF($A$4:$AI$4,"&lt;&gt;")&gt;0,"FILTERED LOTS  —  column fields","ALL LOTS  —  nothing typed in the box"),"GROUP "&amp;$BH15&amp;" TOTAL  —  lots matching  "&amp;INDEX($AR$6:$AY$6,$BH15))))),""))</f>
        <v>SCRAP POWER TRANSFORMER</v>
      </c>
      <c r="E16" s="80">
        <f>IF($BJ15&gt;0,IF(INDEX('Final Calculation Sheet'!$D$4:$D$40,$BJ15-3)="","",INDEX('Final Calculation Sheet'!$D$4:$D$40,$BJ15-3)),IF(OR($BI15=1,$BL15=1,$BH15&gt;0),"–",""))</f>
        <v>21977</v>
      </c>
      <c r="F16" s="80">
        <f>IF($BJ15&gt;0,IF(INDEX('Final Calculation Sheet'!$A$4:$A$40,$BJ15-3)="","",INDEX('Final Calculation Sheet'!$A$4:$A$40,$BJ15-3)),IF(OR($BI15=1,$BL15=1,$BH15&gt;0),IF($BI15=1,SUM('Final Calculation Sheet'!$A$4:$A$40),IF($BL15=1,SUM('Final Calculation Sheet'!$A$4:$A$40)-SUMIFS('Final Calculation Sheet'!$A$4:$A$40,$AZ$5:$AZ$41,10),SUMIFS('Final Calculation Sheet'!$A$4:$A$40,$AZ$5:$AZ$41,$BH15))),""))</f>
        <v>1</v>
      </c>
      <c r="G16" s="80" t="str">
        <f>IF($BJ15&gt;0,IF(INDEX('Final Calculation Sheet'!$E$4:$E$40,$BJ15-3)="","",INDEX('Final Calculation Sheet'!$E$4:$E$40,$BJ15-3)),IF(OR($BI15=1,$BL15=1,$BH15&gt;0),"–",""))</f>
        <v>NO</v>
      </c>
      <c r="H16" s="70">
        <f>IF($BJ15&gt;0,IF(INDEX('Final Calculation Sheet'!$C$4:$C$40,$BJ15-3)="","",INDEX('Final Calculation Sheet'!$C$4:$C$40,$BJ15-3)),IF(OR($BI15=1,$BL15=1,$BH15&gt;0),"–",""))</f>
        <v>3857116</v>
      </c>
      <c r="I16" s="70">
        <f>IF($BJ15&gt;0,IF(INDEX('Final Calculation Sheet'!$H$4:$H$40,$BJ15-3)="","",INDEX('Final Calculation Sheet'!$H$4:$H$40,$BJ15-3)),IF(OR($BI15=1,$BL15=1,$BH15&gt;0),IF($BI15=1,SUM('Final Calculation Sheet'!$H$4:$H$40),IF($BL15=1,SUM('Final Calculation Sheet'!$H$4:$H$40)-SUMIFS('Final Calculation Sheet'!$H$4:$H$40,$AZ$5:$AZ$41,10),SUMIFS('Final Calculation Sheet'!$H$4:$H$40,$AZ$5:$AZ$41,$BH15))),""))</f>
        <v>3857116</v>
      </c>
      <c r="J16" s="70">
        <f>IF($BJ15&gt;0,IF(INDEX('Final Calculation Sheet'!$I$4:$I$40,$BJ15-3)="","",INDEX('Final Calculation Sheet'!$I$4:$I$40,$BJ15-3)),IF(OR($BI15=1,$BL15=1,$BH15&gt;0),IF($BI15=1,SUM('Final Calculation Sheet'!$I$4:$I$40),IF($BL15=1,SUM('Final Calculation Sheet'!$I$4:$I$40)-SUMIFS('Final Calculation Sheet'!$I$4:$I$40,$AZ$5:$AZ$41,10),SUMIFS('Final Calculation Sheet'!$I$4:$I$40,$AZ$5:$AZ$41,$BH15))),""))</f>
        <v>694281</v>
      </c>
      <c r="K16" s="70">
        <f>IF($BJ15&gt;0,IF(INDEX('Final Calculation Sheet'!$J$4:$J$40,$BJ15-3)="","",INDEX('Final Calculation Sheet'!$J$4:$J$40,$BJ15-3)),IF(OR($BI15=1,$BL15=1,$BH15&gt;0),IF($BI15=1,SUM('Final Calculation Sheet'!$J$4:$J$40),IF($BL15=1,SUM('Final Calculation Sheet'!$J$4:$J$40)-SUMIFS('Final Calculation Sheet'!$J$4:$J$40,$AZ$5:$AZ$41,10),SUMIFS('Final Calculation Sheet'!$J$4:$J$40,$AZ$5:$AZ$41,$BH15))),""))</f>
        <v>4551397</v>
      </c>
      <c r="L16" s="70">
        <f>IF($BJ15&gt;0,IF(INDEX('Final Calculation Sheet'!$K$4:$K$40,$BJ15-3)="","",INDEX('Final Calculation Sheet'!$K$4:$K$40,$BJ15-3)),IF(OR($BI15=1,$BL15=1,$BH15&gt;0),IF($BI15=1,SUM('Final Calculation Sheet'!$K$4:$K$40),IF($BL15=1,SUM('Final Calculation Sheet'!$K$4:$K$40)-SUMIFS('Final Calculation Sheet'!$K$4:$K$40,$AZ$5:$AZ$41,10),SUMIFS('Final Calculation Sheet'!$K$4:$K$40,$AZ$5:$AZ$41,$BH15))),""))</f>
        <v>91028</v>
      </c>
      <c r="M16" s="70">
        <f>IF($BJ15&gt;0,IF(INDEX('Final Calculation Sheet'!$L$4:$L$40,$BJ15-3)="","",INDEX('Final Calculation Sheet'!$L$4:$L$40,$BJ15-3)),IF(OR($BI15=1,$BL15=1,$BH15&gt;0),IF($BI15=1,SUM('Final Calculation Sheet'!$L$4:$L$40),IF($BL15=1,SUM('Final Calculation Sheet'!$L$4:$L$40)-SUMIFS('Final Calculation Sheet'!$L$4:$L$40,$AZ$5:$AZ$41,10),SUMIFS('Final Calculation Sheet'!$L$4:$L$40,$AZ$5:$AZ$41,$BH15))),""))</f>
        <v>3857.116</v>
      </c>
      <c r="N16" s="70">
        <f>IF($BJ15&gt;0,IF(INDEX('Final Calculation Sheet'!$M$4:$M$40,$BJ15-3)="","",INDEX('Final Calculation Sheet'!$M$4:$M$40,$BJ15-3)),IF(OR($BI15=1,$BL15=1,$BH15&gt;0),IF($BI15=1,SUM('Final Calculation Sheet'!$M$4:$M$40),IF($BL15=1,SUM('Final Calculation Sheet'!$M$4:$M$40)-SUMIFS('Final Calculation Sheet'!$M$4:$M$40,$AZ$5:$AZ$41,10),SUMIFS('Final Calculation Sheet'!$M$4:$M$40,$AZ$5:$AZ$41,$BH15))),""))</f>
        <v>102406.4298</v>
      </c>
      <c r="O16" s="71">
        <f>IF($BJ15&gt;0,IF(INDEX('Final Calculation Sheet'!$N$4:$N$40,$BJ15-3)="","",INDEX('Final Calculation Sheet'!$N$4:$N$40,$BJ15-3)),IF(OR($BI15=1,$BL15=1,$BH15&gt;0),IF($BI15=1,SUM('Final Calculation Sheet'!$N$4:$N$40),IF($BL15=1,SUM('Final Calculation Sheet'!$N$4:$N$40)-SUMIFS('Final Calculation Sheet'!$N$4:$N$40,$AZ$5:$AZ$41,10),SUMIFS('Final Calculation Sheet'!$N$4:$N$40,$AZ$5:$AZ$41,$BH15))),""))</f>
        <v>1735.7021999999999</v>
      </c>
      <c r="P16" s="70">
        <f>IF($BJ15&gt;0,IF(INDEX('Final Calculation Sheet'!$O$4:$O$40,$BJ15-3)="","",INDEX('Final Calculation Sheet'!$O$4:$O$40,$BJ15-3)),IF(OR($BI15=1,$BL15=1,$BH15&gt;0),IF($BI15=1,SUM('Final Calculation Sheet'!$O$4:$O$40),IF($BL15=1,SUM('Final Calculation Sheet'!$O$4:$O$40)-SUMIFS('Final Calculation Sheet'!$O$4:$O$40,$AZ$5:$AZ$41,10),SUMIFS('Final Calculation Sheet'!$O$4:$O$40,$AZ$5:$AZ$41,$BH15))),""))</f>
        <v>100670.7276</v>
      </c>
      <c r="Q16" s="70">
        <f>IF($BJ15&gt;0,IF(INDEX('Final Calculation Sheet'!$P$4:$P$40,$BJ15-3)="","",INDEX('Final Calculation Sheet'!$P$4:$P$40,$BJ15-3)),IF(OR($BI15=1,$BL15=1,$BH15&gt;0),IF($BI15=1,SUM('Final Calculation Sheet'!$P$4:$P$40),IF($BL15=1,SUM('Final Calculation Sheet'!$P$4:$P$40)-SUMIFS('Final Calculation Sheet'!$P$4:$P$40,$AZ$5:$AZ$41,10),SUMIFS('Final Calculation Sheet'!$P$4:$P$40,$AZ$5:$AZ$41,$BH15))),""))</f>
        <v>104528</v>
      </c>
      <c r="R16" s="72">
        <f>IF($BJ15&gt;0,IF(INDEX('Final Calculation Sheet'!$Q$4:$Q$40,$BJ15-3)="","",INDEX('Final Calculation Sheet'!$Q$4:$Q$40,$BJ15-3)),IF(OR($BI15=1,$BL15=1,$BH15&gt;0),"–",""))</f>
        <v>0</v>
      </c>
      <c r="S16" s="70">
        <f>IF($BJ15&gt;0,IF(INDEX('Final Calculation Sheet'!$R$4:$R$40,$BJ15-3)="","",INDEX('Final Calculation Sheet'!$R$4:$R$40,$BJ15-3)),IF(OR($BI15=1,$BL15=1,$BH15&gt;0),IF($BI15=1,SUM('Final Calculation Sheet'!$R$4:$R$40),IF($BL15=1,SUM('Final Calculation Sheet'!$R$4:$R$40)-SUMIFS('Final Calculation Sheet'!$R$4:$R$40,$AZ$5:$AZ$41,10),SUMIFS('Final Calculation Sheet'!$R$4:$R$40,$AZ$5:$AZ$41,$BH15))),""))</f>
        <v>0</v>
      </c>
      <c r="T16" s="70">
        <f>IF($BJ15&gt;0,IF(INDEX('Final Calculation Sheet'!$S$4:$S$40,$BJ15-3)="","",INDEX('Final Calculation Sheet'!$S$4:$S$40,$BJ15-3)),IF(OR($BI15=1,$BL15=1,$BH15&gt;0),IF($BI15=1,SUM('Final Calculation Sheet'!$S$4:$S$40),IF($BL15=1,SUM('Final Calculation Sheet'!$S$4:$S$40)-SUMIFS('Final Calculation Sheet'!$S$4:$S$40,$AZ$5:$AZ$41,10),SUMIFS('Final Calculation Sheet'!$S$4:$S$40,$AZ$5:$AZ$41,$BH15))),""))</f>
        <v>4537897</v>
      </c>
      <c r="U16" s="70">
        <f>IF($BJ15&gt;0,IF(INDEX('Final Calculation Sheet'!$T$4:$T$40,$BJ15-3)="","",INDEX('Final Calculation Sheet'!$T$4:$T$40,$BJ15-3)),IF(OR($BI15=1,$BL15=1,$BH15&gt;0),IF($BI15=1,SUM('Final Calculation Sheet'!$T$4:$T$40),IF($BL15=1,SUM('Final Calculation Sheet'!$T$4:$T$40)-SUMIFS('Final Calculation Sheet'!$T$4:$T$40,$AZ$5:$AZ$41,10),SUMIFS('Final Calculation Sheet'!$T$4:$T$40,$AZ$5:$AZ$41,$BH15))),""))</f>
        <v>964279</v>
      </c>
      <c r="V16" s="73">
        <f>IF($BJ15&gt;0,IF(INDEX('Final Calculation Sheet'!$U$4:$U$40,$BJ15-3)="","",INDEX('Final Calculation Sheet'!$U$4:$U$40,$BJ15-3)),IF(OR($BI15=1,$BL15=1,$BH15&gt;0),IF($BI15=1,SUM('Final Calculation Sheet'!$U$4:$U$40),IF($BL15=1,SUM('Final Calculation Sheet'!$U$4:$U$40)-SUMIFS('Final Calculation Sheet'!$U$4:$U$40,$AZ$5:$AZ$41,10),SUMIFS('Final Calculation Sheet'!$U$4:$U$40,$AZ$5:$AZ$41,$BH15))),""))</f>
        <v>964279</v>
      </c>
      <c r="W16" s="70" t="str">
        <f>IF($BJ15&gt;0,IF(INDEX('Final Calculation Sheet'!$V$4:$V$40,$BJ15-3)="","",INDEX('Final Calculation Sheet'!$V$4:$V$40,$BJ15-3)),IF(OR($BI15=1,$BL15=1,$BH15&gt;0),"–",""))</f>
        <v>13.08.2026</v>
      </c>
      <c r="X16" s="70">
        <f>IF($BJ15&gt;0,IF(INDEX('Final Calculation Sheet'!$W$4:$W$40,$BJ15-3)="","",INDEX('Final Calculation Sheet'!$W$4:$W$40,$BJ15-3)),IF(OR($BI15=1,$BL15=1,$BH15&gt;0),IF($BI15=1,SUM('Final Calculation Sheet'!$W$4:$W$40),IF($BL15=1,SUM('Final Calculation Sheet'!$W$4:$W$40)-SUMIFS('Final Calculation Sheet'!$W$4:$W$40,$AZ$5:$AZ$41,10),SUMIFS('Final Calculation Sheet'!$W$4:$W$40,$AZ$5:$AZ$41,$BH15))),""))</f>
        <v>3573618</v>
      </c>
      <c r="Y16" s="70">
        <f>IF($BJ15&gt;0,IF(INDEX('Final Calculation Sheet'!$X$4:$X$40,$BJ15-3)="","",INDEX('Final Calculation Sheet'!$X$4:$X$40,$BJ15-3)),IF(OR($BI15=1,$BL15=1,$BH15&gt;0),IF($BI15=1,SUM('Final Calculation Sheet'!$X$4:$X$40),IF($BL15=1,SUM('Final Calculation Sheet'!$X$4:$X$40)-SUMIFS('Final Calculation Sheet'!$X$4:$X$40,$AZ$5:$AZ$41,10),SUMIFS('Final Calculation Sheet'!$X$4:$X$40,$AZ$5:$AZ$41,$BH15))),""))</f>
        <v>3573618.9057083898</v>
      </c>
      <c r="Z16" s="70" t="str">
        <f>IF($BJ15&gt;0,IF(INDEX('Final Calculation Sheet'!$Y$4:$Y$40,$BJ15-3)="","",INDEX('Final Calculation Sheet'!$Y$4:$Y$40,$BJ15-3)),IF(OR($BI15=1,$BL15=1,$BH15&gt;0),"–",""))</f>
        <v>13.08.2026</v>
      </c>
      <c r="AA16" s="70">
        <f>IF($BJ15&gt;0,IF(INDEX('Final Calculation Sheet'!$Z$4:$Z$40,$BJ15-3)="","",INDEX('Final Calculation Sheet'!$Z$4:$Z$40,$BJ15-3)),IF(OR($BI15=1,$BL15=1,$BH15&gt;0),IF($BI15=1,SUM('Final Calculation Sheet'!$Z$4:$Z$40),IF($BL15=1,SUM('Final Calculation Sheet'!$Z$4:$Z$40)-SUMIFS('Final Calculation Sheet'!$Z$4:$Z$40,$AZ$5:$AZ$41,10),SUMIFS('Final Calculation Sheet'!$Z$4:$Z$40,$AZ$5:$AZ$41,$BH15))),""))</f>
        <v>0</v>
      </c>
      <c r="AB16" s="70" t="str">
        <f>IF($BJ15&gt;0,IF(INDEX('Final Calculation Sheet'!$AA$4:$AA$40,$BJ15-3)="","",INDEX('Final Calculation Sheet'!$AA$4:$AA$40,$BJ15-3)),IF(OR($BI15=1,$BL15=1,$BH15&gt;0),IF($BI15=1,SUM('Final Calculation Sheet'!$AA$4:$AA$40),IF($BL15=1,SUM('Final Calculation Sheet'!$AA$4:$AA$40)-SUMIFS('Final Calculation Sheet'!$AA$4:$AA$40,$AZ$5:$AZ$41,10),SUMIFS('Final Calculation Sheet'!$AA$4:$AA$40,$AZ$5:$AZ$41,$BH15))),""))</f>
        <v/>
      </c>
      <c r="AC16" s="70" t="str">
        <f>IF($BJ15&gt;0,IF(INDEX('Final Calculation Sheet'!$AB$4:$AB$40,$BJ15-3)="","",INDEX('Final Calculation Sheet'!$AB$4:$AB$40,$BJ15-3)),IF(OR($BI15=1,$BL15=1,$BH15&gt;0),"–",""))</f>
        <v/>
      </c>
      <c r="AD16" s="70">
        <f>IF($BJ15&gt;0,IF(INDEX('Final Calculation Sheet'!$AC$4:$AC$40,$BJ15-3)="","",INDEX('Final Calculation Sheet'!$AC$4:$AC$40,$BJ15-3)),IF(OR($BI15=1,$BL15=1,$BH15&gt;0),IF($BI15=1,SUM('Final Calculation Sheet'!$AC$4:$AC$40),IF($BL15=1,SUM('Final Calculation Sheet'!$AC$4:$AC$40)-SUMIFS('Final Calculation Sheet'!$AC$4:$AC$40,$AZ$5:$AZ$41,10),SUMIFS('Final Calculation Sheet'!$AC$4:$AC$40,$AZ$5:$AZ$41,$BH15))),""))</f>
        <v>4537897.9057083894</v>
      </c>
      <c r="AE16" s="70">
        <f>IF($BJ15&gt;0,IF(INDEX('Final Calculation Sheet'!$AD$4:$AD$40,$BJ15-3)="","",INDEX('Final Calculation Sheet'!$AD$4:$AD$40,$BJ15-3)),IF(OR($BI15=1,$BL15=1,$BH15&gt;0),IF($BI15=1,SUM('Final Calculation Sheet'!$AD$4:$AD$40),IF($BL15=1,SUM('Final Calculation Sheet'!$AD$4:$AD$40)-SUMIFS('Final Calculation Sheet'!$AD$4:$AD$40,$AZ$5:$AZ$41,10),SUMIFS('Final Calculation Sheet'!$AD$4:$AD$40,$AZ$5:$AZ$41,$BH15))),""))</f>
        <v>-0.90570838935673237</v>
      </c>
      <c r="AF16" s="70" t="str">
        <f>IF($BJ15&gt;0,IF(INDEX('Final Calculation Sheet'!$AE$4:$AE$40,$BJ15-3)="","",INDEX('Final Calculation Sheet'!$AE$4:$AE$40,$BJ15-3)),IF(OR($BI15=1,$BL15=1,$BH15&gt;0),"–",""))</f>
        <v>DR2640100024</v>
      </c>
      <c r="AG16" s="74">
        <f>IF($BJ15&gt;0,IF(INDEX('Final Calculation Sheet'!$AF$4:$AF$40,$BJ15-3)="","",INDEX('Final Calculation Sheet'!$AF$4:$AF$40,$BJ15-3)),IF(OR($BI15=1,$BL15=1,$BH15&gt;0),"–",""))</f>
        <v>1800003196</v>
      </c>
      <c r="AH16" s="70" t="str">
        <f>IF($BJ15&gt;0,IF(INDEX('Final Calculation Sheet'!$AG$4:$AG$40,$BJ15-3)="","",INDEX('Final Calculation Sheet'!$AG$4:$AG$40,$BJ15-3)),IF(OR($BI15=1,$BL15=1,$BH15&gt;0),"–",""))</f>
        <v>17.08.2026</v>
      </c>
      <c r="AI16" s="75" t="str">
        <f>IF($BJ15&gt;0,IF(INDEX('Final Calculation Sheet'!$AD$4:$AD$40,$BJ15-3)="","",IF(INDEX('Final Calculation Sheet'!$AD$4:$AD$40,$BJ15-3)&lt;=5,"SETTLED","OUTSTANDING")),IF(OR($BI15=1,$BL15=1,$BH15&gt;0),IF(IF($BI15=1,SUM('Final Calculation Sheet'!$AD$4:$AD$40),IF($BL15=1,SUM('Final Calculation Sheet'!$AD$4:$AD$40)-SUMIFS('Final Calculation Sheet'!$AD$4:$AD$40,$AZ$5:$AZ$41,10),SUMIFS('Final Calculation Sheet'!$AD$4:$AD$40,$AZ$5:$AZ$41,$BH15)))&lt;=5,"ALL SETTLED","OUTSTANDING"),""))</f>
        <v>SETTLED</v>
      </c>
      <c r="AK16" t="str">
        <f>IF($F$3="Lot No.",'Final Calculation Sheet'!$F$15,IF($F$3="Buyer",'Final Calculation Sheet'!$G$15,IF($F$3="Lot Name",'Final Calculation Sheet'!$B$15,IF($F$3="Bid Sheet",'Final Calculation Sheet'!$D$15,IF($F$3="Unit",'Final Calculation Sheet'!$E$15,'Final Calculation Sheet'!$F$15&amp;" "&amp;'Final Calculation Sheet'!$G$15&amp;" "&amp;'Final Calculation Sheet'!$B$15)))))</f>
        <v>2008 HIND TRADERS Scrap of empty oil Druam</v>
      </c>
      <c r="AL16">
        <f>AL15+IF($B$3="",0,--(SUMPRODUCT(--($AR$6:$AY$6&lt;&gt;""),--ISNUMBER(SEARCH($AR$6:$AY$6,$AK16)))&gt;0))</f>
        <v>0</v>
      </c>
      <c r="AM16">
        <f>IF(COUNTIF($BM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1</v>
      </c>
      <c r="AZ16">
        <f>IF($B$3="",IF(COUNTIF($A$4:$AI$4,"&lt;&gt;")=0,9,IF($AM16=1,9,10)),IF($AM16=0,10,IF(AND($AR$6&lt;&gt;"",ISNUMBER(SEARCH($AR$6,$AK16))),1,IF(AND($AS$6&lt;&gt;"",ISNUMBER(SEARCH($AS$6,$AK16))),2,IF(AND($AT$6&lt;&gt;"",ISNUMBER(SEARCH($AT$6,$AK16))),3,IF(AND($AU$6&lt;&gt;"",ISNUMBER(SEARCH($AU$6,$AK16))),4,IF(AND($AV$6&lt;&gt;"",ISNUMBER(SEARCH($AV$6,$AK16))),5,IF(AND($AW$6&lt;&gt;"",ISNUMBER(SEARCH($AW$6,$AK16))),6,IF(AND($AX$6&lt;&gt;"",ISNUMBER(SEARCH($AX$6,$AK16))),7,IF(AND($AY$6&lt;&gt;"",ISNUMBER(SEARCH($AY$6,$AK16))),8,0))))))))))</f>
        <v>9</v>
      </c>
      <c r="BA16">
        <f>SUMPRODUCT(($AZ$5:$AZ$41=$AZ16)*($BC$5:$BC$41&lt;$BC16))+1</f>
        <v>12</v>
      </c>
      <c r="BB16">
        <f>IF(INDEX($BF$4:$BF$13,$AZ16)=0,0,INDEX($BE$4:$BE$13,$AZ16)+$BA16-1)</f>
        <v>16</v>
      </c>
      <c r="BC16" t="n">
        <v>15</v>
      </c>
      <c r="BH16">
        <f>IFERROR(MATCH(16,$BF$4:$BF$13,0),0)</f>
        <v>0</v>
      </c>
      <c r="BI16">
        <f>IF(16=$BG$5,1,0)</f>
        <v>0</v>
      </c>
      <c r="BJ16">
        <f>IF(OR($BH16&gt;0,$BI16=1,$BL16=1),0,IFERROR(INDEX($BC$5:$BC$41,MATCH(16,$BB$5:$BB$41,0)),0))</f>
        <v>15</v>
      </c>
      <c r="BK16">
        <f>IF($BJ16&gt;0,IF(INDEX($AZ$5:$AZ$41,MATCH(16,$BB$5:$BB$41,0))=10,1,0),IF($BH16=10,1,0))</f>
        <v>0</v>
      </c>
      <c r="BL16">
        <f>IF(16=$BG$4,1,0)</f>
        <v>0</v>
      </c>
      <c r="BM16">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1</v>
      </c>
      <c r="BN16">
        <f>IF($B$4="",1,--(OR(SUMPRODUCT(--(TRIM(MID(SUBSTITUTE(SUBSTITUTE($B$4,"/",","),",",REPT(" ",99)),(ROW($1:$8)-1)*99+1,99))&lt;&gt;""),--ISNUMBER(SEARCH(TRIM(MID(SUBSTITUTE(SUBSTITUTE($B$4,"/",","),",",REPT(" ",99)),(ROW($1:$8)-1)*99+1,99)),IFERROR(('Final Calculation Sheet'!$F$15)&amp;"",""))))&gt;0,AND(ISNUMBER(SEARCH("blank",$B$4)),NOT(ISNUMBER(SEARCH("nonblank",$B$4))),IFERROR(('Final Calculation Sheet'!$F$15)&amp;"","")=""),AND(OR(ISNUMBER(SEARCH("nonblank",$B$4)),ISNUMBER(SEARCH("&lt;&gt;",$B$4))),IFERROR(('Final Calculation Sheet'!$F$15)&amp;"","")&lt;&gt;""),AND(TRIM($B$4)="",IFERROR(('Final Calculation Sheet'!$F$15)&amp;"","")=""))))</f>
        <v>1</v>
      </c>
      <c r="BO16">
        <f>IF($C$4="",1,--(OR(SUMPRODUCT(--(TRIM(MID(SUBSTITUTE(SUBSTITUTE($C$4,"/",","),",",REPT(" ",99)),(ROW($1:$8)-1)*99+1,99))&lt;&gt;""),--ISNUMBER(SEARCH(TRIM(MID(SUBSTITUTE(SUBSTITUTE($C$4,"/",","),",",REPT(" ",99)),(ROW($1:$8)-1)*99+1,99)),IFERROR(('Final Calculation Sheet'!$G$15)&amp;"",""))))&gt;0,AND(ISNUMBER(SEARCH("blank",$C$4)),NOT(ISNUMBER(SEARCH("nonblank",$C$4))),IFERROR(('Final Calculation Sheet'!$G$15)&amp;"","")=""),AND(OR(ISNUMBER(SEARCH("nonblank",$C$4)),ISNUMBER(SEARCH("&lt;&gt;",$C$4))),IFERROR(('Final Calculation Sheet'!$G$15)&amp;"","")&lt;&gt;""),AND(TRIM($C$4)="",IFERROR(('Final Calculation Sheet'!$G$15)&amp;"","")=""))))</f>
        <v>1</v>
      </c>
      <c r="BP16">
        <f>IF($D$4="",1,--(OR(SUMPRODUCT(--(TRIM(MID(SUBSTITUTE(SUBSTITUTE($D$4,"/",","),",",REPT(" ",99)),(ROW($1:$8)-1)*99+1,99))&lt;&gt;""),--ISNUMBER(SEARCH(TRIM(MID(SUBSTITUTE(SUBSTITUTE($D$4,"/",","),",",REPT(" ",99)),(ROW($1:$8)-1)*99+1,99)),IFERROR(('Final Calculation Sheet'!$B$15)&amp;"",""))))&gt;0,AND(ISNUMBER(SEARCH("blank",$D$4)),NOT(ISNUMBER(SEARCH("nonblank",$D$4))),IFERROR(('Final Calculation Sheet'!$B$15)&amp;"","")=""),AND(OR(ISNUMBER(SEARCH("nonblank",$D$4)),ISNUMBER(SEARCH("&lt;&gt;",$D$4))),IFERROR(('Final Calculation Sheet'!$B$15)&amp;"","")&lt;&gt;""),AND(TRIM($D$4)="",IFERROR(('Final Calculation Sheet'!$B$15)&amp;"","")=""))))</f>
        <v>1</v>
      </c>
      <c r="BQ16">
        <f>IF($E$4="",1,--(OR(SUMPRODUCT(--(TRIM(MID(SUBSTITUTE(SUBSTITUTE($E$4,"/",","),",",REPT(" ",99)),(ROW($1:$8)-1)*99+1,99))&lt;&gt;""),--ISNUMBER(SEARCH(TRIM(MID(SUBSTITUTE(SUBSTITUTE($E$4,"/",","),",",REPT(" ",99)),(ROW($1:$8)-1)*99+1,99)),IFERROR(('Final Calculation Sheet'!$D$15)&amp;"",""))))&gt;0,AND(ISNUMBER(SEARCH("blank",$E$4)),NOT(ISNUMBER(SEARCH("nonblank",$E$4))),IFERROR(('Final Calculation Sheet'!$D$15)&amp;"","")=""),AND(OR(ISNUMBER(SEARCH("nonblank",$E$4)),ISNUMBER(SEARCH("&lt;&gt;",$E$4))),IFERROR(('Final Calculation Sheet'!$D$15)&amp;"","")&lt;&gt;""),AND(TRIM($E$4)="",IFERROR(('Final Calculation Sheet'!$D$15)&amp;"","")=""))))</f>
        <v>1</v>
      </c>
      <c r="BR16">
        <f>IF($F$4="",1,--(OR(SUMPRODUCT(--(TRIM(MID(SUBSTITUTE(SUBSTITUTE($F$4,"/",","),",",REPT(" ",99)),(ROW($1:$8)-1)*99+1,99))&lt;&gt;""),--ISNUMBER(SEARCH(TRIM(MID(SUBSTITUTE(SUBSTITUTE($F$4,"/",","),",",REPT(" ",99)),(ROW($1:$8)-1)*99+1,99)),IFERROR(('Final Calculation Sheet'!$A$15)&amp;"",""))))&gt;0,AND(ISNUMBER(SEARCH("blank",$F$4)),NOT(ISNUMBER(SEARCH("nonblank",$F$4))),IFERROR(('Final Calculation Sheet'!$A$15)&amp;"","")=""),AND(OR(ISNUMBER(SEARCH("nonblank",$F$4)),ISNUMBER(SEARCH("&lt;&gt;",$F$4))),IFERROR(('Final Calculation Sheet'!$A$15)&amp;"","")&lt;&gt;""),AND(TRIM($F$4)="",IFERROR(('Final Calculation Sheet'!$A$15)&amp;"","")=""))))</f>
        <v>1</v>
      </c>
      <c r="BS16">
        <f>IF($G$4="",1,--(OR(SUMPRODUCT(--(TRIM(MID(SUBSTITUTE(SUBSTITUTE($G$4,"/",","),",",REPT(" ",99)),(ROW($1:$8)-1)*99+1,99))&lt;&gt;""),--ISNUMBER(SEARCH(TRIM(MID(SUBSTITUTE(SUBSTITUTE($G$4,"/",","),",",REPT(" ",99)),(ROW($1:$8)-1)*99+1,99)),IFERROR(('Final Calculation Sheet'!$E$15)&amp;"",""))))&gt;0,AND(ISNUMBER(SEARCH("blank",$G$4)),NOT(ISNUMBER(SEARCH("nonblank",$G$4))),IFERROR(('Final Calculation Sheet'!$E$15)&amp;"","")=""),AND(OR(ISNUMBER(SEARCH("nonblank",$G$4)),ISNUMBER(SEARCH("&lt;&gt;",$G$4))),IFERROR(('Final Calculation Sheet'!$E$15)&amp;"","")&lt;&gt;""),AND(TRIM($G$4)="",IFERROR(('Final Calculation Sheet'!$E$15)&amp;"","")=""))))</f>
        <v>1</v>
      </c>
      <c r="BT16">
        <f>IF($H$4="",1,--(OR(SUMPRODUCT(--(TRIM(MID(SUBSTITUTE(SUBSTITUTE($H$4,"/",","),",",REPT(" ",99)),(ROW($1:$8)-1)*99+1,99))&lt;&gt;""),--ISNUMBER(SEARCH(TRIM(MID(SUBSTITUTE(SUBSTITUTE($H$4,"/",","),",",REPT(" ",99)),(ROW($1:$8)-1)*99+1,99)),IFERROR(('Final Calculation Sheet'!$C$15)&amp;"",""))))&gt;0,AND(ISNUMBER(SEARCH("blank",$H$4)),NOT(ISNUMBER(SEARCH("nonblank",$H$4))),IFERROR(('Final Calculation Sheet'!$C$15)&amp;"","")=""),AND(OR(ISNUMBER(SEARCH("nonblank",$H$4)),ISNUMBER(SEARCH("&lt;&gt;",$H$4))),IFERROR(('Final Calculation Sheet'!$C$15)&amp;"","")&lt;&gt;""),AND(TRIM($H$4)="",IFERROR(('Final Calculation Sheet'!$C$15)&amp;"","")=""))))</f>
        <v>1</v>
      </c>
      <c r="BU16">
        <f>IF($I$4="",1,--(OR(SUMPRODUCT(--(TRIM(MID(SUBSTITUTE(SUBSTITUTE($I$4,"/",","),",",REPT(" ",99)),(ROW($1:$8)-1)*99+1,99))&lt;&gt;""),--ISNUMBER(SEARCH(TRIM(MID(SUBSTITUTE(SUBSTITUTE($I$4,"/",","),",",REPT(" ",99)),(ROW($1:$8)-1)*99+1,99)),IFERROR(('Final Calculation Sheet'!$H$15)&amp;"",""))))&gt;0,AND(ISNUMBER(SEARCH("blank",$I$4)),NOT(ISNUMBER(SEARCH("nonblank",$I$4))),IFERROR(('Final Calculation Sheet'!$H$15)&amp;"","")=""),AND(OR(ISNUMBER(SEARCH("nonblank",$I$4)),ISNUMBER(SEARCH("&lt;&gt;",$I$4))),IFERROR(('Final Calculation Sheet'!$H$15)&amp;"","")&lt;&gt;""),AND(TRIM($I$4)="",IFERROR(('Final Calculation Sheet'!$H$15)&amp;"","")=""))))</f>
        <v>1</v>
      </c>
      <c r="BV16">
        <f>IF($J$4="",1,--(OR(SUMPRODUCT(--(TRIM(MID(SUBSTITUTE(SUBSTITUTE($J$4,"/",","),",",REPT(" ",99)),(ROW($1:$8)-1)*99+1,99))&lt;&gt;""),--ISNUMBER(SEARCH(TRIM(MID(SUBSTITUTE(SUBSTITUTE($J$4,"/",","),",",REPT(" ",99)),(ROW($1:$8)-1)*99+1,99)),IFERROR(('Final Calculation Sheet'!$I$15)&amp;"",""))))&gt;0,AND(ISNUMBER(SEARCH("blank",$J$4)),NOT(ISNUMBER(SEARCH("nonblank",$J$4))),IFERROR(('Final Calculation Sheet'!$I$15)&amp;"","")=""),AND(OR(ISNUMBER(SEARCH("nonblank",$J$4)),ISNUMBER(SEARCH("&lt;&gt;",$J$4))),IFERROR(('Final Calculation Sheet'!$I$15)&amp;"","")&lt;&gt;""),AND(TRIM($J$4)="",IFERROR(('Final Calculation Sheet'!$I$15)&amp;"","")=""))))</f>
        <v>1</v>
      </c>
      <c r="BW16">
        <f>IF($K$4="",1,--(OR(SUMPRODUCT(--(TRIM(MID(SUBSTITUTE(SUBSTITUTE($K$4,"/",","),",",REPT(" ",99)),(ROW($1:$8)-1)*99+1,99))&lt;&gt;""),--ISNUMBER(SEARCH(TRIM(MID(SUBSTITUTE(SUBSTITUTE($K$4,"/",","),",",REPT(" ",99)),(ROW($1:$8)-1)*99+1,99)),IFERROR(('Final Calculation Sheet'!$J$15)&amp;"",""))))&gt;0,AND(ISNUMBER(SEARCH("blank",$K$4)),NOT(ISNUMBER(SEARCH("nonblank",$K$4))),IFERROR(('Final Calculation Sheet'!$J$15)&amp;"","")=""),AND(OR(ISNUMBER(SEARCH("nonblank",$K$4)),ISNUMBER(SEARCH("&lt;&gt;",$K$4))),IFERROR(('Final Calculation Sheet'!$J$15)&amp;"","")&lt;&gt;""),AND(TRIM($K$4)="",IFERROR(('Final Calculation Sheet'!$J$15)&amp;"","")=""))))</f>
        <v>1</v>
      </c>
      <c r="BX16">
        <f>IF($L$4="",1,--(OR(SUMPRODUCT(--(TRIM(MID(SUBSTITUTE(SUBSTITUTE($L$4,"/",","),",",REPT(" ",99)),(ROW($1:$8)-1)*99+1,99))&lt;&gt;""),--ISNUMBER(SEARCH(TRIM(MID(SUBSTITUTE(SUBSTITUTE($L$4,"/",","),",",REPT(" ",99)),(ROW($1:$8)-1)*99+1,99)),IFERROR(('Final Calculation Sheet'!$K$15)&amp;"",""))))&gt;0,AND(ISNUMBER(SEARCH("blank",$L$4)),NOT(ISNUMBER(SEARCH("nonblank",$L$4))),IFERROR(('Final Calculation Sheet'!$K$15)&amp;"","")=""),AND(OR(ISNUMBER(SEARCH("nonblank",$L$4)),ISNUMBER(SEARCH("&lt;&gt;",$L$4))),IFERROR(('Final Calculation Sheet'!$K$15)&amp;"","")&lt;&gt;""),AND(TRIM($L$4)="",IFERROR(('Final Calculation Sheet'!$K$15)&amp;"","")=""))))</f>
        <v>1</v>
      </c>
      <c r="BY16">
        <f>IF($M$4="",1,--(OR(SUMPRODUCT(--(TRIM(MID(SUBSTITUTE(SUBSTITUTE($M$4,"/",","),",",REPT(" ",99)),(ROW($1:$8)-1)*99+1,99))&lt;&gt;""),--ISNUMBER(SEARCH(TRIM(MID(SUBSTITUTE(SUBSTITUTE($M$4,"/",","),",",REPT(" ",99)),(ROW($1:$8)-1)*99+1,99)),IFERROR(('Final Calculation Sheet'!$L$15)&amp;"",""))))&gt;0,AND(ISNUMBER(SEARCH("blank",$M$4)),NOT(ISNUMBER(SEARCH("nonblank",$M$4))),IFERROR(('Final Calculation Sheet'!$L$15)&amp;"","")=""),AND(OR(ISNUMBER(SEARCH("nonblank",$M$4)),ISNUMBER(SEARCH("&lt;&gt;",$M$4))),IFERROR(('Final Calculation Sheet'!$L$15)&amp;"","")&lt;&gt;""),AND(TRIM($M$4)="",IFERROR(('Final Calculation Sheet'!$L$15)&amp;"","")=""))))</f>
        <v>1</v>
      </c>
      <c r="BZ16">
        <f>IF($N$4="",1,--(OR(SUMPRODUCT(--(TRIM(MID(SUBSTITUTE(SUBSTITUTE($N$4,"/",","),",",REPT(" ",99)),(ROW($1:$8)-1)*99+1,99))&lt;&gt;""),--ISNUMBER(SEARCH(TRIM(MID(SUBSTITUTE(SUBSTITUTE($N$4,"/",","),",",REPT(" ",99)),(ROW($1:$8)-1)*99+1,99)),IFERROR(('Final Calculation Sheet'!$M$15)&amp;"",""))))&gt;0,AND(ISNUMBER(SEARCH("blank",$N$4)),NOT(ISNUMBER(SEARCH("nonblank",$N$4))),IFERROR(('Final Calculation Sheet'!$M$15)&amp;"","")=""),AND(OR(ISNUMBER(SEARCH("nonblank",$N$4)),ISNUMBER(SEARCH("&lt;&gt;",$N$4))),IFERROR(('Final Calculation Sheet'!$M$15)&amp;"","")&lt;&gt;""),AND(TRIM($N$4)="",IFERROR(('Final Calculation Sheet'!$M$15)&amp;"","")=""))))</f>
        <v>1</v>
      </c>
      <c r="CA16">
        <f>IF($O$4="",1,--(OR(SUMPRODUCT(--(TRIM(MID(SUBSTITUTE(SUBSTITUTE($O$4,"/",","),",",REPT(" ",99)),(ROW($1:$8)-1)*99+1,99))&lt;&gt;""),--ISNUMBER(SEARCH(TRIM(MID(SUBSTITUTE(SUBSTITUTE($O$4,"/",","),",",REPT(" ",99)),(ROW($1:$8)-1)*99+1,99)),IFERROR(('Final Calculation Sheet'!$N$15)&amp;"",""))))&gt;0,AND(ISNUMBER(SEARCH("blank",$O$4)),NOT(ISNUMBER(SEARCH("nonblank",$O$4))),IFERROR(('Final Calculation Sheet'!$N$15)&amp;"","")=""),AND(OR(ISNUMBER(SEARCH("nonblank",$O$4)),ISNUMBER(SEARCH("&lt;&gt;",$O$4))),IFERROR(('Final Calculation Sheet'!$N$15)&amp;"","")&lt;&gt;""),AND(TRIM($O$4)="",IFERROR(('Final Calculation Sheet'!$N$15)&amp;"","")=""))))</f>
        <v>1</v>
      </c>
      <c r="CB16">
        <f>IF($P$4="",1,--(OR(SUMPRODUCT(--(TRIM(MID(SUBSTITUTE(SUBSTITUTE($P$4,"/",","),",",REPT(" ",99)),(ROW($1:$8)-1)*99+1,99))&lt;&gt;""),--ISNUMBER(SEARCH(TRIM(MID(SUBSTITUTE(SUBSTITUTE($P$4,"/",","),",",REPT(" ",99)),(ROW($1:$8)-1)*99+1,99)),IFERROR(('Final Calculation Sheet'!$O$15)&amp;"",""))))&gt;0,AND(ISNUMBER(SEARCH("blank",$P$4)),NOT(ISNUMBER(SEARCH("nonblank",$P$4))),IFERROR(('Final Calculation Sheet'!$O$15)&amp;"","")=""),AND(OR(ISNUMBER(SEARCH("nonblank",$P$4)),ISNUMBER(SEARCH("&lt;&gt;",$P$4))),IFERROR(('Final Calculation Sheet'!$O$15)&amp;"","")&lt;&gt;""),AND(TRIM($P$4)="",IFERROR(('Final Calculation Sheet'!$O$15)&amp;"","")=""))))</f>
        <v>1</v>
      </c>
      <c r="CC16">
        <f>IF($Q$4="",1,--(OR(SUMPRODUCT(--(TRIM(MID(SUBSTITUTE(SUBSTITUTE($Q$4,"/",","),",",REPT(" ",99)),(ROW($1:$8)-1)*99+1,99))&lt;&gt;""),--ISNUMBER(SEARCH(TRIM(MID(SUBSTITUTE(SUBSTITUTE($Q$4,"/",","),",",REPT(" ",99)),(ROW($1:$8)-1)*99+1,99)),IFERROR(('Final Calculation Sheet'!$P$15)&amp;"",""))))&gt;0,AND(ISNUMBER(SEARCH("blank",$Q$4)),NOT(ISNUMBER(SEARCH("nonblank",$Q$4))),IFERROR(('Final Calculation Sheet'!$P$15)&amp;"","")=""),AND(OR(ISNUMBER(SEARCH("nonblank",$Q$4)),ISNUMBER(SEARCH("&lt;&gt;",$Q$4))),IFERROR(('Final Calculation Sheet'!$P$15)&amp;"","")&lt;&gt;""),AND(TRIM($Q$4)="",IFERROR(('Final Calculation Sheet'!$P$15)&amp;"","")=""))))</f>
        <v>1</v>
      </c>
      <c r="CD16">
        <f>IF($R$4="",1,--(OR(SUMPRODUCT(--(TRIM(MID(SUBSTITUTE(SUBSTITUTE($R$4,"/",","),",",REPT(" ",99)),(ROW($1:$8)-1)*99+1,99))&lt;&gt;""),--ISNUMBER(SEARCH(TRIM(MID(SUBSTITUTE(SUBSTITUTE($R$4,"/",","),",",REPT(" ",99)),(ROW($1:$8)-1)*99+1,99)),IFERROR(('Final Calculation Sheet'!$Q$15)&amp;"",""))))&gt;0,AND(ISNUMBER(SEARCH("blank",$R$4)),NOT(ISNUMBER(SEARCH("nonblank",$R$4))),IFERROR(('Final Calculation Sheet'!$Q$15)&amp;"","")=""),AND(OR(ISNUMBER(SEARCH("nonblank",$R$4)),ISNUMBER(SEARCH("&lt;&gt;",$R$4))),IFERROR(('Final Calculation Sheet'!$Q$15)&amp;"","")&lt;&gt;""),AND(TRIM($R$4)="",IFERROR(('Final Calculation Sheet'!$Q$15)&amp;"","")=""))))</f>
        <v>1</v>
      </c>
      <c r="CE16">
        <f>IF($S$4="",1,--(OR(SUMPRODUCT(--(TRIM(MID(SUBSTITUTE(SUBSTITUTE($S$4,"/",","),",",REPT(" ",99)),(ROW($1:$8)-1)*99+1,99))&lt;&gt;""),--ISNUMBER(SEARCH(TRIM(MID(SUBSTITUTE(SUBSTITUTE($S$4,"/",","),",",REPT(" ",99)),(ROW($1:$8)-1)*99+1,99)),IFERROR(('Final Calculation Sheet'!$R$15)&amp;"",""))))&gt;0,AND(ISNUMBER(SEARCH("blank",$S$4)),NOT(ISNUMBER(SEARCH("nonblank",$S$4))),IFERROR(('Final Calculation Sheet'!$R$15)&amp;"","")=""),AND(OR(ISNUMBER(SEARCH("nonblank",$S$4)),ISNUMBER(SEARCH("&lt;&gt;",$S$4))),IFERROR(('Final Calculation Sheet'!$R$15)&amp;"","")&lt;&gt;""),AND(TRIM($S$4)="",IFERROR(('Final Calculation Sheet'!$R$15)&amp;"","")=""))))</f>
        <v>1</v>
      </c>
      <c r="CF16">
        <f>IF($T$4="",1,--(OR(SUMPRODUCT(--(TRIM(MID(SUBSTITUTE(SUBSTITUTE($T$4,"/",","),",",REPT(" ",99)),(ROW($1:$8)-1)*99+1,99))&lt;&gt;""),--ISNUMBER(SEARCH(TRIM(MID(SUBSTITUTE(SUBSTITUTE($T$4,"/",","),",",REPT(" ",99)),(ROW($1:$8)-1)*99+1,99)),IFERROR(('Final Calculation Sheet'!$S$15)&amp;"",""))))&gt;0,AND(ISNUMBER(SEARCH("blank",$T$4)),NOT(ISNUMBER(SEARCH("nonblank",$T$4))),IFERROR(('Final Calculation Sheet'!$S$15)&amp;"","")=""),AND(OR(ISNUMBER(SEARCH("nonblank",$T$4)),ISNUMBER(SEARCH("&lt;&gt;",$T$4))),IFERROR(('Final Calculation Sheet'!$S$15)&amp;"","")&lt;&gt;""),AND(TRIM($T$4)="",IFERROR(('Final Calculation Sheet'!$S$15)&amp;"","")=""))))</f>
        <v>1</v>
      </c>
      <c r="CG16">
        <f>IF($U$4="",1,--(OR(SUMPRODUCT(--(TRIM(MID(SUBSTITUTE(SUBSTITUTE($U$4,"/",","),",",REPT(" ",99)),(ROW($1:$8)-1)*99+1,99))&lt;&gt;""),--ISNUMBER(SEARCH(TRIM(MID(SUBSTITUTE(SUBSTITUTE($U$4,"/",","),",",REPT(" ",99)),(ROW($1:$8)-1)*99+1,99)),IFERROR(('Final Calculation Sheet'!$T$15)&amp;"",""))))&gt;0,AND(ISNUMBER(SEARCH("blank",$U$4)),NOT(ISNUMBER(SEARCH("nonblank",$U$4))),IFERROR(('Final Calculation Sheet'!$T$15)&amp;"","")=""),AND(OR(ISNUMBER(SEARCH("nonblank",$U$4)),ISNUMBER(SEARCH("&lt;&gt;",$U$4))),IFERROR(('Final Calculation Sheet'!$T$15)&amp;"","")&lt;&gt;""),AND(TRIM($U$4)="",IFERROR(('Final Calculation Sheet'!$T$15)&amp;"","")=""))))</f>
        <v>1</v>
      </c>
      <c r="CH16">
        <f>IF($V$4="",1,--(OR(SUMPRODUCT(--(TRIM(MID(SUBSTITUTE(SUBSTITUTE($V$4,"/",","),",",REPT(" ",99)),(ROW($1:$8)-1)*99+1,99))&lt;&gt;""),--ISNUMBER(SEARCH(TRIM(MID(SUBSTITUTE(SUBSTITUTE($V$4,"/",","),",",REPT(" ",99)),(ROW($1:$8)-1)*99+1,99)),IFERROR(('Final Calculation Sheet'!$U$15)&amp;"",""))))&gt;0,AND(ISNUMBER(SEARCH("blank",$V$4)),NOT(ISNUMBER(SEARCH("nonblank",$V$4))),IFERROR(('Final Calculation Sheet'!$U$15)&amp;"","")=""),AND(OR(ISNUMBER(SEARCH("nonblank",$V$4)),ISNUMBER(SEARCH("&lt;&gt;",$V$4))),IFERROR(('Final Calculation Sheet'!$U$15)&amp;"","")&lt;&gt;""),AND(TRIM($V$4)="",IFERROR(('Final Calculation Sheet'!$U$15)&amp;"","")=""))))</f>
        <v>1</v>
      </c>
      <c r="CI16">
        <f>IF($W$4="",1,--(OR(SUMPRODUCT(--(TRIM(MID(SUBSTITUTE(SUBSTITUTE($W$4,"/",","),",",REPT(" ",99)),(ROW($1:$8)-1)*99+1,99))&lt;&gt;""),--ISNUMBER(SEARCH(TRIM(MID(SUBSTITUTE(SUBSTITUTE($W$4,"/",","),",",REPT(" ",99)),(ROW($1:$8)-1)*99+1,99)),IFERROR(('Final Calculation Sheet'!$V$15)&amp;"",""))))&gt;0,AND(ISNUMBER(SEARCH("blank",$W$4)),NOT(ISNUMBER(SEARCH("nonblank",$W$4))),IFERROR(('Final Calculation Sheet'!$V$15)&amp;"","")=""),AND(OR(ISNUMBER(SEARCH("nonblank",$W$4)),ISNUMBER(SEARCH("&lt;&gt;",$W$4))),IFERROR(('Final Calculation Sheet'!$V$15)&amp;"","")&lt;&gt;""),AND(TRIM($W$4)="",IFERROR(('Final Calculation Sheet'!$V$15)&amp;"","")=""))))</f>
        <v>1</v>
      </c>
      <c r="CJ16">
        <f>IF($X$4="",1,--(OR(SUMPRODUCT(--(TRIM(MID(SUBSTITUTE(SUBSTITUTE($X$4,"/",","),",",REPT(" ",99)),(ROW($1:$8)-1)*99+1,99))&lt;&gt;""),--ISNUMBER(SEARCH(TRIM(MID(SUBSTITUTE(SUBSTITUTE($X$4,"/",","),",",REPT(" ",99)),(ROW($1:$8)-1)*99+1,99)),IFERROR(('Final Calculation Sheet'!$W$15)&amp;"",""))))&gt;0,AND(ISNUMBER(SEARCH("blank",$X$4)),NOT(ISNUMBER(SEARCH("nonblank",$X$4))),IFERROR(('Final Calculation Sheet'!$W$15)&amp;"","")=""),AND(OR(ISNUMBER(SEARCH("nonblank",$X$4)),ISNUMBER(SEARCH("&lt;&gt;",$X$4))),IFERROR(('Final Calculation Sheet'!$W$15)&amp;"","")&lt;&gt;""),AND(TRIM($X$4)="",IFERROR(('Final Calculation Sheet'!$W$15)&amp;"","")=""))))</f>
        <v>1</v>
      </c>
      <c r="CK16">
        <f>IF($Y$4="",1,--(OR(SUMPRODUCT(--(TRIM(MID(SUBSTITUTE(SUBSTITUTE($Y$4,"/",","),",",REPT(" ",99)),(ROW($1:$8)-1)*99+1,99))&lt;&gt;""),--ISNUMBER(SEARCH(TRIM(MID(SUBSTITUTE(SUBSTITUTE($Y$4,"/",","),",",REPT(" ",99)),(ROW($1:$8)-1)*99+1,99)),IFERROR(('Final Calculation Sheet'!$X$15)&amp;"",""))))&gt;0,AND(ISNUMBER(SEARCH("blank",$Y$4)),NOT(ISNUMBER(SEARCH("nonblank",$Y$4))),IFERROR(('Final Calculation Sheet'!$X$15)&amp;"","")=""),AND(OR(ISNUMBER(SEARCH("nonblank",$Y$4)),ISNUMBER(SEARCH("&lt;&gt;",$Y$4))),IFERROR(('Final Calculation Sheet'!$X$15)&amp;"","")&lt;&gt;""),AND(TRIM($Y$4)="",IFERROR(('Final Calculation Sheet'!$X$15)&amp;"","")=""))))</f>
        <v>1</v>
      </c>
      <c r="CL16">
        <f>IF($Z$4="",1,--(OR(SUMPRODUCT(--(TRIM(MID(SUBSTITUTE(SUBSTITUTE($Z$4,"/",","),",",REPT(" ",99)),(ROW($1:$8)-1)*99+1,99))&lt;&gt;""),--ISNUMBER(SEARCH(TRIM(MID(SUBSTITUTE(SUBSTITUTE($Z$4,"/",","),",",REPT(" ",99)),(ROW($1:$8)-1)*99+1,99)),IFERROR(('Final Calculation Sheet'!$Y$15)&amp;"",""))))&gt;0,AND(ISNUMBER(SEARCH("blank",$Z$4)),NOT(ISNUMBER(SEARCH("nonblank",$Z$4))),IFERROR(('Final Calculation Sheet'!$Y$15)&amp;"","")=""),AND(OR(ISNUMBER(SEARCH("nonblank",$Z$4)),ISNUMBER(SEARCH("&lt;&gt;",$Z$4))),IFERROR(('Final Calculation Sheet'!$Y$15)&amp;"","")&lt;&gt;""),AND(TRIM($Z$4)="",IFERROR(('Final Calculation Sheet'!$Y$15)&amp;"","")=""))))</f>
        <v>1</v>
      </c>
      <c r="CM16">
        <f>IF($AA$4="",1,--(OR(SUMPRODUCT(--(TRIM(MID(SUBSTITUTE(SUBSTITUTE($AA$4,"/",","),",",REPT(" ",99)),(ROW($1:$8)-1)*99+1,99))&lt;&gt;""),--ISNUMBER(SEARCH(TRIM(MID(SUBSTITUTE(SUBSTITUTE($AA$4,"/",","),",",REPT(" ",99)),(ROW($1:$8)-1)*99+1,99)),IFERROR(('Final Calculation Sheet'!$Z$15)&amp;"",""))))&gt;0,AND(ISNUMBER(SEARCH("blank",$AA$4)),NOT(ISNUMBER(SEARCH("nonblank",$AA$4))),IFERROR(('Final Calculation Sheet'!$Z$15)&amp;"","")=""),AND(OR(ISNUMBER(SEARCH("nonblank",$AA$4)),ISNUMBER(SEARCH("&lt;&gt;",$AA$4))),IFERROR(('Final Calculation Sheet'!$Z$15)&amp;"","")&lt;&gt;""),AND(TRIM($AA$4)="",IFERROR(('Final Calculation Sheet'!$Z$15)&amp;"","")=""))))</f>
        <v>1</v>
      </c>
      <c r="CN16">
        <f>IF($AB$4="",1,--(OR(SUMPRODUCT(--(TRIM(MID(SUBSTITUTE(SUBSTITUTE($AB$4,"/",","),",",REPT(" ",99)),(ROW($1:$8)-1)*99+1,99))&lt;&gt;""),--ISNUMBER(SEARCH(TRIM(MID(SUBSTITUTE(SUBSTITUTE($AB$4,"/",","),",",REPT(" ",99)),(ROW($1:$8)-1)*99+1,99)),IFERROR(('Final Calculation Sheet'!$AA$15)&amp;"",""))))&gt;0,AND(ISNUMBER(SEARCH("blank",$AB$4)),NOT(ISNUMBER(SEARCH("nonblank",$AB$4))),IFERROR(('Final Calculation Sheet'!$AA$15)&amp;"","")=""),AND(OR(ISNUMBER(SEARCH("nonblank",$AB$4)),ISNUMBER(SEARCH("&lt;&gt;",$AB$4))),IFERROR(('Final Calculation Sheet'!$AA$15)&amp;"","")&lt;&gt;""),AND(TRIM($AB$4)="",IFERROR(('Final Calculation Sheet'!$AA$15)&amp;"","")=""))))</f>
        <v>1</v>
      </c>
      <c r="CO16">
        <f>IF($AC$4="",1,--(OR(SUMPRODUCT(--(TRIM(MID(SUBSTITUTE(SUBSTITUTE($AC$4,"/",","),",",REPT(" ",99)),(ROW($1:$8)-1)*99+1,99))&lt;&gt;""),--ISNUMBER(SEARCH(TRIM(MID(SUBSTITUTE(SUBSTITUTE($AC$4,"/",","),",",REPT(" ",99)),(ROW($1:$8)-1)*99+1,99)),IFERROR(('Final Calculation Sheet'!$AB$15)&amp;"",""))))&gt;0,AND(ISNUMBER(SEARCH("blank",$AC$4)),NOT(ISNUMBER(SEARCH("nonblank",$AC$4))),IFERROR(('Final Calculation Sheet'!$AB$15)&amp;"","")=""),AND(OR(ISNUMBER(SEARCH("nonblank",$AC$4)),ISNUMBER(SEARCH("&lt;&gt;",$AC$4))),IFERROR(('Final Calculation Sheet'!$AB$15)&amp;"","")&lt;&gt;""),AND(TRIM($AC$4)="",IFERROR(('Final Calculation Sheet'!$AB$15)&amp;"","")=""))))</f>
        <v>1</v>
      </c>
      <c r="CP16">
        <f>IF($AD$4="",1,--(OR(SUMPRODUCT(--(TRIM(MID(SUBSTITUTE(SUBSTITUTE($AD$4,"/",","),",",REPT(" ",99)),(ROW($1:$8)-1)*99+1,99))&lt;&gt;""),--ISNUMBER(SEARCH(TRIM(MID(SUBSTITUTE(SUBSTITUTE($AD$4,"/",","),",",REPT(" ",99)),(ROW($1:$8)-1)*99+1,99)),IFERROR(('Final Calculation Sheet'!$AC$15)&amp;"",""))))&gt;0,AND(ISNUMBER(SEARCH("blank",$AD$4)),NOT(ISNUMBER(SEARCH("nonblank",$AD$4))),IFERROR(('Final Calculation Sheet'!$AC$15)&amp;"","")=""),AND(OR(ISNUMBER(SEARCH("nonblank",$AD$4)),ISNUMBER(SEARCH("&lt;&gt;",$AD$4))),IFERROR(('Final Calculation Sheet'!$AC$15)&amp;"","")&lt;&gt;""),AND(TRIM($AD$4)="",IFERROR(('Final Calculation Sheet'!$AC$15)&amp;"","")=""))))</f>
        <v>1</v>
      </c>
      <c r="CQ16">
        <f>IF($AE$4="",1,--(OR(SUMPRODUCT(--(TRIM(MID(SUBSTITUTE(SUBSTITUTE($AE$4,"/",","),",",REPT(" ",99)),(ROW($1:$8)-1)*99+1,99))&lt;&gt;""),--ISNUMBER(SEARCH(TRIM(MID(SUBSTITUTE(SUBSTITUTE($AE$4,"/",","),",",REPT(" ",99)),(ROW($1:$8)-1)*99+1,99)),IFERROR(('Final Calculation Sheet'!$AD$15)&amp;"",""))))&gt;0,AND(ISNUMBER(SEARCH("blank",$AE$4)),NOT(ISNUMBER(SEARCH("nonblank",$AE$4))),IFERROR(('Final Calculation Sheet'!$AD$15)&amp;"","")=""),AND(OR(ISNUMBER(SEARCH("nonblank",$AE$4)),ISNUMBER(SEARCH("&lt;&gt;",$AE$4))),IFERROR(('Final Calculation Sheet'!$AD$15)&amp;"","")&lt;&gt;""),AND(TRIM($AE$4)="",IFERROR(('Final Calculation Sheet'!$AD$15)&amp;"","")=""))))</f>
        <v>1</v>
      </c>
      <c r="CR16">
        <f>IF($AF$4="",1,--(OR(SUMPRODUCT(--(TRIM(MID(SUBSTITUTE(SUBSTITUTE($AF$4,"/",","),",",REPT(" ",99)),(ROW($1:$8)-1)*99+1,99))&lt;&gt;""),--ISNUMBER(SEARCH(TRIM(MID(SUBSTITUTE(SUBSTITUTE($AF$4,"/",","),",",REPT(" ",99)),(ROW($1:$8)-1)*99+1,99)),IFERROR(('Final Calculation Sheet'!$AE$15)&amp;"",""))))&gt;0,AND(ISNUMBER(SEARCH("blank",$AF$4)),NOT(ISNUMBER(SEARCH("nonblank",$AF$4))),IFERROR(('Final Calculation Sheet'!$AE$15)&amp;"","")=""),AND(OR(ISNUMBER(SEARCH("nonblank",$AF$4)),ISNUMBER(SEARCH("&lt;&gt;",$AF$4))),IFERROR(('Final Calculation Sheet'!$AE$15)&amp;"","")&lt;&gt;""),AND(TRIM($AF$4)="",IFERROR(('Final Calculation Sheet'!$AE$15)&amp;"","")=""))))</f>
        <v>1</v>
      </c>
      <c r="CS16">
        <f>IF($AG$4="",1,--(OR(SUMPRODUCT(--(TRIM(MID(SUBSTITUTE(SUBSTITUTE($AG$4,"/",","),",",REPT(" ",99)),(ROW($1:$8)-1)*99+1,99))&lt;&gt;""),--ISNUMBER(SEARCH(TRIM(MID(SUBSTITUTE(SUBSTITUTE($AG$4,"/",","),",",REPT(" ",99)),(ROW($1:$8)-1)*99+1,99)),IFERROR(('Final Calculation Sheet'!$AF$15)&amp;"",""))))&gt;0,AND(ISNUMBER(SEARCH("blank",$AG$4)),NOT(ISNUMBER(SEARCH("nonblank",$AG$4))),IFERROR(('Final Calculation Sheet'!$AF$15)&amp;"","")=""),AND(OR(ISNUMBER(SEARCH("nonblank",$AG$4)),ISNUMBER(SEARCH("&lt;&gt;",$AG$4))),IFERROR(('Final Calculation Sheet'!$AF$15)&amp;"","")&lt;&gt;""),AND(TRIM($AG$4)="",IFERROR(('Final Calculation Sheet'!$AF$15)&amp;"","")=""))))</f>
        <v>1</v>
      </c>
      <c r="CT16">
        <f>IF($AH$4="",1,--(OR(SUMPRODUCT(--(TRIM(MID(SUBSTITUTE(SUBSTITUTE($AH$4,"/",","),",",REPT(" ",99)),(ROW($1:$8)-1)*99+1,99))&lt;&gt;""),--ISNUMBER(SEARCH(TRIM(MID(SUBSTITUTE(SUBSTITUTE($AH$4,"/",","),",",REPT(" ",99)),(ROW($1:$8)-1)*99+1,99)),IFERROR(('Final Calculation Sheet'!$AG$15)&amp;"",""))))&gt;0,AND(ISNUMBER(SEARCH("blank",$AH$4)),NOT(ISNUMBER(SEARCH("nonblank",$AH$4))),IFERROR(('Final Calculation Sheet'!$AG$15)&amp;"","")=""),AND(OR(ISNUMBER(SEARCH("nonblank",$AH$4)),ISNUMBER(SEARCH("&lt;&gt;",$AH$4))),IFERROR(('Final Calculation Sheet'!$AG$15)&amp;"","")&lt;&gt;""),AND(TRIM($AH$4)="",IFERROR(('Final Calculation Sheet'!$AG$15)&amp;"","")=""))))</f>
        <v>1</v>
      </c>
      <c r="CU16">
        <f>IF($AI$4="",1,--(OR(SUMPRODUCT(--(TRIM(MID(SUBSTITUTE(SUBSTITUTE($AI$4,"/",","),",",REPT(" ",99)),(ROW($1:$8)-1)*99+1,99))&lt;&gt;""),--ISNUMBER(SEARCH(TRIM(MID(SUBSTITUTE(SUBSTITUTE($AI$4,"/",","),",",REPT(" ",99)),(ROW($1:$8)-1)*99+1,99)),IFERROR((IF('Final Calculation Sheet'!$AD$15&lt;=5,"SETTLED","OUTSTANDING"))&amp;"",""))))&gt;0,AND(ISNUMBER(SEARCH("blank",$AI$4)),NOT(ISNUMBER(SEARCH("nonblank",$AI$4))),IFERROR((IF('Final Calculation Sheet'!$AD$15&lt;=5,"SETTLED","OUTSTANDING"))&amp;"","")=""),AND(OR(ISNUMBER(SEARCH("nonblank",$AI$4)),ISNUMBER(SEARCH("&lt;&gt;",$AI$4))),IFERROR((IF('Final Calculation Sheet'!$AD$15&lt;=5,"SETTLED","OUTSTANDING"))&amp;"","")&lt;&gt;""),AND(TRIM($AI$4)="",IFERROR((IF('Final Calculation Sheet'!$AD$15&lt;=5,"SETTLED","OUTSTANDING"))&amp;"","")=""))))</f>
        <v>1</v>
      </c>
    </row>
    <row r="17" ht="15" customHeight="1" s="137">
      <c r="A17" s="67">
        <f>IF($BJ16&gt;0,INDEX($BA$5:$BA$41,MATCH(16,$BB$5:$BB$41,0)),IF(OR($BI16=1,$BL16=1,$BH16&gt;0),"∑",""))</f>
        <v>12</v>
      </c>
      <c r="B17" s="76">
        <f>IF($BJ16&gt;0,IF(INDEX('Final Calculation Sheet'!$F$4:$F$40,$BJ16-3)="","",INDEX('Final Calculation Sheet'!$F$4:$F$40,$BJ16-3)),"")</f>
        <v>2008</v>
      </c>
      <c r="C17" s="76" t="str">
        <f>IF($BJ16&gt;0,IF(INDEX('Final Calculation Sheet'!$G$4:$G$40,$BJ16-3)="","",INDEX('Final Calculation Sheet'!$G$4:$G$40,$BJ16-3)),IF(OR($BI16=1,$BL16=1,$BH16&gt;0),IF($BI16=1,37,IF($BL16=1,37-INDEX($BD$4:$BD$13,10),INDEX($BD$4:$BD$13,$BH16)))&amp;" lot(s)",""))</f>
        <v>HIND TRADERS</v>
      </c>
      <c r="D17" s="80" t="str">
        <f>IF($BJ16&gt;0,IF(INDEX('Final Calculation Sheet'!$B$4:$B$40,$BJ16-3)="","",INDEX('Final Calculation Sheet'!$B$4:$B$40,$BJ16-3)),IF(OR($BI16=1,$BL16=1,$BH16&gt;0),IF($BI16=1,"GRAND TOTAL  —  matching + remaining",IF($BL16=1,"TOTAL MATCHED  —  every group together",IF($BH16=10,"REMAINING  —  did not match the search",IF($BH16=9,IF(COUNTIF($A$4:$AI$4,"&lt;&gt;")&gt;0,"FILTERED LOTS  —  column fields","ALL LOTS  —  nothing typed in the box"),"GROUP "&amp;$BH16&amp;" TOTAL  —  lots matching  "&amp;INDEX($AR$6:$AY$6,$BH16))))),""))</f>
        <v>Scrap of empty oil Druam</v>
      </c>
      <c r="E17" s="80">
        <f>IF($BJ16&gt;0,IF(INDEX('Final Calculation Sheet'!$D$4:$D$40,$BJ16-3)="","",INDEX('Final Calculation Sheet'!$D$4:$D$40,$BJ16-3)),IF(OR($BI16=1,$BL16=1,$BH16&gt;0),"–",""))</f>
        <v>21977</v>
      </c>
      <c r="F17" s="80">
        <f>IF($BJ16&gt;0,IF(INDEX('Final Calculation Sheet'!$A$4:$A$40,$BJ16-3)="","",INDEX('Final Calculation Sheet'!$A$4:$A$40,$BJ16-3)),IF(OR($BI16=1,$BL16=1,$BH16&gt;0),IF($BI16=1,SUM('Final Calculation Sheet'!$A$4:$A$40),IF($BL16=1,SUM('Final Calculation Sheet'!$A$4:$A$40)-SUMIFS('Final Calculation Sheet'!$A$4:$A$40,$AZ$5:$AZ$41,10),SUMIFS('Final Calculation Sheet'!$A$4:$A$40,$AZ$5:$AZ$41,$BH16))),""))</f>
        <v>250</v>
      </c>
      <c r="G17" s="80" t="str">
        <f>IF($BJ16&gt;0,IF(INDEX('Final Calculation Sheet'!$E$4:$E$40,$BJ16-3)="","",INDEX('Final Calculation Sheet'!$E$4:$E$40,$BJ16-3)),IF(OR($BI16=1,$BL16=1,$BH16&gt;0),"–",""))</f>
        <v>NO</v>
      </c>
      <c r="H17" s="70">
        <f>IF($BJ16&gt;0,IF(INDEX('Final Calculation Sheet'!$C$4:$C$40,$BJ16-3)="","",INDEX('Final Calculation Sheet'!$C$4:$C$40,$BJ16-3)),IF(OR($BI16=1,$BL16=1,$BH16&gt;0),"–",""))</f>
        <v>543</v>
      </c>
      <c r="I17" s="70">
        <f>IF($BJ16&gt;0,IF(INDEX('Final Calculation Sheet'!$H$4:$H$40,$BJ16-3)="","",INDEX('Final Calculation Sheet'!$H$4:$H$40,$BJ16-3)),IF(OR($BI16=1,$BL16=1,$BH16&gt;0),IF($BI16=1,SUM('Final Calculation Sheet'!$H$4:$H$40),IF($BL16=1,SUM('Final Calculation Sheet'!$H$4:$H$40)-SUMIFS('Final Calculation Sheet'!$H$4:$H$40,$AZ$5:$AZ$41,10),SUMIFS('Final Calculation Sheet'!$H$4:$H$40,$AZ$5:$AZ$41,$BH16))),""))</f>
        <v>135750</v>
      </c>
      <c r="J17" s="70">
        <f>IF($BJ16&gt;0,IF(INDEX('Final Calculation Sheet'!$I$4:$I$40,$BJ16-3)="","",INDEX('Final Calculation Sheet'!$I$4:$I$40,$BJ16-3)),IF(OR($BI16=1,$BL16=1,$BH16&gt;0),IF($BI16=1,SUM('Final Calculation Sheet'!$I$4:$I$40),IF($BL16=1,SUM('Final Calculation Sheet'!$I$4:$I$40)-SUMIFS('Final Calculation Sheet'!$I$4:$I$40,$AZ$5:$AZ$41,10),SUMIFS('Final Calculation Sheet'!$I$4:$I$40,$AZ$5:$AZ$41,$BH16))),""))</f>
        <v>24435</v>
      </c>
      <c r="K17" s="70">
        <f>IF($BJ16&gt;0,IF(INDEX('Final Calculation Sheet'!$J$4:$J$40,$BJ16-3)="","",INDEX('Final Calculation Sheet'!$J$4:$J$40,$BJ16-3)),IF(OR($BI16=1,$BL16=1,$BH16&gt;0),IF($BI16=1,SUM('Final Calculation Sheet'!$J$4:$J$40),IF($BL16=1,SUM('Final Calculation Sheet'!$J$4:$J$40)-SUMIFS('Final Calculation Sheet'!$J$4:$J$40,$AZ$5:$AZ$41,10),SUMIFS('Final Calculation Sheet'!$J$4:$J$40,$AZ$5:$AZ$41,$BH16))),""))</f>
        <v>160185</v>
      </c>
      <c r="L17" s="70">
        <f>IF($BJ16&gt;0,IF(INDEX('Final Calculation Sheet'!$K$4:$K$40,$BJ16-3)="","",INDEX('Final Calculation Sheet'!$K$4:$K$40,$BJ16-3)),IF(OR($BI16=1,$BL16=1,$BH16&gt;0),IF($BI16=1,SUM('Final Calculation Sheet'!$K$4:$K$40),IF($BL16=1,SUM('Final Calculation Sheet'!$K$4:$K$40)-SUMIFS('Final Calculation Sheet'!$K$4:$K$40,$AZ$5:$AZ$41,10),SUMIFS('Final Calculation Sheet'!$K$4:$K$40,$AZ$5:$AZ$41,$BH16))),""))</f>
        <v>3204</v>
      </c>
      <c r="M17" s="70">
        <f>IF($BJ16&gt;0,IF(INDEX('Final Calculation Sheet'!$L$4:$L$40,$BJ16-3)="","",INDEX('Final Calculation Sheet'!$L$4:$L$40,$BJ16-3)),IF(OR($BI16=1,$BL16=1,$BH16&gt;0),IF($BI16=1,SUM('Final Calculation Sheet'!$L$4:$L$40),IF($BL16=1,SUM('Final Calculation Sheet'!$L$4:$L$40)-SUMIFS('Final Calculation Sheet'!$L$4:$L$40,$AZ$5:$AZ$41,10),SUMIFS('Final Calculation Sheet'!$L$4:$L$40,$AZ$5:$AZ$41,$BH16))),""))</f>
        <v>135.75</v>
      </c>
      <c r="N17" s="70">
        <f>IF($BJ16&gt;0,IF(INDEX('Final Calculation Sheet'!$M$4:$M$40,$BJ16-3)="","",INDEX('Final Calculation Sheet'!$M$4:$M$40,$BJ16-3)),IF(OR($BI16=1,$BL16=1,$BH16&gt;0),IF($BI16=1,SUM('Final Calculation Sheet'!$M$4:$M$40),IF($BL16=1,SUM('Final Calculation Sheet'!$M$4:$M$40)-SUMIFS('Final Calculation Sheet'!$M$4:$M$40,$AZ$5:$AZ$41,10),SUMIFS('Final Calculation Sheet'!$M$4:$M$40,$AZ$5:$AZ$41,$BH16))),""))</f>
        <v>3604.1624999999999</v>
      </c>
      <c r="O17" s="71">
        <f>IF($BJ16&gt;0,IF(INDEX('Final Calculation Sheet'!$N$4:$N$40,$BJ16-3)="","",INDEX('Final Calculation Sheet'!$N$4:$N$40,$BJ16-3)),IF(OR($BI16=1,$BL16=1,$BH16&gt;0),IF($BI16=1,SUM('Final Calculation Sheet'!$N$4:$N$40),IF($BL16=1,SUM('Final Calculation Sheet'!$N$4:$N$40)-SUMIFS('Final Calculation Sheet'!$N$4:$N$40,$AZ$5:$AZ$41,10),SUMIFS('Final Calculation Sheet'!$N$4:$N$40,$AZ$5:$AZ$41,$BH16))),""))</f>
        <v>61.087499999999999</v>
      </c>
      <c r="P17" s="70">
        <f>IF($BJ16&gt;0,IF(INDEX('Final Calculation Sheet'!$O$4:$O$40,$BJ16-3)="","",INDEX('Final Calculation Sheet'!$O$4:$O$40,$BJ16-3)),IF(OR($BI16=1,$BL16=1,$BH16&gt;0),IF($BI16=1,SUM('Final Calculation Sheet'!$O$4:$O$40),IF($BL16=1,SUM('Final Calculation Sheet'!$O$4:$O$40)-SUMIFS('Final Calculation Sheet'!$O$4:$O$40,$AZ$5:$AZ$41,10),SUMIFS('Final Calculation Sheet'!$O$4:$O$40,$AZ$5:$AZ$41,$BH16))),""))</f>
        <v>3543.0749999999998</v>
      </c>
      <c r="Q17" s="70">
        <f>IF($BJ16&gt;0,IF(INDEX('Final Calculation Sheet'!$P$4:$P$40,$BJ16-3)="","",INDEX('Final Calculation Sheet'!$P$4:$P$40,$BJ16-3)),IF(OR($BI16=1,$BL16=1,$BH16&gt;0),IF($BI16=1,SUM('Final Calculation Sheet'!$P$4:$P$40),IF($BL16=1,SUM('Final Calculation Sheet'!$P$4:$P$40)-SUMIFS('Final Calculation Sheet'!$P$4:$P$40,$AZ$5:$AZ$41,10),SUMIFS('Final Calculation Sheet'!$P$4:$P$40,$AZ$5:$AZ$41,$BH16))),""))</f>
        <v>3679</v>
      </c>
      <c r="R17" s="72">
        <f>IF($BJ16&gt;0,IF(INDEX('Final Calculation Sheet'!$Q$4:$Q$40,$BJ16-3)="","",INDEX('Final Calculation Sheet'!$Q$4:$Q$40,$BJ16-3)),IF(OR($BI16=1,$BL16=1,$BH16&gt;0),"–",""))</f>
        <v>0</v>
      </c>
      <c r="S17" s="70">
        <f>IF($BJ16&gt;0,IF(INDEX('Final Calculation Sheet'!$R$4:$R$40,$BJ16-3)="","",INDEX('Final Calculation Sheet'!$R$4:$R$40,$BJ16-3)),IF(OR($BI16=1,$BL16=1,$BH16&gt;0),IF($BI16=1,SUM('Final Calculation Sheet'!$R$4:$R$40),IF($BL16=1,SUM('Final Calculation Sheet'!$R$4:$R$40)-SUMIFS('Final Calculation Sheet'!$R$4:$R$40,$AZ$5:$AZ$41,10),SUMIFS('Final Calculation Sheet'!$R$4:$R$40,$AZ$5:$AZ$41,$BH16))),""))</f>
        <v>0</v>
      </c>
      <c r="T17" s="70">
        <f>IF($BJ16&gt;0,IF(INDEX('Final Calculation Sheet'!$S$4:$S$40,$BJ16-3)="","",INDEX('Final Calculation Sheet'!$S$4:$S$40,$BJ16-3)),IF(OR($BI16=1,$BL16=1,$BH16&gt;0),IF($BI16=1,SUM('Final Calculation Sheet'!$S$4:$S$40),IF($BL16=1,SUM('Final Calculation Sheet'!$S$4:$S$40)-SUMIFS('Final Calculation Sheet'!$S$4:$S$40,$AZ$5:$AZ$41,10),SUMIFS('Final Calculation Sheet'!$S$4:$S$40,$AZ$5:$AZ$41,$BH16))),""))</f>
        <v>159710</v>
      </c>
      <c r="U17" s="70">
        <f>IF($BJ16&gt;0,IF(INDEX('Final Calculation Sheet'!$T$4:$T$40,$BJ16-3)="","",INDEX('Final Calculation Sheet'!$T$4:$T$40,$BJ16-3)),IF(OR($BI16=1,$BL16=1,$BH16&gt;0),IF($BI16=1,SUM('Final Calculation Sheet'!$T$4:$T$40),IF($BL16=1,SUM('Final Calculation Sheet'!$T$4:$T$40)-SUMIFS('Final Calculation Sheet'!$T$4:$T$40,$AZ$5:$AZ$41,10),SUMIFS('Final Calculation Sheet'!$T$4:$T$40,$AZ$5:$AZ$41,$BH16))),""))</f>
        <v>33938</v>
      </c>
      <c r="V17" s="73">
        <f>IF($BJ16&gt;0,IF(INDEX('Final Calculation Sheet'!$U$4:$U$40,$BJ16-3)="","",INDEX('Final Calculation Sheet'!$U$4:$U$40,$BJ16-3)),IF(OR($BI16=1,$BL16=1,$BH16&gt;0),IF($BI16=1,SUM('Final Calculation Sheet'!$U$4:$U$40),IF($BL16=1,SUM('Final Calculation Sheet'!$U$4:$U$40)-SUMIFS('Final Calculation Sheet'!$U$4:$U$40,$AZ$5:$AZ$41,10),SUMIFS('Final Calculation Sheet'!$U$4:$U$40,$AZ$5:$AZ$41,$BH16))),""))</f>
        <v>33938</v>
      </c>
      <c r="W17" s="70" t="str">
        <f>IF($BJ16&gt;0,IF(INDEX('Final Calculation Sheet'!$V$4:$V$40,$BJ16-3)="","",INDEX('Final Calculation Sheet'!$V$4:$V$40,$BJ16-3)),IF(OR($BI16=1,$BL16=1,$BH16&gt;0),"–",""))</f>
        <v>14.08.2026</v>
      </c>
      <c r="X17" s="70">
        <f>IF($BJ16&gt;0,IF(INDEX('Final Calculation Sheet'!$W$4:$W$40,$BJ16-3)="","",INDEX('Final Calculation Sheet'!$W$4:$W$40,$BJ16-3)),IF(OR($BI16=1,$BL16=1,$BH16&gt;0),IF($BI16=1,SUM('Final Calculation Sheet'!$W$4:$W$40),IF($BL16=1,SUM('Final Calculation Sheet'!$W$4:$W$40)-SUMIFS('Final Calculation Sheet'!$W$4:$W$40,$AZ$5:$AZ$41,10),SUMIFS('Final Calculation Sheet'!$W$4:$W$40,$AZ$5:$AZ$41,$BH16))),""))</f>
        <v>125772</v>
      </c>
      <c r="Y17" s="70">
        <f>IF($BJ16&gt;0,IF(INDEX('Final Calculation Sheet'!$X$4:$X$40,$BJ16-3)="","",INDEX('Final Calculation Sheet'!$X$4:$X$40,$BJ16-3)),IF(OR($BI16=1,$BL16=1,$BH16&gt;0),IF($BI16=1,SUM('Final Calculation Sheet'!$X$4:$X$40),IF($BL16=1,SUM('Final Calculation Sheet'!$X$4:$X$40)-SUMIFS('Final Calculation Sheet'!$X$4:$X$40,$AZ$5:$AZ$41,10),SUMIFS('Final Calculation Sheet'!$X$4:$X$40,$AZ$5:$AZ$41,$BH16))),""))</f>
        <v>125772</v>
      </c>
      <c r="Z17" s="70" t="str">
        <f>IF($BJ16&gt;0,IF(INDEX('Final Calculation Sheet'!$Y$4:$Y$40,$BJ16-3)="","",INDEX('Final Calculation Sheet'!$Y$4:$Y$40,$BJ16-3)),IF(OR($BI16=1,$BL16=1,$BH16&gt;0),"–",""))</f>
        <v>18.08.2026</v>
      </c>
      <c r="AA17" s="70">
        <f>IF($BJ16&gt;0,IF(INDEX('Final Calculation Sheet'!$Z$4:$Z$40,$BJ16-3)="","",INDEX('Final Calculation Sheet'!$Z$4:$Z$40,$BJ16-3)),IF(OR($BI16=1,$BL16=1,$BH16&gt;0),IF($BI16=1,SUM('Final Calculation Sheet'!$Z$4:$Z$40),IF($BL16=1,SUM('Final Calculation Sheet'!$Z$4:$Z$40)-SUMIFS('Final Calculation Sheet'!$Z$4:$Z$40,$AZ$5:$AZ$41,10),SUMIFS('Final Calculation Sheet'!$Z$4:$Z$40,$AZ$5:$AZ$41,$BH16))),""))</f>
        <v>0</v>
      </c>
      <c r="AB17" s="70" t="str">
        <f>IF($BJ16&gt;0,IF(INDEX('Final Calculation Sheet'!$AA$4:$AA$40,$BJ16-3)="","",INDEX('Final Calculation Sheet'!$AA$4:$AA$40,$BJ16-3)),IF(OR($BI16=1,$BL16=1,$BH16&gt;0),IF($BI16=1,SUM('Final Calculation Sheet'!$AA$4:$AA$40),IF($BL16=1,SUM('Final Calculation Sheet'!$AA$4:$AA$40)-SUMIFS('Final Calculation Sheet'!$AA$4:$AA$40,$AZ$5:$AZ$41,10),SUMIFS('Final Calculation Sheet'!$AA$4:$AA$40,$AZ$5:$AZ$41,$BH16))),""))</f>
        <v/>
      </c>
      <c r="AC17" s="70" t="str">
        <f>IF($BJ16&gt;0,IF(INDEX('Final Calculation Sheet'!$AB$4:$AB$40,$BJ16-3)="","",INDEX('Final Calculation Sheet'!$AB$4:$AB$40,$BJ16-3)),IF(OR($BI16=1,$BL16=1,$BH16&gt;0),"–",""))</f>
        <v/>
      </c>
      <c r="AD17" s="70">
        <f>IF($BJ16&gt;0,IF(INDEX('Final Calculation Sheet'!$AC$4:$AC$40,$BJ16-3)="","",INDEX('Final Calculation Sheet'!$AC$4:$AC$40,$BJ16-3)),IF(OR($BI16=1,$BL16=1,$BH16&gt;0),IF($BI16=1,SUM('Final Calculation Sheet'!$AC$4:$AC$40),IF($BL16=1,SUM('Final Calculation Sheet'!$AC$4:$AC$40)-SUMIFS('Final Calculation Sheet'!$AC$4:$AC$40,$AZ$5:$AZ$41,10),SUMIFS('Final Calculation Sheet'!$AC$4:$AC$40,$AZ$5:$AZ$41,$BH16))),""))</f>
        <v>159710</v>
      </c>
      <c r="AE17" s="70">
        <f>IF($BJ16&gt;0,IF(INDEX('Final Calculation Sheet'!$AD$4:$AD$40,$BJ16-3)="","",INDEX('Final Calculation Sheet'!$AD$4:$AD$40,$BJ16-3)),IF(OR($BI16=1,$BL16=1,$BH16&gt;0),IF($BI16=1,SUM('Final Calculation Sheet'!$AD$4:$AD$40),IF($BL16=1,SUM('Final Calculation Sheet'!$AD$4:$AD$40)-SUMIFS('Final Calculation Sheet'!$AD$4:$AD$40,$AZ$5:$AZ$41,10),SUMIFS('Final Calculation Sheet'!$AD$4:$AD$40,$AZ$5:$AZ$41,$BH16))),""))</f>
        <v>0</v>
      </c>
      <c r="AF17" s="70" t="str">
        <f>IF($BJ16&gt;0,IF(INDEX('Final Calculation Sheet'!$AE$4:$AE$40,$BJ16-3)="","",INDEX('Final Calculation Sheet'!$AE$4:$AE$40,$BJ16-3)),IF(OR($BI16=1,$BL16=1,$BH16&gt;0),"–",""))</f>
        <v>DR2640100026</v>
      </c>
      <c r="AG17" s="74">
        <f>IF($BJ16&gt;0,IF(INDEX('Final Calculation Sheet'!$AF$4:$AF$40,$BJ16-3)="","",INDEX('Final Calculation Sheet'!$AF$4:$AF$40,$BJ16-3)),IF(OR($BI16=1,$BL16=1,$BH16&gt;0),"–",""))</f>
        <v>1800003247</v>
      </c>
      <c r="AH17" s="70" t="str">
        <f>IF($BJ16&gt;0,IF(INDEX('Final Calculation Sheet'!$AG$4:$AG$40,$BJ16-3)="","",INDEX('Final Calculation Sheet'!$AG$4:$AG$40,$BJ16-3)),IF(OR($BI16=1,$BL16=1,$BH16&gt;0),"–",""))</f>
        <v>20.08.2026</v>
      </c>
      <c r="AI17" s="75" t="str">
        <f>IF($BJ16&gt;0,IF(INDEX('Final Calculation Sheet'!$AD$4:$AD$40,$BJ16-3)="","",IF(INDEX('Final Calculation Sheet'!$AD$4:$AD$40,$BJ16-3)&lt;=5,"SETTLED","OUTSTANDING")),IF(OR($BI16=1,$BL16=1,$BH16&gt;0),IF(IF($BI16=1,SUM('Final Calculation Sheet'!$AD$4:$AD$40),IF($BL16=1,SUM('Final Calculation Sheet'!$AD$4:$AD$40)-SUMIFS('Final Calculation Sheet'!$AD$4:$AD$40,$AZ$5:$AZ$41,10),SUMIFS('Final Calculation Sheet'!$AD$4:$AD$40,$AZ$5:$AZ$41,$BH16)))&lt;=5,"ALL SETTLED","OUTSTANDING"),""))</f>
        <v>SETTLED</v>
      </c>
      <c r="AK17" t="str">
        <f>IF($F$3="Lot No.",'Final Calculation Sheet'!$F$16,IF($F$3="Buyer",'Final Calculation Sheet'!$G$16,IF($F$3="Lot Name",'Final Calculation Sheet'!$B$16,IF($F$3="Bid Sheet",'Final Calculation Sheet'!$D$16,IF($F$3="Unit",'Final Calculation Sheet'!$E$16,'Final Calculation Sheet'!$F$16&amp;" "&amp;'Final Calculation Sheet'!$G$16&amp;" "&amp;'Final Calculation Sheet'!$B$16)))))</f>
        <v>2011 STERLING ENTERPRISES Scrap of empty oil Barrel</v>
      </c>
      <c r="AL17">
        <f>AL16+IF($B$3="",0,--(SUMPRODUCT(--($AR$6:$AY$6&lt;&gt;""),--ISNUMBER(SEARCH($AR$6:$AY$6,$AK17)))&gt;0))</f>
        <v>0</v>
      </c>
      <c r="AM17">
        <f>IF(COUNTIF($BM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1</v>
      </c>
      <c r="AZ17">
        <f>IF($B$3="",IF(COUNTIF($A$4:$AI$4,"&lt;&gt;")=0,9,IF($AM17=1,9,10)),IF($AM17=0,10,IF(AND($AR$6&lt;&gt;"",ISNUMBER(SEARCH($AR$6,$AK17))),1,IF(AND($AS$6&lt;&gt;"",ISNUMBER(SEARCH($AS$6,$AK17))),2,IF(AND($AT$6&lt;&gt;"",ISNUMBER(SEARCH($AT$6,$AK17))),3,IF(AND($AU$6&lt;&gt;"",ISNUMBER(SEARCH($AU$6,$AK17))),4,IF(AND($AV$6&lt;&gt;"",ISNUMBER(SEARCH($AV$6,$AK17))),5,IF(AND($AW$6&lt;&gt;"",ISNUMBER(SEARCH($AW$6,$AK17))),6,IF(AND($AX$6&lt;&gt;"",ISNUMBER(SEARCH($AX$6,$AK17))),7,IF(AND($AY$6&lt;&gt;"",ISNUMBER(SEARCH($AY$6,$AK17))),8,0))))))))))</f>
        <v>9</v>
      </c>
      <c r="BA17">
        <f>SUMPRODUCT(($AZ$5:$AZ$41=$AZ17)*($BC$5:$BC$41&lt;$BC17))+1</f>
        <v>13</v>
      </c>
      <c r="BB17">
        <f>IF(INDEX($BF$4:$BF$13,$AZ17)=0,0,INDEX($BE$4:$BE$13,$AZ17)+$BA17-1)</f>
        <v>17</v>
      </c>
      <c r="BC17" t="n">
        <v>16</v>
      </c>
      <c r="BH17">
        <f>IFERROR(MATCH(17,$BF$4:$BF$13,0),0)</f>
        <v>0</v>
      </c>
      <c r="BI17">
        <f>IF(17=$BG$5,1,0)</f>
        <v>0</v>
      </c>
      <c r="BJ17">
        <f>IF(OR($BH17&gt;0,$BI17=1,$BL17=1),0,IFERROR(INDEX($BC$5:$BC$41,MATCH(17,$BB$5:$BB$41,0)),0))</f>
        <v>16</v>
      </c>
      <c r="BK17">
        <f>IF($BJ17&gt;0,IF(INDEX($AZ$5:$AZ$41,MATCH(17,$BB$5:$BB$41,0))=10,1,0),IF($BH17=10,1,0))</f>
        <v>0</v>
      </c>
      <c r="BL17">
        <f>IF(17=$BG$4,1,0)</f>
        <v>0</v>
      </c>
      <c r="BM17">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1</v>
      </c>
      <c r="BN17">
        <f>IF($B$4="",1,--(OR(SUMPRODUCT(--(TRIM(MID(SUBSTITUTE(SUBSTITUTE($B$4,"/",","),",",REPT(" ",99)),(ROW($1:$8)-1)*99+1,99))&lt;&gt;""),--ISNUMBER(SEARCH(TRIM(MID(SUBSTITUTE(SUBSTITUTE($B$4,"/",","),",",REPT(" ",99)),(ROW($1:$8)-1)*99+1,99)),IFERROR(('Final Calculation Sheet'!$F$16)&amp;"",""))))&gt;0,AND(ISNUMBER(SEARCH("blank",$B$4)),NOT(ISNUMBER(SEARCH("nonblank",$B$4))),IFERROR(('Final Calculation Sheet'!$F$16)&amp;"","")=""),AND(OR(ISNUMBER(SEARCH("nonblank",$B$4)),ISNUMBER(SEARCH("&lt;&gt;",$B$4))),IFERROR(('Final Calculation Sheet'!$F$16)&amp;"","")&lt;&gt;""),AND(TRIM($B$4)="",IFERROR(('Final Calculation Sheet'!$F$16)&amp;"","")=""))))</f>
        <v>1</v>
      </c>
      <c r="BO17">
        <f>IF($C$4="",1,--(OR(SUMPRODUCT(--(TRIM(MID(SUBSTITUTE(SUBSTITUTE($C$4,"/",","),",",REPT(" ",99)),(ROW($1:$8)-1)*99+1,99))&lt;&gt;""),--ISNUMBER(SEARCH(TRIM(MID(SUBSTITUTE(SUBSTITUTE($C$4,"/",","),",",REPT(" ",99)),(ROW($1:$8)-1)*99+1,99)),IFERROR(('Final Calculation Sheet'!$G$16)&amp;"",""))))&gt;0,AND(ISNUMBER(SEARCH("blank",$C$4)),NOT(ISNUMBER(SEARCH("nonblank",$C$4))),IFERROR(('Final Calculation Sheet'!$G$16)&amp;"","")=""),AND(OR(ISNUMBER(SEARCH("nonblank",$C$4)),ISNUMBER(SEARCH("&lt;&gt;",$C$4))),IFERROR(('Final Calculation Sheet'!$G$16)&amp;"","")&lt;&gt;""),AND(TRIM($C$4)="",IFERROR(('Final Calculation Sheet'!$G$16)&amp;"","")=""))))</f>
        <v>1</v>
      </c>
      <c r="BP17">
        <f>IF($D$4="",1,--(OR(SUMPRODUCT(--(TRIM(MID(SUBSTITUTE(SUBSTITUTE($D$4,"/",","),",",REPT(" ",99)),(ROW($1:$8)-1)*99+1,99))&lt;&gt;""),--ISNUMBER(SEARCH(TRIM(MID(SUBSTITUTE(SUBSTITUTE($D$4,"/",","),",",REPT(" ",99)),(ROW($1:$8)-1)*99+1,99)),IFERROR(('Final Calculation Sheet'!$B$16)&amp;"",""))))&gt;0,AND(ISNUMBER(SEARCH("blank",$D$4)),NOT(ISNUMBER(SEARCH("nonblank",$D$4))),IFERROR(('Final Calculation Sheet'!$B$16)&amp;"","")=""),AND(OR(ISNUMBER(SEARCH("nonblank",$D$4)),ISNUMBER(SEARCH("&lt;&gt;",$D$4))),IFERROR(('Final Calculation Sheet'!$B$16)&amp;"","")&lt;&gt;""),AND(TRIM($D$4)="",IFERROR(('Final Calculation Sheet'!$B$16)&amp;"","")=""))))</f>
        <v>1</v>
      </c>
      <c r="BQ17">
        <f>IF($E$4="",1,--(OR(SUMPRODUCT(--(TRIM(MID(SUBSTITUTE(SUBSTITUTE($E$4,"/",","),",",REPT(" ",99)),(ROW($1:$8)-1)*99+1,99))&lt;&gt;""),--ISNUMBER(SEARCH(TRIM(MID(SUBSTITUTE(SUBSTITUTE($E$4,"/",","),",",REPT(" ",99)),(ROW($1:$8)-1)*99+1,99)),IFERROR(('Final Calculation Sheet'!$D$16)&amp;"",""))))&gt;0,AND(ISNUMBER(SEARCH("blank",$E$4)),NOT(ISNUMBER(SEARCH("nonblank",$E$4))),IFERROR(('Final Calculation Sheet'!$D$16)&amp;"","")=""),AND(OR(ISNUMBER(SEARCH("nonblank",$E$4)),ISNUMBER(SEARCH("&lt;&gt;",$E$4))),IFERROR(('Final Calculation Sheet'!$D$16)&amp;"","")&lt;&gt;""),AND(TRIM($E$4)="",IFERROR(('Final Calculation Sheet'!$D$16)&amp;"","")=""))))</f>
        <v>1</v>
      </c>
      <c r="BR17">
        <f>IF($F$4="",1,--(OR(SUMPRODUCT(--(TRIM(MID(SUBSTITUTE(SUBSTITUTE($F$4,"/",","),",",REPT(" ",99)),(ROW($1:$8)-1)*99+1,99))&lt;&gt;""),--ISNUMBER(SEARCH(TRIM(MID(SUBSTITUTE(SUBSTITUTE($F$4,"/",","),",",REPT(" ",99)),(ROW($1:$8)-1)*99+1,99)),IFERROR(('Final Calculation Sheet'!$A$16)&amp;"",""))))&gt;0,AND(ISNUMBER(SEARCH("blank",$F$4)),NOT(ISNUMBER(SEARCH("nonblank",$F$4))),IFERROR(('Final Calculation Sheet'!$A$16)&amp;"","")=""),AND(OR(ISNUMBER(SEARCH("nonblank",$F$4)),ISNUMBER(SEARCH("&lt;&gt;",$F$4))),IFERROR(('Final Calculation Sheet'!$A$16)&amp;"","")&lt;&gt;""),AND(TRIM($F$4)="",IFERROR(('Final Calculation Sheet'!$A$16)&amp;"","")=""))))</f>
        <v>1</v>
      </c>
      <c r="BS17">
        <f>IF($G$4="",1,--(OR(SUMPRODUCT(--(TRIM(MID(SUBSTITUTE(SUBSTITUTE($G$4,"/",","),",",REPT(" ",99)),(ROW($1:$8)-1)*99+1,99))&lt;&gt;""),--ISNUMBER(SEARCH(TRIM(MID(SUBSTITUTE(SUBSTITUTE($G$4,"/",","),",",REPT(" ",99)),(ROW($1:$8)-1)*99+1,99)),IFERROR(('Final Calculation Sheet'!$E$16)&amp;"",""))))&gt;0,AND(ISNUMBER(SEARCH("blank",$G$4)),NOT(ISNUMBER(SEARCH("nonblank",$G$4))),IFERROR(('Final Calculation Sheet'!$E$16)&amp;"","")=""),AND(OR(ISNUMBER(SEARCH("nonblank",$G$4)),ISNUMBER(SEARCH("&lt;&gt;",$G$4))),IFERROR(('Final Calculation Sheet'!$E$16)&amp;"","")&lt;&gt;""),AND(TRIM($G$4)="",IFERROR(('Final Calculation Sheet'!$E$16)&amp;"","")=""))))</f>
        <v>1</v>
      </c>
      <c r="BT17">
        <f>IF($H$4="",1,--(OR(SUMPRODUCT(--(TRIM(MID(SUBSTITUTE(SUBSTITUTE($H$4,"/",","),",",REPT(" ",99)),(ROW($1:$8)-1)*99+1,99))&lt;&gt;""),--ISNUMBER(SEARCH(TRIM(MID(SUBSTITUTE(SUBSTITUTE($H$4,"/",","),",",REPT(" ",99)),(ROW($1:$8)-1)*99+1,99)),IFERROR(('Final Calculation Sheet'!$C$16)&amp;"",""))))&gt;0,AND(ISNUMBER(SEARCH("blank",$H$4)),NOT(ISNUMBER(SEARCH("nonblank",$H$4))),IFERROR(('Final Calculation Sheet'!$C$16)&amp;"","")=""),AND(OR(ISNUMBER(SEARCH("nonblank",$H$4)),ISNUMBER(SEARCH("&lt;&gt;",$H$4))),IFERROR(('Final Calculation Sheet'!$C$16)&amp;"","")&lt;&gt;""),AND(TRIM($H$4)="",IFERROR(('Final Calculation Sheet'!$C$16)&amp;"","")=""))))</f>
        <v>1</v>
      </c>
      <c r="BU17">
        <f>IF($I$4="",1,--(OR(SUMPRODUCT(--(TRIM(MID(SUBSTITUTE(SUBSTITUTE($I$4,"/",","),",",REPT(" ",99)),(ROW($1:$8)-1)*99+1,99))&lt;&gt;""),--ISNUMBER(SEARCH(TRIM(MID(SUBSTITUTE(SUBSTITUTE($I$4,"/",","),",",REPT(" ",99)),(ROW($1:$8)-1)*99+1,99)),IFERROR(('Final Calculation Sheet'!$H$16)&amp;"",""))))&gt;0,AND(ISNUMBER(SEARCH("blank",$I$4)),NOT(ISNUMBER(SEARCH("nonblank",$I$4))),IFERROR(('Final Calculation Sheet'!$H$16)&amp;"","")=""),AND(OR(ISNUMBER(SEARCH("nonblank",$I$4)),ISNUMBER(SEARCH("&lt;&gt;",$I$4))),IFERROR(('Final Calculation Sheet'!$H$16)&amp;"","")&lt;&gt;""),AND(TRIM($I$4)="",IFERROR(('Final Calculation Sheet'!$H$16)&amp;"","")=""))))</f>
        <v>1</v>
      </c>
      <c r="BV17">
        <f>IF($J$4="",1,--(OR(SUMPRODUCT(--(TRIM(MID(SUBSTITUTE(SUBSTITUTE($J$4,"/",","),",",REPT(" ",99)),(ROW($1:$8)-1)*99+1,99))&lt;&gt;""),--ISNUMBER(SEARCH(TRIM(MID(SUBSTITUTE(SUBSTITUTE($J$4,"/",","),",",REPT(" ",99)),(ROW($1:$8)-1)*99+1,99)),IFERROR(('Final Calculation Sheet'!$I$16)&amp;"",""))))&gt;0,AND(ISNUMBER(SEARCH("blank",$J$4)),NOT(ISNUMBER(SEARCH("nonblank",$J$4))),IFERROR(('Final Calculation Sheet'!$I$16)&amp;"","")=""),AND(OR(ISNUMBER(SEARCH("nonblank",$J$4)),ISNUMBER(SEARCH("&lt;&gt;",$J$4))),IFERROR(('Final Calculation Sheet'!$I$16)&amp;"","")&lt;&gt;""),AND(TRIM($J$4)="",IFERROR(('Final Calculation Sheet'!$I$16)&amp;"","")=""))))</f>
        <v>1</v>
      </c>
      <c r="BW17">
        <f>IF($K$4="",1,--(OR(SUMPRODUCT(--(TRIM(MID(SUBSTITUTE(SUBSTITUTE($K$4,"/",","),",",REPT(" ",99)),(ROW($1:$8)-1)*99+1,99))&lt;&gt;""),--ISNUMBER(SEARCH(TRIM(MID(SUBSTITUTE(SUBSTITUTE($K$4,"/",","),",",REPT(" ",99)),(ROW($1:$8)-1)*99+1,99)),IFERROR(('Final Calculation Sheet'!$J$16)&amp;"",""))))&gt;0,AND(ISNUMBER(SEARCH("blank",$K$4)),NOT(ISNUMBER(SEARCH("nonblank",$K$4))),IFERROR(('Final Calculation Sheet'!$J$16)&amp;"","")=""),AND(OR(ISNUMBER(SEARCH("nonblank",$K$4)),ISNUMBER(SEARCH("&lt;&gt;",$K$4))),IFERROR(('Final Calculation Sheet'!$J$16)&amp;"","")&lt;&gt;""),AND(TRIM($K$4)="",IFERROR(('Final Calculation Sheet'!$J$16)&amp;"","")=""))))</f>
        <v>1</v>
      </c>
      <c r="BX17">
        <f>IF($L$4="",1,--(OR(SUMPRODUCT(--(TRIM(MID(SUBSTITUTE(SUBSTITUTE($L$4,"/",","),",",REPT(" ",99)),(ROW($1:$8)-1)*99+1,99))&lt;&gt;""),--ISNUMBER(SEARCH(TRIM(MID(SUBSTITUTE(SUBSTITUTE($L$4,"/",","),",",REPT(" ",99)),(ROW($1:$8)-1)*99+1,99)),IFERROR(('Final Calculation Sheet'!$K$16)&amp;"",""))))&gt;0,AND(ISNUMBER(SEARCH("blank",$L$4)),NOT(ISNUMBER(SEARCH("nonblank",$L$4))),IFERROR(('Final Calculation Sheet'!$K$16)&amp;"","")=""),AND(OR(ISNUMBER(SEARCH("nonblank",$L$4)),ISNUMBER(SEARCH("&lt;&gt;",$L$4))),IFERROR(('Final Calculation Sheet'!$K$16)&amp;"","")&lt;&gt;""),AND(TRIM($L$4)="",IFERROR(('Final Calculation Sheet'!$K$16)&amp;"","")=""))))</f>
        <v>1</v>
      </c>
      <c r="BY17">
        <f>IF($M$4="",1,--(OR(SUMPRODUCT(--(TRIM(MID(SUBSTITUTE(SUBSTITUTE($M$4,"/",","),",",REPT(" ",99)),(ROW($1:$8)-1)*99+1,99))&lt;&gt;""),--ISNUMBER(SEARCH(TRIM(MID(SUBSTITUTE(SUBSTITUTE($M$4,"/",","),",",REPT(" ",99)),(ROW($1:$8)-1)*99+1,99)),IFERROR(('Final Calculation Sheet'!$L$16)&amp;"",""))))&gt;0,AND(ISNUMBER(SEARCH("blank",$M$4)),NOT(ISNUMBER(SEARCH("nonblank",$M$4))),IFERROR(('Final Calculation Sheet'!$L$16)&amp;"","")=""),AND(OR(ISNUMBER(SEARCH("nonblank",$M$4)),ISNUMBER(SEARCH("&lt;&gt;",$M$4))),IFERROR(('Final Calculation Sheet'!$L$16)&amp;"","")&lt;&gt;""),AND(TRIM($M$4)="",IFERROR(('Final Calculation Sheet'!$L$16)&amp;"","")=""))))</f>
        <v>1</v>
      </c>
      <c r="BZ17">
        <f>IF($N$4="",1,--(OR(SUMPRODUCT(--(TRIM(MID(SUBSTITUTE(SUBSTITUTE($N$4,"/",","),",",REPT(" ",99)),(ROW($1:$8)-1)*99+1,99))&lt;&gt;""),--ISNUMBER(SEARCH(TRIM(MID(SUBSTITUTE(SUBSTITUTE($N$4,"/",","),",",REPT(" ",99)),(ROW($1:$8)-1)*99+1,99)),IFERROR(('Final Calculation Sheet'!$M$16)&amp;"",""))))&gt;0,AND(ISNUMBER(SEARCH("blank",$N$4)),NOT(ISNUMBER(SEARCH("nonblank",$N$4))),IFERROR(('Final Calculation Sheet'!$M$16)&amp;"","")=""),AND(OR(ISNUMBER(SEARCH("nonblank",$N$4)),ISNUMBER(SEARCH("&lt;&gt;",$N$4))),IFERROR(('Final Calculation Sheet'!$M$16)&amp;"","")&lt;&gt;""),AND(TRIM($N$4)="",IFERROR(('Final Calculation Sheet'!$M$16)&amp;"","")=""))))</f>
        <v>1</v>
      </c>
      <c r="CA17">
        <f>IF($O$4="",1,--(OR(SUMPRODUCT(--(TRIM(MID(SUBSTITUTE(SUBSTITUTE($O$4,"/",","),",",REPT(" ",99)),(ROW($1:$8)-1)*99+1,99))&lt;&gt;""),--ISNUMBER(SEARCH(TRIM(MID(SUBSTITUTE(SUBSTITUTE($O$4,"/",","),",",REPT(" ",99)),(ROW($1:$8)-1)*99+1,99)),IFERROR(('Final Calculation Sheet'!$N$16)&amp;"",""))))&gt;0,AND(ISNUMBER(SEARCH("blank",$O$4)),NOT(ISNUMBER(SEARCH("nonblank",$O$4))),IFERROR(('Final Calculation Sheet'!$N$16)&amp;"","")=""),AND(OR(ISNUMBER(SEARCH("nonblank",$O$4)),ISNUMBER(SEARCH("&lt;&gt;",$O$4))),IFERROR(('Final Calculation Sheet'!$N$16)&amp;"","")&lt;&gt;""),AND(TRIM($O$4)="",IFERROR(('Final Calculation Sheet'!$N$16)&amp;"","")=""))))</f>
        <v>1</v>
      </c>
      <c r="CB17">
        <f>IF($P$4="",1,--(OR(SUMPRODUCT(--(TRIM(MID(SUBSTITUTE(SUBSTITUTE($P$4,"/",","),",",REPT(" ",99)),(ROW($1:$8)-1)*99+1,99))&lt;&gt;""),--ISNUMBER(SEARCH(TRIM(MID(SUBSTITUTE(SUBSTITUTE($P$4,"/",","),",",REPT(" ",99)),(ROW($1:$8)-1)*99+1,99)),IFERROR(('Final Calculation Sheet'!$O$16)&amp;"",""))))&gt;0,AND(ISNUMBER(SEARCH("blank",$P$4)),NOT(ISNUMBER(SEARCH("nonblank",$P$4))),IFERROR(('Final Calculation Sheet'!$O$16)&amp;"","")=""),AND(OR(ISNUMBER(SEARCH("nonblank",$P$4)),ISNUMBER(SEARCH("&lt;&gt;",$P$4))),IFERROR(('Final Calculation Sheet'!$O$16)&amp;"","")&lt;&gt;""),AND(TRIM($P$4)="",IFERROR(('Final Calculation Sheet'!$O$16)&amp;"","")=""))))</f>
        <v>1</v>
      </c>
      <c r="CC17">
        <f>IF($Q$4="",1,--(OR(SUMPRODUCT(--(TRIM(MID(SUBSTITUTE(SUBSTITUTE($Q$4,"/",","),",",REPT(" ",99)),(ROW($1:$8)-1)*99+1,99))&lt;&gt;""),--ISNUMBER(SEARCH(TRIM(MID(SUBSTITUTE(SUBSTITUTE($Q$4,"/",","),",",REPT(" ",99)),(ROW($1:$8)-1)*99+1,99)),IFERROR(('Final Calculation Sheet'!$P$16)&amp;"",""))))&gt;0,AND(ISNUMBER(SEARCH("blank",$Q$4)),NOT(ISNUMBER(SEARCH("nonblank",$Q$4))),IFERROR(('Final Calculation Sheet'!$P$16)&amp;"","")=""),AND(OR(ISNUMBER(SEARCH("nonblank",$Q$4)),ISNUMBER(SEARCH("&lt;&gt;",$Q$4))),IFERROR(('Final Calculation Sheet'!$P$16)&amp;"","")&lt;&gt;""),AND(TRIM($Q$4)="",IFERROR(('Final Calculation Sheet'!$P$16)&amp;"","")=""))))</f>
        <v>1</v>
      </c>
      <c r="CD17">
        <f>IF($R$4="",1,--(OR(SUMPRODUCT(--(TRIM(MID(SUBSTITUTE(SUBSTITUTE($R$4,"/",","),",",REPT(" ",99)),(ROW($1:$8)-1)*99+1,99))&lt;&gt;""),--ISNUMBER(SEARCH(TRIM(MID(SUBSTITUTE(SUBSTITUTE($R$4,"/",","),",",REPT(" ",99)),(ROW($1:$8)-1)*99+1,99)),IFERROR(('Final Calculation Sheet'!$Q$16)&amp;"",""))))&gt;0,AND(ISNUMBER(SEARCH("blank",$R$4)),NOT(ISNUMBER(SEARCH("nonblank",$R$4))),IFERROR(('Final Calculation Sheet'!$Q$16)&amp;"","")=""),AND(OR(ISNUMBER(SEARCH("nonblank",$R$4)),ISNUMBER(SEARCH("&lt;&gt;",$R$4))),IFERROR(('Final Calculation Sheet'!$Q$16)&amp;"","")&lt;&gt;""),AND(TRIM($R$4)="",IFERROR(('Final Calculation Sheet'!$Q$16)&amp;"","")=""))))</f>
        <v>1</v>
      </c>
      <c r="CE17">
        <f>IF($S$4="",1,--(OR(SUMPRODUCT(--(TRIM(MID(SUBSTITUTE(SUBSTITUTE($S$4,"/",","),",",REPT(" ",99)),(ROW($1:$8)-1)*99+1,99))&lt;&gt;""),--ISNUMBER(SEARCH(TRIM(MID(SUBSTITUTE(SUBSTITUTE($S$4,"/",","),",",REPT(" ",99)),(ROW($1:$8)-1)*99+1,99)),IFERROR(('Final Calculation Sheet'!$R$16)&amp;"",""))))&gt;0,AND(ISNUMBER(SEARCH("blank",$S$4)),NOT(ISNUMBER(SEARCH("nonblank",$S$4))),IFERROR(('Final Calculation Sheet'!$R$16)&amp;"","")=""),AND(OR(ISNUMBER(SEARCH("nonblank",$S$4)),ISNUMBER(SEARCH("&lt;&gt;",$S$4))),IFERROR(('Final Calculation Sheet'!$R$16)&amp;"","")&lt;&gt;""),AND(TRIM($S$4)="",IFERROR(('Final Calculation Sheet'!$R$16)&amp;"","")=""))))</f>
        <v>1</v>
      </c>
      <c r="CF17">
        <f>IF($T$4="",1,--(OR(SUMPRODUCT(--(TRIM(MID(SUBSTITUTE(SUBSTITUTE($T$4,"/",","),",",REPT(" ",99)),(ROW($1:$8)-1)*99+1,99))&lt;&gt;""),--ISNUMBER(SEARCH(TRIM(MID(SUBSTITUTE(SUBSTITUTE($T$4,"/",","),",",REPT(" ",99)),(ROW($1:$8)-1)*99+1,99)),IFERROR(('Final Calculation Sheet'!$S$16)&amp;"",""))))&gt;0,AND(ISNUMBER(SEARCH("blank",$T$4)),NOT(ISNUMBER(SEARCH("nonblank",$T$4))),IFERROR(('Final Calculation Sheet'!$S$16)&amp;"","")=""),AND(OR(ISNUMBER(SEARCH("nonblank",$T$4)),ISNUMBER(SEARCH("&lt;&gt;",$T$4))),IFERROR(('Final Calculation Sheet'!$S$16)&amp;"","")&lt;&gt;""),AND(TRIM($T$4)="",IFERROR(('Final Calculation Sheet'!$S$16)&amp;"","")=""))))</f>
        <v>1</v>
      </c>
      <c r="CG17">
        <f>IF($U$4="",1,--(OR(SUMPRODUCT(--(TRIM(MID(SUBSTITUTE(SUBSTITUTE($U$4,"/",","),",",REPT(" ",99)),(ROW($1:$8)-1)*99+1,99))&lt;&gt;""),--ISNUMBER(SEARCH(TRIM(MID(SUBSTITUTE(SUBSTITUTE($U$4,"/",","),",",REPT(" ",99)),(ROW($1:$8)-1)*99+1,99)),IFERROR(('Final Calculation Sheet'!$T$16)&amp;"",""))))&gt;0,AND(ISNUMBER(SEARCH("blank",$U$4)),NOT(ISNUMBER(SEARCH("nonblank",$U$4))),IFERROR(('Final Calculation Sheet'!$T$16)&amp;"","")=""),AND(OR(ISNUMBER(SEARCH("nonblank",$U$4)),ISNUMBER(SEARCH("&lt;&gt;",$U$4))),IFERROR(('Final Calculation Sheet'!$T$16)&amp;"","")&lt;&gt;""),AND(TRIM($U$4)="",IFERROR(('Final Calculation Sheet'!$T$16)&amp;"","")=""))))</f>
        <v>1</v>
      </c>
      <c r="CH17">
        <f>IF($V$4="",1,--(OR(SUMPRODUCT(--(TRIM(MID(SUBSTITUTE(SUBSTITUTE($V$4,"/",","),",",REPT(" ",99)),(ROW($1:$8)-1)*99+1,99))&lt;&gt;""),--ISNUMBER(SEARCH(TRIM(MID(SUBSTITUTE(SUBSTITUTE($V$4,"/",","),",",REPT(" ",99)),(ROW($1:$8)-1)*99+1,99)),IFERROR(('Final Calculation Sheet'!$U$16)&amp;"",""))))&gt;0,AND(ISNUMBER(SEARCH("blank",$V$4)),NOT(ISNUMBER(SEARCH("nonblank",$V$4))),IFERROR(('Final Calculation Sheet'!$U$16)&amp;"","")=""),AND(OR(ISNUMBER(SEARCH("nonblank",$V$4)),ISNUMBER(SEARCH("&lt;&gt;",$V$4))),IFERROR(('Final Calculation Sheet'!$U$16)&amp;"","")&lt;&gt;""),AND(TRIM($V$4)="",IFERROR(('Final Calculation Sheet'!$U$16)&amp;"","")=""))))</f>
        <v>1</v>
      </c>
      <c r="CI17">
        <f>IF($W$4="",1,--(OR(SUMPRODUCT(--(TRIM(MID(SUBSTITUTE(SUBSTITUTE($W$4,"/",","),",",REPT(" ",99)),(ROW($1:$8)-1)*99+1,99))&lt;&gt;""),--ISNUMBER(SEARCH(TRIM(MID(SUBSTITUTE(SUBSTITUTE($W$4,"/",","),",",REPT(" ",99)),(ROW($1:$8)-1)*99+1,99)),IFERROR(('Final Calculation Sheet'!$V$16)&amp;"",""))))&gt;0,AND(ISNUMBER(SEARCH("blank",$W$4)),NOT(ISNUMBER(SEARCH("nonblank",$W$4))),IFERROR(('Final Calculation Sheet'!$V$16)&amp;"","")=""),AND(OR(ISNUMBER(SEARCH("nonblank",$W$4)),ISNUMBER(SEARCH("&lt;&gt;",$W$4))),IFERROR(('Final Calculation Sheet'!$V$16)&amp;"","")&lt;&gt;""),AND(TRIM($W$4)="",IFERROR(('Final Calculation Sheet'!$V$16)&amp;"","")=""))))</f>
        <v>1</v>
      </c>
      <c r="CJ17">
        <f>IF($X$4="",1,--(OR(SUMPRODUCT(--(TRIM(MID(SUBSTITUTE(SUBSTITUTE($X$4,"/",","),",",REPT(" ",99)),(ROW($1:$8)-1)*99+1,99))&lt;&gt;""),--ISNUMBER(SEARCH(TRIM(MID(SUBSTITUTE(SUBSTITUTE($X$4,"/",","),",",REPT(" ",99)),(ROW($1:$8)-1)*99+1,99)),IFERROR(('Final Calculation Sheet'!$W$16)&amp;"",""))))&gt;0,AND(ISNUMBER(SEARCH("blank",$X$4)),NOT(ISNUMBER(SEARCH("nonblank",$X$4))),IFERROR(('Final Calculation Sheet'!$W$16)&amp;"","")=""),AND(OR(ISNUMBER(SEARCH("nonblank",$X$4)),ISNUMBER(SEARCH("&lt;&gt;",$X$4))),IFERROR(('Final Calculation Sheet'!$W$16)&amp;"","")&lt;&gt;""),AND(TRIM($X$4)="",IFERROR(('Final Calculation Sheet'!$W$16)&amp;"","")=""))))</f>
        <v>1</v>
      </c>
      <c r="CK17">
        <f>IF($Y$4="",1,--(OR(SUMPRODUCT(--(TRIM(MID(SUBSTITUTE(SUBSTITUTE($Y$4,"/",","),",",REPT(" ",99)),(ROW($1:$8)-1)*99+1,99))&lt;&gt;""),--ISNUMBER(SEARCH(TRIM(MID(SUBSTITUTE(SUBSTITUTE($Y$4,"/",","),",",REPT(" ",99)),(ROW($1:$8)-1)*99+1,99)),IFERROR(('Final Calculation Sheet'!$X$16)&amp;"",""))))&gt;0,AND(ISNUMBER(SEARCH("blank",$Y$4)),NOT(ISNUMBER(SEARCH("nonblank",$Y$4))),IFERROR(('Final Calculation Sheet'!$X$16)&amp;"","")=""),AND(OR(ISNUMBER(SEARCH("nonblank",$Y$4)),ISNUMBER(SEARCH("&lt;&gt;",$Y$4))),IFERROR(('Final Calculation Sheet'!$X$16)&amp;"","")&lt;&gt;""),AND(TRIM($Y$4)="",IFERROR(('Final Calculation Sheet'!$X$16)&amp;"","")=""))))</f>
        <v>1</v>
      </c>
      <c r="CL17">
        <f>IF($Z$4="",1,--(OR(SUMPRODUCT(--(TRIM(MID(SUBSTITUTE(SUBSTITUTE($Z$4,"/",","),",",REPT(" ",99)),(ROW($1:$8)-1)*99+1,99))&lt;&gt;""),--ISNUMBER(SEARCH(TRIM(MID(SUBSTITUTE(SUBSTITUTE($Z$4,"/",","),",",REPT(" ",99)),(ROW($1:$8)-1)*99+1,99)),IFERROR(('Final Calculation Sheet'!$Y$16)&amp;"",""))))&gt;0,AND(ISNUMBER(SEARCH("blank",$Z$4)),NOT(ISNUMBER(SEARCH("nonblank",$Z$4))),IFERROR(('Final Calculation Sheet'!$Y$16)&amp;"","")=""),AND(OR(ISNUMBER(SEARCH("nonblank",$Z$4)),ISNUMBER(SEARCH("&lt;&gt;",$Z$4))),IFERROR(('Final Calculation Sheet'!$Y$16)&amp;"","")&lt;&gt;""),AND(TRIM($Z$4)="",IFERROR(('Final Calculation Sheet'!$Y$16)&amp;"","")=""))))</f>
        <v>1</v>
      </c>
      <c r="CM17">
        <f>IF($AA$4="",1,--(OR(SUMPRODUCT(--(TRIM(MID(SUBSTITUTE(SUBSTITUTE($AA$4,"/",","),",",REPT(" ",99)),(ROW($1:$8)-1)*99+1,99))&lt;&gt;""),--ISNUMBER(SEARCH(TRIM(MID(SUBSTITUTE(SUBSTITUTE($AA$4,"/",","),",",REPT(" ",99)),(ROW($1:$8)-1)*99+1,99)),IFERROR(('Final Calculation Sheet'!$Z$16)&amp;"",""))))&gt;0,AND(ISNUMBER(SEARCH("blank",$AA$4)),NOT(ISNUMBER(SEARCH("nonblank",$AA$4))),IFERROR(('Final Calculation Sheet'!$Z$16)&amp;"","")=""),AND(OR(ISNUMBER(SEARCH("nonblank",$AA$4)),ISNUMBER(SEARCH("&lt;&gt;",$AA$4))),IFERROR(('Final Calculation Sheet'!$Z$16)&amp;"","")&lt;&gt;""),AND(TRIM($AA$4)="",IFERROR(('Final Calculation Sheet'!$Z$16)&amp;"","")=""))))</f>
        <v>1</v>
      </c>
      <c r="CN17">
        <f>IF($AB$4="",1,--(OR(SUMPRODUCT(--(TRIM(MID(SUBSTITUTE(SUBSTITUTE($AB$4,"/",","),",",REPT(" ",99)),(ROW($1:$8)-1)*99+1,99))&lt;&gt;""),--ISNUMBER(SEARCH(TRIM(MID(SUBSTITUTE(SUBSTITUTE($AB$4,"/",","),",",REPT(" ",99)),(ROW($1:$8)-1)*99+1,99)),IFERROR(('Final Calculation Sheet'!$AA$16)&amp;"",""))))&gt;0,AND(ISNUMBER(SEARCH("blank",$AB$4)),NOT(ISNUMBER(SEARCH("nonblank",$AB$4))),IFERROR(('Final Calculation Sheet'!$AA$16)&amp;"","")=""),AND(OR(ISNUMBER(SEARCH("nonblank",$AB$4)),ISNUMBER(SEARCH("&lt;&gt;",$AB$4))),IFERROR(('Final Calculation Sheet'!$AA$16)&amp;"","")&lt;&gt;""),AND(TRIM($AB$4)="",IFERROR(('Final Calculation Sheet'!$AA$16)&amp;"","")=""))))</f>
        <v>1</v>
      </c>
      <c r="CO17">
        <f>IF($AC$4="",1,--(OR(SUMPRODUCT(--(TRIM(MID(SUBSTITUTE(SUBSTITUTE($AC$4,"/",","),",",REPT(" ",99)),(ROW($1:$8)-1)*99+1,99))&lt;&gt;""),--ISNUMBER(SEARCH(TRIM(MID(SUBSTITUTE(SUBSTITUTE($AC$4,"/",","),",",REPT(" ",99)),(ROW($1:$8)-1)*99+1,99)),IFERROR(('Final Calculation Sheet'!$AB$16)&amp;"",""))))&gt;0,AND(ISNUMBER(SEARCH("blank",$AC$4)),NOT(ISNUMBER(SEARCH("nonblank",$AC$4))),IFERROR(('Final Calculation Sheet'!$AB$16)&amp;"","")=""),AND(OR(ISNUMBER(SEARCH("nonblank",$AC$4)),ISNUMBER(SEARCH("&lt;&gt;",$AC$4))),IFERROR(('Final Calculation Sheet'!$AB$16)&amp;"","")&lt;&gt;""),AND(TRIM($AC$4)="",IFERROR(('Final Calculation Sheet'!$AB$16)&amp;"","")=""))))</f>
        <v>1</v>
      </c>
      <c r="CP17">
        <f>IF($AD$4="",1,--(OR(SUMPRODUCT(--(TRIM(MID(SUBSTITUTE(SUBSTITUTE($AD$4,"/",","),",",REPT(" ",99)),(ROW($1:$8)-1)*99+1,99))&lt;&gt;""),--ISNUMBER(SEARCH(TRIM(MID(SUBSTITUTE(SUBSTITUTE($AD$4,"/",","),",",REPT(" ",99)),(ROW($1:$8)-1)*99+1,99)),IFERROR(('Final Calculation Sheet'!$AC$16)&amp;"",""))))&gt;0,AND(ISNUMBER(SEARCH("blank",$AD$4)),NOT(ISNUMBER(SEARCH("nonblank",$AD$4))),IFERROR(('Final Calculation Sheet'!$AC$16)&amp;"","")=""),AND(OR(ISNUMBER(SEARCH("nonblank",$AD$4)),ISNUMBER(SEARCH("&lt;&gt;",$AD$4))),IFERROR(('Final Calculation Sheet'!$AC$16)&amp;"","")&lt;&gt;""),AND(TRIM($AD$4)="",IFERROR(('Final Calculation Sheet'!$AC$16)&amp;"","")=""))))</f>
        <v>1</v>
      </c>
      <c r="CQ17">
        <f>IF($AE$4="",1,--(OR(SUMPRODUCT(--(TRIM(MID(SUBSTITUTE(SUBSTITUTE($AE$4,"/",","),",",REPT(" ",99)),(ROW($1:$8)-1)*99+1,99))&lt;&gt;""),--ISNUMBER(SEARCH(TRIM(MID(SUBSTITUTE(SUBSTITUTE($AE$4,"/",","),",",REPT(" ",99)),(ROW($1:$8)-1)*99+1,99)),IFERROR(('Final Calculation Sheet'!$AD$16)&amp;"",""))))&gt;0,AND(ISNUMBER(SEARCH("blank",$AE$4)),NOT(ISNUMBER(SEARCH("nonblank",$AE$4))),IFERROR(('Final Calculation Sheet'!$AD$16)&amp;"","")=""),AND(OR(ISNUMBER(SEARCH("nonblank",$AE$4)),ISNUMBER(SEARCH("&lt;&gt;",$AE$4))),IFERROR(('Final Calculation Sheet'!$AD$16)&amp;"","")&lt;&gt;""),AND(TRIM($AE$4)="",IFERROR(('Final Calculation Sheet'!$AD$16)&amp;"","")=""))))</f>
        <v>1</v>
      </c>
      <c r="CR17">
        <f>IF($AF$4="",1,--(OR(SUMPRODUCT(--(TRIM(MID(SUBSTITUTE(SUBSTITUTE($AF$4,"/",","),",",REPT(" ",99)),(ROW($1:$8)-1)*99+1,99))&lt;&gt;""),--ISNUMBER(SEARCH(TRIM(MID(SUBSTITUTE(SUBSTITUTE($AF$4,"/",","),",",REPT(" ",99)),(ROW($1:$8)-1)*99+1,99)),IFERROR(('Final Calculation Sheet'!$AE$16)&amp;"",""))))&gt;0,AND(ISNUMBER(SEARCH("blank",$AF$4)),NOT(ISNUMBER(SEARCH("nonblank",$AF$4))),IFERROR(('Final Calculation Sheet'!$AE$16)&amp;"","")=""),AND(OR(ISNUMBER(SEARCH("nonblank",$AF$4)),ISNUMBER(SEARCH("&lt;&gt;",$AF$4))),IFERROR(('Final Calculation Sheet'!$AE$16)&amp;"","")&lt;&gt;""),AND(TRIM($AF$4)="",IFERROR(('Final Calculation Sheet'!$AE$16)&amp;"","")=""))))</f>
        <v>1</v>
      </c>
      <c r="CS17">
        <f>IF($AG$4="",1,--(OR(SUMPRODUCT(--(TRIM(MID(SUBSTITUTE(SUBSTITUTE($AG$4,"/",","),",",REPT(" ",99)),(ROW($1:$8)-1)*99+1,99))&lt;&gt;""),--ISNUMBER(SEARCH(TRIM(MID(SUBSTITUTE(SUBSTITUTE($AG$4,"/",","),",",REPT(" ",99)),(ROW($1:$8)-1)*99+1,99)),IFERROR(('Final Calculation Sheet'!$AF$16)&amp;"",""))))&gt;0,AND(ISNUMBER(SEARCH("blank",$AG$4)),NOT(ISNUMBER(SEARCH("nonblank",$AG$4))),IFERROR(('Final Calculation Sheet'!$AF$16)&amp;"","")=""),AND(OR(ISNUMBER(SEARCH("nonblank",$AG$4)),ISNUMBER(SEARCH("&lt;&gt;",$AG$4))),IFERROR(('Final Calculation Sheet'!$AF$16)&amp;"","")&lt;&gt;""),AND(TRIM($AG$4)="",IFERROR(('Final Calculation Sheet'!$AF$16)&amp;"","")=""))))</f>
        <v>1</v>
      </c>
      <c r="CT17">
        <f>IF($AH$4="",1,--(OR(SUMPRODUCT(--(TRIM(MID(SUBSTITUTE(SUBSTITUTE($AH$4,"/",","),",",REPT(" ",99)),(ROW($1:$8)-1)*99+1,99))&lt;&gt;""),--ISNUMBER(SEARCH(TRIM(MID(SUBSTITUTE(SUBSTITUTE($AH$4,"/",","),",",REPT(" ",99)),(ROW($1:$8)-1)*99+1,99)),IFERROR(('Final Calculation Sheet'!$AG$16)&amp;"",""))))&gt;0,AND(ISNUMBER(SEARCH("blank",$AH$4)),NOT(ISNUMBER(SEARCH("nonblank",$AH$4))),IFERROR(('Final Calculation Sheet'!$AG$16)&amp;"","")=""),AND(OR(ISNUMBER(SEARCH("nonblank",$AH$4)),ISNUMBER(SEARCH("&lt;&gt;",$AH$4))),IFERROR(('Final Calculation Sheet'!$AG$16)&amp;"","")&lt;&gt;""),AND(TRIM($AH$4)="",IFERROR(('Final Calculation Sheet'!$AG$16)&amp;"","")=""))))</f>
        <v>1</v>
      </c>
      <c r="CU17">
        <f>IF($AI$4="",1,--(OR(SUMPRODUCT(--(TRIM(MID(SUBSTITUTE(SUBSTITUTE($AI$4,"/",","),",",REPT(" ",99)),(ROW($1:$8)-1)*99+1,99))&lt;&gt;""),--ISNUMBER(SEARCH(TRIM(MID(SUBSTITUTE(SUBSTITUTE($AI$4,"/",","),",",REPT(" ",99)),(ROW($1:$8)-1)*99+1,99)),IFERROR((IF('Final Calculation Sheet'!$AD$16&lt;=5,"SETTLED","OUTSTANDING"))&amp;"",""))))&gt;0,AND(ISNUMBER(SEARCH("blank",$AI$4)),NOT(ISNUMBER(SEARCH("nonblank",$AI$4))),IFERROR((IF('Final Calculation Sheet'!$AD$16&lt;=5,"SETTLED","OUTSTANDING"))&amp;"","")=""),AND(OR(ISNUMBER(SEARCH("nonblank",$AI$4)),ISNUMBER(SEARCH("&lt;&gt;",$AI$4))),IFERROR((IF('Final Calculation Sheet'!$AD$16&lt;=5,"SETTLED","OUTSTANDING"))&amp;"","")&lt;&gt;""),AND(TRIM($AI$4)="",IFERROR((IF('Final Calculation Sheet'!$AD$16&lt;=5,"SETTLED","OUTSTANDING"))&amp;"","")=""))))</f>
        <v>1</v>
      </c>
    </row>
    <row r="18" ht="15" customHeight="1" s="137">
      <c r="A18" s="67">
        <f>IF($BJ17&gt;0,INDEX($BA$5:$BA$41,MATCH(17,$BB$5:$BB$41,0)),IF(OR($BI17=1,$BL17=1,$BH17&gt;0),"∑",""))</f>
        <v>13</v>
      </c>
      <c r="B18" s="76">
        <f>IF($BJ17&gt;0,IF(INDEX('Final Calculation Sheet'!$F$4:$F$40,$BJ17-3)="","",INDEX('Final Calculation Sheet'!$F$4:$F$40,$BJ17-3)),"")</f>
        <v>2011</v>
      </c>
      <c r="C18" s="76" t="str">
        <f>IF($BJ17&gt;0,IF(INDEX('Final Calculation Sheet'!$G$4:$G$40,$BJ17-3)="","",INDEX('Final Calculation Sheet'!$G$4:$G$40,$BJ17-3)),IF(OR($BI17=1,$BL17=1,$BH17&gt;0),IF($BI17=1,37,IF($BL17=1,37-INDEX($BD$4:$BD$13,10),INDEX($BD$4:$BD$13,$BH17)))&amp;" lot(s)",""))</f>
        <v>STERLING ENTERPRISES</v>
      </c>
      <c r="D18" s="80" t="str">
        <f>IF($BJ17&gt;0,IF(INDEX('Final Calculation Sheet'!$B$4:$B$40,$BJ17-3)="","",INDEX('Final Calculation Sheet'!$B$4:$B$40,$BJ17-3)),IF(OR($BI17=1,$BL17=1,$BH17&gt;0),IF($BI17=1,"GRAND TOTAL  —  matching + remaining",IF($BL17=1,"TOTAL MATCHED  —  every group together",IF($BH17=10,"REMAINING  —  did not match the search",IF($BH17=9,IF(COUNTIF($A$4:$AI$4,"&lt;&gt;")&gt;0,"FILTERED LOTS  —  column fields","ALL LOTS  —  nothing typed in the box"),"GROUP "&amp;$BH17&amp;" TOTAL  —  lots matching  "&amp;INDEX($AR$6:$AY$6,$BH17))))),""))</f>
        <v>Scrap of empty oil Barrel</v>
      </c>
      <c r="E18" s="80">
        <f>IF($BJ17&gt;0,IF(INDEX('Final Calculation Sheet'!$D$4:$D$40,$BJ17-3)="","",INDEX('Final Calculation Sheet'!$D$4:$D$40,$BJ17-3)),IF(OR($BI17=1,$BL17=1,$BH17&gt;0),"–",""))</f>
        <v>21977</v>
      </c>
      <c r="F18" s="80">
        <f>IF($BJ17&gt;0,IF(INDEX('Final Calculation Sheet'!$A$4:$A$40,$BJ17-3)="","",INDEX('Final Calculation Sheet'!$A$4:$A$40,$BJ17-3)),IF(OR($BI17=1,$BL17=1,$BH17&gt;0),IF($BI17=1,SUM('Final Calculation Sheet'!$A$4:$A$40),IF($BL17=1,SUM('Final Calculation Sheet'!$A$4:$A$40)-SUMIFS('Final Calculation Sheet'!$A$4:$A$40,$AZ$5:$AZ$41,10),SUMIFS('Final Calculation Sheet'!$A$4:$A$40,$AZ$5:$AZ$41,$BH17))),""))</f>
        <v>22</v>
      </c>
      <c r="G18" s="80" t="str">
        <f>IF($BJ17&gt;0,IF(INDEX('Final Calculation Sheet'!$E$4:$E$40,$BJ17-3)="","",INDEX('Final Calculation Sheet'!$E$4:$E$40,$BJ17-3)),IF(OR($BI17=1,$BL17=1,$BH17&gt;0),"–",""))</f>
        <v>NO</v>
      </c>
      <c r="H18" s="70">
        <f>IF($BJ17&gt;0,IF(INDEX('Final Calculation Sheet'!$C$4:$C$40,$BJ17-3)="","",INDEX('Final Calculation Sheet'!$C$4:$C$40,$BJ17-3)),IF(OR($BI17=1,$BL17=1,$BH17&gt;0),"–",""))</f>
        <v>700</v>
      </c>
      <c r="I18" s="70">
        <f>IF($BJ17&gt;0,IF(INDEX('Final Calculation Sheet'!$H$4:$H$40,$BJ17-3)="","",INDEX('Final Calculation Sheet'!$H$4:$H$40,$BJ17-3)),IF(OR($BI17=1,$BL17=1,$BH17&gt;0),IF($BI17=1,SUM('Final Calculation Sheet'!$H$4:$H$40),IF($BL17=1,SUM('Final Calculation Sheet'!$H$4:$H$40)-SUMIFS('Final Calculation Sheet'!$H$4:$H$40,$AZ$5:$AZ$41,10),SUMIFS('Final Calculation Sheet'!$H$4:$H$40,$AZ$5:$AZ$41,$BH17))),""))</f>
        <v>15400</v>
      </c>
      <c r="J18" s="70">
        <f>IF($BJ17&gt;0,IF(INDEX('Final Calculation Sheet'!$I$4:$I$40,$BJ17-3)="","",INDEX('Final Calculation Sheet'!$I$4:$I$40,$BJ17-3)),IF(OR($BI17=1,$BL17=1,$BH17&gt;0),IF($BI17=1,SUM('Final Calculation Sheet'!$I$4:$I$40),IF($BL17=1,SUM('Final Calculation Sheet'!$I$4:$I$40)-SUMIFS('Final Calculation Sheet'!$I$4:$I$40,$AZ$5:$AZ$41,10),SUMIFS('Final Calculation Sheet'!$I$4:$I$40,$AZ$5:$AZ$41,$BH17))),""))</f>
        <v>2772</v>
      </c>
      <c r="K18" s="70">
        <f>IF($BJ17&gt;0,IF(INDEX('Final Calculation Sheet'!$J$4:$J$40,$BJ17-3)="","",INDEX('Final Calculation Sheet'!$J$4:$J$40,$BJ17-3)),IF(OR($BI17=1,$BL17=1,$BH17&gt;0),IF($BI17=1,SUM('Final Calculation Sheet'!$J$4:$J$40),IF($BL17=1,SUM('Final Calculation Sheet'!$J$4:$J$40)-SUMIFS('Final Calculation Sheet'!$J$4:$J$40,$AZ$5:$AZ$41,10),SUMIFS('Final Calculation Sheet'!$J$4:$J$40,$AZ$5:$AZ$41,$BH17))),""))</f>
        <v>18172</v>
      </c>
      <c r="L18" s="70">
        <f>IF($BJ17&gt;0,IF(INDEX('Final Calculation Sheet'!$K$4:$K$40,$BJ17-3)="","",INDEX('Final Calculation Sheet'!$K$4:$K$40,$BJ17-3)),IF(OR($BI17=1,$BL17=1,$BH17&gt;0),IF($BI17=1,SUM('Final Calculation Sheet'!$K$4:$K$40),IF($BL17=1,SUM('Final Calculation Sheet'!$K$4:$K$40)-SUMIFS('Final Calculation Sheet'!$K$4:$K$40,$AZ$5:$AZ$41,10),SUMIFS('Final Calculation Sheet'!$K$4:$K$40,$AZ$5:$AZ$41,$BH17))),""))</f>
        <v>363</v>
      </c>
      <c r="M18" s="70">
        <f>IF($BJ17&gt;0,IF(INDEX('Final Calculation Sheet'!$L$4:$L$40,$BJ17-3)="","",INDEX('Final Calculation Sheet'!$L$4:$L$40,$BJ17-3)),IF(OR($BI17=1,$BL17=1,$BH17&gt;0),IF($BI17=1,SUM('Final Calculation Sheet'!$L$4:$L$40),IF($BL17=1,SUM('Final Calculation Sheet'!$L$4:$L$40)-SUMIFS('Final Calculation Sheet'!$L$4:$L$40,$AZ$5:$AZ$41,10),SUMIFS('Final Calculation Sheet'!$L$4:$L$40,$AZ$5:$AZ$41,$BH17))),""))</f>
        <v>15.4</v>
      </c>
      <c r="N18" s="70">
        <f>IF($BJ17&gt;0,IF(INDEX('Final Calculation Sheet'!$M$4:$M$40,$BJ17-3)="","",INDEX('Final Calculation Sheet'!$M$4:$M$40,$BJ17-3)),IF(OR($BI17=1,$BL17=1,$BH17&gt;0),IF($BI17=1,SUM('Final Calculation Sheet'!$M$4:$M$40),IF($BL17=1,SUM('Final Calculation Sheet'!$M$4:$M$40)-SUMIFS('Final Calculation Sheet'!$M$4:$M$40,$AZ$5:$AZ$41,10),SUMIFS('Final Calculation Sheet'!$M$4:$M$40,$AZ$5:$AZ$41,$BH17))),""))</f>
        <v>408.87</v>
      </c>
      <c r="O18" s="71">
        <f>IF($BJ17&gt;0,IF(INDEX('Final Calculation Sheet'!$N$4:$N$40,$BJ17-3)="","",INDEX('Final Calculation Sheet'!$N$4:$N$40,$BJ17-3)),IF(OR($BI17=1,$BL17=1,$BH17&gt;0),IF($BI17=1,SUM('Final Calculation Sheet'!$N$4:$N$40),IF($BL17=1,SUM('Final Calculation Sheet'!$N$4:$N$40)-SUMIFS('Final Calculation Sheet'!$N$4:$N$40,$AZ$5:$AZ$41,10),SUMIFS('Final Calculation Sheet'!$N$4:$N$40,$AZ$5:$AZ$41,$BH17))),""))</f>
        <v>6.93</v>
      </c>
      <c r="P18" s="70">
        <f>IF($BJ17&gt;0,IF(INDEX('Final Calculation Sheet'!$O$4:$O$40,$BJ17-3)="","",INDEX('Final Calculation Sheet'!$O$4:$O$40,$BJ17-3)),IF(OR($BI17=1,$BL17=1,$BH17&gt;0),IF($BI17=1,SUM('Final Calculation Sheet'!$O$4:$O$40),IF($BL17=1,SUM('Final Calculation Sheet'!$O$4:$O$40)-SUMIFS('Final Calculation Sheet'!$O$4:$O$40,$AZ$5:$AZ$41,10),SUMIFS('Final Calculation Sheet'!$O$4:$O$40,$AZ$5:$AZ$41,$BH17))),""))</f>
        <v>401.94</v>
      </c>
      <c r="Q18" s="70">
        <f>IF($BJ17&gt;0,IF(INDEX('Final Calculation Sheet'!$P$4:$P$40,$BJ17-3)="","",INDEX('Final Calculation Sheet'!$P$4:$P$40,$BJ17-3)),IF(OR($BI17=1,$BL17=1,$BH17&gt;0),IF($BI17=1,SUM('Final Calculation Sheet'!$P$4:$P$40),IF($BL17=1,SUM('Final Calculation Sheet'!$P$4:$P$40)-SUMIFS('Final Calculation Sheet'!$P$4:$P$40,$AZ$5:$AZ$41,10),SUMIFS('Final Calculation Sheet'!$P$4:$P$40,$AZ$5:$AZ$41,$BH17))),""))</f>
        <v>417</v>
      </c>
      <c r="R18" s="72">
        <f>IF($BJ17&gt;0,IF(INDEX('Final Calculation Sheet'!$Q$4:$Q$40,$BJ17-3)="","",INDEX('Final Calculation Sheet'!$Q$4:$Q$40,$BJ17-3)),IF(OR($BI17=1,$BL17=1,$BH17&gt;0),"–",""))</f>
        <v>0</v>
      </c>
      <c r="S18" s="70">
        <f>IF($BJ17&gt;0,IF(INDEX('Final Calculation Sheet'!$R$4:$R$40,$BJ17-3)="","",INDEX('Final Calculation Sheet'!$R$4:$R$40,$BJ17-3)),IF(OR($BI17=1,$BL17=1,$BH17&gt;0),IF($BI17=1,SUM('Final Calculation Sheet'!$R$4:$R$40),IF($BL17=1,SUM('Final Calculation Sheet'!$R$4:$R$40)-SUMIFS('Final Calculation Sheet'!$R$4:$R$40,$AZ$5:$AZ$41,10),SUMIFS('Final Calculation Sheet'!$R$4:$R$40,$AZ$5:$AZ$41,$BH17))),""))</f>
        <v>0</v>
      </c>
      <c r="T18" s="70">
        <f>IF($BJ17&gt;0,IF(INDEX('Final Calculation Sheet'!$S$4:$S$40,$BJ17-3)="","",INDEX('Final Calculation Sheet'!$S$4:$S$40,$BJ17-3)),IF(OR($BI17=1,$BL17=1,$BH17&gt;0),IF($BI17=1,SUM('Final Calculation Sheet'!$S$4:$S$40),IF($BL17=1,SUM('Final Calculation Sheet'!$S$4:$S$40)-SUMIFS('Final Calculation Sheet'!$S$4:$S$40,$AZ$5:$AZ$41,10),SUMIFS('Final Calculation Sheet'!$S$4:$S$40,$AZ$5:$AZ$41,$BH17))),""))</f>
        <v>18118</v>
      </c>
      <c r="U18" s="70">
        <f>IF($BJ17&gt;0,IF(INDEX('Final Calculation Sheet'!$T$4:$T$40,$BJ17-3)="","",INDEX('Final Calculation Sheet'!$T$4:$T$40,$BJ17-3)),IF(OR($BI17=1,$BL17=1,$BH17&gt;0),IF($BI17=1,SUM('Final Calculation Sheet'!$T$4:$T$40),IF($BL17=1,SUM('Final Calculation Sheet'!$T$4:$T$40)-SUMIFS('Final Calculation Sheet'!$T$4:$T$40,$AZ$5:$AZ$41,10),SUMIFS('Final Calculation Sheet'!$T$4:$T$40,$AZ$5:$AZ$41,$BH17))),""))</f>
        <v>3850</v>
      </c>
      <c r="V18" s="73">
        <f>IF($BJ17&gt;0,IF(INDEX('Final Calculation Sheet'!$U$4:$U$40,$BJ17-3)="","",INDEX('Final Calculation Sheet'!$U$4:$U$40,$BJ17-3)),IF(OR($BI17=1,$BL17=1,$BH17&gt;0),IF($BI17=1,SUM('Final Calculation Sheet'!$U$4:$U$40),IF($BL17=1,SUM('Final Calculation Sheet'!$U$4:$U$40)-SUMIFS('Final Calculation Sheet'!$U$4:$U$40,$AZ$5:$AZ$41,10),SUMIFS('Final Calculation Sheet'!$U$4:$U$40,$AZ$5:$AZ$41,$BH17))),""))</f>
        <v>3850</v>
      </c>
      <c r="W18" s="70" t="str">
        <f>IF($BJ17&gt;0,IF(INDEX('Final Calculation Sheet'!$V$4:$V$40,$BJ17-3)="","",INDEX('Final Calculation Sheet'!$V$4:$V$40,$BJ17-3)),IF(OR($BI17=1,$BL17=1,$BH17&gt;0),"–",""))</f>
        <v>11.08.2026</v>
      </c>
      <c r="X18" s="70">
        <f>IF($BJ17&gt;0,IF(INDEX('Final Calculation Sheet'!$W$4:$W$40,$BJ17-3)="","",INDEX('Final Calculation Sheet'!$W$4:$W$40,$BJ17-3)),IF(OR($BI17=1,$BL17=1,$BH17&gt;0),IF($BI17=1,SUM('Final Calculation Sheet'!$W$4:$W$40),IF($BL17=1,SUM('Final Calculation Sheet'!$W$4:$W$40)-SUMIFS('Final Calculation Sheet'!$W$4:$W$40,$AZ$5:$AZ$41,10),SUMIFS('Final Calculation Sheet'!$W$4:$W$40,$AZ$5:$AZ$41,$BH17))),""))</f>
        <v>14268</v>
      </c>
      <c r="Y18" s="70">
        <f>IF($BJ17&gt;0,IF(INDEX('Final Calculation Sheet'!$X$4:$X$40,$BJ17-3)="","",INDEX('Final Calculation Sheet'!$X$4:$X$40,$BJ17-3)),IF(OR($BI17=1,$BL17=1,$BH17&gt;0),IF($BI17=1,SUM('Final Calculation Sheet'!$X$4:$X$40),IF($BL17=1,SUM('Final Calculation Sheet'!$X$4:$X$40)-SUMIFS('Final Calculation Sheet'!$X$4:$X$40,$AZ$5:$AZ$41,10),SUMIFS('Final Calculation Sheet'!$X$4:$X$40,$AZ$5:$AZ$41,$BH17))),""))</f>
        <v>14267</v>
      </c>
      <c r="Z18" s="70" t="str">
        <f>IF($BJ17&gt;0,IF(INDEX('Final Calculation Sheet'!$Y$4:$Y$40,$BJ17-3)="","",INDEX('Final Calculation Sheet'!$Y$4:$Y$40,$BJ17-3)),IF(OR($BI17=1,$BL17=1,$BH17&gt;0),"–",""))</f>
        <v>11.08.2026</v>
      </c>
      <c r="AA18" s="70">
        <f>IF($BJ17&gt;0,IF(INDEX('Final Calculation Sheet'!$Z$4:$Z$40,$BJ17-3)="","",INDEX('Final Calculation Sheet'!$Z$4:$Z$40,$BJ17-3)),IF(OR($BI17=1,$BL17=1,$BH17&gt;0),IF($BI17=1,SUM('Final Calculation Sheet'!$Z$4:$Z$40),IF($BL17=1,SUM('Final Calculation Sheet'!$Z$4:$Z$40)-SUMIFS('Final Calculation Sheet'!$Z$4:$Z$40,$AZ$5:$AZ$41,10),SUMIFS('Final Calculation Sheet'!$Z$4:$Z$40,$AZ$5:$AZ$41,$BH17))),""))</f>
        <v>0</v>
      </c>
      <c r="AB18" s="70" t="str">
        <f>IF($BJ17&gt;0,IF(INDEX('Final Calculation Sheet'!$AA$4:$AA$40,$BJ17-3)="","",INDEX('Final Calculation Sheet'!$AA$4:$AA$40,$BJ17-3)),IF(OR($BI17=1,$BL17=1,$BH17&gt;0),IF($BI17=1,SUM('Final Calculation Sheet'!$AA$4:$AA$40),IF($BL17=1,SUM('Final Calculation Sheet'!$AA$4:$AA$40)-SUMIFS('Final Calculation Sheet'!$AA$4:$AA$40,$AZ$5:$AZ$41,10),SUMIFS('Final Calculation Sheet'!$AA$4:$AA$40,$AZ$5:$AZ$41,$BH17))),""))</f>
        <v/>
      </c>
      <c r="AC18" s="70" t="str">
        <f>IF($BJ17&gt;0,IF(INDEX('Final Calculation Sheet'!$AB$4:$AB$40,$BJ17-3)="","",INDEX('Final Calculation Sheet'!$AB$4:$AB$40,$BJ17-3)),IF(OR($BI17=1,$BL17=1,$BH17&gt;0),"–",""))</f>
        <v/>
      </c>
      <c r="AD18" s="70">
        <f>IF($BJ17&gt;0,IF(INDEX('Final Calculation Sheet'!$AC$4:$AC$40,$BJ17-3)="","",INDEX('Final Calculation Sheet'!$AC$4:$AC$40,$BJ17-3)),IF(OR($BI17=1,$BL17=1,$BH17&gt;0),IF($BI17=1,SUM('Final Calculation Sheet'!$AC$4:$AC$40),IF($BL17=1,SUM('Final Calculation Sheet'!$AC$4:$AC$40)-SUMIFS('Final Calculation Sheet'!$AC$4:$AC$40,$AZ$5:$AZ$41,10),SUMIFS('Final Calculation Sheet'!$AC$4:$AC$40,$AZ$5:$AZ$41,$BH17))),""))</f>
        <v>18117</v>
      </c>
      <c r="AE18" s="70">
        <f>IF($BJ17&gt;0,IF(INDEX('Final Calculation Sheet'!$AD$4:$AD$40,$BJ17-3)="","",INDEX('Final Calculation Sheet'!$AD$4:$AD$40,$BJ17-3)),IF(OR($BI17=1,$BL17=1,$BH17&gt;0),IF($BI17=1,SUM('Final Calculation Sheet'!$AD$4:$AD$40),IF($BL17=1,SUM('Final Calculation Sheet'!$AD$4:$AD$40)-SUMIFS('Final Calculation Sheet'!$AD$4:$AD$40,$AZ$5:$AZ$41,10),SUMIFS('Final Calculation Sheet'!$AD$4:$AD$40,$AZ$5:$AZ$41,$BH17))),""))</f>
        <v>1</v>
      </c>
      <c r="AF18" s="70" t="str">
        <f>IF($BJ17&gt;0,IF(INDEX('Final Calculation Sheet'!$AE$4:$AE$40,$BJ17-3)="","",INDEX('Final Calculation Sheet'!$AE$4:$AE$40,$BJ17-3)),IF(OR($BI17=1,$BL17=1,$BH17&gt;0),"–",""))</f>
        <v>DR2640100019</v>
      </c>
      <c r="AG18" s="74">
        <f>IF($BJ17&gt;0,IF(INDEX('Final Calculation Sheet'!$AF$4:$AF$40,$BJ17-3)="","",INDEX('Final Calculation Sheet'!$AF$4:$AF$40,$BJ17-3)),IF(OR($BI17=1,$BL17=1,$BH17&gt;0),"–",""))</f>
        <v>1800003157</v>
      </c>
      <c r="AH18" s="70" t="str">
        <f>IF($BJ17&gt;0,IF(INDEX('Final Calculation Sheet'!$AG$4:$AG$40,$BJ17-3)="","",INDEX('Final Calculation Sheet'!$AG$4:$AG$40,$BJ17-3)),IF(OR($BI17=1,$BL17=1,$BH17&gt;0),"–",""))</f>
        <v>14.08.2026</v>
      </c>
      <c r="AI18" s="75" t="str">
        <f>IF($BJ17&gt;0,IF(INDEX('Final Calculation Sheet'!$AD$4:$AD$40,$BJ17-3)="","",IF(INDEX('Final Calculation Sheet'!$AD$4:$AD$40,$BJ17-3)&lt;=5,"SETTLED","OUTSTANDING")),IF(OR($BI17=1,$BL17=1,$BH17&gt;0),IF(IF($BI17=1,SUM('Final Calculation Sheet'!$AD$4:$AD$40),IF($BL17=1,SUM('Final Calculation Sheet'!$AD$4:$AD$40)-SUMIFS('Final Calculation Sheet'!$AD$4:$AD$40,$AZ$5:$AZ$41,10),SUMIFS('Final Calculation Sheet'!$AD$4:$AD$40,$AZ$5:$AZ$41,$BH17)))&lt;=5,"ALL SETTLED","OUTSTANDING"),""))</f>
        <v>SETTLED</v>
      </c>
      <c r="AK18" t="str">
        <f>IF($F$3="Lot No.",'Final Calculation Sheet'!$F$17,IF($F$3="Buyer",'Final Calculation Sheet'!$G$17,IF($F$3="Lot Name",'Final Calculation Sheet'!$B$17,IF($F$3="Bid Sheet",'Final Calculation Sheet'!$D$17,IF($F$3="Unit",'Final Calculation Sheet'!$E$17,'Final Calculation Sheet'!$F$17&amp;" "&amp;'Final Calculation Sheet'!$G$17&amp;" "&amp;'Final Calculation Sheet'!$B$17)))))</f>
        <v>2015 STERLING ENTERPRISES Scrap of empty oil Barrels</v>
      </c>
      <c r="AL18">
        <f>AL17+IF($B$3="",0,--(SUMPRODUCT(--($AR$6:$AY$6&lt;&gt;""),--ISNUMBER(SEARCH($AR$6:$AY$6,$AK18)))&gt;0))</f>
        <v>0</v>
      </c>
      <c r="AM18">
        <f>IF(COUNTIF($BM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1</v>
      </c>
      <c r="AZ18">
        <f>IF($B$3="",IF(COUNTIF($A$4:$AI$4,"&lt;&gt;")=0,9,IF($AM18=1,9,10)),IF($AM18=0,10,IF(AND($AR$6&lt;&gt;"",ISNUMBER(SEARCH($AR$6,$AK18))),1,IF(AND($AS$6&lt;&gt;"",ISNUMBER(SEARCH($AS$6,$AK18))),2,IF(AND($AT$6&lt;&gt;"",ISNUMBER(SEARCH($AT$6,$AK18))),3,IF(AND($AU$6&lt;&gt;"",ISNUMBER(SEARCH($AU$6,$AK18))),4,IF(AND($AV$6&lt;&gt;"",ISNUMBER(SEARCH($AV$6,$AK18))),5,IF(AND($AW$6&lt;&gt;"",ISNUMBER(SEARCH($AW$6,$AK18))),6,IF(AND($AX$6&lt;&gt;"",ISNUMBER(SEARCH($AX$6,$AK18))),7,IF(AND($AY$6&lt;&gt;"",ISNUMBER(SEARCH($AY$6,$AK18))),8,0))))))))))</f>
        <v>9</v>
      </c>
      <c r="BA18">
        <f>SUMPRODUCT(($AZ$5:$AZ$41=$AZ18)*($BC$5:$BC$41&lt;$BC18))+1</f>
        <v>14</v>
      </c>
      <c r="BB18">
        <f>IF(INDEX($BF$4:$BF$13,$AZ18)=0,0,INDEX($BE$4:$BE$13,$AZ18)+$BA18-1)</f>
        <v>18</v>
      </c>
      <c r="BC18" t="n">
        <v>17</v>
      </c>
      <c r="BH18">
        <f>IFERROR(MATCH(18,$BF$4:$BF$13,0),0)</f>
        <v>0</v>
      </c>
      <c r="BI18">
        <f>IF(18=$BG$5,1,0)</f>
        <v>0</v>
      </c>
      <c r="BJ18">
        <f>IF(OR($BH18&gt;0,$BI18=1,$BL18=1),0,IFERROR(INDEX($BC$5:$BC$41,MATCH(18,$BB$5:$BB$41,0)),0))</f>
        <v>17</v>
      </c>
      <c r="BK18">
        <f>IF($BJ18&gt;0,IF(INDEX($AZ$5:$AZ$41,MATCH(18,$BB$5:$BB$41,0))=10,1,0),IF($BH18=10,1,0))</f>
        <v>0</v>
      </c>
      <c r="BL18">
        <f>IF(18=$BG$4,1,0)</f>
        <v>0</v>
      </c>
      <c r="BM18">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1</v>
      </c>
      <c r="BN18">
        <f>IF($B$4="",1,--(OR(SUMPRODUCT(--(TRIM(MID(SUBSTITUTE(SUBSTITUTE($B$4,"/",","),",",REPT(" ",99)),(ROW($1:$8)-1)*99+1,99))&lt;&gt;""),--ISNUMBER(SEARCH(TRIM(MID(SUBSTITUTE(SUBSTITUTE($B$4,"/",","),",",REPT(" ",99)),(ROW($1:$8)-1)*99+1,99)),IFERROR(('Final Calculation Sheet'!$F$17)&amp;"",""))))&gt;0,AND(ISNUMBER(SEARCH("blank",$B$4)),NOT(ISNUMBER(SEARCH("nonblank",$B$4))),IFERROR(('Final Calculation Sheet'!$F$17)&amp;"","")=""),AND(OR(ISNUMBER(SEARCH("nonblank",$B$4)),ISNUMBER(SEARCH("&lt;&gt;",$B$4))),IFERROR(('Final Calculation Sheet'!$F$17)&amp;"","")&lt;&gt;""),AND(TRIM($B$4)="",IFERROR(('Final Calculation Sheet'!$F$17)&amp;"","")=""))))</f>
        <v>1</v>
      </c>
      <c r="BO18">
        <f>IF($C$4="",1,--(OR(SUMPRODUCT(--(TRIM(MID(SUBSTITUTE(SUBSTITUTE($C$4,"/",","),",",REPT(" ",99)),(ROW($1:$8)-1)*99+1,99))&lt;&gt;""),--ISNUMBER(SEARCH(TRIM(MID(SUBSTITUTE(SUBSTITUTE($C$4,"/",","),",",REPT(" ",99)),(ROW($1:$8)-1)*99+1,99)),IFERROR(('Final Calculation Sheet'!$G$17)&amp;"",""))))&gt;0,AND(ISNUMBER(SEARCH("blank",$C$4)),NOT(ISNUMBER(SEARCH("nonblank",$C$4))),IFERROR(('Final Calculation Sheet'!$G$17)&amp;"","")=""),AND(OR(ISNUMBER(SEARCH("nonblank",$C$4)),ISNUMBER(SEARCH("&lt;&gt;",$C$4))),IFERROR(('Final Calculation Sheet'!$G$17)&amp;"","")&lt;&gt;""),AND(TRIM($C$4)="",IFERROR(('Final Calculation Sheet'!$G$17)&amp;"","")=""))))</f>
        <v>1</v>
      </c>
      <c r="BP18">
        <f>IF($D$4="",1,--(OR(SUMPRODUCT(--(TRIM(MID(SUBSTITUTE(SUBSTITUTE($D$4,"/",","),",",REPT(" ",99)),(ROW($1:$8)-1)*99+1,99))&lt;&gt;""),--ISNUMBER(SEARCH(TRIM(MID(SUBSTITUTE(SUBSTITUTE($D$4,"/",","),",",REPT(" ",99)),(ROW($1:$8)-1)*99+1,99)),IFERROR(('Final Calculation Sheet'!$B$17)&amp;"",""))))&gt;0,AND(ISNUMBER(SEARCH("blank",$D$4)),NOT(ISNUMBER(SEARCH("nonblank",$D$4))),IFERROR(('Final Calculation Sheet'!$B$17)&amp;"","")=""),AND(OR(ISNUMBER(SEARCH("nonblank",$D$4)),ISNUMBER(SEARCH("&lt;&gt;",$D$4))),IFERROR(('Final Calculation Sheet'!$B$17)&amp;"","")&lt;&gt;""),AND(TRIM($D$4)="",IFERROR(('Final Calculation Sheet'!$B$17)&amp;"","")=""))))</f>
        <v>1</v>
      </c>
      <c r="BQ18">
        <f>IF($E$4="",1,--(OR(SUMPRODUCT(--(TRIM(MID(SUBSTITUTE(SUBSTITUTE($E$4,"/",","),",",REPT(" ",99)),(ROW($1:$8)-1)*99+1,99))&lt;&gt;""),--ISNUMBER(SEARCH(TRIM(MID(SUBSTITUTE(SUBSTITUTE($E$4,"/",","),",",REPT(" ",99)),(ROW($1:$8)-1)*99+1,99)),IFERROR(('Final Calculation Sheet'!$D$17)&amp;"",""))))&gt;0,AND(ISNUMBER(SEARCH("blank",$E$4)),NOT(ISNUMBER(SEARCH("nonblank",$E$4))),IFERROR(('Final Calculation Sheet'!$D$17)&amp;"","")=""),AND(OR(ISNUMBER(SEARCH("nonblank",$E$4)),ISNUMBER(SEARCH("&lt;&gt;",$E$4))),IFERROR(('Final Calculation Sheet'!$D$17)&amp;"","")&lt;&gt;""),AND(TRIM($E$4)="",IFERROR(('Final Calculation Sheet'!$D$17)&amp;"","")=""))))</f>
        <v>1</v>
      </c>
      <c r="BR18">
        <f>IF($F$4="",1,--(OR(SUMPRODUCT(--(TRIM(MID(SUBSTITUTE(SUBSTITUTE($F$4,"/",","),",",REPT(" ",99)),(ROW($1:$8)-1)*99+1,99))&lt;&gt;""),--ISNUMBER(SEARCH(TRIM(MID(SUBSTITUTE(SUBSTITUTE($F$4,"/",","),",",REPT(" ",99)),(ROW($1:$8)-1)*99+1,99)),IFERROR(('Final Calculation Sheet'!$A$17)&amp;"",""))))&gt;0,AND(ISNUMBER(SEARCH("blank",$F$4)),NOT(ISNUMBER(SEARCH("nonblank",$F$4))),IFERROR(('Final Calculation Sheet'!$A$17)&amp;"","")=""),AND(OR(ISNUMBER(SEARCH("nonblank",$F$4)),ISNUMBER(SEARCH("&lt;&gt;",$F$4))),IFERROR(('Final Calculation Sheet'!$A$17)&amp;"","")&lt;&gt;""),AND(TRIM($F$4)="",IFERROR(('Final Calculation Sheet'!$A$17)&amp;"","")=""))))</f>
        <v>1</v>
      </c>
      <c r="BS18">
        <f>IF($G$4="",1,--(OR(SUMPRODUCT(--(TRIM(MID(SUBSTITUTE(SUBSTITUTE($G$4,"/",","),",",REPT(" ",99)),(ROW($1:$8)-1)*99+1,99))&lt;&gt;""),--ISNUMBER(SEARCH(TRIM(MID(SUBSTITUTE(SUBSTITUTE($G$4,"/",","),",",REPT(" ",99)),(ROW($1:$8)-1)*99+1,99)),IFERROR(('Final Calculation Sheet'!$E$17)&amp;"",""))))&gt;0,AND(ISNUMBER(SEARCH("blank",$G$4)),NOT(ISNUMBER(SEARCH("nonblank",$G$4))),IFERROR(('Final Calculation Sheet'!$E$17)&amp;"","")=""),AND(OR(ISNUMBER(SEARCH("nonblank",$G$4)),ISNUMBER(SEARCH("&lt;&gt;",$G$4))),IFERROR(('Final Calculation Sheet'!$E$17)&amp;"","")&lt;&gt;""),AND(TRIM($G$4)="",IFERROR(('Final Calculation Sheet'!$E$17)&amp;"","")=""))))</f>
        <v>1</v>
      </c>
      <c r="BT18">
        <f>IF($H$4="",1,--(OR(SUMPRODUCT(--(TRIM(MID(SUBSTITUTE(SUBSTITUTE($H$4,"/",","),",",REPT(" ",99)),(ROW($1:$8)-1)*99+1,99))&lt;&gt;""),--ISNUMBER(SEARCH(TRIM(MID(SUBSTITUTE(SUBSTITUTE($H$4,"/",","),",",REPT(" ",99)),(ROW($1:$8)-1)*99+1,99)),IFERROR(('Final Calculation Sheet'!$C$17)&amp;"",""))))&gt;0,AND(ISNUMBER(SEARCH("blank",$H$4)),NOT(ISNUMBER(SEARCH("nonblank",$H$4))),IFERROR(('Final Calculation Sheet'!$C$17)&amp;"","")=""),AND(OR(ISNUMBER(SEARCH("nonblank",$H$4)),ISNUMBER(SEARCH("&lt;&gt;",$H$4))),IFERROR(('Final Calculation Sheet'!$C$17)&amp;"","")&lt;&gt;""),AND(TRIM($H$4)="",IFERROR(('Final Calculation Sheet'!$C$17)&amp;"","")=""))))</f>
        <v>1</v>
      </c>
      <c r="BU18">
        <f>IF($I$4="",1,--(OR(SUMPRODUCT(--(TRIM(MID(SUBSTITUTE(SUBSTITUTE($I$4,"/",","),",",REPT(" ",99)),(ROW($1:$8)-1)*99+1,99))&lt;&gt;""),--ISNUMBER(SEARCH(TRIM(MID(SUBSTITUTE(SUBSTITUTE($I$4,"/",","),",",REPT(" ",99)),(ROW($1:$8)-1)*99+1,99)),IFERROR(('Final Calculation Sheet'!$H$17)&amp;"",""))))&gt;0,AND(ISNUMBER(SEARCH("blank",$I$4)),NOT(ISNUMBER(SEARCH("nonblank",$I$4))),IFERROR(('Final Calculation Sheet'!$H$17)&amp;"","")=""),AND(OR(ISNUMBER(SEARCH("nonblank",$I$4)),ISNUMBER(SEARCH("&lt;&gt;",$I$4))),IFERROR(('Final Calculation Sheet'!$H$17)&amp;"","")&lt;&gt;""),AND(TRIM($I$4)="",IFERROR(('Final Calculation Sheet'!$H$17)&amp;"","")=""))))</f>
        <v>1</v>
      </c>
      <c r="BV18">
        <f>IF($J$4="",1,--(OR(SUMPRODUCT(--(TRIM(MID(SUBSTITUTE(SUBSTITUTE($J$4,"/",","),",",REPT(" ",99)),(ROW($1:$8)-1)*99+1,99))&lt;&gt;""),--ISNUMBER(SEARCH(TRIM(MID(SUBSTITUTE(SUBSTITUTE($J$4,"/",","),",",REPT(" ",99)),(ROW($1:$8)-1)*99+1,99)),IFERROR(('Final Calculation Sheet'!$I$17)&amp;"",""))))&gt;0,AND(ISNUMBER(SEARCH("blank",$J$4)),NOT(ISNUMBER(SEARCH("nonblank",$J$4))),IFERROR(('Final Calculation Sheet'!$I$17)&amp;"","")=""),AND(OR(ISNUMBER(SEARCH("nonblank",$J$4)),ISNUMBER(SEARCH("&lt;&gt;",$J$4))),IFERROR(('Final Calculation Sheet'!$I$17)&amp;"","")&lt;&gt;""),AND(TRIM($J$4)="",IFERROR(('Final Calculation Sheet'!$I$17)&amp;"","")=""))))</f>
        <v>1</v>
      </c>
      <c r="BW18">
        <f>IF($K$4="",1,--(OR(SUMPRODUCT(--(TRIM(MID(SUBSTITUTE(SUBSTITUTE($K$4,"/",","),",",REPT(" ",99)),(ROW($1:$8)-1)*99+1,99))&lt;&gt;""),--ISNUMBER(SEARCH(TRIM(MID(SUBSTITUTE(SUBSTITUTE($K$4,"/",","),",",REPT(" ",99)),(ROW($1:$8)-1)*99+1,99)),IFERROR(('Final Calculation Sheet'!$J$17)&amp;"",""))))&gt;0,AND(ISNUMBER(SEARCH("blank",$K$4)),NOT(ISNUMBER(SEARCH("nonblank",$K$4))),IFERROR(('Final Calculation Sheet'!$J$17)&amp;"","")=""),AND(OR(ISNUMBER(SEARCH("nonblank",$K$4)),ISNUMBER(SEARCH("&lt;&gt;",$K$4))),IFERROR(('Final Calculation Sheet'!$J$17)&amp;"","")&lt;&gt;""),AND(TRIM($K$4)="",IFERROR(('Final Calculation Sheet'!$J$17)&amp;"","")=""))))</f>
        <v>1</v>
      </c>
      <c r="BX18">
        <f>IF($L$4="",1,--(OR(SUMPRODUCT(--(TRIM(MID(SUBSTITUTE(SUBSTITUTE($L$4,"/",","),",",REPT(" ",99)),(ROW($1:$8)-1)*99+1,99))&lt;&gt;""),--ISNUMBER(SEARCH(TRIM(MID(SUBSTITUTE(SUBSTITUTE($L$4,"/",","),",",REPT(" ",99)),(ROW($1:$8)-1)*99+1,99)),IFERROR(('Final Calculation Sheet'!$K$17)&amp;"",""))))&gt;0,AND(ISNUMBER(SEARCH("blank",$L$4)),NOT(ISNUMBER(SEARCH("nonblank",$L$4))),IFERROR(('Final Calculation Sheet'!$K$17)&amp;"","")=""),AND(OR(ISNUMBER(SEARCH("nonblank",$L$4)),ISNUMBER(SEARCH("&lt;&gt;",$L$4))),IFERROR(('Final Calculation Sheet'!$K$17)&amp;"","")&lt;&gt;""),AND(TRIM($L$4)="",IFERROR(('Final Calculation Sheet'!$K$17)&amp;"","")=""))))</f>
        <v>1</v>
      </c>
      <c r="BY18">
        <f>IF($M$4="",1,--(OR(SUMPRODUCT(--(TRIM(MID(SUBSTITUTE(SUBSTITUTE($M$4,"/",","),",",REPT(" ",99)),(ROW($1:$8)-1)*99+1,99))&lt;&gt;""),--ISNUMBER(SEARCH(TRIM(MID(SUBSTITUTE(SUBSTITUTE($M$4,"/",","),",",REPT(" ",99)),(ROW($1:$8)-1)*99+1,99)),IFERROR(('Final Calculation Sheet'!$L$17)&amp;"",""))))&gt;0,AND(ISNUMBER(SEARCH("blank",$M$4)),NOT(ISNUMBER(SEARCH("nonblank",$M$4))),IFERROR(('Final Calculation Sheet'!$L$17)&amp;"","")=""),AND(OR(ISNUMBER(SEARCH("nonblank",$M$4)),ISNUMBER(SEARCH("&lt;&gt;",$M$4))),IFERROR(('Final Calculation Sheet'!$L$17)&amp;"","")&lt;&gt;""),AND(TRIM($M$4)="",IFERROR(('Final Calculation Sheet'!$L$17)&amp;"","")=""))))</f>
        <v>1</v>
      </c>
      <c r="BZ18">
        <f>IF($N$4="",1,--(OR(SUMPRODUCT(--(TRIM(MID(SUBSTITUTE(SUBSTITUTE($N$4,"/",","),",",REPT(" ",99)),(ROW($1:$8)-1)*99+1,99))&lt;&gt;""),--ISNUMBER(SEARCH(TRIM(MID(SUBSTITUTE(SUBSTITUTE($N$4,"/",","),",",REPT(" ",99)),(ROW($1:$8)-1)*99+1,99)),IFERROR(('Final Calculation Sheet'!$M$17)&amp;"",""))))&gt;0,AND(ISNUMBER(SEARCH("blank",$N$4)),NOT(ISNUMBER(SEARCH("nonblank",$N$4))),IFERROR(('Final Calculation Sheet'!$M$17)&amp;"","")=""),AND(OR(ISNUMBER(SEARCH("nonblank",$N$4)),ISNUMBER(SEARCH("&lt;&gt;",$N$4))),IFERROR(('Final Calculation Sheet'!$M$17)&amp;"","")&lt;&gt;""),AND(TRIM($N$4)="",IFERROR(('Final Calculation Sheet'!$M$17)&amp;"","")=""))))</f>
        <v>1</v>
      </c>
      <c r="CA18">
        <f>IF($O$4="",1,--(OR(SUMPRODUCT(--(TRIM(MID(SUBSTITUTE(SUBSTITUTE($O$4,"/",","),",",REPT(" ",99)),(ROW($1:$8)-1)*99+1,99))&lt;&gt;""),--ISNUMBER(SEARCH(TRIM(MID(SUBSTITUTE(SUBSTITUTE($O$4,"/",","),",",REPT(" ",99)),(ROW($1:$8)-1)*99+1,99)),IFERROR(('Final Calculation Sheet'!$N$17)&amp;"",""))))&gt;0,AND(ISNUMBER(SEARCH("blank",$O$4)),NOT(ISNUMBER(SEARCH("nonblank",$O$4))),IFERROR(('Final Calculation Sheet'!$N$17)&amp;"","")=""),AND(OR(ISNUMBER(SEARCH("nonblank",$O$4)),ISNUMBER(SEARCH("&lt;&gt;",$O$4))),IFERROR(('Final Calculation Sheet'!$N$17)&amp;"","")&lt;&gt;""),AND(TRIM($O$4)="",IFERROR(('Final Calculation Sheet'!$N$17)&amp;"","")=""))))</f>
        <v>1</v>
      </c>
      <c r="CB18">
        <f>IF($P$4="",1,--(OR(SUMPRODUCT(--(TRIM(MID(SUBSTITUTE(SUBSTITUTE($P$4,"/",","),",",REPT(" ",99)),(ROW($1:$8)-1)*99+1,99))&lt;&gt;""),--ISNUMBER(SEARCH(TRIM(MID(SUBSTITUTE(SUBSTITUTE($P$4,"/",","),",",REPT(" ",99)),(ROW($1:$8)-1)*99+1,99)),IFERROR(('Final Calculation Sheet'!$O$17)&amp;"",""))))&gt;0,AND(ISNUMBER(SEARCH("blank",$P$4)),NOT(ISNUMBER(SEARCH("nonblank",$P$4))),IFERROR(('Final Calculation Sheet'!$O$17)&amp;"","")=""),AND(OR(ISNUMBER(SEARCH("nonblank",$P$4)),ISNUMBER(SEARCH("&lt;&gt;",$P$4))),IFERROR(('Final Calculation Sheet'!$O$17)&amp;"","")&lt;&gt;""),AND(TRIM($P$4)="",IFERROR(('Final Calculation Sheet'!$O$17)&amp;"","")=""))))</f>
        <v>1</v>
      </c>
      <c r="CC18">
        <f>IF($Q$4="",1,--(OR(SUMPRODUCT(--(TRIM(MID(SUBSTITUTE(SUBSTITUTE($Q$4,"/",","),",",REPT(" ",99)),(ROW($1:$8)-1)*99+1,99))&lt;&gt;""),--ISNUMBER(SEARCH(TRIM(MID(SUBSTITUTE(SUBSTITUTE($Q$4,"/",","),",",REPT(" ",99)),(ROW($1:$8)-1)*99+1,99)),IFERROR(('Final Calculation Sheet'!$P$17)&amp;"",""))))&gt;0,AND(ISNUMBER(SEARCH("blank",$Q$4)),NOT(ISNUMBER(SEARCH("nonblank",$Q$4))),IFERROR(('Final Calculation Sheet'!$P$17)&amp;"","")=""),AND(OR(ISNUMBER(SEARCH("nonblank",$Q$4)),ISNUMBER(SEARCH("&lt;&gt;",$Q$4))),IFERROR(('Final Calculation Sheet'!$P$17)&amp;"","")&lt;&gt;""),AND(TRIM($Q$4)="",IFERROR(('Final Calculation Sheet'!$P$17)&amp;"","")=""))))</f>
        <v>1</v>
      </c>
      <c r="CD18">
        <f>IF($R$4="",1,--(OR(SUMPRODUCT(--(TRIM(MID(SUBSTITUTE(SUBSTITUTE($R$4,"/",","),",",REPT(" ",99)),(ROW($1:$8)-1)*99+1,99))&lt;&gt;""),--ISNUMBER(SEARCH(TRIM(MID(SUBSTITUTE(SUBSTITUTE($R$4,"/",","),",",REPT(" ",99)),(ROW($1:$8)-1)*99+1,99)),IFERROR(('Final Calculation Sheet'!$Q$17)&amp;"",""))))&gt;0,AND(ISNUMBER(SEARCH("blank",$R$4)),NOT(ISNUMBER(SEARCH("nonblank",$R$4))),IFERROR(('Final Calculation Sheet'!$Q$17)&amp;"","")=""),AND(OR(ISNUMBER(SEARCH("nonblank",$R$4)),ISNUMBER(SEARCH("&lt;&gt;",$R$4))),IFERROR(('Final Calculation Sheet'!$Q$17)&amp;"","")&lt;&gt;""),AND(TRIM($R$4)="",IFERROR(('Final Calculation Sheet'!$Q$17)&amp;"","")=""))))</f>
        <v>1</v>
      </c>
      <c r="CE18">
        <f>IF($S$4="",1,--(OR(SUMPRODUCT(--(TRIM(MID(SUBSTITUTE(SUBSTITUTE($S$4,"/",","),",",REPT(" ",99)),(ROW($1:$8)-1)*99+1,99))&lt;&gt;""),--ISNUMBER(SEARCH(TRIM(MID(SUBSTITUTE(SUBSTITUTE($S$4,"/",","),",",REPT(" ",99)),(ROW($1:$8)-1)*99+1,99)),IFERROR(('Final Calculation Sheet'!$R$17)&amp;"",""))))&gt;0,AND(ISNUMBER(SEARCH("blank",$S$4)),NOT(ISNUMBER(SEARCH("nonblank",$S$4))),IFERROR(('Final Calculation Sheet'!$R$17)&amp;"","")=""),AND(OR(ISNUMBER(SEARCH("nonblank",$S$4)),ISNUMBER(SEARCH("&lt;&gt;",$S$4))),IFERROR(('Final Calculation Sheet'!$R$17)&amp;"","")&lt;&gt;""),AND(TRIM($S$4)="",IFERROR(('Final Calculation Sheet'!$R$17)&amp;"","")=""))))</f>
        <v>1</v>
      </c>
      <c r="CF18">
        <f>IF($T$4="",1,--(OR(SUMPRODUCT(--(TRIM(MID(SUBSTITUTE(SUBSTITUTE($T$4,"/",","),",",REPT(" ",99)),(ROW($1:$8)-1)*99+1,99))&lt;&gt;""),--ISNUMBER(SEARCH(TRIM(MID(SUBSTITUTE(SUBSTITUTE($T$4,"/",","),",",REPT(" ",99)),(ROW($1:$8)-1)*99+1,99)),IFERROR(('Final Calculation Sheet'!$S$17)&amp;"",""))))&gt;0,AND(ISNUMBER(SEARCH("blank",$T$4)),NOT(ISNUMBER(SEARCH("nonblank",$T$4))),IFERROR(('Final Calculation Sheet'!$S$17)&amp;"","")=""),AND(OR(ISNUMBER(SEARCH("nonblank",$T$4)),ISNUMBER(SEARCH("&lt;&gt;",$T$4))),IFERROR(('Final Calculation Sheet'!$S$17)&amp;"","")&lt;&gt;""),AND(TRIM($T$4)="",IFERROR(('Final Calculation Sheet'!$S$17)&amp;"","")=""))))</f>
        <v>1</v>
      </c>
      <c r="CG18">
        <f>IF($U$4="",1,--(OR(SUMPRODUCT(--(TRIM(MID(SUBSTITUTE(SUBSTITUTE($U$4,"/",","),",",REPT(" ",99)),(ROW($1:$8)-1)*99+1,99))&lt;&gt;""),--ISNUMBER(SEARCH(TRIM(MID(SUBSTITUTE(SUBSTITUTE($U$4,"/",","),",",REPT(" ",99)),(ROW($1:$8)-1)*99+1,99)),IFERROR(('Final Calculation Sheet'!$T$17)&amp;"",""))))&gt;0,AND(ISNUMBER(SEARCH("blank",$U$4)),NOT(ISNUMBER(SEARCH("nonblank",$U$4))),IFERROR(('Final Calculation Sheet'!$T$17)&amp;"","")=""),AND(OR(ISNUMBER(SEARCH("nonblank",$U$4)),ISNUMBER(SEARCH("&lt;&gt;",$U$4))),IFERROR(('Final Calculation Sheet'!$T$17)&amp;"","")&lt;&gt;""),AND(TRIM($U$4)="",IFERROR(('Final Calculation Sheet'!$T$17)&amp;"","")=""))))</f>
        <v>1</v>
      </c>
      <c r="CH18">
        <f>IF($V$4="",1,--(OR(SUMPRODUCT(--(TRIM(MID(SUBSTITUTE(SUBSTITUTE($V$4,"/",","),",",REPT(" ",99)),(ROW($1:$8)-1)*99+1,99))&lt;&gt;""),--ISNUMBER(SEARCH(TRIM(MID(SUBSTITUTE(SUBSTITUTE($V$4,"/",","),",",REPT(" ",99)),(ROW($1:$8)-1)*99+1,99)),IFERROR(('Final Calculation Sheet'!$U$17)&amp;"",""))))&gt;0,AND(ISNUMBER(SEARCH("blank",$V$4)),NOT(ISNUMBER(SEARCH("nonblank",$V$4))),IFERROR(('Final Calculation Sheet'!$U$17)&amp;"","")=""),AND(OR(ISNUMBER(SEARCH("nonblank",$V$4)),ISNUMBER(SEARCH("&lt;&gt;",$V$4))),IFERROR(('Final Calculation Sheet'!$U$17)&amp;"","")&lt;&gt;""),AND(TRIM($V$4)="",IFERROR(('Final Calculation Sheet'!$U$17)&amp;"","")=""))))</f>
        <v>1</v>
      </c>
      <c r="CI18">
        <f>IF($W$4="",1,--(OR(SUMPRODUCT(--(TRIM(MID(SUBSTITUTE(SUBSTITUTE($W$4,"/",","),",",REPT(" ",99)),(ROW($1:$8)-1)*99+1,99))&lt;&gt;""),--ISNUMBER(SEARCH(TRIM(MID(SUBSTITUTE(SUBSTITUTE($W$4,"/",","),",",REPT(" ",99)),(ROW($1:$8)-1)*99+1,99)),IFERROR(('Final Calculation Sheet'!$V$17)&amp;"",""))))&gt;0,AND(ISNUMBER(SEARCH("blank",$W$4)),NOT(ISNUMBER(SEARCH("nonblank",$W$4))),IFERROR(('Final Calculation Sheet'!$V$17)&amp;"","")=""),AND(OR(ISNUMBER(SEARCH("nonblank",$W$4)),ISNUMBER(SEARCH("&lt;&gt;",$W$4))),IFERROR(('Final Calculation Sheet'!$V$17)&amp;"","")&lt;&gt;""),AND(TRIM($W$4)="",IFERROR(('Final Calculation Sheet'!$V$17)&amp;"","")=""))))</f>
        <v>1</v>
      </c>
      <c r="CJ18">
        <f>IF($X$4="",1,--(OR(SUMPRODUCT(--(TRIM(MID(SUBSTITUTE(SUBSTITUTE($X$4,"/",","),",",REPT(" ",99)),(ROW($1:$8)-1)*99+1,99))&lt;&gt;""),--ISNUMBER(SEARCH(TRIM(MID(SUBSTITUTE(SUBSTITUTE($X$4,"/",","),",",REPT(" ",99)),(ROW($1:$8)-1)*99+1,99)),IFERROR(('Final Calculation Sheet'!$W$17)&amp;"",""))))&gt;0,AND(ISNUMBER(SEARCH("blank",$X$4)),NOT(ISNUMBER(SEARCH("nonblank",$X$4))),IFERROR(('Final Calculation Sheet'!$W$17)&amp;"","")=""),AND(OR(ISNUMBER(SEARCH("nonblank",$X$4)),ISNUMBER(SEARCH("&lt;&gt;",$X$4))),IFERROR(('Final Calculation Sheet'!$W$17)&amp;"","")&lt;&gt;""),AND(TRIM($X$4)="",IFERROR(('Final Calculation Sheet'!$W$17)&amp;"","")=""))))</f>
        <v>1</v>
      </c>
      <c r="CK18">
        <f>IF($Y$4="",1,--(OR(SUMPRODUCT(--(TRIM(MID(SUBSTITUTE(SUBSTITUTE($Y$4,"/",","),",",REPT(" ",99)),(ROW($1:$8)-1)*99+1,99))&lt;&gt;""),--ISNUMBER(SEARCH(TRIM(MID(SUBSTITUTE(SUBSTITUTE($Y$4,"/",","),",",REPT(" ",99)),(ROW($1:$8)-1)*99+1,99)),IFERROR(('Final Calculation Sheet'!$X$17)&amp;"",""))))&gt;0,AND(ISNUMBER(SEARCH("blank",$Y$4)),NOT(ISNUMBER(SEARCH("nonblank",$Y$4))),IFERROR(('Final Calculation Sheet'!$X$17)&amp;"","")=""),AND(OR(ISNUMBER(SEARCH("nonblank",$Y$4)),ISNUMBER(SEARCH("&lt;&gt;",$Y$4))),IFERROR(('Final Calculation Sheet'!$X$17)&amp;"","")&lt;&gt;""),AND(TRIM($Y$4)="",IFERROR(('Final Calculation Sheet'!$X$17)&amp;"","")=""))))</f>
        <v>1</v>
      </c>
      <c r="CL18">
        <f>IF($Z$4="",1,--(OR(SUMPRODUCT(--(TRIM(MID(SUBSTITUTE(SUBSTITUTE($Z$4,"/",","),",",REPT(" ",99)),(ROW($1:$8)-1)*99+1,99))&lt;&gt;""),--ISNUMBER(SEARCH(TRIM(MID(SUBSTITUTE(SUBSTITUTE($Z$4,"/",","),",",REPT(" ",99)),(ROW($1:$8)-1)*99+1,99)),IFERROR(('Final Calculation Sheet'!$Y$17)&amp;"",""))))&gt;0,AND(ISNUMBER(SEARCH("blank",$Z$4)),NOT(ISNUMBER(SEARCH("nonblank",$Z$4))),IFERROR(('Final Calculation Sheet'!$Y$17)&amp;"","")=""),AND(OR(ISNUMBER(SEARCH("nonblank",$Z$4)),ISNUMBER(SEARCH("&lt;&gt;",$Z$4))),IFERROR(('Final Calculation Sheet'!$Y$17)&amp;"","")&lt;&gt;""),AND(TRIM($Z$4)="",IFERROR(('Final Calculation Sheet'!$Y$17)&amp;"","")=""))))</f>
        <v>1</v>
      </c>
      <c r="CM18">
        <f>IF($AA$4="",1,--(OR(SUMPRODUCT(--(TRIM(MID(SUBSTITUTE(SUBSTITUTE($AA$4,"/",","),",",REPT(" ",99)),(ROW($1:$8)-1)*99+1,99))&lt;&gt;""),--ISNUMBER(SEARCH(TRIM(MID(SUBSTITUTE(SUBSTITUTE($AA$4,"/",","),",",REPT(" ",99)),(ROW($1:$8)-1)*99+1,99)),IFERROR(('Final Calculation Sheet'!$Z$17)&amp;"",""))))&gt;0,AND(ISNUMBER(SEARCH("blank",$AA$4)),NOT(ISNUMBER(SEARCH("nonblank",$AA$4))),IFERROR(('Final Calculation Sheet'!$Z$17)&amp;"","")=""),AND(OR(ISNUMBER(SEARCH("nonblank",$AA$4)),ISNUMBER(SEARCH("&lt;&gt;",$AA$4))),IFERROR(('Final Calculation Sheet'!$Z$17)&amp;"","")&lt;&gt;""),AND(TRIM($AA$4)="",IFERROR(('Final Calculation Sheet'!$Z$17)&amp;"","")=""))))</f>
        <v>1</v>
      </c>
      <c r="CN18">
        <f>IF($AB$4="",1,--(OR(SUMPRODUCT(--(TRIM(MID(SUBSTITUTE(SUBSTITUTE($AB$4,"/",","),",",REPT(" ",99)),(ROW($1:$8)-1)*99+1,99))&lt;&gt;""),--ISNUMBER(SEARCH(TRIM(MID(SUBSTITUTE(SUBSTITUTE($AB$4,"/",","),",",REPT(" ",99)),(ROW($1:$8)-1)*99+1,99)),IFERROR(('Final Calculation Sheet'!$AA$17)&amp;"",""))))&gt;0,AND(ISNUMBER(SEARCH("blank",$AB$4)),NOT(ISNUMBER(SEARCH("nonblank",$AB$4))),IFERROR(('Final Calculation Sheet'!$AA$17)&amp;"","")=""),AND(OR(ISNUMBER(SEARCH("nonblank",$AB$4)),ISNUMBER(SEARCH("&lt;&gt;",$AB$4))),IFERROR(('Final Calculation Sheet'!$AA$17)&amp;"","")&lt;&gt;""),AND(TRIM($AB$4)="",IFERROR(('Final Calculation Sheet'!$AA$17)&amp;"","")=""))))</f>
        <v>1</v>
      </c>
      <c r="CO18">
        <f>IF($AC$4="",1,--(OR(SUMPRODUCT(--(TRIM(MID(SUBSTITUTE(SUBSTITUTE($AC$4,"/",","),",",REPT(" ",99)),(ROW($1:$8)-1)*99+1,99))&lt;&gt;""),--ISNUMBER(SEARCH(TRIM(MID(SUBSTITUTE(SUBSTITUTE($AC$4,"/",","),",",REPT(" ",99)),(ROW($1:$8)-1)*99+1,99)),IFERROR(('Final Calculation Sheet'!$AB$17)&amp;"",""))))&gt;0,AND(ISNUMBER(SEARCH("blank",$AC$4)),NOT(ISNUMBER(SEARCH("nonblank",$AC$4))),IFERROR(('Final Calculation Sheet'!$AB$17)&amp;"","")=""),AND(OR(ISNUMBER(SEARCH("nonblank",$AC$4)),ISNUMBER(SEARCH("&lt;&gt;",$AC$4))),IFERROR(('Final Calculation Sheet'!$AB$17)&amp;"","")&lt;&gt;""),AND(TRIM($AC$4)="",IFERROR(('Final Calculation Sheet'!$AB$17)&amp;"","")=""))))</f>
        <v>1</v>
      </c>
      <c r="CP18">
        <f>IF($AD$4="",1,--(OR(SUMPRODUCT(--(TRIM(MID(SUBSTITUTE(SUBSTITUTE($AD$4,"/",","),",",REPT(" ",99)),(ROW($1:$8)-1)*99+1,99))&lt;&gt;""),--ISNUMBER(SEARCH(TRIM(MID(SUBSTITUTE(SUBSTITUTE($AD$4,"/",","),",",REPT(" ",99)),(ROW($1:$8)-1)*99+1,99)),IFERROR(('Final Calculation Sheet'!$AC$17)&amp;"",""))))&gt;0,AND(ISNUMBER(SEARCH("blank",$AD$4)),NOT(ISNUMBER(SEARCH("nonblank",$AD$4))),IFERROR(('Final Calculation Sheet'!$AC$17)&amp;"","")=""),AND(OR(ISNUMBER(SEARCH("nonblank",$AD$4)),ISNUMBER(SEARCH("&lt;&gt;",$AD$4))),IFERROR(('Final Calculation Sheet'!$AC$17)&amp;"","")&lt;&gt;""),AND(TRIM($AD$4)="",IFERROR(('Final Calculation Sheet'!$AC$17)&amp;"","")=""))))</f>
        <v>1</v>
      </c>
      <c r="CQ18">
        <f>IF($AE$4="",1,--(OR(SUMPRODUCT(--(TRIM(MID(SUBSTITUTE(SUBSTITUTE($AE$4,"/",","),",",REPT(" ",99)),(ROW($1:$8)-1)*99+1,99))&lt;&gt;""),--ISNUMBER(SEARCH(TRIM(MID(SUBSTITUTE(SUBSTITUTE($AE$4,"/",","),",",REPT(" ",99)),(ROW($1:$8)-1)*99+1,99)),IFERROR(('Final Calculation Sheet'!$AD$17)&amp;"",""))))&gt;0,AND(ISNUMBER(SEARCH("blank",$AE$4)),NOT(ISNUMBER(SEARCH("nonblank",$AE$4))),IFERROR(('Final Calculation Sheet'!$AD$17)&amp;"","")=""),AND(OR(ISNUMBER(SEARCH("nonblank",$AE$4)),ISNUMBER(SEARCH("&lt;&gt;",$AE$4))),IFERROR(('Final Calculation Sheet'!$AD$17)&amp;"","")&lt;&gt;""),AND(TRIM($AE$4)="",IFERROR(('Final Calculation Sheet'!$AD$17)&amp;"","")=""))))</f>
        <v>1</v>
      </c>
      <c r="CR18">
        <f>IF($AF$4="",1,--(OR(SUMPRODUCT(--(TRIM(MID(SUBSTITUTE(SUBSTITUTE($AF$4,"/",","),",",REPT(" ",99)),(ROW($1:$8)-1)*99+1,99))&lt;&gt;""),--ISNUMBER(SEARCH(TRIM(MID(SUBSTITUTE(SUBSTITUTE($AF$4,"/",","),",",REPT(" ",99)),(ROW($1:$8)-1)*99+1,99)),IFERROR(('Final Calculation Sheet'!$AE$17)&amp;"",""))))&gt;0,AND(ISNUMBER(SEARCH("blank",$AF$4)),NOT(ISNUMBER(SEARCH("nonblank",$AF$4))),IFERROR(('Final Calculation Sheet'!$AE$17)&amp;"","")=""),AND(OR(ISNUMBER(SEARCH("nonblank",$AF$4)),ISNUMBER(SEARCH("&lt;&gt;",$AF$4))),IFERROR(('Final Calculation Sheet'!$AE$17)&amp;"","")&lt;&gt;""),AND(TRIM($AF$4)="",IFERROR(('Final Calculation Sheet'!$AE$17)&amp;"","")=""))))</f>
        <v>1</v>
      </c>
      <c r="CS18">
        <f>IF($AG$4="",1,--(OR(SUMPRODUCT(--(TRIM(MID(SUBSTITUTE(SUBSTITUTE($AG$4,"/",","),",",REPT(" ",99)),(ROW($1:$8)-1)*99+1,99))&lt;&gt;""),--ISNUMBER(SEARCH(TRIM(MID(SUBSTITUTE(SUBSTITUTE($AG$4,"/",","),",",REPT(" ",99)),(ROW($1:$8)-1)*99+1,99)),IFERROR(('Final Calculation Sheet'!$AF$17)&amp;"",""))))&gt;0,AND(ISNUMBER(SEARCH("blank",$AG$4)),NOT(ISNUMBER(SEARCH("nonblank",$AG$4))),IFERROR(('Final Calculation Sheet'!$AF$17)&amp;"","")=""),AND(OR(ISNUMBER(SEARCH("nonblank",$AG$4)),ISNUMBER(SEARCH("&lt;&gt;",$AG$4))),IFERROR(('Final Calculation Sheet'!$AF$17)&amp;"","")&lt;&gt;""),AND(TRIM($AG$4)="",IFERROR(('Final Calculation Sheet'!$AF$17)&amp;"","")=""))))</f>
        <v>1</v>
      </c>
      <c r="CT18">
        <f>IF($AH$4="",1,--(OR(SUMPRODUCT(--(TRIM(MID(SUBSTITUTE(SUBSTITUTE($AH$4,"/",","),",",REPT(" ",99)),(ROW($1:$8)-1)*99+1,99))&lt;&gt;""),--ISNUMBER(SEARCH(TRIM(MID(SUBSTITUTE(SUBSTITUTE($AH$4,"/",","),",",REPT(" ",99)),(ROW($1:$8)-1)*99+1,99)),IFERROR(('Final Calculation Sheet'!$AG$17)&amp;"",""))))&gt;0,AND(ISNUMBER(SEARCH("blank",$AH$4)),NOT(ISNUMBER(SEARCH("nonblank",$AH$4))),IFERROR(('Final Calculation Sheet'!$AG$17)&amp;"","")=""),AND(OR(ISNUMBER(SEARCH("nonblank",$AH$4)),ISNUMBER(SEARCH("&lt;&gt;",$AH$4))),IFERROR(('Final Calculation Sheet'!$AG$17)&amp;"","")&lt;&gt;""),AND(TRIM($AH$4)="",IFERROR(('Final Calculation Sheet'!$AG$17)&amp;"","")=""))))</f>
        <v>1</v>
      </c>
      <c r="CU18">
        <f>IF($AI$4="",1,--(OR(SUMPRODUCT(--(TRIM(MID(SUBSTITUTE(SUBSTITUTE($AI$4,"/",","),",",REPT(" ",99)),(ROW($1:$8)-1)*99+1,99))&lt;&gt;""),--ISNUMBER(SEARCH(TRIM(MID(SUBSTITUTE(SUBSTITUTE($AI$4,"/",","),",",REPT(" ",99)),(ROW($1:$8)-1)*99+1,99)),IFERROR((IF('Final Calculation Sheet'!$AD$17&lt;=5,"SETTLED","OUTSTANDING"))&amp;"",""))))&gt;0,AND(ISNUMBER(SEARCH("blank",$AI$4)),NOT(ISNUMBER(SEARCH("nonblank",$AI$4))),IFERROR((IF('Final Calculation Sheet'!$AD$17&lt;=5,"SETTLED","OUTSTANDING"))&amp;"","")=""),AND(OR(ISNUMBER(SEARCH("nonblank",$AI$4)),ISNUMBER(SEARCH("&lt;&gt;",$AI$4))),IFERROR((IF('Final Calculation Sheet'!$AD$17&lt;=5,"SETTLED","OUTSTANDING"))&amp;"","")&lt;&gt;""),AND(TRIM($AI$4)="",IFERROR((IF('Final Calculation Sheet'!$AD$17&lt;=5,"SETTLED","OUTSTANDING"))&amp;"","")=""))))</f>
        <v>1</v>
      </c>
    </row>
    <row r="19" ht="15" customHeight="1" s="137">
      <c r="A19" s="67">
        <f>IF($BJ18&gt;0,INDEX($BA$5:$BA$41,MATCH(18,$BB$5:$BB$41,0)),IF(OR($BI18=1,$BL18=1,$BH18&gt;0),"∑",""))</f>
        <v>14</v>
      </c>
      <c r="B19" s="76">
        <f>IF($BJ18&gt;0,IF(INDEX('Final Calculation Sheet'!$F$4:$F$40,$BJ18-3)="","",INDEX('Final Calculation Sheet'!$F$4:$F$40,$BJ18-3)),"")</f>
        <v>2015</v>
      </c>
      <c r="C19" s="76" t="str">
        <f>IF($BJ18&gt;0,IF(INDEX('Final Calculation Sheet'!$G$4:$G$40,$BJ18-3)="","",INDEX('Final Calculation Sheet'!$G$4:$G$40,$BJ18-3)),IF(OR($BI18=1,$BL18=1,$BH18&gt;0),IF($BI18=1,37,IF($BL18=1,37-INDEX($BD$4:$BD$13,10),INDEX($BD$4:$BD$13,$BH18)))&amp;" lot(s)",""))</f>
        <v>STERLING ENTERPRISES</v>
      </c>
      <c r="D19" s="80" t="str">
        <f>IF($BJ18&gt;0,IF(INDEX('Final Calculation Sheet'!$B$4:$B$40,$BJ18-3)="","",INDEX('Final Calculation Sheet'!$B$4:$B$40,$BJ18-3)),IF(OR($BI18=1,$BL18=1,$BH18&gt;0),IF($BI18=1,"GRAND TOTAL  —  matching + remaining",IF($BL18=1,"TOTAL MATCHED  —  every group together",IF($BH18=10,"REMAINING  —  did not match the search",IF($BH18=9,IF(COUNTIF($A$4:$AI$4,"&lt;&gt;")&gt;0,"FILTERED LOTS  —  column fields","ALL LOTS  —  nothing typed in the box"),"GROUP "&amp;$BH18&amp;" TOTAL  —  lots matching  "&amp;INDEX($AR$6:$AY$6,$BH18))))),""))</f>
        <v>Scrap of empty oil Barrels</v>
      </c>
      <c r="E19" s="80">
        <f>IF($BJ18&gt;0,IF(INDEX('Final Calculation Sheet'!$D$4:$D$40,$BJ18-3)="","",INDEX('Final Calculation Sheet'!$D$4:$D$40,$BJ18-3)),IF(OR($BI18=1,$BL18=1,$BH18&gt;0),"–",""))</f>
        <v>21978</v>
      </c>
      <c r="F19" s="80">
        <f>IF($BJ18&gt;0,IF(INDEX('Final Calculation Sheet'!$A$4:$A$40,$BJ18-3)="","",INDEX('Final Calculation Sheet'!$A$4:$A$40,$BJ18-3)),IF(OR($BI18=1,$BL18=1,$BH18&gt;0),IF($BI18=1,SUM('Final Calculation Sheet'!$A$4:$A$40),IF($BL18=1,SUM('Final Calculation Sheet'!$A$4:$A$40)-SUMIFS('Final Calculation Sheet'!$A$4:$A$40,$AZ$5:$AZ$41,10),SUMIFS('Final Calculation Sheet'!$A$4:$A$40,$AZ$5:$AZ$41,$BH18))),""))</f>
        <v>100</v>
      </c>
      <c r="G19" s="80" t="str">
        <f>IF($BJ18&gt;0,IF(INDEX('Final Calculation Sheet'!$E$4:$E$40,$BJ18-3)="","",INDEX('Final Calculation Sheet'!$E$4:$E$40,$BJ18-3)),IF(OR($BI18=1,$BL18=1,$BH18&gt;0),"–",""))</f>
        <v>NO</v>
      </c>
      <c r="H19" s="70">
        <f>IF($BJ18&gt;0,IF(INDEX('Final Calculation Sheet'!$C$4:$C$40,$BJ18-3)="","",INDEX('Final Calculation Sheet'!$C$4:$C$40,$BJ18-3)),IF(OR($BI18=1,$BL18=1,$BH18&gt;0),"–",""))</f>
        <v>710</v>
      </c>
      <c r="I19" s="70">
        <f>IF($BJ18&gt;0,IF(INDEX('Final Calculation Sheet'!$H$4:$H$40,$BJ18-3)="","",INDEX('Final Calculation Sheet'!$H$4:$H$40,$BJ18-3)),IF(OR($BI18=1,$BL18=1,$BH18&gt;0),IF($BI18=1,SUM('Final Calculation Sheet'!$H$4:$H$40),IF($BL18=1,SUM('Final Calculation Sheet'!$H$4:$H$40)-SUMIFS('Final Calculation Sheet'!$H$4:$H$40,$AZ$5:$AZ$41,10),SUMIFS('Final Calculation Sheet'!$H$4:$H$40,$AZ$5:$AZ$41,$BH18))),""))</f>
        <v>71000</v>
      </c>
      <c r="J19" s="70">
        <f>IF($BJ18&gt;0,IF(INDEX('Final Calculation Sheet'!$I$4:$I$40,$BJ18-3)="","",INDEX('Final Calculation Sheet'!$I$4:$I$40,$BJ18-3)),IF(OR($BI18=1,$BL18=1,$BH18&gt;0),IF($BI18=1,SUM('Final Calculation Sheet'!$I$4:$I$40),IF($BL18=1,SUM('Final Calculation Sheet'!$I$4:$I$40)-SUMIFS('Final Calculation Sheet'!$I$4:$I$40,$AZ$5:$AZ$41,10),SUMIFS('Final Calculation Sheet'!$I$4:$I$40,$AZ$5:$AZ$41,$BH18))),""))</f>
        <v>12780</v>
      </c>
      <c r="K19" s="70">
        <f>IF($BJ18&gt;0,IF(INDEX('Final Calculation Sheet'!$J$4:$J$40,$BJ18-3)="","",INDEX('Final Calculation Sheet'!$J$4:$J$40,$BJ18-3)),IF(OR($BI18=1,$BL18=1,$BH18&gt;0),IF($BI18=1,SUM('Final Calculation Sheet'!$J$4:$J$40),IF($BL18=1,SUM('Final Calculation Sheet'!$J$4:$J$40)-SUMIFS('Final Calculation Sheet'!$J$4:$J$40,$AZ$5:$AZ$41,10),SUMIFS('Final Calculation Sheet'!$J$4:$J$40,$AZ$5:$AZ$41,$BH18))),""))</f>
        <v>83780</v>
      </c>
      <c r="L19" s="70">
        <f>IF($BJ18&gt;0,IF(INDEX('Final Calculation Sheet'!$K$4:$K$40,$BJ18-3)="","",INDEX('Final Calculation Sheet'!$K$4:$K$40,$BJ18-3)),IF(OR($BI18=1,$BL18=1,$BH18&gt;0),IF($BI18=1,SUM('Final Calculation Sheet'!$K$4:$K$40),IF($BL18=1,SUM('Final Calculation Sheet'!$K$4:$K$40)-SUMIFS('Final Calculation Sheet'!$K$4:$K$40,$AZ$5:$AZ$41,10),SUMIFS('Final Calculation Sheet'!$K$4:$K$40,$AZ$5:$AZ$41,$BH18))),""))</f>
        <v>1676</v>
      </c>
      <c r="M19" s="70">
        <f>IF($BJ18&gt;0,IF(INDEX('Final Calculation Sheet'!$L$4:$L$40,$BJ18-3)="","",INDEX('Final Calculation Sheet'!$L$4:$L$40,$BJ18-3)),IF(OR($BI18=1,$BL18=1,$BH18&gt;0),IF($BI18=1,SUM('Final Calculation Sheet'!$L$4:$L$40),IF($BL18=1,SUM('Final Calculation Sheet'!$L$4:$L$40)-SUMIFS('Final Calculation Sheet'!$L$4:$L$40,$AZ$5:$AZ$41,10),SUMIFS('Final Calculation Sheet'!$L$4:$L$40,$AZ$5:$AZ$41,$BH18))),""))</f>
        <v>71</v>
      </c>
      <c r="N19" s="70">
        <f>IF($BJ18&gt;0,IF(INDEX('Final Calculation Sheet'!$M$4:$M$40,$BJ18-3)="","",INDEX('Final Calculation Sheet'!$M$4:$M$40,$BJ18-3)),IF(OR($BI18=1,$BL18=1,$BH18&gt;0),IF($BI18=1,SUM('Final Calculation Sheet'!$M$4:$M$40),IF($BL18=1,SUM('Final Calculation Sheet'!$M$4:$M$40)-SUMIFS('Final Calculation Sheet'!$M$4:$M$40,$AZ$5:$AZ$41,10),SUMIFS('Final Calculation Sheet'!$M$4:$M$40,$AZ$5:$AZ$41,$BH18))),""))</f>
        <v>1885.05</v>
      </c>
      <c r="O19" s="71">
        <f>IF($BJ18&gt;0,IF(INDEX('Final Calculation Sheet'!$N$4:$N$40,$BJ18-3)="","",INDEX('Final Calculation Sheet'!$N$4:$N$40,$BJ18-3)),IF(OR($BI18=1,$BL18=1,$BH18&gt;0),IF($BI18=1,SUM('Final Calculation Sheet'!$N$4:$N$40),IF($BL18=1,SUM('Final Calculation Sheet'!$N$4:$N$40)-SUMIFS('Final Calculation Sheet'!$N$4:$N$40,$AZ$5:$AZ$41,10),SUMIFS('Final Calculation Sheet'!$N$4:$N$40,$AZ$5:$AZ$41,$BH18))),""))</f>
        <v>31.95</v>
      </c>
      <c r="P19" s="70">
        <f>IF($BJ18&gt;0,IF(INDEX('Final Calculation Sheet'!$O$4:$O$40,$BJ18-3)="","",INDEX('Final Calculation Sheet'!$O$4:$O$40,$BJ18-3)),IF(OR($BI18=1,$BL18=1,$BH18&gt;0),IF($BI18=1,SUM('Final Calculation Sheet'!$O$4:$O$40),IF($BL18=1,SUM('Final Calculation Sheet'!$O$4:$O$40)-SUMIFS('Final Calculation Sheet'!$O$4:$O$40,$AZ$5:$AZ$41,10),SUMIFS('Final Calculation Sheet'!$O$4:$O$40,$AZ$5:$AZ$41,$BH18))),""))</f>
        <v>1853.1</v>
      </c>
      <c r="Q19" s="70">
        <f>IF($BJ18&gt;0,IF(INDEX('Final Calculation Sheet'!$P$4:$P$40,$BJ18-3)="","",INDEX('Final Calculation Sheet'!$P$4:$P$40,$BJ18-3)),IF(OR($BI18=1,$BL18=1,$BH18&gt;0),IF($BI18=1,SUM('Final Calculation Sheet'!$P$4:$P$40),IF($BL18=1,SUM('Final Calculation Sheet'!$P$4:$P$40)-SUMIFS('Final Calculation Sheet'!$P$4:$P$40,$AZ$5:$AZ$41,10),SUMIFS('Final Calculation Sheet'!$P$4:$P$40,$AZ$5:$AZ$41,$BH18))),""))</f>
        <v>1924</v>
      </c>
      <c r="R19" s="72">
        <f>IF($BJ18&gt;0,IF(INDEX('Final Calculation Sheet'!$Q$4:$Q$40,$BJ18-3)="","",INDEX('Final Calculation Sheet'!$Q$4:$Q$40,$BJ18-3)),IF(OR($BI18=1,$BL18=1,$BH18&gt;0),"–",""))</f>
        <v>0</v>
      </c>
      <c r="S19" s="70">
        <f>IF($BJ18&gt;0,IF(INDEX('Final Calculation Sheet'!$R$4:$R$40,$BJ18-3)="","",INDEX('Final Calculation Sheet'!$R$4:$R$40,$BJ18-3)),IF(OR($BI18=1,$BL18=1,$BH18&gt;0),IF($BI18=1,SUM('Final Calculation Sheet'!$R$4:$R$40),IF($BL18=1,SUM('Final Calculation Sheet'!$R$4:$R$40)-SUMIFS('Final Calculation Sheet'!$R$4:$R$40,$AZ$5:$AZ$41,10),SUMIFS('Final Calculation Sheet'!$R$4:$R$40,$AZ$5:$AZ$41,$BH18))),""))</f>
        <v>0</v>
      </c>
      <c r="T19" s="70">
        <f>IF($BJ18&gt;0,IF(INDEX('Final Calculation Sheet'!$S$4:$S$40,$BJ18-3)="","",INDEX('Final Calculation Sheet'!$S$4:$S$40,$BJ18-3)),IF(OR($BI18=1,$BL18=1,$BH18&gt;0),IF($BI18=1,SUM('Final Calculation Sheet'!$S$4:$S$40),IF($BL18=1,SUM('Final Calculation Sheet'!$S$4:$S$40)-SUMIFS('Final Calculation Sheet'!$S$4:$S$40,$AZ$5:$AZ$41,10),SUMIFS('Final Calculation Sheet'!$S$4:$S$40,$AZ$5:$AZ$41,$BH18))),""))</f>
        <v>83532</v>
      </c>
      <c r="U19" s="70">
        <f>IF($BJ18&gt;0,IF(INDEX('Final Calculation Sheet'!$T$4:$T$40,$BJ18-3)="","",INDEX('Final Calculation Sheet'!$T$4:$T$40,$BJ18-3)),IF(OR($BI18=1,$BL18=1,$BH18&gt;0),IF($BI18=1,SUM('Final Calculation Sheet'!$T$4:$T$40),IF($BL18=1,SUM('Final Calculation Sheet'!$T$4:$T$40)-SUMIFS('Final Calculation Sheet'!$T$4:$T$40,$AZ$5:$AZ$41,10),SUMIFS('Final Calculation Sheet'!$T$4:$T$40,$AZ$5:$AZ$41,$BH18))),""))</f>
        <v>17750</v>
      </c>
      <c r="V19" s="73">
        <f>IF($BJ18&gt;0,IF(INDEX('Final Calculation Sheet'!$U$4:$U$40,$BJ18-3)="","",INDEX('Final Calculation Sheet'!$U$4:$U$40,$BJ18-3)),IF(OR($BI18=1,$BL18=1,$BH18&gt;0),IF($BI18=1,SUM('Final Calculation Sheet'!$U$4:$U$40),IF($BL18=1,SUM('Final Calculation Sheet'!$U$4:$U$40)-SUMIFS('Final Calculation Sheet'!$U$4:$U$40,$AZ$5:$AZ$41,10),SUMIFS('Final Calculation Sheet'!$U$4:$U$40,$AZ$5:$AZ$41,$BH18))),""))</f>
        <v>17750</v>
      </c>
      <c r="W19" s="70" t="str">
        <f>IF($BJ18&gt;0,IF(INDEX('Final Calculation Sheet'!$V$4:$V$40,$BJ18-3)="","",INDEX('Final Calculation Sheet'!$V$4:$V$40,$BJ18-3)),IF(OR($BI18=1,$BL18=1,$BH18&gt;0),"–",""))</f>
        <v>11.08.2026</v>
      </c>
      <c r="X19" s="70">
        <f>IF($BJ18&gt;0,IF(INDEX('Final Calculation Sheet'!$W$4:$W$40,$BJ18-3)="","",INDEX('Final Calculation Sheet'!$W$4:$W$40,$BJ18-3)),IF(OR($BI18=1,$BL18=1,$BH18&gt;0),IF($BI18=1,SUM('Final Calculation Sheet'!$W$4:$W$40),IF($BL18=1,SUM('Final Calculation Sheet'!$W$4:$W$40)-SUMIFS('Final Calculation Sheet'!$W$4:$W$40,$AZ$5:$AZ$41,10),SUMIFS('Final Calculation Sheet'!$W$4:$W$40,$AZ$5:$AZ$41,$BH18))),""))</f>
        <v>65782</v>
      </c>
      <c r="Y19" s="70">
        <f>IF($BJ18&gt;0,IF(INDEX('Final Calculation Sheet'!$X$4:$X$40,$BJ18-3)="","",INDEX('Final Calculation Sheet'!$X$4:$X$40,$BJ18-3)),IF(OR($BI18=1,$BL18=1,$BH18&gt;0),IF($BI18=1,SUM('Final Calculation Sheet'!$X$4:$X$40),IF($BL18=1,SUM('Final Calculation Sheet'!$X$4:$X$40)-SUMIFS('Final Calculation Sheet'!$X$4:$X$40,$AZ$5:$AZ$41,10),SUMIFS('Final Calculation Sheet'!$X$4:$X$40,$AZ$5:$AZ$41,$BH18))),""))</f>
        <v>65782</v>
      </c>
      <c r="Z19" s="70" t="str">
        <f>IF($BJ18&gt;0,IF(INDEX('Final Calculation Sheet'!$Y$4:$Y$40,$BJ18-3)="","",INDEX('Final Calculation Sheet'!$Y$4:$Y$40,$BJ18-3)),IF(OR($BI18=1,$BL18=1,$BH18&gt;0),"–",""))</f>
        <v>11.08.2026</v>
      </c>
      <c r="AA19" s="70">
        <f>IF($BJ18&gt;0,IF(INDEX('Final Calculation Sheet'!$Z$4:$Z$40,$BJ18-3)="","",INDEX('Final Calculation Sheet'!$Z$4:$Z$40,$BJ18-3)),IF(OR($BI18=1,$BL18=1,$BH18&gt;0),IF($BI18=1,SUM('Final Calculation Sheet'!$Z$4:$Z$40),IF($BL18=1,SUM('Final Calculation Sheet'!$Z$4:$Z$40)-SUMIFS('Final Calculation Sheet'!$Z$4:$Z$40,$AZ$5:$AZ$41,10),SUMIFS('Final Calculation Sheet'!$Z$4:$Z$40,$AZ$5:$AZ$41,$BH18))),""))</f>
        <v>0</v>
      </c>
      <c r="AB19" s="70" t="str">
        <f>IF($BJ18&gt;0,IF(INDEX('Final Calculation Sheet'!$AA$4:$AA$40,$BJ18-3)="","",INDEX('Final Calculation Sheet'!$AA$4:$AA$40,$BJ18-3)),IF(OR($BI18=1,$BL18=1,$BH18&gt;0),IF($BI18=1,SUM('Final Calculation Sheet'!$AA$4:$AA$40),IF($BL18=1,SUM('Final Calculation Sheet'!$AA$4:$AA$40)-SUMIFS('Final Calculation Sheet'!$AA$4:$AA$40,$AZ$5:$AZ$41,10),SUMIFS('Final Calculation Sheet'!$AA$4:$AA$40,$AZ$5:$AZ$41,$BH18))),""))</f>
        <v/>
      </c>
      <c r="AC19" s="70" t="str">
        <f>IF($BJ18&gt;0,IF(INDEX('Final Calculation Sheet'!$AB$4:$AB$40,$BJ18-3)="","",INDEX('Final Calculation Sheet'!$AB$4:$AB$40,$BJ18-3)),IF(OR($BI18=1,$BL18=1,$BH18&gt;0),"–",""))</f>
        <v/>
      </c>
      <c r="AD19" s="70">
        <f>IF($BJ18&gt;0,IF(INDEX('Final Calculation Sheet'!$AC$4:$AC$40,$BJ18-3)="","",INDEX('Final Calculation Sheet'!$AC$4:$AC$40,$BJ18-3)),IF(OR($BI18=1,$BL18=1,$BH18&gt;0),IF($BI18=1,SUM('Final Calculation Sheet'!$AC$4:$AC$40),IF($BL18=1,SUM('Final Calculation Sheet'!$AC$4:$AC$40)-SUMIFS('Final Calculation Sheet'!$AC$4:$AC$40,$AZ$5:$AZ$41,10),SUMIFS('Final Calculation Sheet'!$AC$4:$AC$40,$AZ$5:$AZ$41,$BH18))),""))</f>
        <v>83532</v>
      </c>
      <c r="AE19" s="70">
        <f>IF($BJ18&gt;0,IF(INDEX('Final Calculation Sheet'!$AD$4:$AD$40,$BJ18-3)="","",INDEX('Final Calculation Sheet'!$AD$4:$AD$40,$BJ18-3)),IF(OR($BI18=1,$BL18=1,$BH18&gt;0),IF($BI18=1,SUM('Final Calculation Sheet'!$AD$4:$AD$40),IF($BL18=1,SUM('Final Calculation Sheet'!$AD$4:$AD$40)-SUMIFS('Final Calculation Sheet'!$AD$4:$AD$40,$AZ$5:$AZ$41,10),SUMIFS('Final Calculation Sheet'!$AD$4:$AD$40,$AZ$5:$AZ$41,$BH18))),""))</f>
        <v>0</v>
      </c>
      <c r="AF19" s="70" t="str">
        <f>IF($BJ18&gt;0,IF(INDEX('Final Calculation Sheet'!$AE$4:$AE$40,$BJ18-3)="","",INDEX('Final Calculation Sheet'!$AE$4:$AE$40,$BJ18-3)),IF(OR($BI18=1,$BL18=1,$BH18&gt;0),"–",""))</f>
        <v>DR2640100020</v>
      </c>
      <c r="AG19" s="74">
        <f>IF($BJ18&gt;0,IF(INDEX('Final Calculation Sheet'!$AF$4:$AF$40,$BJ18-3)="","",INDEX('Final Calculation Sheet'!$AF$4:$AF$40,$BJ18-3)),IF(OR($BI18=1,$BL18=1,$BH18&gt;0),"–",""))</f>
        <v>1800003158</v>
      </c>
      <c r="AH19" s="70" t="str">
        <f>IF($BJ18&gt;0,IF(INDEX('Final Calculation Sheet'!$AG$4:$AG$40,$BJ18-3)="","",INDEX('Final Calculation Sheet'!$AG$4:$AG$40,$BJ18-3)),IF(OR($BI18=1,$BL18=1,$BH18&gt;0),"–",""))</f>
        <v>14.08.2026</v>
      </c>
      <c r="AI19" s="75" t="str">
        <f>IF($BJ18&gt;0,IF(INDEX('Final Calculation Sheet'!$AD$4:$AD$40,$BJ18-3)="","",IF(INDEX('Final Calculation Sheet'!$AD$4:$AD$40,$BJ18-3)&lt;=5,"SETTLED","OUTSTANDING")),IF(OR($BI18=1,$BL18=1,$BH18&gt;0),IF(IF($BI18=1,SUM('Final Calculation Sheet'!$AD$4:$AD$40),IF($BL18=1,SUM('Final Calculation Sheet'!$AD$4:$AD$40)-SUMIFS('Final Calculation Sheet'!$AD$4:$AD$40,$AZ$5:$AZ$41,10),SUMIFS('Final Calculation Sheet'!$AD$4:$AD$40,$AZ$5:$AZ$41,$BH18)))&lt;=5,"ALL SETTLED","OUTSTANDING"),""))</f>
        <v>SETTLED</v>
      </c>
      <c r="AK19" t="str">
        <f>IF($F$3="Lot No.",'Final Calculation Sheet'!$F$18,IF($F$3="Buyer",'Final Calculation Sheet'!$G$18,IF($F$3="Lot Name",'Final Calculation Sheet'!$B$18,IF($F$3="Bid Sheet",'Final Calculation Sheet'!$D$18,IF($F$3="Unit",'Final Calculation Sheet'!$E$18,'Final Calculation Sheet'!$F$18&amp;" "&amp;'Final Calculation Sheet'!$G$18&amp;" "&amp;'Final Calculation Sheet'!$B$18)))))</f>
        <v>2018 NATIONAL ENTERPRISES Scrap of 220 KV Circuit Breaker</v>
      </c>
      <c r="AL19">
        <f>AL18+IF($B$3="",0,--(SUMPRODUCT(--($AR$6:$AY$6&lt;&gt;""),--ISNUMBER(SEARCH($AR$6:$AY$6,$AK19)))&gt;0))</f>
        <v>0</v>
      </c>
      <c r="AM19">
        <f>IF(COUNTIF($BM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1</v>
      </c>
      <c r="AZ19">
        <f>IF($B$3="",IF(COUNTIF($A$4:$AI$4,"&lt;&gt;")=0,9,IF($AM19=1,9,10)),IF($AM19=0,10,IF(AND($AR$6&lt;&gt;"",ISNUMBER(SEARCH($AR$6,$AK19))),1,IF(AND($AS$6&lt;&gt;"",ISNUMBER(SEARCH($AS$6,$AK19))),2,IF(AND($AT$6&lt;&gt;"",ISNUMBER(SEARCH($AT$6,$AK19))),3,IF(AND($AU$6&lt;&gt;"",ISNUMBER(SEARCH($AU$6,$AK19))),4,IF(AND($AV$6&lt;&gt;"",ISNUMBER(SEARCH($AV$6,$AK19))),5,IF(AND($AW$6&lt;&gt;"",ISNUMBER(SEARCH($AW$6,$AK19))),6,IF(AND($AX$6&lt;&gt;"",ISNUMBER(SEARCH($AX$6,$AK19))),7,IF(AND($AY$6&lt;&gt;"",ISNUMBER(SEARCH($AY$6,$AK19))),8,0))))))))))</f>
        <v>9</v>
      </c>
      <c r="BA19">
        <f>SUMPRODUCT(($AZ$5:$AZ$41=$AZ19)*($BC$5:$BC$41&lt;$BC19))+1</f>
        <v>15</v>
      </c>
      <c r="BB19">
        <f>IF(INDEX($BF$4:$BF$13,$AZ19)=0,0,INDEX($BE$4:$BE$13,$AZ19)+$BA19-1)</f>
        <v>19</v>
      </c>
      <c r="BC19" t="n">
        <v>18</v>
      </c>
      <c r="BH19">
        <f>IFERROR(MATCH(19,$BF$4:$BF$13,0),0)</f>
        <v>0</v>
      </c>
      <c r="BI19">
        <f>IF(19=$BG$5,1,0)</f>
        <v>0</v>
      </c>
      <c r="BJ19">
        <f>IF(OR($BH19&gt;0,$BI19=1,$BL19=1),0,IFERROR(INDEX($BC$5:$BC$41,MATCH(19,$BB$5:$BB$41,0)),0))</f>
        <v>18</v>
      </c>
      <c r="BK19">
        <f>IF($BJ19&gt;0,IF(INDEX($AZ$5:$AZ$41,MATCH(19,$BB$5:$BB$41,0))=10,1,0),IF($BH19=10,1,0))</f>
        <v>0</v>
      </c>
      <c r="BL19">
        <f>IF(19=$BG$4,1,0)</f>
        <v>0</v>
      </c>
      <c r="BM19">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1</v>
      </c>
      <c r="BN19">
        <f>IF($B$4="",1,--(OR(SUMPRODUCT(--(TRIM(MID(SUBSTITUTE(SUBSTITUTE($B$4,"/",","),",",REPT(" ",99)),(ROW($1:$8)-1)*99+1,99))&lt;&gt;""),--ISNUMBER(SEARCH(TRIM(MID(SUBSTITUTE(SUBSTITUTE($B$4,"/",","),",",REPT(" ",99)),(ROW($1:$8)-1)*99+1,99)),IFERROR(('Final Calculation Sheet'!$F$18)&amp;"",""))))&gt;0,AND(ISNUMBER(SEARCH("blank",$B$4)),NOT(ISNUMBER(SEARCH("nonblank",$B$4))),IFERROR(('Final Calculation Sheet'!$F$18)&amp;"","")=""),AND(OR(ISNUMBER(SEARCH("nonblank",$B$4)),ISNUMBER(SEARCH("&lt;&gt;",$B$4))),IFERROR(('Final Calculation Sheet'!$F$18)&amp;"","")&lt;&gt;""),AND(TRIM($B$4)="",IFERROR(('Final Calculation Sheet'!$F$18)&amp;"","")=""))))</f>
        <v>1</v>
      </c>
      <c r="BO19">
        <f>IF($C$4="",1,--(OR(SUMPRODUCT(--(TRIM(MID(SUBSTITUTE(SUBSTITUTE($C$4,"/",","),",",REPT(" ",99)),(ROW($1:$8)-1)*99+1,99))&lt;&gt;""),--ISNUMBER(SEARCH(TRIM(MID(SUBSTITUTE(SUBSTITUTE($C$4,"/",","),",",REPT(" ",99)),(ROW($1:$8)-1)*99+1,99)),IFERROR(('Final Calculation Sheet'!$G$18)&amp;"",""))))&gt;0,AND(ISNUMBER(SEARCH("blank",$C$4)),NOT(ISNUMBER(SEARCH("nonblank",$C$4))),IFERROR(('Final Calculation Sheet'!$G$18)&amp;"","")=""),AND(OR(ISNUMBER(SEARCH("nonblank",$C$4)),ISNUMBER(SEARCH("&lt;&gt;",$C$4))),IFERROR(('Final Calculation Sheet'!$G$18)&amp;"","")&lt;&gt;""),AND(TRIM($C$4)="",IFERROR(('Final Calculation Sheet'!$G$18)&amp;"","")=""))))</f>
        <v>1</v>
      </c>
      <c r="BP19">
        <f>IF($D$4="",1,--(OR(SUMPRODUCT(--(TRIM(MID(SUBSTITUTE(SUBSTITUTE($D$4,"/",","),",",REPT(" ",99)),(ROW($1:$8)-1)*99+1,99))&lt;&gt;""),--ISNUMBER(SEARCH(TRIM(MID(SUBSTITUTE(SUBSTITUTE($D$4,"/",","),",",REPT(" ",99)),(ROW($1:$8)-1)*99+1,99)),IFERROR(('Final Calculation Sheet'!$B$18)&amp;"",""))))&gt;0,AND(ISNUMBER(SEARCH("blank",$D$4)),NOT(ISNUMBER(SEARCH("nonblank",$D$4))),IFERROR(('Final Calculation Sheet'!$B$18)&amp;"","")=""),AND(OR(ISNUMBER(SEARCH("nonblank",$D$4)),ISNUMBER(SEARCH("&lt;&gt;",$D$4))),IFERROR(('Final Calculation Sheet'!$B$18)&amp;"","")&lt;&gt;""),AND(TRIM($D$4)="",IFERROR(('Final Calculation Sheet'!$B$18)&amp;"","")=""))))</f>
        <v>1</v>
      </c>
      <c r="BQ19">
        <f>IF($E$4="",1,--(OR(SUMPRODUCT(--(TRIM(MID(SUBSTITUTE(SUBSTITUTE($E$4,"/",","),",",REPT(" ",99)),(ROW($1:$8)-1)*99+1,99))&lt;&gt;""),--ISNUMBER(SEARCH(TRIM(MID(SUBSTITUTE(SUBSTITUTE($E$4,"/",","),",",REPT(" ",99)),(ROW($1:$8)-1)*99+1,99)),IFERROR(('Final Calculation Sheet'!$D$18)&amp;"",""))))&gt;0,AND(ISNUMBER(SEARCH("blank",$E$4)),NOT(ISNUMBER(SEARCH("nonblank",$E$4))),IFERROR(('Final Calculation Sheet'!$D$18)&amp;"","")=""),AND(OR(ISNUMBER(SEARCH("nonblank",$E$4)),ISNUMBER(SEARCH("&lt;&gt;",$E$4))),IFERROR(('Final Calculation Sheet'!$D$18)&amp;"","")&lt;&gt;""),AND(TRIM($E$4)="",IFERROR(('Final Calculation Sheet'!$D$18)&amp;"","")=""))))</f>
        <v>1</v>
      </c>
      <c r="BR19">
        <f>IF($F$4="",1,--(OR(SUMPRODUCT(--(TRIM(MID(SUBSTITUTE(SUBSTITUTE($F$4,"/",","),",",REPT(" ",99)),(ROW($1:$8)-1)*99+1,99))&lt;&gt;""),--ISNUMBER(SEARCH(TRIM(MID(SUBSTITUTE(SUBSTITUTE($F$4,"/",","),",",REPT(" ",99)),(ROW($1:$8)-1)*99+1,99)),IFERROR(('Final Calculation Sheet'!$A$18)&amp;"",""))))&gt;0,AND(ISNUMBER(SEARCH("blank",$F$4)),NOT(ISNUMBER(SEARCH("nonblank",$F$4))),IFERROR(('Final Calculation Sheet'!$A$18)&amp;"","")=""),AND(OR(ISNUMBER(SEARCH("nonblank",$F$4)),ISNUMBER(SEARCH("&lt;&gt;",$F$4))),IFERROR(('Final Calculation Sheet'!$A$18)&amp;"","")&lt;&gt;""),AND(TRIM($F$4)="",IFERROR(('Final Calculation Sheet'!$A$18)&amp;"","")=""))))</f>
        <v>1</v>
      </c>
      <c r="BS19">
        <f>IF($G$4="",1,--(OR(SUMPRODUCT(--(TRIM(MID(SUBSTITUTE(SUBSTITUTE($G$4,"/",","),",",REPT(" ",99)),(ROW($1:$8)-1)*99+1,99))&lt;&gt;""),--ISNUMBER(SEARCH(TRIM(MID(SUBSTITUTE(SUBSTITUTE($G$4,"/",","),",",REPT(" ",99)),(ROW($1:$8)-1)*99+1,99)),IFERROR(('Final Calculation Sheet'!$E$18)&amp;"",""))))&gt;0,AND(ISNUMBER(SEARCH("blank",$G$4)),NOT(ISNUMBER(SEARCH("nonblank",$G$4))),IFERROR(('Final Calculation Sheet'!$E$18)&amp;"","")=""),AND(OR(ISNUMBER(SEARCH("nonblank",$G$4)),ISNUMBER(SEARCH("&lt;&gt;",$G$4))),IFERROR(('Final Calculation Sheet'!$E$18)&amp;"","")&lt;&gt;""),AND(TRIM($G$4)="",IFERROR(('Final Calculation Sheet'!$E$18)&amp;"","")=""))))</f>
        <v>1</v>
      </c>
      <c r="BT19">
        <f>IF($H$4="",1,--(OR(SUMPRODUCT(--(TRIM(MID(SUBSTITUTE(SUBSTITUTE($H$4,"/",","),",",REPT(" ",99)),(ROW($1:$8)-1)*99+1,99))&lt;&gt;""),--ISNUMBER(SEARCH(TRIM(MID(SUBSTITUTE(SUBSTITUTE($H$4,"/",","),",",REPT(" ",99)),(ROW($1:$8)-1)*99+1,99)),IFERROR(('Final Calculation Sheet'!$C$18)&amp;"",""))))&gt;0,AND(ISNUMBER(SEARCH("blank",$H$4)),NOT(ISNUMBER(SEARCH("nonblank",$H$4))),IFERROR(('Final Calculation Sheet'!$C$18)&amp;"","")=""),AND(OR(ISNUMBER(SEARCH("nonblank",$H$4)),ISNUMBER(SEARCH("&lt;&gt;",$H$4))),IFERROR(('Final Calculation Sheet'!$C$18)&amp;"","")&lt;&gt;""),AND(TRIM($H$4)="",IFERROR(('Final Calculation Sheet'!$C$18)&amp;"","")=""))))</f>
        <v>1</v>
      </c>
      <c r="BU19">
        <f>IF($I$4="",1,--(OR(SUMPRODUCT(--(TRIM(MID(SUBSTITUTE(SUBSTITUTE($I$4,"/",","),",",REPT(" ",99)),(ROW($1:$8)-1)*99+1,99))&lt;&gt;""),--ISNUMBER(SEARCH(TRIM(MID(SUBSTITUTE(SUBSTITUTE($I$4,"/",","),",",REPT(" ",99)),(ROW($1:$8)-1)*99+1,99)),IFERROR(('Final Calculation Sheet'!$H$18)&amp;"",""))))&gt;0,AND(ISNUMBER(SEARCH("blank",$I$4)),NOT(ISNUMBER(SEARCH("nonblank",$I$4))),IFERROR(('Final Calculation Sheet'!$H$18)&amp;"","")=""),AND(OR(ISNUMBER(SEARCH("nonblank",$I$4)),ISNUMBER(SEARCH("&lt;&gt;",$I$4))),IFERROR(('Final Calculation Sheet'!$H$18)&amp;"","")&lt;&gt;""),AND(TRIM($I$4)="",IFERROR(('Final Calculation Sheet'!$H$18)&amp;"","")=""))))</f>
        <v>1</v>
      </c>
      <c r="BV19">
        <f>IF($J$4="",1,--(OR(SUMPRODUCT(--(TRIM(MID(SUBSTITUTE(SUBSTITUTE($J$4,"/",","),",",REPT(" ",99)),(ROW($1:$8)-1)*99+1,99))&lt;&gt;""),--ISNUMBER(SEARCH(TRIM(MID(SUBSTITUTE(SUBSTITUTE($J$4,"/",","),",",REPT(" ",99)),(ROW($1:$8)-1)*99+1,99)),IFERROR(('Final Calculation Sheet'!$I$18)&amp;"",""))))&gt;0,AND(ISNUMBER(SEARCH("blank",$J$4)),NOT(ISNUMBER(SEARCH("nonblank",$J$4))),IFERROR(('Final Calculation Sheet'!$I$18)&amp;"","")=""),AND(OR(ISNUMBER(SEARCH("nonblank",$J$4)),ISNUMBER(SEARCH("&lt;&gt;",$J$4))),IFERROR(('Final Calculation Sheet'!$I$18)&amp;"","")&lt;&gt;""),AND(TRIM($J$4)="",IFERROR(('Final Calculation Sheet'!$I$18)&amp;"","")=""))))</f>
        <v>1</v>
      </c>
      <c r="BW19">
        <f>IF($K$4="",1,--(OR(SUMPRODUCT(--(TRIM(MID(SUBSTITUTE(SUBSTITUTE($K$4,"/",","),",",REPT(" ",99)),(ROW($1:$8)-1)*99+1,99))&lt;&gt;""),--ISNUMBER(SEARCH(TRIM(MID(SUBSTITUTE(SUBSTITUTE($K$4,"/",","),",",REPT(" ",99)),(ROW($1:$8)-1)*99+1,99)),IFERROR(('Final Calculation Sheet'!$J$18)&amp;"",""))))&gt;0,AND(ISNUMBER(SEARCH("blank",$K$4)),NOT(ISNUMBER(SEARCH("nonblank",$K$4))),IFERROR(('Final Calculation Sheet'!$J$18)&amp;"","")=""),AND(OR(ISNUMBER(SEARCH("nonblank",$K$4)),ISNUMBER(SEARCH("&lt;&gt;",$K$4))),IFERROR(('Final Calculation Sheet'!$J$18)&amp;"","")&lt;&gt;""),AND(TRIM($K$4)="",IFERROR(('Final Calculation Sheet'!$J$18)&amp;"","")=""))))</f>
        <v>1</v>
      </c>
      <c r="BX19">
        <f>IF($L$4="",1,--(OR(SUMPRODUCT(--(TRIM(MID(SUBSTITUTE(SUBSTITUTE($L$4,"/",","),",",REPT(" ",99)),(ROW($1:$8)-1)*99+1,99))&lt;&gt;""),--ISNUMBER(SEARCH(TRIM(MID(SUBSTITUTE(SUBSTITUTE($L$4,"/",","),",",REPT(" ",99)),(ROW($1:$8)-1)*99+1,99)),IFERROR(('Final Calculation Sheet'!$K$18)&amp;"",""))))&gt;0,AND(ISNUMBER(SEARCH("blank",$L$4)),NOT(ISNUMBER(SEARCH("nonblank",$L$4))),IFERROR(('Final Calculation Sheet'!$K$18)&amp;"","")=""),AND(OR(ISNUMBER(SEARCH("nonblank",$L$4)),ISNUMBER(SEARCH("&lt;&gt;",$L$4))),IFERROR(('Final Calculation Sheet'!$K$18)&amp;"","")&lt;&gt;""),AND(TRIM($L$4)="",IFERROR(('Final Calculation Sheet'!$K$18)&amp;"","")=""))))</f>
        <v>1</v>
      </c>
      <c r="BY19">
        <f>IF($M$4="",1,--(OR(SUMPRODUCT(--(TRIM(MID(SUBSTITUTE(SUBSTITUTE($M$4,"/",","),",",REPT(" ",99)),(ROW($1:$8)-1)*99+1,99))&lt;&gt;""),--ISNUMBER(SEARCH(TRIM(MID(SUBSTITUTE(SUBSTITUTE($M$4,"/",","),",",REPT(" ",99)),(ROW($1:$8)-1)*99+1,99)),IFERROR(('Final Calculation Sheet'!$L$18)&amp;"",""))))&gt;0,AND(ISNUMBER(SEARCH("blank",$M$4)),NOT(ISNUMBER(SEARCH("nonblank",$M$4))),IFERROR(('Final Calculation Sheet'!$L$18)&amp;"","")=""),AND(OR(ISNUMBER(SEARCH("nonblank",$M$4)),ISNUMBER(SEARCH("&lt;&gt;",$M$4))),IFERROR(('Final Calculation Sheet'!$L$18)&amp;"","")&lt;&gt;""),AND(TRIM($M$4)="",IFERROR(('Final Calculation Sheet'!$L$18)&amp;"","")=""))))</f>
        <v>1</v>
      </c>
      <c r="BZ19">
        <f>IF($N$4="",1,--(OR(SUMPRODUCT(--(TRIM(MID(SUBSTITUTE(SUBSTITUTE($N$4,"/",","),",",REPT(" ",99)),(ROW($1:$8)-1)*99+1,99))&lt;&gt;""),--ISNUMBER(SEARCH(TRIM(MID(SUBSTITUTE(SUBSTITUTE($N$4,"/",","),",",REPT(" ",99)),(ROW($1:$8)-1)*99+1,99)),IFERROR(('Final Calculation Sheet'!$M$18)&amp;"",""))))&gt;0,AND(ISNUMBER(SEARCH("blank",$N$4)),NOT(ISNUMBER(SEARCH("nonblank",$N$4))),IFERROR(('Final Calculation Sheet'!$M$18)&amp;"","")=""),AND(OR(ISNUMBER(SEARCH("nonblank",$N$4)),ISNUMBER(SEARCH("&lt;&gt;",$N$4))),IFERROR(('Final Calculation Sheet'!$M$18)&amp;"","")&lt;&gt;""),AND(TRIM($N$4)="",IFERROR(('Final Calculation Sheet'!$M$18)&amp;"","")=""))))</f>
        <v>1</v>
      </c>
      <c r="CA19">
        <f>IF($O$4="",1,--(OR(SUMPRODUCT(--(TRIM(MID(SUBSTITUTE(SUBSTITUTE($O$4,"/",","),",",REPT(" ",99)),(ROW($1:$8)-1)*99+1,99))&lt;&gt;""),--ISNUMBER(SEARCH(TRIM(MID(SUBSTITUTE(SUBSTITUTE($O$4,"/",","),",",REPT(" ",99)),(ROW($1:$8)-1)*99+1,99)),IFERROR(('Final Calculation Sheet'!$N$18)&amp;"",""))))&gt;0,AND(ISNUMBER(SEARCH("blank",$O$4)),NOT(ISNUMBER(SEARCH("nonblank",$O$4))),IFERROR(('Final Calculation Sheet'!$N$18)&amp;"","")=""),AND(OR(ISNUMBER(SEARCH("nonblank",$O$4)),ISNUMBER(SEARCH("&lt;&gt;",$O$4))),IFERROR(('Final Calculation Sheet'!$N$18)&amp;"","")&lt;&gt;""),AND(TRIM($O$4)="",IFERROR(('Final Calculation Sheet'!$N$18)&amp;"","")=""))))</f>
        <v>1</v>
      </c>
      <c r="CB19">
        <f>IF($P$4="",1,--(OR(SUMPRODUCT(--(TRIM(MID(SUBSTITUTE(SUBSTITUTE($P$4,"/",","),",",REPT(" ",99)),(ROW($1:$8)-1)*99+1,99))&lt;&gt;""),--ISNUMBER(SEARCH(TRIM(MID(SUBSTITUTE(SUBSTITUTE($P$4,"/",","),",",REPT(" ",99)),(ROW($1:$8)-1)*99+1,99)),IFERROR(('Final Calculation Sheet'!$O$18)&amp;"",""))))&gt;0,AND(ISNUMBER(SEARCH("blank",$P$4)),NOT(ISNUMBER(SEARCH("nonblank",$P$4))),IFERROR(('Final Calculation Sheet'!$O$18)&amp;"","")=""),AND(OR(ISNUMBER(SEARCH("nonblank",$P$4)),ISNUMBER(SEARCH("&lt;&gt;",$P$4))),IFERROR(('Final Calculation Sheet'!$O$18)&amp;"","")&lt;&gt;""),AND(TRIM($P$4)="",IFERROR(('Final Calculation Sheet'!$O$18)&amp;"","")=""))))</f>
        <v>1</v>
      </c>
      <c r="CC19">
        <f>IF($Q$4="",1,--(OR(SUMPRODUCT(--(TRIM(MID(SUBSTITUTE(SUBSTITUTE($Q$4,"/",","),",",REPT(" ",99)),(ROW($1:$8)-1)*99+1,99))&lt;&gt;""),--ISNUMBER(SEARCH(TRIM(MID(SUBSTITUTE(SUBSTITUTE($Q$4,"/",","),",",REPT(" ",99)),(ROW($1:$8)-1)*99+1,99)),IFERROR(('Final Calculation Sheet'!$P$18)&amp;"",""))))&gt;0,AND(ISNUMBER(SEARCH("blank",$Q$4)),NOT(ISNUMBER(SEARCH("nonblank",$Q$4))),IFERROR(('Final Calculation Sheet'!$P$18)&amp;"","")=""),AND(OR(ISNUMBER(SEARCH("nonblank",$Q$4)),ISNUMBER(SEARCH("&lt;&gt;",$Q$4))),IFERROR(('Final Calculation Sheet'!$P$18)&amp;"","")&lt;&gt;""),AND(TRIM($Q$4)="",IFERROR(('Final Calculation Sheet'!$P$18)&amp;"","")=""))))</f>
        <v>1</v>
      </c>
      <c r="CD19">
        <f>IF($R$4="",1,--(OR(SUMPRODUCT(--(TRIM(MID(SUBSTITUTE(SUBSTITUTE($R$4,"/",","),",",REPT(" ",99)),(ROW($1:$8)-1)*99+1,99))&lt;&gt;""),--ISNUMBER(SEARCH(TRIM(MID(SUBSTITUTE(SUBSTITUTE($R$4,"/",","),",",REPT(" ",99)),(ROW($1:$8)-1)*99+1,99)),IFERROR(('Final Calculation Sheet'!$Q$18)&amp;"",""))))&gt;0,AND(ISNUMBER(SEARCH("blank",$R$4)),NOT(ISNUMBER(SEARCH("nonblank",$R$4))),IFERROR(('Final Calculation Sheet'!$Q$18)&amp;"","")=""),AND(OR(ISNUMBER(SEARCH("nonblank",$R$4)),ISNUMBER(SEARCH("&lt;&gt;",$R$4))),IFERROR(('Final Calculation Sheet'!$Q$18)&amp;"","")&lt;&gt;""),AND(TRIM($R$4)="",IFERROR(('Final Calculation Sheet'!$Q$18)&amp;"","")=""))))</f>
        <v>1</v>
      </c>
      <c r="CE19">
        <f>IF($S$4="",1,--(OR(SUMPRODUCT(--(TRIM(MID(SUBSTITUTE(SUBSTITUTE($S$4,"/",","),",",REPT(" ",99)),(ROW($1:$8)-1)*99+1,99))&lt;&gt;""),--ISNUMBER(SEARCH(TRIM(MID(SUBSTITUTE(SUBSTITUTE($S$4,"/",","),",",REPT(" ",99)),(ROW($1:$8)-1)*99+1,99)),IFERROR(('Final Calculation Sheet'!$R$18)&amp;"",""))))&gt;0,AND(ISNUMBER(SEARCH("blank",$S$4)),NOT(ISNUMBER(SEARCH("nonblank",$S$4))),IFERROR(('Final Calculation Sheet'!$R$18)&amp;"","")=""),AND(OR(ISNUMBER(SEARCH("nonblank",$S$4)),ISNUMBER(SEARCH("&lt;&gt;",$S$4))),IFERROR(('Final Calculation Sheet'!$R$18)&amp;"","")&lt;&gt;""),AND(TRIM($S$4)="",IFERROR(('Final Calculation Sheet'!$R$18)&amp;"","")=""))))</f>
        <v>1</v>
      </c>
      <c r="CF19">
        <f>IF($T$4="",1,--(OR(SUMPRODUCT(--(TRIM(MID(SUBSTITUTE(SUBSTITUTE($T$4,"/",","),",",REPT(" ",99)),(ROW($1:$8)-1)*99+1,99))&lt;&gt;""),--ISNUMBER(SEARCH(TRIM(MID(SUBSTITUTE(SUBSTITUTE($T$4,"/",","),",",REPT(" ",99)),(ROW($1:$8)-1)*99+1,99)),IFERROR(('Final Calculation Sheet'!$S$18)&amp;"",""))))&gt;0,AND(ISNUMBER(SEARCH("blank",$T$4)),NOT(ISNUMBER(SEARCH("nonblank",$T$4))),IFERROR(('Final Calculation Sheet'!$S$18)&amp;"","")=""),AND(OR(ISNUMBER(SEARCH("nonblank",$T$4)),ISNUMBER(SEARCH("&lt;&gt;",$T$4))),IFERROR(('Final Calculation Sheet'!$S$18)&amp;"","")&lt;&gt;""),AND(TRIM($T$4)="",IFERROR(('Final Calculation Sheet'!$S$18)&amp;"","")=""))))</f>
        <v>1</v>
      </c>
      <c r="CG19">
        <f>IF($U$4="",1,--(OR(SUMPRODUCT(--(TRIM(MID(SUBSTITUTE(SUBSTITUTE($U$4,"/",","),",",REPT(" ",99)),(ROW($1:$8)-1)*99+1,99))&lt;&gt;""),--ISNUMBER(SEARCH(TRIM(MID(SUBSTITUTE(SUBSTITUTE($U$4,"/",","),",",REPT(" ",99)),(ROW($1:$8)-1)*99+1,99)),IFERROR(('Final Calculation Sheet'!$T$18)&amp;"",""))))&gt;0,AND(ISNUMBER(SEARCH("blank",$U$4)),NOT(ISNUMBER(SEARCH("nonblank",$U$4))),IFERROR(('Final Calculation Sheet'!$T$18)&amp;"","")=""),AND(OR(ISNUMBER(SEARCH("nonblank",$U$4)),ISNUMBER(SEARCH("&lt;&gt;",$U$4))),IFERROR(('Final Calculation Sheet'!$T$18)&amp;"","")&lt;&gt;""),AND(TRIM($U$4)="",IFERROR(('Final Calculation Sheet'!$T$18)&amp;"","")=""))))</f>
        <v>1</v>
      </c>
      <c r="CH19">
        <f>IF($V$4="",1,--(OR(SUMPRODUCT(--(TRIM(MID(SUBSTITUTE(SUBSTITUTE($V$4,"/",","),",",REPT(" ",99)),(ROW($1:$8)-1)*99+1,99))&lt;&gt;""),--ISNUMBER(SEARCH(TRIM(MID(SUBSTITUTE(SUBSTITUTE($V$4,"/",","),",",REPT(" ",99)),(ROW($1:$8)-1)*99+1,99)),IFERROR(('Final Calculation Sheet'!$U$18)&amp;"",""))))&gt;0,AND(ISNUMBER(SEARCH("blank",$V$4)),NOT(ISNUMBER(SEARCH("nonblank",$V$4))),IFERROR(('Final Calculation Sheet'!$U$18)&amp;"","")=""),AND(OR(ISNUMBER(SEARCH("nonblank",$V$4)),ISNUMBER(SEARCH("&lt;&gt;",$V$4))),IFERROR(('Final Calculation Sheet'!$U$18)&amp;"","")&lt;&gt;""),AND(TRIM($V$4)="",IFERROR(('Final Calculation Sheet'!$U$18)&amp;"","")=""))))</f>
        <v>1</v>
      </c>
      <c r="CI19">
        <f>IF($W$4="",1,--(OR(SUMPRODUCT(--(TRIM(MID(SUBSTITUTE(SUBSTITUTE($W$4,"/",","),",",REPT(" ",99)),(ROW($1:$8)-1)*99+1,99))&lt;&gt;""),--ISNUMBER(SEARCH(TRIM(MID(SUBSTITUTE(SUBSTITUTE($W$4,"/",","),",",REPT(" ",99)),(ROW($1:$8)-1)*99+1,99)),IFERROR(('Final Calculation Sheet'!$V$18)&amp;"",""))))&gt;0,AND(ISNUMBER(SEARCH("blank",$W$4)),NOT(ISNUMBER(SEARCH("nonblank",$W$4))),IFERROR(('Final Calculation Sheet'!$V$18)&amp;"","")=""),AND(OR(ISNUMBER(SEARCH("nonblank",$W$4)),ISNUMBER(SEARCH("&lt;&gt;",$W$4))),IFERROR(('Final Calculation Sheet'!$V$18)&amp;"","")&lt;&gt;""),AND(TRIM($W$4)="",IFERROR(('Final Calculation Sheet'!$V$18)&amp;"","")=""))))</f>
        <v>1</v>
      </c>
      <c r="CJ19">
        <f>IF($X$4="",1,--(OR(SUMPRODUCT(--(TRIM(MID(SUBSTITUTE(SUBSTITUTE($X$4,"/",","),",",REPT(" ",99)),(ROW($1:$8)-1)*99+1,99))&lt;&gt;""),--ISNUMBER(SEARCH(TRIM(MID(SUBSTITUTE(SUBSTITUTE($X$4,"/",","),",",REPT(" ",99)),(ROW($1:$8)-1)*99+1,99)),IFERROR(('Final Calculation Sheet'!$W$18)&amp;"",""))))&gt;0,AND(ISNUMBER(SEARCH("blank",$X$4)),NOT(ISNUMBER(SEARCH("nonblank",$X$4))),IFERROR(('Final Calculation Sheet'!$W$18)&amp;"","")=""),AND(OR(ISNUMBER(SEARCH("nonblank",$X$4)),ISNUMBER(SEARCH("&lt;&gt;",$X$4))),IFERROR(('Final Calculation Sheet'!$W$18)&amp;"","")&lt;&gt;""),AND(TRIM($X$4)="",IFERROR(('Final Calculation Sheet'!$W$18)&amp;"","")=""))))</f>
        <v>1</v>
      </c>
      <c r="CK19">
        <f>IF($Y$4="",1,--(OR(SUMPRODUCT(--(TRIM(MID(SUBSTITUTE(SUBSTITUTE($Y$4,"/",","),",",REPT(" ",99)),(ROW($1:$8)-1)*99+1,99))&lt;&gt;""),--ISNUMBER(SEARCH(TRIM(MID(SUBSTITUTE(SUBSTITUTE($Y$4,"/",","),",",REPT(" ",99)),(ROW($1:$8)-1)*99+1,99)),IFERROR(('Final Calculation Sheet'!$X$18)&amp;"",""))))&gt;0,AND(ISNUMBER(SEARCH("blank",$Y$4)),NOT(ISNUMBER(SEARCH("nonblank",$Y$4))),IFERROR(('Final Calculation Sheet'!$X$18)&amp;"","")=""),AND(OR(ISNUMBER(SEARCH("nonblank",$Y$4)),ISNUMBER(SEARCH("&lt;&gt;",$Y$4))),IFERROR(('Final Calculation Sheet'!$X$18)&amp;"","")&lt;&gt;""),AND(TRIM($Y$4)="",IFERROR(('Final Calculation Sheet'!$X$18)&amp;"","")=""))))</f>
        <v>1</v>
      </c>
      <c r="CL19">
        <f>IF($Z$4="",1,--(OR(SUMPRODUCT(--(TRIM(MID(SUBSTITUTE(SUBSTITUTE($Z$4,"/",","),",",REPT(" ",99)),(ROW($1:$8)-1)*99+1,99))&lt;&gt;""),--ISNUMBER(SEARCH(TRIM(MID(SUBSTITUTE(SUBSTITUTE($Z$4,"/",","),",",REPT(" ",99)),(ROW($1:$8)-1)*99+1,99)),IFERROR(('Final Calculation Sheet'!$Y$18)&amp;"",""))))&gt;0,AND(ISNUMBER(SEARCH("blank",$Z$4)),NOT(ISNUMBER(SEARCH("nonblank",$Z$4))),IFERROR(('Final Calculation Sheet'!$Y$18)&amp;"","")=""),AND(OR(ISNUMBER(SEARCH("nonblank",$Z$4)),ISNUMBER(SEARCH("&lt;&gt;",$Z$4))),IFERROR(('Final Calculation Sheet'!$Y$18)&amp;"","")&lt;&gt;""),AND(TRIM($Z$4)="",IFERROR(('Final Calculation Sheet'!$Y$18)&amp;"","")=""))))</f>
        <v>1</v>
      </c>
      <c r="CM19">
        <f>IF($AA$4="",1,--(OR(SUMPRODUCT(--(TRIM(MID(SUBSTITUTE(SUBSTITUTE($AA$4,"/",","),",",REPT(" ",99)),(ROW($1:$8)-1)*99+1,99))&lt;&gt;""),--ISNUMBER(SEARCH(TRIM(MID(SUBSTITUTE(SUBSTITUTE($AA$4,"/",","),",",REPT(" ",99)),(ROW($1:$8)-1)*99+1,99)),IFERROR(('Final Calculation Sheet'!$Z$18)&amp;"",""))))&gt;0,AND(ISNUMBER(SEARCH("blank",$AA$4)),NOT(ISNUMBER(SEARCH("nonblank",$AA$4))),IFERROR(('Final Calculation Sheet'!$Z$18)&amp;"","")=""),AND(OR(ISNUMBER(SEARCH("nonblank",$AA$4)),ISNUMBER(SEARCH("&lt;&gt;",$AA$4))),IFERROR(('Final Calculation Sheet'!$Z$18)&amp;"","")&lt;&gt;""),AND(TRIM($AA$4)="",IFERROR(('Final Calculation Sheet'!$Z$18)&amp;"","")=""))))</f>
        <v>1</v>
      </c>
      <c r="CN19">
        <f>IF($AB$4="",1,--(OR(SUMPRODUCT(--(TRIM(MID(SUBSTITUTE(SUBSTITUTE($AB$4,"/",","),",",REPT(" ",99)),(ROW($1:$8)-1)*99+1,99))&lt;&gt;""),--ISNUMBER(SEARCH(TRIM(MID(SUBSTITUTE(SUBSTITUTE($AB$4,"/",","),",",REPT(" ",99)),(ROW($1:$8)-1)*99+1,99)),IFERROR(('Final Calculation Sheet'!$AA$18)&amp;"",""))))&gt;0,AND(ISNUMBER(SEARCH("blank",$AB$4)),NOT(ISNUMBER(SEARCH("nonblank",$AB$4))),IFERROR(('Final Calculation Sheet'!$AA$18)&amp;"","")=""),AND(OR(ISNUMBER(SEARCH("nonblank",$AB$4)),ISNUMBER(SEARCH("&lt;&gt;",$AB$4))),IFERROR(('Final Calculation Sheet'!$AA$18)&amp;"","")&lt;&gt;""),AND(TRIM($AB$4)="",IFERROR(('Final Calculation Sheet'!$AA$18)&amp;"","")=""))))</f>
        <v>1</v>
      </c>
      <c r="CO19">
        <f>IF($AC$4="",1,--(OR(SUMPRODUCT(--(TRIM(MID(SUBSTITUTE(SUBSTITUTE($AC$4,"/",","),",",REPT(" ",99)),(ROW($1:$8)-1)*99+1,99))&lt;&gt;""),--ISNUMBER(SEARCH(TRIM(MID(SUBSTITUTE(SUBSTITUTE($AC$4,"/",","),",",REPT(" ",99)),(ROW($1:$8)-1)*99+1,99)),IFERROR(('Final Calculation Sheet'!$AB$18)&amp;"",""))))&gt;0,AND(ISNUMBER(SEARCH("blank",$AC$4)),NOT(ISNUMBER(SEARCH("nonblank",$AC$4))),IFERROR(('Final Calculation Sheet'!$AB$18)&amp;"","")=""),AND(OR(ISNUMBER(SEARCH("nonblank",$AC$4)),ISNUMBER(SEARCH("&lt;&gt;",$AC$4))),IFERROR(('Final Calculation Sheet'!$AB$18)&amp;"","")&lt;&gt;""),AND(TRIM($AC$4)="",IFERROR(('Final Calculation Sheet'!$AB$18)&amp;"","")=""))))</f>
        <v>1</v>
      </c>
      <c r="CP19">
        <f>IF($AD$4="",1,--(OR(SUMPRODUCT(--(TRIM(MID(SUBSTITUTE(SUBSTITUTE($AD$4,"/",","),",",REPT(" ",99)),(ROW($1:$8)-1)*99+1,99))&lt;&gt;""),--ISNUMBER(SEARCH(TRIM(MID(SUBSTITUTE(SUBSTITUTE($AD$4,"/",","),",",REPT(" ",99)),(ROW($1:$8)-1)*99+1,99)),IFERROR(('Final Calculation Sheet'!$AC$18)&amp;"",""))))&gt;0,AND(ISNUMBER(SEARCH("blank",$AD$4)),NOT(ISNUMBER(SEARCH("nonblank",$AD$4))),IFERROR(('Final Calculation Sheet'!$AC$18)&amp;"","")=""),AND(OR(ISNUMBER(SEARCH("nonblank",$AD$4)),ISNUMBER(SEARCH("&lt;&gt;",$AD$4))),IFERROR(('Final Calculation Sheet'!$AC$18)&amp;"","")&lt;&gt;""),AND(TRIM($AD$4)="",IFERROR(('Final Calculation Sheet'!$AC$18)&amp;"","")=""))))</f>
        <v>1</v>
      </c>
      <c r="CQ19">
        <f>IF($AE$4="",1,--(OR(SUMPRODUCT(--(TRIM(MID(SUBSTITUTE(SUBSTITUTE($AE$4,"/",","),",",REPT(" ",99)),(ROW($1:$8)-1)*99+1,99))&lt;&gt;""),--ISNUMBER(SEARCH(TRIM(MID(SUBSTITUTE(SUBSTITUTE($AE$4,"/",","),",",REPT(" ",99)),(ROW($1:$8)-1)*99+1,99)),IFERROR(('Final Calculation Sheet'!$AD$18)&amp;"",""))))&gt;0,AND(ISNUMBER(SEARCH("blank",$AE$4)),NOT(ISNUMBER(SEARCH("nonblank",$AE$4))),IFERROR(('Final Calculation Sheet'!$AD$18)&amp;"","")=""),AND(OR(ISNUMBER(SEARCH("nonblank",$AE$4)),ISNUMBER(SEARCH("&lt;&gt;",$AE$4))),IFERROR(('Final Calculation Sheet'!$AD$18)&amp;"","")&lt;&gt;""),AND(TRIM($AE$4)="",IFERROR(('Final Calculation Sheet'!$AD$18)&amp;"","")=""))))</f>
        <v>1</v>
      </c>
      <c r="CR19">
        <f>IF($AF$4="",1,--(OR(SUMPRODUCT(--(TRIM(MID(SUBSTITUTE(SUBSTITUTE($AF$4,"/",","),",",REPT(" ",99)),(ROW($1:$8)-1)*99+1,99))&lt;&gt;""),--ISNUMBER(SEARCH(TRIM(MID(SUBSTITUTE(SUBSTITUTE($AF$4,"/",","),",",REPT(" ",99)),(ROW($1:$8)-1)*99+1,99)),IFERROR(('Final Calculation Sheet'!$AE$18)&amp;"",""))))&gt;0,AND(ISNUMBER(SEARCH("blank",$AF$4)),NOT(ISNUMBER(SEARCH("nonblank",$AF$4))),IFERROR(('Final Calculation Sheet'!$AE$18)&amp;"","")=""),AND(OR(ISNUMBER(SEARCH("nonblank",$AF$4)),ISNUMBER(SEARCH("&lt;&gt;",$AF$4))),IFERROR(('Final Calculation Sheet'!$AE$18)&amp;"","")&lt;&gt;""),AND(TRIM($AF$4)="",IFERROR(('Final Calculation Sheet'!$AE$18)&amp;"","")=""))))</f>
        <v>1</v>
      </c>
      <c r="CS19">
        <f>IF($AG$4="",1,--(OR(SUMPRODUCT(--(TRIM(MID(SUBSTITUTE(SUBSTITUTE($AG$4,"/",","),",",REPT(" ",99)),(ROW($1:$8)-1)*99+1,99))&lt;&gt;""),--ISNUMBER(SEARCH(TRIM(MID(SUBSTITUTE(SUBSTITUTE($AG$4,"/",","),",",REPT(" ",99)),(ROW($1:$8)-1)*99+1,99)),IFERROR(('Final Calculation Sheet'!$AF$18)&amp;"",""))))&gt;0,AND(ISNUMBER(SEARCH("blank",$AG$4)),NOT(ISNUMBER(SEARCH("nonblank",$AG$4))),IFERROR(('Final Calculation Sheet'!$AF$18)&amp;"","")=""),AND(OR(ISNUMBER(SEARCH("nonblank",$AG$4)),ISNUMBER(SEARCH("&lt;&gt;",$AG$4))),IFERROR(('Final Calculation Sheet'!$AF$18)&amp;"","")&lt;&gt;""),AND(TRIM($AG$4)="",IFERROR(('Final Calculation Sheet'!$AF$18)&amp;"","")=""))))</f>
        <v>1</v>
      </c>
      <c r="CT19">
        <f>IF($AH$4="",1,--(OR(SUMPRODUCT(--(TRIM(MID(SUBSTITUTE(SUBSTITUTE($AH$4,"/",","),",",REPT(" ",99)),(ROW($1:$8)-1)*99+1,99))&lt;&gt;""),--ISNUMBER(SEARCH(TRIM(MID(SUBSTITUTE(SUBSTITUTE($AH$4,"/",","),",",REPT(" ",99)),(ROW($1:$8)-1)*99+1,99)),IFERROR(('Final Calculation Sheet'!$AG$18)&amp;"",""))))&gt;0,AND(ISNUMBER(SEARCH("blank",$AH$4)),NOT(ISNUMBER(SEARCH("nonblank",$AH$4))),IFERROR(('Final Calculation Sheet'!$AG$18)&amp;"","")=""),AND(OR(ISNUMBER(SEARCH("nonblank",$AH$4)),ISNUMBER(SEARCH("&lt;&gt;",$AH$4))),IFERROR(('Final Calculation Sheet'!$AG$18)&amp;"","")&lt;&gt;""),AND(TRIM($AH$4)="",IFERROR(('Final Calculation Sheet'!$AG$18)&amp;"","")=""))))</f>
        <v>1</v>
      </c>
      <c r="CU19">
        <f>IF($AI$4="",1,--(OR(SUMPRODUCT(--(TRIM(MID(SUBSTITUTE(SUBSTITUTE($AI$4,"/",","),",",REPT(" ",99)),(ROW($1:$8)-1)*99+1,99))&lt;&gt;""),--ISNUMBER(SEARCH(TRIM(MID(SUBSTITUTE(SUBSTITUTE($AI$4,"/",","),",",REPT(" ",99)),(ROW($1:$8)-1)*99+1,99)),IFERROR((IF('Final Calculation Sheet'!$AD$18&lt;=5,"SETTLED","OUTSTANDING"))&amp;"",""))))&gt;0,AND(ISNUMBER(SEARCH("blank",$AI$4)),NOT(ISNUMBER(SEARCH("nonblank",$AI$4))),IFERROR((IF('Final Calculation Sheet'!$AD$18&lt;=5,"SETTLED","OUTSTANDING"))&amp;"","")=""),AND(OR(ISNUMBER(SEARCH("nonblank",$AI$4)),ISNUMBER(SEARCH("&lt;&gt;",$AI$4))),IFERROR((IF('Final Calculation Sheet'!$AD$18&lt;=5,"SETTLED","OUTSTANDING"))&amp;"","")&lt;&gt;""),AND(TRIM($AI$4)="",IFERROR((IF('Final Calculation Sheet'!$AD$18&lt;=5,"SETTLED","OUTSTANDING"))&amp;"","")=""))))</f>
        <v>1</v>
      </c>
    </row>
    <row r="20" ht="15" customHeight="1" s="137">
      <c r="A20" s="67">
        <f>IF($BJ19&gt;0,INDEX($BA$5:$BA$41,MATCH(19,$BB$5:$BB$41,0)),IF(OR($BI19=1,$BL19=1,$BH19&gt;0),"∑",""))</f>
        <v>15</v>
      </c>
      <c r="B20" s="76">
        <f>IF($BJ19&gt;0,IF(INDEX('Final Calculation Sheet'!$F$4:$F$40,$BJ19-3)="","",INDEX('Final Calculation Sheet'!$F$4:$F$40,$BJ19-3)),"")</f>
        <v>2018</v>
      </c>
      <c r="C20" s="76" t="str">
        <f>IF($BJ19&gt;0,IF(INDEX('Final Calculation Sheet'!$G$4:$G$40,$BJ19-3)="","",INDEX('Final Calculation Sheet'!$G$4:$G$40,$BJ19-3)),IF(OR($BI19=1,$BL19=1,$BH19&gt;0),IF($BI19=1,37,IF($BL19=1,37-INDEX($BD$4:$BD$13,10),INDEX($BD$4:$BD$13,$BH19)))&amp;" lot(s)",""))</f>
        <v>NATIONAL ENTERPRISES</v>
      </c>
      <c r="D20" s="80" t="str">
        <f>IF($BJ19&gt;0,IF(INDEX('Final Calculation Sheet'!$B$4:$B$40,$BJ19-3)="","",INDEX('Final Calculation Sheet'!$B$4:$B$40,$BJ19-3)),IF(OR($BI19=1,$BL19=1,$BH19&gt;0),IF($BI19=1,"GRAND TOTAL  —  matching + remaining",IF($BL19=1,"TOTAL MATCHED  —  every group together",IF($BH19=10,"REMAINING  —  did not match the search",IF($BH19=9,IF(COUNTIF($A$4:$AI$4,"&lt;&gt;")&gt;0,"FILTERED LOTS  —  column fields","ALL LOTS  —  nothing typed in the box"),"GROUP "&amp;$BH19&amp;" TOTAL  —  lots matching  "&amp;INDEX($AR$6:$AY$6,$BH19))))),""))</f>
        <v>Scrap of 220 KV Circuit Breaker</v>
      </c>
      <c r="E20" s="80">
        <f>IF($BJ19&gt;0,IF(INDEX('Final Calculation Sheet'!$D$4:$D$40,$BJ19-3)="","",INDEX('Final Calculation Sheet'!$D$4:$D$40,$BJ19-3)),IF(OR($BI19=1,$BL19=1,$BH19&gt;0),"–",""))</f>
        <v>21978</v>
      </c>
      <c r="F20" s="80">
        <f>IF($BJ19&gt;0,IF(INDEX('Final Calculation Sheet'!$A$4:$A$40,$BJ19-3)="","",INDEX('Final Calculation Sheet'!$A$4:$A$40,$BJ19-3)),IF(OR($BI19=1,$BL19=1,$BH19&gt;0),IF($BI19=1,SUM('Final Calculation Sheet'!$A$4:$A$40),IF($BL19=1,SUM('Final Calculation Sheet'!$A$4:$A$40)-SUMIFS('Final Calculation Sheet'!$A$4:$A$40,$AZ$5:$AZ$41,10),SUMIFS('Final Calculation Sheet'!$A$4:$A$40,$AZ$5:$AZ$41,$BH19))),""))</f>
        <v>1</v>
      </c>
      <c r="G20" s="80" t="str">
        <f>IF($BJ19&gt;0,IF(INDEX('Final Calculation Sheet'!$E$4:$E$40,$BJ19-3)="","",INDEX('Final Calculation Sheet'!$E$4:$E$40,$BJ19-3)),IF(OR($BI19=1,$BL19=1,$BH19&gt;0),"–",""))</f>
        <v>NO</v>
      </c>
      <c r="H20" s="70">
        <f>IF($BJ19&gt;0,IF(INDEX('Final Calculation Sheet'!$C$4:$C$40,$BJ19-3)="","",INDEX('Final Calculation Sheet'!$C$4:$C$40,$BJ19-3)),IF(OR($BI19=1,$BL19=1,$BH19&gt;0),"–",""))</f>
        <v>220001</v>
      </c>
      <c r="I20" s="70">
        <f>IF($BJ19&gt;0,IF(INDEX('Final Calculation Sheet'!$H$4:$H$40,$BJ19-3)="","",INDEX('Final Calculation Sheet'!$H$4:$H$40,$BJ19-3)),IF(OR($BI19=1,$BL19=1,$BH19&gt;0),IF($BI19=1,SUM('Final Calculation Sheet'!$H$4:$H$40),IF($BL19=1,SUM('Final Calculation Sheet'!$H$4:$H$40)-SUMIFS('Final Calculation Sheet'!$H$4:$H$40,$AZ$5:$AZ$41,10),SUMIFS('Final Calculation Sheet'!$H$4:$H$40,$AZ$5:$AZ$41,$BH19))),""))</f>
        <v>220001</v>
      </c>
      <c r="J20" s="70">
        <f>IF($BJ19&gt;0,IF(INDEX('Final Calculation Sheet'!$I$4:$I$40,$BJ19-3)="","",INDEX('Final Calculation Sheet'!$I$4:$I$40,$BJ19-3)),IF(OR($BI19=1,$BL19=1,$BH19&gt;0),IF($BI19=1,SUM('Final Calculation Sheet'!$I$4:$I$40),IF($BL19=1,SUM('Final Calculation Sheet'!$I$4:$I$40)-SUMIFS('Final Calculation Sheet'!$I$4:$I$40,$AZ$5:$AZ$41,10),SUMIFS('Final Calculation Sheet'!$I$4:$I$40,$AZ$5:$AZ$41,$BH19))),""))</f>
        <v>39600</v>
      </c>
      <c r="K20" s="70">
        <f>IF($BJ19&gt;0,IF(INDEX('Final Calculation Sheet'!$J$4:$J$40,$BJ19-3)="","",INDEX('Final Calculation Sheet'!$J$4:$J$40,$BJ19-3)),IF(OR($BI19=1,$BL19=1,$BH19&gt;0),IF($BI19=1,SUM('Final Calculation Sheet'!$J$4:$J$40),IF($BL19=1,SUM('Final Calculation Sheet'!$J$4:$J$40)-SUMIFS('Final Calculation Sheet'!$J$4:$J$40,$AZ$5:$AZ$41,10),SUMIFS('Final Calculation Sheet'!$J$4:$J$40,$AZ$5:$AZ$41,$BH19))),""))</f>
        <v>259601</v>
      </c>
      <c r="L20" s="70">
        <f>IF($BJ19&gt;0,IF(INDEX('Final Calculation Sheet'!$K$4:$K$40,$BJ19-3)="","",INDEX('Final Calculation Sheet'!$K$4:$K$40,$BJ19-3)),IF(OR($BI19=1,$BL19=1,$BH19&gt;0),IF($BI19=1,SUM('Final Calculation Sheet'!$K$4:$K$40),IF($BL19=1,SUM('Final Calculation Sheet'!$K$4:$K$40)-SUMIFS('Final Calculation Sheet'!$K$4:$K$40,$AZ$5:$AZ$41,10),SUMIFS('Final Calculation Sheet'!$K$4:$K$40,$AZ$5:$AZ$41,$BH19))),""))</f>
        <v>5192</v>
      </c>
      <c r="M20" s="70">
        <f>IF($BJ19&gt;0,IF(INDEX('Final Calculation Sheet'!$L$4:$L$40,$BJ19-3)="","",INDEX('Final Calculation Sheet'!$L$4:$L$40,$BJ19-3)),IF(OR($BI19=1,$BL19=1,$BH19&gt;0),IF($BI19=1,SUM('Final Calculation Sheet'!$L$4:$L$40),IF($BL19=1,SUM('Final Calculation Sheet'!$L$4:$L$40)-SUMIFS('Final Calculation Sheet'!$L$4:$L$40,$AZ$5:$AZ$41,10),SUMIFS('Final Calculation Sheet'!$L$4:$L$40,$AZ$5:$AZ$41,$BH19))),""))</f>
        <v>220.001</v>
      </c>
      <c r="N20" s="70">
        <f>IF($BJ19&gt;0,IF(INDEX('Final Calculation Sheet'!$M$4:$M$40,$BJ19-3)="","",INDEX('Final Calculation Sheet'!$M$4:$M$40,$BJ19-3)),IF(OR($BI19=1,$BL19=1,$BH19&gt;0),IF($BI19=1,SUM('Final Calculation Sheet'!$M$4:$M$40),IF($BL19=1,SUM('Final Calculation Sheet'!$M$4:$M$40)-SUMIFS('Final Calculation Sheet'!$M$4:$M$40,$AZ$5:$AZ$41,10),SUMIFS('Final Calculation Sheet'!$M$4:$M$40,$AZ$5:$AZ$41,$BH19))),""))</f>
        <v>5841.0265499999996</v>
      </c>
      <c r="O20" s="71">
        <f>IF($BJ19&gt;0,IF(INDEX('Final Calculation Sheet'!$N$4:$N$40,$BJ19-3)="","",INDEX('Final Calculation Sheet'!$N$4:$N$40,$BJ19-3)),IF(OR($BI19=1,$BL19=1,$BH19&gt;0),IF($BI19=1,SUM('Final Calculation Sheet'!$N$4:$N$40),IF($BL19=1,SUM('Final Calculation Sheet'!$N$4:$N$40)-SUMIFS('Final Calculation Sheet'!$N$4:$N$40,$AZ$5:$AZ$41,10),SUMIFS('Final Calculation Sheet'!$N$4:$N$40,$AZ$5:$AZ$41,$BH19))),""))</f>
        <v>99.000450000000001</v>
      </c>
      <c r="P20" s="70">
        <f>IF($BJ19&gt;0,IF(INDEX('Final Calculation Sheet'!$O$4:$O$40,$BJ19-3)="","",INDEX('Final Calculation Sheet'!$O$4:$O$40,$BJ19-3)),IF(OR($BI19=1,$BL19=1,$BH19&gt;0),IF($BI19=1,SUM('Final Calculation Sheet'!$O$4:$O$40),IF($BL19=1,SUM('Final Calculation Sheet'!$O$4:$O$40)-SUMIFS('Final Calculation Sheet'!$O$4:$O$40,$AZ$5:$AZ$41,10),SUMIFS('Final Calculation Sheet'!$O$4:$O$40,$AZ$5:$AZ$41,$BH19))),""))</f>
        <v>5742.0260999999991</v>
      </c>
      <c r="Q20" s="70">
        <f>IF($BJ19&gt;0,IF(INDEX('Final Calculation Sheet'!$P$4:$P$40,$BJ19-3)="","",INDEX('Final Calculation Sheet'!$P$4:$P$40,$BJ19-3)),IF(OR($BI19=1,$BL19=1,$BH19&gt;0),IF($BI19=1,SUM('Final Calculation Sheet'!$P$4:$P$40),IF($BL19=1,SUM('Final Calculation Sheet'!$P$4:$P$40)-SUMIFS('Final Calculation Sheet'!$P$4:$P$40,$AZ$5:$AZ$41,10),SUMIFS('Final Calculation Sheet'!$P$4:$P$40,$AZ$5:$AZ$41,$BH19))),""))</f>
        <v>5962</v>
      </c>
      <c r="R20" s="72">
        <f>IF($BJ19&gt;0,IF(INDEX('Final Calculation Sheet'!$Q$4:$Q$40,$BJ19-3)="","",INDEX('Final Calculation Sheet'!$Q$4:$Q$40,$BJ19-3)),IF(OR($BI19=1,$BL19=1,$BH19&gt;0),"–",""))</f>
        <v>0</v>
      </c>
      <c r="S20" s="70">
        <f>IF($BJ19&gt;0,IF(INDEX('Final Calculation Sheet'!$R$4:$R$40,$BJ19-3)="","",INDEX('Final Calculation Sheet'!$R$4:$R$40,$BJ19-3)),IF(OR($BI19=1,$BL19=1,$BH19&gt;0),IF($BI19=1,SUM('Final Calculation Sheet'!$R$4:$R$40),IF($BL19=1,SUM('Final Calculation Sheet'!$R$4:$R$40)-SUMIFS('Final Calculation Sheet'!$R$4:$R$40,$AZ$5:$AZ$41,10),SUMIFS('Final Calculation Sheet'!$R$4:$R$40,$AZ$5:$AZ$41,$BH19))),""))</f>
        <v>0</v>
      </c>
      <c r="T20" s="70">
        <f>IF($BJ19&gt;0,IF(INDEX('Final Calculation Sheet'!$S$4:$S$40,$BJ19-3)="","",INDEX('Final Calculation Sheet'!$S$4:$S$40,$BJ19-3)),IF(OR($BI19=1,$BL19=1,$BH19&gt;0),IF($BI19=1,SUM('Final Calculation Sheet'!$S$4:$S$40),IF($BL19=1,SUM('Final Calculation Sheet'!$S$4:$S$40)-SUMIFS('Final Calculation Sheet'!$S$4:$S$40,$AZ$5:$AZ$41,10),SUMIFS('Final Calculation Sheet'!$S$4:$S$40,$AZ$5:$AZ$41,$BH19))),""))</f>
        <v>258831</v>
      </c>
      <c r="U20" s="70">
        <f>IF($BJ19&gt;0,IF(INDEX('Final Calculation Sheet'!$T$4:$T$40,$BJ19-3)="","",INDEX('Final Calculation Sheet'!$T$4:$T$40,$BJ19-3)),IF(OR($BI19=1,$BL19=1,$BH19&gt;0),IF($BI19=1,SUM('Final Calculation Sheet'!$T$4:$T$40),IF($BL19=1,SUM('Final Calculation Sheet'!$T$4:$T$40)-SUMIFS('Final Calculation Sheet'!$T$4:$T$40,$AZ$5:$AZ$41,10),SUMIFS('Final Calculation Sheet'!$T$4:$T$40,$AZ$5:$AZ$41,$BH19))),""))</f>
        <v>55000</v>
      </c>
      <c r="V20" s="73">
        <f>IF($BJ19&gt;0,IF(INDEX('Final Calculation Sheet'!$U$4:$U$40,$BJ19-3)="","",INDEX('Final Calculation Sheet'!$U$4:$U$40,$BJ19-3)),IF(OR($BI19=1,$BL19=1,$BH19&gt;0),IF($BI19=1,SUM('Final Calculation Sheet'!$U$4:$U$40),IF($BL19=1,SUM('Final Calculation Sheet'!$U$4:$U$40)-SUMIFS('Final Calculation Sheet'!$U$4:$U$40,$AZ$5:$AZ$41,10),SUMIFS('Final Calculation Sheet'!$U$4:$U$40,$AZ$5:$AZ$41,$BH19))),""))</f>
        <v>55000</v>
      </c>
      <c r="W20" s="70" t="str">
        <f>IF($BJ19&gt;0,IF(INDEX('Final Calculation Sheet'!$V$4:$V$40,$BJ19-3)="","",INDEX('Final Calculation Sheet'!$V$4:$V$40,$BJ19-3)),IF(OR($BI19=1,$BL19=1,$BH19&gt;0),"–",""))</f>
        <v>13.08.2026</v>
      </c>
      <c r="X20" s="70">
        <f>IF($BJ19&gt;0,IF(INDEX('Final Calculation Sheet'!$W$4:$W$40,$BJ19-3)="","",INDEX('Final Calculation Sheet'!$W$4:$W$40,$BJ19-3)),IF(OR($BI19=1,$BL19=1,$BH19&gt;0),IF($BI19=1,SUM('Final Calculation Sheet'!$W$4:$W$40),IF($BL19=1,SUM('Final Calculation Sheet'!$W$4:$W$40)-SUMIFS('Final Calculation Sheet'!$W$4:$W$40,$AZ$5:$AZ$41,10),SUMIFS('Final Calculation Sheet'!$W$4:$W$40,$AZ$5:$AZ$41,$BH19))),""))</f>
        <v>203831</v>
      </c>
      <c r="Y20" s="70">
        <f>IF($BJ19&gt;0,IF(INDEX('Final Calculation Sheet'!$X$4:$X$40,$BJ19-3)="","",INDEX('Final Calculation Sheet'!$X$4:$X$40,$BJ19-3)),IF(OR($BI19=1,$BL19=1,$BH19&gt;0),IF($BI19=1,SUM('Final Calculation Sheet'!$X$4:$X$40),IF($BL19=1,SUM('Final Calculation Sheet'!$X$4:$X$40)-SUMIFS('Final Calculation Sheet'!$X$4:$X$40,$AZ$5:$AZ$41,10),SUMIFS('Final Calculation Sheet'!$X$4:$X$40,$AZ$5:$AZ$41,$BH19))),""))</f>
        <v>203831</v>
      </c>
      <c r="Z20" s="70" t="str">
        <f>IF($BJ19&gt;0,IF(INDEX('Final Calculation Sheet'!$Y$4:$Y$40,$BJ19-3)="","",INDEX('Final Calculation Sheet'!$Y$4:$Y$40,$BJ19-3)),IF(OR($BI19=1,$BL19=1,$BH19&gt;0),"–",""))</f>
        <v>24.08.2026</v>
      </c>
      <c r="AA20" s="70">
        <f>IF($BJ19&gt;0,IF(INDEX('Final Calculation Sheet'!$Z$4:$Z$40,$BJ19-3)="","",INDEX('Final Calculation Sheet'!$Z$4:$Z$40,$BJ19-3)),IF(OR($BI19=1,$BL19=1,$BH19&gt;0),IF($BI19=1,SUM('Final Calculation Sheet'!$Z$4:$Z$40),IF($BL19=1,SUM('Final Calculation Sheet'!$Z$4:$Z$40)-SUMIFS('Final Calculation Sheet'!$Z$4:$Z$40,$AZ$5:$AZ$41,10),SUMIFS('Final Calculation Sheet'!$Z$4:$Z$40,$AZ$5:$AZ$41,$BH19))),""))</f>
        <v>0</v>
      </c>
      <c r="AB20" s="70" t="str">
        <f>IF($BJ19&gt;0,IF(INDEX('Final Calculation Sheet'!$AA$4:$AA$40,$BJ19-3)="","",INDEX('Final Calculation Sheet'!$AA$4:$AA$40,$BJ19-3)),IF(OR($BI19=1,$BL19=1,$BH19&gt;0),IF($BI19=1,SUM('Final Calculation Sheet'!$AA$4:$AA$40),IF($BL19=1,SUM('Final Calculation Sheet'!$AA$4:$AA$40)-SUMIFS('Final Calculation Sheet'!$AA$4:$AA$40,$AZ$5:$AZ$41,10),SUMIFS('Final Calculation Sheet'!$AA$4:$AA$40,$AZ$5:$AZ$41,$BH19))),""))</f>
        <v/>
      </c>
      <c r="AC20" s="70" t="str">
        <f>IF($BJ19&gt;0,IF(INDEX('Final Calculation Sheet'!$AB$4:$AB$40,$BJ19-3)="","",INDEX('Final Calculation Sheet'!$AB$4:$AB$40,$BJ19-3)),IF(OR($BI19=1,$BL19=1,$BH19&gt;0),"–",""))</f>
        <v/>
      </c>
      <c r="AD20" s="70">
        <f>IF($BJ19&gt;0,IF(INDEX('Final Calculation Sheet'!$AC$4:$AC$40,$BJ19-3)="","",INDEX('Final Calculation Sheet'!$AC$4:$AC$40,$BJ19-3)),IF(OR($BI19=1,$BL19=1,$BH19&gt;0),IF($BI19=1,SUM('Final Calculation Sheet'!$AC$4:$AC$40),IF($BL19=1,SUM('Final Calculation Sheet'!$AC$4:$AC$40)-SUMIFS('Final Calculation Sheet'!$AC$4:$AC$40,$AZ$5:$AZ$41,10),SUMIFS('Final Calculation Sheet'!$AC$4:$AC$40,$AZ$5:$AZ$41,$BH19))),""))</f>
        <v>258831</v>
      </c>
      <c r="AE20" s="70">
        <f>IF($BJ19&gt;0,IF(INDEX('Final Calculation Sheet'!$AD$4:$AD$40,$BJ19-3)="","",INDEX('Final Calculation Sheet'!$AD$4:$AD$40,$BJ19-3)),IF(OR($BI19=1,$BL19=1,$BH19&gt;0),IF($BI19=1,SUM('Final Calculation Sheet'!$AD$4:$AD$40),IF($BL19=1,SUM('Final Calculation Sheet'!$AD$4:$AD$40)-SUMIFS('Final Calculation Sheet'!$AD$4:$AD$40,$AZ$5:$AZ$41,10),SUMIFS('Final Calculation Sheet'!$AD$4:$AD$40,$AZ$5:$AZ$41,$BH19))),""))</f>
        <v>0</v>
      </c>
      <c r="AF20" s="70" t="str">
        <f>IF($BJ19&gt;0,IF(INDEX('Final Calculation Sheet'!$AE$4:$AE$40,$BJ19-3)="","",INDEX('Final Calculation Sheet'!$AE$4:$AE$40,$BJ19-3)),IF(OR($BI19=1,$BL19=1,$BH19&gt;0),"–",""))</f>
        <v>DR2640100034</v>
      </c>
      <c r="AG20" s="74">
        <f>IF($BJ19&gt;0,IF(INDEX('Final Calculation Sheet'!$AF$4:$AF$40,$BJ19-3)="","",INDEX('Final Calculation Sheet'!$AF$4:$AF$40,$BJ19-3)),IF(OR($BI19=1,$BL19=1,$BH19&gt;0),"–",""))</f>
        <v>1800003306</v>
      </c>
      <c r="AH20" s="70" t="str">
        <f>IF($BJ19&gt;0,IF(INDEX('Final Calculation Sheet'!$AG$4:$AG$40,$BJ19-3)="","",INDEX('Final Calculation Sheet'!$AG$4:$AG$40,$BJ19-3)),IF(OR($BI19=1,$BL19=1,$BH19&gt;0),"–",""))</f>
        <v>27.08.2026</v>
      </c>
      <c r="AI20" s="75" t="str">
        <f>IF($BJ19&gt;0,IF(INDEX('Final Calculation Sheet'!$AD$4:$AD$40,$BJ19-3)="","",IF(INDEX('Final Calculation Sheet'!$AD$4:$AD$40,$BJ19-3)&lt;=5,"SETTLED","OUTSTANDING")),IF(OR($BI19=1,$BL19=1,$BH19&gt;0),IF(IF($BI19=1,SUM('Final Calculation Sheet'!$AD$4:$AD$40),IF($BL19=1,SUM('Final Calculation Sheet'!$AD$4:$AD$40)-SUMIFS('Final Calculation Sheet'!$AD$4:$AD$40,$AZ$5:$AZ$41,10),SUMIFS('Final Calculation Sheet'!$AD$4:$AD$40,$AZ$5:$AZ$41,$BH19)))&lt;=5,"ALL SETTLED","OUTSTANDING"),""))</f>
        <v>SETTLED</v>
      </c>
      <c r="AK20" t="str">
        <f>IF($F$3="Lot No.",'Final Calculation Sheet'!$F$19,IF($F$3="Buyer",'Final Calculation Sheet'!$G$19,IF($F$3="Lot Name",'Final Calculation Sheet'!$B$19,IF($F$3="Bid Sheet",'Final Calculation Sheet'!$D$19,IF($F$3="Unit",'Final Calculation Sheet'!$E$19,'Final Calculation Sheet'!$F$19&amp;" "&amp;'Final Calculation Sheet'!$G$19&amp;" "&amp;'Final Calculation Sheet'!$B$19)))))</f>
        <v>2019 NATIONAL ENTERPRISES Scrap of 220 KV Circuit Breaker</v>
      </c>
      <c r="AL20">
        <f>AL19+IF($B$3="",0,--(SUMPRODUCT(--($AR$6:$AY$6&lt;&gt;""),--ISNUMBER(SEARCH($AR$6:$AY$6,$AK20)))&gt;0))</f>
        <v>0</v>
      </c>
      <c r="AM20">
        <f>IF(COUNTIF($BM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1</v>
      </c>
      <c r="AZ20">
        <f>IF($B$3="",IF(COUNTIF($A$4:$AI$4,"&lt;&gt;")=0,9,IF($AM20=1,9,10)),IF($AM20=0,10,IF(AND($AR$6&lt;&gt;"",ISNUMBER(SEARCH($AR$6,$AK20))),1,IF(AND($AS$6&lt;&gt;"",ISNUMBER(SEARCH($AS$6,$AK20))),2,IF(AND($AT$6&lt;&gt;"",ISNUMBER(SEARCH($AT$6,$AK20))),3,IF(AND($AU$6&lt;&gt;"",ISNUMBER(SEARCH($AU$6,$AK20))),4,IF(AND($AV$6&lt;&gt;"",ISNUMBER(SEARCH($AV$6,$AK20))),5,IF(AND($AW$6&lt;&gt;"",ISNUMBER(SEARCH($AW$6,$AK20))),6,IF(AND($AX$6&lt;&gt;"",ISNUMBER(SEARCH($AX$6,$AK20))),7,IF(AND($AY$6&lt;&gt;"",ISNUMBER(SEARCH($AY$6,$AK20))),8,0))))))))))</f>
        <v>9</v>
      </c>
      <c r="BA20">
        <f>SUMPRODUCT(($AZ$5:$AZ$41=$AZ20)*($BC$5:$BC$41&lt;$BC20))+1</f>
        <v>16</v>
      </c>
      <c r="BB20">
        <f>IF(INDEX($BF$4:$BF$13,$AZ20)=0,0,INDEX($BE$4:$BE$13,$AZ20)+$BA20-1)</f>
        <v>20</v>
      </c>
      <c r="BC20" t="n">
        <v>19</v>
      </c>
      <c r="BH20">
        <f>IFERROR(MATCH(20,$BF$4:$BF$13,0),0)</f>
        <v>0</v>
      </c>
      <c r="BI20">
        <f>IF(20=$BG$5,1,0)</f>
        <v>0</v>
      </c>
      <c r="BJ20">
        <f>IF(OR($BH20&gt;0,$BI20=1,$BL20=1),0,IFERROR(INDEX($BC$5:$BC$41,MATCH(20,$BB$5:$BB$41,0)),0))</f>
        <v>19</v>
      </c>
      <c r="BK20">
        <f>IF($BJ20&gt;0,IF(INDEX($AZ$5:$AZ$41,MATCH(20,$BB$5:$BB$41,0))=10,1,0),IF($BH20=10,1,0))</f>
        <v>0</v>
      </c>
      <c r="BL20">
        <f>IF(20=$BG$4,1,0)</f>
        <v>0</v>
      </c>
      <c r="BM20">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1</v>
      </c>
      <c r="BN20">
        <f>IF($B$4="",1,--(OR(SUMPRODUCT(--(TRIM(MID(SUBSTITUTE(SUBSTITUTE($B$4,"/",","),",",REPT(" ",99)),(ROW($1:$8)-1)*99+1,99))&lt;&gt;""),--ISNUMBER(SEARCH(TRIM(MID(SUBSTITUTE(SUBSTITUTE($B$4,"/",","),",",REPT(" ",99)),(ROW($1:$8)-1)*99+1,99)),IFERROR(('Final Calculation Sheet'!$F$19)&amp;"",""))))&gt;0,AND(ISNUMBER(SEARCH("blank",$B$4)),NOT(ISNUMBER(SEARCH("nonblank",$B$4))),IFERROR(('Final Calculation Sheet'!$F$19)&amp;"","")=""),AND(OR(ISNUMBER(SEARCH("nonblank",$B$4)),ISNUMBER(SEARCH("&lt;&gt;",$B$4))),IFERROR(('Final Calculation Sheet'!$F$19)&amp;"","")&lt;&gt;""),AND(TRIM($B$4)="",IFERROR(('Final Calculation Sheet'!$F$19)&amp;"","")=""))))</f>
        <v>1</v>
      </c>
      <c r="BO20">
        <f>IF($C$4="",1,--(OR(SUMPRODUCT(--(TRIM(MID(SUBSTITUTE(SUBSTITUTE($C$4,"/",","),",",REPT(" ",99)),(ROW($1:$8)-1)*99+1,99))&lt;&gt;""),--ISNUMBER(SEARCH(TRIM(MID(SUBSTITUTE(SUBSTITUTE($C$4,"/",","),",",REPT(" ",99)),(ROW($1:$8)-1)*99+1,99)),IFERROR(('Final Calculation Sheet'!$G$19)&amp;"",""))))&gt;0,AND(ISNUMBER(SEARCH("blank",$C$4)),NOT(ISNUMBER(SEARCH("nonblank",$C$4))),IFERROR(('Final Calculation Sheet'!$G$19)&amp;"","")=""),AND(OR(ISNUMBER(SEARCH("nonblank",$C$4)),ISNUMBER(SEARCH("&lt;&gt;",$C$4))),IFERROR(('Final Calculation Sheet'!$G$19)&amp;"","")&lt;&gt;""),AND(TRIM($C$4)="",IFERROR(('Final Calculation Sheet'!$G$19)&amp;"","")=""))))</f>
        <v>1</v>
      </c>
      <c r="BP20">
        <f>IF($D$4="",1,--(OR(SUMPRODUCT(--(TRIM(MID(SUBSTITUTE(SUBSTITUTE($D$4,"/",","),",",REPT(" ",99)),(ROW($1:$8)-1)*99+1,99))&lt;&gt;""),--ISNUMBER(SEARCH(TRIM(MID(SUBSTITUTE(SUBSTITUTE($D$4,"/",","),",",REPT(" ",99)),(ROW($1:$8)-1)*99+1,99)),IFERROR(('Final Calculation Sheet'!$B$19)&amp;"",""))))&gt;0,AND(ISNUMBER(SEARCH("blank",$D$4)),NOT(ISNUMBER(SEARCH("nonblank",$D$4))),IFERROR(('Final Calculation Sheet'!$B$19)&amp;"","")=""),AND(OR(ISNUMBER(SEARCH("nonblank",$D$4)),ISNUMBER(SEARCH("&lt;&gt;",$D$4))),IFERROR(('Final Calculation Sheet'!$B$19)&amp;"","")&lt;&gt;""),AND(TRIM($D$4)="",IFERROR(('Final Calculation Sheet'!$B$19)&amp;"","")=""))))</f>
        <v>1</v>
      </c>
      <c r="BQ20">
        <f>IF($E$4="",1,--(OR(SUMPRODUCT(--(TRIM(MID(SUBSTITUTE(SUBSTITUTE($E$4,"/",","),",",REPT(" ",99)),(ROW($1:$8)-1)*99+1,99))&lt;&gt;""),--ISNUMBER(SEARCH(TRIM(MID(SUBSTITUTE(SUBSTITUTE($E$4,"/",","),",",REPT(" ",99)),(ROW($1:$8)-1)*99+1,99)),IFERROR(('Final Calculation Sheet'!$D$19)&amp;"",""))))&gt;0,AND(ISNUMBER(SEARCH("blank",$E$4)),NOT(ISNUMBER(SEARCH("nonblank",$E$4))),IFERROR(('Final Calculation Sheet'!$D$19)&amp;"","")=""),AND(OR(ISNUMBER(SEARCH("nonblank",$E$4)),ISNUMBER(SEARCH("&lt;&gt;",$E$4))),IFERROR(('Final Calculation Sheet'!$D$19)&amp;"","")&lt;&gt;""),AND(TRIM($E$4)="",IFERROR(('Final Calculation Sheet'!$D$19)&amp;"","")=""))))</f>
        <v>1</v>
      </c>
      <c r="BR20">
        <f>IF($F$4="",1,--(OR(SUMPRODUCT(--(TRIM(MID(SUBSTITUTE(SUBSTITUTE($F$4,"/",","),",",REPT(" ",99)),(ROW($1:$8)-1)*99+1,99))&lt;&gt;""),--ISNUMBER(SEARCH(TRIM(MID(SUBSTITUTE(SUBSTITUTE($F$4,"/",","),",",REPT(" ",99)),(ROW($1:$8)-1)*99+1,99)),IFERROR(('Final Calculation Sheet'!$A$19)&amp;"",""))))&gt;0,AND(ISNUMBER(SEARCH("blank",$F$4)),NOT(ISNUMBER(SEARCH("nonblank",$F$4))),IFERROR(('Final Calculation Sheet'!$A$19)&amp;"","")=""),AND(OR(ISNUMBER(SEARCH("nonblank",$F$4)),ISNUMBER(SEARCH("&lt;&gt;",$F$4))),IFERROR(('Final Calculation Sheet'!$A$19)&amp;"","")&lt;&gt;""),AND(TRIM($F$4)="",IFERROR(('Final Calculation Sheet'!$A$19)&amp;"","")=""))))</f>
        <v>1</v>
      </c>
      <c r="BS20">
        <f>IF($G$4="",1,--(OR(SUMPRODUCT(--(TRIM(MID(SUBSTITUTE(SUBSTITUTE($G$4,"/",","),",",REPT(" ",99)),(ROW($1:$8)-1)*99+1,99))&lt;&gt;""),--ISNUMBER(SEARCH(TRIM(MID(SUBSTITUTE(SUBSTITUTE($G$4,"/",","),",",REPT(" ",99)),(ROW($1:$8)-1)*99+1,99)),IFERROR(('Final Calculation Sheet'!$E$19)&amp;"",""))))&gt;0,AND(ISNUMBER(SEARCH("blank",$G$4)),NOT(ISNUMBER(SEARCH("nonblank",$G$4))),IFERROR(('Final Calculation Sheet'!$E$19)&amp;"","")=""),AND(OR(ISNUMBER(SEARCH("nonblank",$G$4)),ISNUMBER(SEARCH("&lt;&gt;",$G$4))),IFERROR(('Final Calculation Sheet'!$E$19)&amp;"","")&lt;&gt;""),AND(TRIM($G$4)="",IFERROR(('Final Calculation Sheet'!$E$19)&amp;"","")=""))))</f>
        <v>1</v>
      </c>
      <c r="BT20">
        <f>IF($H$4="",1,--(OR(SUMPRODUCT(--(TRIM(MID(SUBSTITUTE(SUBSTITUTE($H$4,"/",","),",",REPT(" ",99)),(ROW($1:$8)-1)*99+1,99))&lt;&gt;""),--ISNUMBER(SEARCH(TRIM(MID(SUBSTITUTE(SUBSTITUTE($H$4,"/",","),",",REPT(" ",99)),(ROW($1:$8)-1)*99+1,99)),IFERROR(('Final Calculation Sheet'!$C$19)&amp;"",""))))&gt;0,AND(ISNUMBER(SEARCH("blank",$H$4)),NOT(ISNUMBER(SEARCH("nonblank",$H$4))),IFERROR(('Final Calculation Sheet'!$C$19)&amp;"","")=""),AND(OR(ISNUMBER(SEARCH("nonblank",$H$4)),ISNUMBER(SEARCH("&lt;&gt;",$H$4))),IFERROR(('Final Calculation Sheet'!$C$19)&amp;"","")&lt;&gt;""),AND(TRIM($H$4)="",IFERROR(('Final Calculation Sheet'!$C$19)&amp;"","")=""))))</f>
        <v>1</v>
      </c>
      <c r="BU20">
        <f>IF($I$4="",1,--(OR(SUMPRODUCT(--(TRIM(MID(SUBSTITUTE(SUBSTITUTE($I$4,"/",","),",",REPT(" ",99)),(ROW($1:$8)-1)*99+1,99))&lt;&gt;""),--ISNUMBER(SEARCH(TRIM(MID(SUBSTITUTE(SUBSTITUTE($I$4,"/",","),",",REPT(" ",99)),(ROW($1:$8)-1)*99+1,99)),IFERROR(('Final Calculation Sheet'!$H$19)&amp;"",""))))&gt;0,AND(ISNUMBER(SEARCH("blank",$I$4)),NOT(ISNUMBER(SEARCH("nonblank",$I$4))),IFERROR(('Final Calculation Sheet'!$H$19)&amp;"","")=""),AND(OR(ISNUMBER(SEARCH("nonblank",$I$4)),ISNUMBER(SEARCH("&lt;&gt;",$I$4))),IFERROR(('Final Calculation Sheet'!$H$19)&amp;"","")&lt;&gt;""),AND(TRIM($I$4)="",IFERROR(('Final Calculation Sheet'!$H$19)&amp;"","")=""))))</f>
        <v>1</v>
      </c>
      <c r="BV20">
        <f>IF($J$4="",1,--(OR(SUMPRODUCT(--(TRIM(MID(SUBSTITUTE(SUBSTITUTE($J$4,"/",","),",",REPT(" ",99)),(ROW($1:$8)-1)*99+1,99))&lt;&gt;""),--ISNUMBER(SEARCH(TRIM(MID(SUBSTITUTE(SUBSTITUTE($J$4,"/",","),",",REPT(" ",99)),(ROW($1:$8)-1)*99+1,99)),IFERROR(('Final Calculation Sheet'!$I$19)&amp;"",""))))&gt;0,AND(ISNUMBER(SEARCH("blank",$J$4)),NOT(ISNUMBER(SEARCH("nonblank",$J$4))),IFERROR(('Final Calculation Sheet'!$I$19)&amp;"","")=""),AND(OR(ISNUMBER(SEARCH("nonblank",$J$4)),ISNUMBER(SEARCH("&lt;&gt;",$J$4))),IFERROR(('Final Calculation Sheet'!$I$19)&amp;"","")&lt;&gt;""),AND(TRIM($J$4)="",IFERROR(('Final Calculation Sheet'!$I$19)&amp;"","")=""))))</f>
        <v>1</v>
      </c>
      <c r="BW20">
        <f>IF($K$4="",1,--(OR(SUMPRODUCT(--(TRIM(MID(SUBSTITUTE(SUBSTITUTE($K$4,"/",","),",",REPT(" ",99)),(ROW($1:$8)-1)*99+1,99))&lt;&gt;""),--ISNUMBER(SEARCH(TRIM(MID(SUBSTITUTE(SUBSTITUTE($K$4,"/",","),",",REPT(" ",99)),(ROW($1:$8)-1)*99+1,99)),IFERROR(('Final Calculation Sheet'!$J$19)&amp;"",""))))&gt;0,AND(ISNUMBER(SEARCH("blank",$K$4)),NOT(ISNUMBER(SEARCH("nonblank",$K$4))),IFERROR(('Final Calculation Sheet'!$J$19)&amp;"","")=""),AND(OR(ISNUMBER(SEARCH("nonblank",$K$4)),ISNUMBER(SEARCH("&lt;&gt;",$K$4))),IFERROR(('Final Calculation Sheet'!$J$19)&amp;"","")&lt;&gt;""),AND(TRIM($K$4)="",IFERROR(('Final Calculation Sheet'!$J$19)&amp;"","")=""))))</f>
        <v>1</v>
      </c>
      <c r="BX20">
        <f>IF($L$4="",1,--(OR(SUMPRODUCT(--(TRIM(MID(SUBSTITUTE(SUBSTITUTE($L$4,"/",","),",",REPT(" ",99)),(ROW($1:$8)-1)*99+1,99))&lt;&gt;""),--ISNUMBER(SEARCH(TRIM(MID(SUBSTITUTE(SUBSTITUTE($L$4,"/",","),",",REPT(" ",99)),(ROW($1:$8)-1)*99+1,99)),IFERROR(('Final Calculation Sheet'!$K$19)&amp;"",""))))&gt;0,AND(ISNUMBER(SEARCH("blank",$L$4)),NOT(ISNUMBER(SEARCH("nonblank",$L$4))),IFERROR(('Final Calculation Sheet'!$K$19)&amp;"","")=""),AND(OR(ISNUMBER(SEARCH("nonblank",$L$4)),ISNUMBER(SEARCH("&lt;&gt;",$L$4))),IFERROR(('Final Calculation Sheet'!$K$19)&amp;"","")&lt;&gt;""),AND(TRIM($L$4)="",IFERROR(('Final Calculation Sheet'!$K$19)&amp;"","")=""))))</f>
        <v>1</v>
      </c>
      <c r="BY20">
        <f>IF($M$4="",1,--(OR(SUMPRODUCT(--(TRIM(MID(SUBSTITUTE(SUBSTITUTE($M$4,"/",","),",",REPT(" ",99)),(ROW($1:$8)-1)*99+1,99))&lt;&gt;""),--ISNUMBER(SEARCH(TRIM(MID(SUBSTITUTE(SUBSTITUTE($M$4,"/",","),",",REPT(" ",99)),(ROW($1:$8)-1)*99+1,99)),IFERROR(('Final Calculation Sheet'!$L$19)&amp;"",""))))&gt;0,AND(ISNUMBER(SEARCH("blank",$M$4)),NOT(ISNUMBER(SEARCH("nonblank",$M$4))),IFERROR(('Final Calculation Sheet'!$L$19)&amp;"","")=""),AND(OR(ISNUMBER(SEARCH("nonblank",$M$4)),ISNUMBER(SEARCH("&lt;&gt;",$M$4))),IFERROR(('Final Calculation Sheet'!$L$19)&amp;"","")&lt;&gt;""),AND(TRIM($M$4)="",IFERROR(('Final Calculation Sheet'!$L$19)&amp;"","")=""))))</f>
        <v>1</v>
      </c>
      <c r="BZ20">
        <f>IF($N$4="",1,--(OR(SUMPRODUCT(--(TRIM(MID(SUBSTITUTE(SUBSTITUTE($N$4,"/",","),",",REPT(" ",99)),(ROW($1:$8)-1)*99+1,99))&lt;&gt;""),--ISNUMBER(SEARCH(TRIM(MID(SUBSTITUTE(SUBSTITUTE($N$4,"/",","),",",REPT(" ",99)),(ROW($1:$8)-1)*99+1,99)),IFERROR(('Final Calculation Sheet'!$M$19)&amp;"",""))))&gt;0,AND(ISNUMBER(SEARCH("blank",$N$4)),NOT(ISNUMBER(SEARCH("nonblank",$N$4))),IFERROR(('Final Calculation Sheet'!$M$19)&amp;"","")=""),AND(OR(ISNUMBER(SEARCH("nonblank",$N$4)),ISNUMBER(SEARCH("&lt;&gt;",$N$4))),IFERROR(('Final Calculation Sheet'!$M$19)&amp;"","")&lt;&gt;""),AND(TRIM($N$4)="",IFERROR(('Final Calculation Sheet'!$M$19)&amp;"","")=""))))</f>
        <v>1</v>
      </c>
      <c r="CA20">
        <f>IF($O$4="",1,--(OR(SUMPRODUCT(--(TRIM(MID(SUBSTITUTE(SUBSTITUTE($O$4,"/",","),",",REPT(" ",99)),(ROW($1:$8)-1)*99+1,99))&lt;&gt;""),--ISNUMBER(SEARCH(TRIM(MID(SUBSTITUTE(SUBSTITUTE($O$4,"/",","),",",REPT(" ",99)),(ROW($1:$8)-1)*99+1,99)),IFERROR(('Final Calculation Sheet'!$N$19)&amp;"",""))))&gt;0,AND(ISNUMBER(SEARCH("blank",$O$4)),NOT(ISNUMBER(SEARCH("nonblank",$O$4))),IFERROR(('Final Calculation Sheet'!$N$19)&amp;"","")=""),AND(OR(ISNUMBER(SEARCH("nonblank",$O$4)),ISNUMBER(SEARCH("&lt;&gt;",$O$4))),IFERROR(('Final Calculation Sheet'!$N$19)&amp;"","")&lt;&gt;""),AND(TRIM($O$4)="",IFERROR(('Final Calculation Sheet'!$N$19)&amp;"","")=""))))</f>
        <v>1</v>
      </c>
      <c r="CB20">
        <f>IF($P$4="",1,--(OR(SUMPRODUCT(--(TRIM(MID(SUBSTITUTE(SUBSTITUTE($P$4,"/",","),",",REPT(" ",99)),(ROW($1:$8)-1)*99+1,99))&lt;&gt;""),--ISNUMBER(SEARCH(TRIM(MID(SUBSTITUTE(SUBSTITUTE($P$4,"/",","),",",REPT(" ",99)),(ROW($1:$8)-1)*99+1,99)),IFERROR(('Final Calculation Sheet'!$O$19)&amp;"",""))))&gt;0,AND(ISNUMBER(SEARCH("blank",$P$4)),NOT(ISNUMBER(SEARCH("nonblank",$P$4))),IFERROR(('Final Calculation Sheet'!$O$19)&amp;"","")=""),AND(OR(ISNUMBER(SEARCH("nonblank",$P$4)),ISNUMBER(SEARCH("&lt;&gt;",$P$4))),IFERROR(('Final Calculation Sheet'!$O$19)&amp;"","")&lt;&gt;""),AND(TRIM($P$4)="",IFERROR(('Final Calculation Sheet'!$O$19)&amp;"","")=""))))</f>
        <v>1</v>
      </c>
      <c r="CC20">
        <f>IF($Q$4="",1,--(OR(SUMPRODUCT(--(TRIM(MID(SUBSTITUTE(SUBSTITUTE($Q$4,"/",","),",",REPT(" ",99)),(ROW($1:$8)-1)*99+1,99))&lt;&gt;""),--ISNUMBER(SEARCH(TRIM(MID(SUBSTITUTE(SUBSTITUTE($Q$4,"/",","),",",REPT(" ",99)),(ROW($1:$8)-1)*99+1,99)),IFERROR(('Final Calculation Sheet'!$P$19)&amp;"",""))))&gt;0,AND(ISNUMBER(SEARCH("blank",$Q$4)),NOT(ISNUMBER(SEARCH("nonblank",$Q$4))),IFERROR(('Final Calculation Sheet'!$P$19)&amp;"","")=""),AND(OR(ISNUMBER(SEARCH("nonblank",$Q$4)),ISNUMBER(SEARCH("&lt;&gt;",$Q$4))),IFERROR(('Final Calculation Sheet'!$P$19)&amp;"","")&lt;&gt;""),AND(TRIM($Q$4)="",IFERROR(('Final Calculation Sheet'!$P$19)&amp;"","")=""))))</f>
        <v>1</v>
      </c>
      <c r="CD20">
        <f>IF($R$4="",1,--(OR(SUMPRODUCT(--(TRIM(MID(SUBSTITUTE(SUBSTITUTE($R$4,"/",","),",",REPT(" ",99)),(ROW($1:$8)-1)*99+1,99))&lt;&gt;""),--ISNUMBER(SEARCH(TRIM(MID(SUBSTITUTE(SUBSTITUTE($R$4,"/",","),",",REPT(" ",99)),(ROW($1:$8)-1)*99+1,99)),IFERROR(('Final Calculation Sheet'!$Q$19)&amp;"",""))))&gt;0,AND(ISNUMBER(SEARCH("blank",$R$4)),NOT(ISNUMBER(SEARCH("nonblank",$R$4))),IFERROR(('Final Calculation Sheet'!$Q$19)&amp;"","")=""),AND(OR(ISNUMBER(SEARCH("nonblank",$R$4)),ISNUMBER(SEARCH("&lt;&gt;",$R$4))),IFERROR(('Final Calculation Sheet'!$Q$19)&amp;"","")&lt;&gt;""),AND(TRIM($R$4)="",IFERROR(('Final Calculation Sheet'!$Q$19)&amp;"","")=""))))</f>
        <v>1</v>
      </c>
      <c r="CE20">
        <f>IF($S$4="",1,--(OR(SUMPRODUCT(--(TRIM(MID(SUBSTITUTE(SUBSTITUTE($S$4,"/",","),",",REPT(" ",99)),(ROW($1:$8)-1)*99+1,99))&lt;&gt;""),--ISNUMBER(SEARCH(TRIM(MID(SUBSTITUTE(SUBSTITUTE($S$4,"/",","),",",REPT(" ",99)),(ROW($1:$8)-1)*99+1,99)),IFERROR(('Final Calculation Sheet'!$R$19)&amp;"",""))))&gt;0,AND(ISNUMBER(SEARCH("blank",$S$4)),NOT(ISNUMBER(SEARCH("nonblank",$S$4))),IFERROR(('Final Calculation Sheet'!$R$19)&amp;"","")=""),AND(OR(ISNUMBER(SEARCH("nonblank",$S$4)),ISNUMBER(SEARCH("&lt;&gt;",$S$4))),IFERROR(('Final Calculation Sheet'!$R$19)&amp;"","")&lt;&gt;""),AND(TRIM($S$4)="",IFERROR(('Final Calculation Sheet'!$R$19)&amp;"","")=""))))</f>
        <v>1</v>
      </c>
      <c r="CF20">
        <f>IF($T$4="",1,--(OR(SUMPRODUCT(--(TRIM(MID(SUBSTITUTE(SUBSTITUTE($T$4,"/",","),",",REPT(" ",99)),(ROW($1:$8)-1)*99+1,99))&lt;&gt;""),--ISNUMBER(SEARCH(TRIM(MID(SUBSTITUTE(SUBSTITUTE($T$4,"/",","),",",REPT(" ",99)),(ROW($1:$8)-1)*99+1,99)),IFERROR(('Final Calculation Sheet'!$S$19)&amp;"",""))))&gt;0,AND(ISNUMBER(SEARCH("blank",$T$4)),NOT(ISNUMBER(SEARCH("nonblank",$T$4))),IFERROR(('Final Calculation Sheet'!$S$19)&amp;"","")=""),AND(OR(ISNUMBER(SEARCH("nonblank",$T$4)),ISNUMBER(SEARCH("&lt;&gt;",$T$4))),IFERROR(('Final Calculation Sheet'!$S$19)&amp;"","")&lt;&gt;""),AND(TRIM($T$4)="",IFERROR(('Final Calculation Sheet'!$S$19)&amp;"","")=""))))</f>
        <v>1</v>
      </c>
      <c r="CG20">
        <f>IF($U$4="",1,--(OR(SUMPRODUCT(--(TRIM(MID(SUBSTITUTE(SUBSTITUTE($U$4,"/",","),",",REPT(" ",99)),(ROW($1:$8)-1)*99+1,99))&lt;&gt;""),--ISNUMBER(SEARCH(TRIM(MID(SUBSTITUTE(SUBSTITUTE($U$4,"/",","),",",REPT(" ",99)),(ROW($1:$8)-1)*99+1,99)),IFERROR(('Final Calculation Sheet'!$T$19)&amp;"",""))))&gt;0,AND(ISNUMBER(SEARCH("blank",$U$4)),NOT(ISNUMBER(SEARCH("nonblank",$U$4))),IFERROR(('Final Calculation Sheet'!$T$19)&amp;"","")=""),AND(OR(ISNUMBER(SEARCH("nonblank",$U$4)),ISNUMBER(SEARCH("&lt;&gt;",$U$4))),IFERROR(('Final Calculation Sheet'!$T$19)&amp;"","")&lt;&gt;""),AND(TRIM($U$4)="",IFERROR(('Final Calculation Sheet'!$T$19)&amp;"","")=""))))</f>
        <v>1</v>
      </c>
      <c r="CH20">
        <f>IF($V$4="",1,--(OR(SUMPRODUCT(--(TRIM(MID(SUBSTITUTE(SUBSTITUTE($V$4,"/",","),",",REPT(" ",99)),(ROW($1:$8)-1)*99+1,99))&lt;&gt;""),--ISNUMBER(SEARCH(TRIM(MID(SUBSTITUTE(SUBSTITUTE($V$4,"/",","),",",REPT(" ",99)),(ROW($1:$8)-1)*99+1,99)),IFERROR(('Final Calculation Sheet'!$U$19)&amp;"",""))))&gt;0,AND(ISNUMBER(SEARCH("blank",$V$4)),NOT(ISNUMBER(SEARCH("nonblank",$V$4))),IFERROR(('Final Calculation Sheet'!$U$19)&amp;"","")=""),AND(OR(ISNUMBER(SEARCH("nonblank",$V$4)),ISNUMBER(SEARCH("&lt;&gt;",$V$4))),IFERROR(('Final Calculation Sheet'!$U$19)&amp;"","")&lt;&gt;""),AND(TRIM($V$4)="",IFERROR(('Final Calculation Sheet'!$U$19)&amp;"","")=""))))</f>
        <v>1</v>
      </c>
      <c r="CI20">
        <f>IF($W$4="",1,--(OR(SUMPRODUCT(--(TRIM(MID(SUBSTITUTE(SUBSTITUTE($W$4,"/",","),",",REPT(" ",99)),(ROW($1:$8)-1)*99+1,99))&lt;&gt;""),--ISNUMBER(SEARCH(TRIM(MID(SUBSTITUTE(SUBSTITUTE($W$4,"/",","),",",REPT(" ",99)),(ROW($1:$8)-1)*99+1,99)),IFERROR(('Final Calculation Sheet'!$V$19)&amp;"",""))))&gt;0,AND(ISNUMBER(SEARCH("blank",$W$4)),NOT(ISNUMBER(SEARCH("nonblank",$W$4))),IFERROR(('Final Calculation Sheet'!$V$19)&amp;"","")=""),AND(OR(ISNUMBER(SEARCH("nonblank",$W$4)),ISNUMBER(SEARCH("&lt;&gt;",$W$4))),IFERROR(('Final Calculation Sheet'!$V$19)&amp;"","")&lt;&gt;""),AND(TRIM($W$4)="",IFERROR(('Final Calculation Sheet'!$V$19)&amp;"","")=""))))</f>
        <v>1</v>
      </c>
      <c r="CJ20">
        <f>IF($X$4="",1,--(OR(SUMPRODUCT(--(TRIM(MID(SUBSTITUTE(SUBSTITUTE($X$4,"/",","),",",REPT(" ",99)),(ROW($1:$8)-1)*99+1,99))&lt;&gt;""),--ISNUMBER(SEARCH(TRIM(MID(SUBSTITUTE(SUBSTITUTE($X$4,"/",","),",",REPT(" ",99)),(ROW($1:$8)-1)*99+1,99)),IFERROR(('Final Calculation Sheet'!$W$19)&amp;"",""))))&gt;0,AND(ISNUMBER(SEARCH("blank",$X$4)),NOT(ISNUMBER(SEARCH("nonblank",$X$4))),IFERROR(('Final Calculation Sheet'!$W$19)&amp;"","")=""),AND(OR(ISNUMBER(SEARCH("nonblank",$X$4)),ISNUMBER(SEARCH("&lt;&gt;",$X$4))),IFERROR(('Final Calculation Sheet'!$W$19)&amp;"","")&lt;&gt;""),AND(TRIM($X$4)="",IFERROR(('Final Calculation Sheet'!$W$19)&amp;"","")=""))))</f>
        <v>1</v>
      </c>
      <c r="CK20">
        <f>IF($Y$4="",1,--(OR(SUMPRODUCT(--(TRIM(MID(SUBSTITUTE(SUBSTITUTE($Y$4,"/",","),",",REPT(" ",99)),(ROW($1:$8)-1)*99+1,99))&lt;&gt;""),--ISNUMBER(SEARCH(TRIM(MID(SUBSTITUTE(SUBSTITUTE($Y$4,"/",","),",",REPT(" ",99)),(ROW($1:$8)-1)*99+1,99)),IFERROR(('Final Calculation Sheet'!$X$19)&amp;"",""))))&gt;0,AND(ISNUMBER(SEARCH("blank",$Y$4)),NOT(ISNUMBER(SEARCH("nonblank",$Y$4))),IFERROR(('Final Calculation Sheet'!$X$19)&amp;"","")=""),AND(OR(ISNUMBER(SEARCH("nonblank",$Y$4)),ISNUMBER(SEARCH("&lt;&gt;",$Y$4))),IFERROR(('Final Calculation Sheet'!$X$19)&amp;"","")&lt;&gt;""),AND(TRIM($Y$4)="",IFERROR(('Final Calculation Sheet'!$X$19)&amp;"","")=""))))</f>
        <v>1</v>
      </c>
      <c r="CL20">
        <f>IF($Z$4="",1,--(OR(SUMPRODUCT(--(TRIM(MID(SUBSTITUTE(SUBSTITUTE($Z$4,"/",","),",",REPT(" ",99)),(ROW($1:$8)-1)*99+1,99))&lt;&gt;""),--ISNUMBER(SEARCH(TRIM(MID(SUBSTITUTE(SUBSTITUTE($Z$4,"/",","),",",REPT(" ",99)),(ROW($1:$8)-1)*99+1,99)),IFERROR(('Final Calculation Sheet'!$Y$19)&amp;"",""))))&gt;0,AND(ISNUMBER(SEARCH("blank",$Z$4)),NOT(ISNUMBER(SEARCH("nonblank",$Z$4))),IFERROR(('Final Calculation Sheet'!$Y$19)&amp;"","")=""),AND(OR(ISNUMBER(SEARCH("nonblank",$Z$4)),ISNUMBER(SEARCH("&lt;&gt;",$Z$4))),IFERROR(('Final Calculation Sheet'!$Y$19)&amp;"","")&lt;&gt;""),AND(TRIM($Z$4)="",IFERROR(('Final Calculation Sheet'!$Y$19)&amp;"","")=""))))</f>
        <v>1</v>
      </c>
      <c r="CM20">
        <f>IF($AA$4="",1,--(OR(SUMPRODUCT(--(TRIM(MID(SUBSTITUTE(SUBSTITUTE($AA$4,"/",","),",",REPT(" ",99)),(ROW($1:$8)-1)*99+1,99))&lt;&gt;""),--ISNUMBER(SEARCH(TRIM(MID(SUBSTITUTE(SUBSTITUTE($AA$4,"/",","),",",REPT(" ",99)),(ROW($1:$8)-1)*99+1,99)),IFERROR(('Final Calculation Sheet'!$Z$19)&amp;"",""))))&gt;0,AND(ISNUMBER(SEARCH("blank",$AA$4)),NOT(ISNUMBER(SEARCH("nonblank",$AA$4))),IFERROR(('Final Calculation Sheet'!$Z$19)&amp;"","")=""),AND(OR(ISNUMBER(SEARCH("nonblank",$AA$4)),ISNUMBER(SEARCH("&lt;&gt;",$AA$4))),IFERROR(('Final Calculation Sheet'!$Z$19)&amp;"","")&lt;&gt;""),AND(TRIM($AA$4)="",IFERROR(('Final Calculation Sheet'!$Z$19)&amp;"","")=""))))</f>
        <v>1</v>
      </c>
      <c r="CN20">
        <f>IF($AB$4="",1,--(OR(SUMPRODUCT(--(TRIM(MID(SUBSTITUTE(SUBSTITUTE($AB$4,"/",","),",",REPT(" ",99)),(ROW($1:$8)-1)*99+1,99))&lt;&gt;""),--ISNUMBER(SEARCH(TRIM(MID(SUBSTITUTE(SUBSTITUTE($AB$4,"/",","),",",REPT(" ",99)),(ROW($1:$8)-1)*99+1,99)),IFERROR(('Final Calculation Sheet'!$AA$19)&amp;"",""))))&gt;0,AND(ISNUMBER(SEARCH("blank",$AB$4)),NOT(ISNUMBER(SEARCH("nonblank",$AB$4))),IFERROR(('Final Calculation Sheet'!$AA$19)&amp;"","")=""),AND(OR(ISNUMBER(SEARCH("nonblank",$AB$4)),ISNUMBER(SEARCH("&lt;&gt;",$AB$4))),IFERROR(('Final Calculation Sheet'!$AA$19)&amp;"","")&lt;&gt;""),AND(TRIM($AB$4)="",IFERROR(('Final Calculation Sheet'!$AA$19)&amp;"","")=""))))</f>
        <v>1</v>
      </c>
      <c r="CO20">
        <f>IF($AC$4="",1,--(OR(SUMPRODUCT(--(TRIM(MID(SUBSTITUTE(SUBSTITUTE($AC$4,"/",","),",",REPT(" ",99)),(ROW($1:$8)-1)*99+1,99))&lt;&gt;""),--ISNUMBER(SEARCH(TRIM(MID(SUBSTITUTE(SUBSTITUTE($AC$4,"/",","),",",REPT(" ",99)),(ROW($1:$8)-1)*99+1,99)),IFERROR(('Final Calculation Sheet'!$AB$19)&amp;"",""))))&gt;0,AND(ISNUMBER(SEARCH("blank",$AC$4)),NOT(ISNUMBER(SEARCH("nonblank",$AC$4))),IFERROR(('Final Calculation Sheet'!$AB$19)&amp;"","")=""),AND(OR(ISNUMBER(SEARCH("nonblank",$AC$4)),ISNUMBER(SEARCH("&lt;&gt;",$AC$4))),IFERROR(('Final Calculation Sheet'!$AB$19)&amp;"","")&lt;&gt;""),AND(TRIM($AC$4)="",IFERROR(('Final Calculation Sheet'!$AB$19)&amp;"","")=""))))</f>
        <v>1</v>
      </c>
      <c r="CP20">
        <f>IF($AD$4="",1,--(OR(SUMPRODUCT(--(TRIM(MID(SUBSTITUTE(SUBSTITUTE($AD$4,"/",","),",",REPT(" ",99)),(ROW($1:$8)-1)*99+1,99))&lt;&gt;""),--ISNUMBER(SEARCH(TRIM(MID(SUBSTITUTE(SUBSTITUTE($AD$4,"/",","),",",REPT(" ",99)),(ROW($1:$8)-1)*99+1,99)),IFERROR(('Final Calculation Sheet'!$AC$19)&amp;"",""))))&gt;0,AND(ISNUMBER(SEARCH("blank",$AD$4)),NOT(ISNUMBER(SEARCH("nonblank",$AD$4))),IFERROR(('Final Calculation Sheet'!$AC$19)&amp;"","")=""),AND(OR(ISNUMBER(SEARCH("nonblank",$AD$4)),ISNUMBER(SEARCH("&lt;&gt;",$AD$4))),IFERROR(('Final Calculation Sheet'!$AC$19)&amp;"","")&lt;&gt;""),AND(TRIM($AD$4)="",IFERROR(('Final Calculation Sheet'!$AC$19)&amp;"","")=""))))</f>
        <v>1</v>
      </c>
      <c r="CQ20">
        <f>IF($AE$4="",1,--(OR(SUMPRODUCT(--(TRIM(MID(SUBSTITUTE(SUBSTITUTE($AE$4,"/",","),",",REPT(" ",99)),(ROW($1:$8)-1)*99+1,99))&lt;&gt;""),--ISNUMBER(SEARCH(TRIM(MID(SUBSTITUTE(SUBSTITUTE($AE$4,"/",","),",",REPT(" ",99)),(ROW($1:$8)-1)*99+1,99)),IFERROR(('Final Calculation Sheet'!$AD$19)&amp;"",""))))&gt;0,AND(ISNUMBER(SEARCH("blank",$AE$4)),NOT(ISNUMBER(SEARCH("nonblank",$AE$4))),IFERROR(('Final Calculation Sheet'!$AD$19)&amp;"","")=""),AND(OR(ISNUMBER(SEARCH("nonblank",$AE$4)),ISNUMBER(SEARCH("&lt;&gt;",$AE$4))),IFERROR(('Final Calculation Sheet'!$AD$19)&amp;"","")&lt;&gt;""),AND(TRIM($AE$4)="",IFERROR(('Final Calculation Sheet'!$AD$19)&amp;"","")=""))))</f>
        <v>1</v>
      </c>
      <c r="CR20">
        <f>IF($AF$4="",1,--(OR(SUMPRODUCT(--(TRIM(MID(SUBSTITUTE(SUBSTITUTE($AF$4,"/",","),",",REPT(" ",99)),(ROW($1:$8)-1)*99+1,99))&lt;&gt;""),--ISNUMBER(SEARCH(TRIM(MID(SUBSTITUTE(SUBSTITUTE($AF$4,"/",","),",",REPT(" ",99)),(ROW($1:$8)-1)*99+1,99)),IFERROR(('Final Calculation Sheet'!$AE$19)&amp;"",""))))&gt;0,AND(ISNUMBER(SEARCH("blank",$AF$4)),NOT(ISNUMBER(SEARCH("nonblank",$AF$4))),IFERROR(('Final Calculation Sheet'!$AE$19)&amp;"","")=""),AND(OR(ISNUMBER(SEARCH("nonblank",$AF$4)),ISNUMBER(SEARCH("&lt;&gt;",$AF$4))),IFERROR(('Final Calculation Sheet'!$AE$19)&amp;"","")&lt;&gt;""),AND(TRIM($AF$4)="",IFERROR(('Final Calculation Sheet'!$AE$19)&amp;"","")=""))))</f>
        <v>1</v>
      </c>
      <c r="CS20">
        <f>IF($AG$4="",1,--(OR(SUMPRODUCT(--(TRIM(MID(SUBSTITUTE(SUBSTITUTE($AG$4,"/",","),",",REPT(" ",99)),(ROW($1:$8)-1)*99+1,99))&lt;&gt;""),--ISNUMBER(SEARCH(TRIM(MID(SUBSTITUTE(SUBSTITUTE($AG$4,"/",","),",",REPT(" ",99)),(ROW($1:$8)-1)*99+1,99)),IFERROR(('Final Calculation Sheet'!$AF$19)&amp;"",""))))&gt;0,AND(ISNUMBER(SEARCH("blank",$AG$4)),NOT(ISNUMBER(SEARCH("nonblank",$AG$4))),IFERROR(('Final Calculation Sheet'!$AF$19)&amp;"","")=""),AND(OR(ISNUMBER(SEARCH("nonblank",$AG$4)),ISNUMBER(SEARCH("&lt;&gt;",$AG$4))),IFERROR(('Final Calculation Sheet'!$AF$19)&amp;"","")&lt;&gt;""),AND(TRIM($AG$4)="",IFERROR(('Final Calculation Sheet'!$AF$19)&amp;"","")=""))))</f>
        <v>1</v>
      </c>
      <c r="CT20">
        <f>IF($AH$4="",1,--(OR(SUMPRODUCT(--(TRIM(MID(SUBSTITUTE(SUBSTITUTE($AH$4,"/",","),",",REPT(" ",99)),(ROW($1:$8)-1)*99+1,99))&lt;&gt;""),--ISNUMBER(SEARCH(TRIM(MID(SUBSTITUTE(SUBSTITUTE($AH$4,"/",","),",",REPT(" ",99)),(ROW($1:$8)-1)*99+1,99)),IFERROR(('Final Calculation Sheet'!$AG$19)&amp;"",""))))&gt;0,AND(ISNUMBER(SEARCH("blank",$AH$4)),NOT(ISNUMBER(SEARCH("nonblank",$AH$4))),IFERROR(('Final Calculation Sheet'!$AG$19)&amp;"","")=""),AND(OR(ISNUMBER(SEARCH("nonblank",$AH$4)),ISNUMBER(SEARCH("&lt;&gt;",$AH$4))),IFERROR(('Final Calculation Sheet'!$AG$19)&amp;"","")&lt;&gt;""),AND(TRIM($AH$4)="",IFERROR(('Final Calculation Sheet'!$AG$19)&amp;"","")=""))))</f>
        <v>1</v>
      </c>
      <c r="CU20">
        <f>IF($AI$4="",1,--(OR(SUMPRODUCT(--(TRIM(MID(SUBSTITUTE(SUBSTITUTE($AI$4,"/",","),",",REPT(" ",99)),(ROW($1:$8)-1)*99+1,99))&lt;&gt;""),--ISNUMBER(SEARCH(TRIM(MID(SUBSTITUTE(SUBSTITUTE($AI$4,"/",","),",",REPT(" ",99)),(ROW($1:$8)-1)*99+1,99)),IFERROR((IF('Final Calculation Sheet'!$AD$19&lt;=5,"SETTLED","OUTSTANDING"))&amp;"",""))))&gt;0,AND(ISNUMBER(SEARCH("blank",$AI$4)),NOT(ISNUMBER(SEARCH("nonblank",$AI$4))),IFERROR((IF('Final Calculation Sheet'!$AD$19&lt;=5,"SETTLED","OUTSTANDING"))&amp;"","")=""),AND(OR(ISNUMBER(SEARCH("nonblank",$AI$4)),ISNUMBER(SEARCH("&lt;&gt;",$AI$4))),IFERROR((IF('Final Calculation Sheet'!$AD$19&lt;=5,"SETTLED","OUTSTANDING"))&amp;"","")&lt;&gt;""),AND(TRIM($AI$4)="",IFERROR((IF('Final Calculation Sheet'!$AD$19&lt;=5,"SETTLED","OUTSTANDING"))&amp;"","")=""))))</f>
        <v>1</v>
      </c>
    </row>
    <row r="21" ht="15" customHeight="1" s="137">
      <c r="A21" s="67">
        <f>IF($BJ20&gt;0,INDEX($BA$5:$BA$41,MATCH(20,$BB$5:$BB$41,0)),IF(OR($BI20=1,$BL20=1,$BH20&gt;0),"∑",""))</f>
        <v>16</v>
      </c>
      <c r="B21" s="76">
        <f>IF($BJ20&gt;0,IF(INDEX('Final Calculation Sheet'!$F$4:$F$40,$BJ20-3)="","",INDEX('Final Calculation Sheet'!$F$4:$F$40,$BJ20-3)),"")</f>
        <v>2019</v>
      </c>
      <c r="C21" s="76" t="str">
        <f>IF($BJ20&gt;0,IF(INDEX('Final Calculation Sheet'!$G$4:$G$40,$BJ20-3)="","",INDEX('Final Calculation Sheet'!$G$4:$G$40,$BJ20-3)),IF(OR($BI20=1,$BL20=1,$BH20&gt;0),IF($BI20=1,37,IF($BL20=1,37-INDEX($BD$4:$BD$13,10),INDEX($BD$4:$BD$13,$BH20)))&amp;" lot(s)",""))</f>
        <v>NATIONAL ENTERPRISES</v>
      </c>
      <c r="D21" s="80" t="str">
        <f>IF($BJ20&gt;0,IF(INDEX('Final Calculation Sheet'!$B$4:$B$40,$BJ20-3)="","",INDEX('Final Calculation Sheet'!$B$4:$B$40,$BJ20-3)),IF(OR($BI20=1,$BL20=1,$BH20&gt;0),IF($BI20=1,"GRAND TOTAL  —  matching + remaining",IF($BL20=1,"TOTAL MATCHED  —  every group together",IF($BH20=10,"REMAINING  —  did not match the search",IF($BH20=9,IF(COUNTIF($A$4:$AI$4,"&lt;&gt;")&gt;0,"FILTERED LOTS  —  column fields","ALL LOTS  —  nothing typed in the box"),"GROUP "&amp;$BH20&amp;" TOTAL  —  lots matching  "&amp;INDEX($AR$6:$AY$6,$BH20))))),""))</f>
        <v>Scrap of 220 KV Circuit Breaker</v>
      </c>
      <c r="E21" s="80">
        <f>IF($BJ20&gt;0,IF(INDEX('Final Calculation Sheet'!$D$4:$D$40,$BJ20-3)="","",INDEX('Final Calculation Sheet'!$D$4:$D$40,$BJ20-3)),IF(OR($BI20=1,$BL20=1,$BH20&gt;0),"–",""))</f>
        <v>21978</v>
      </c>
      <c r="F21" s="80">
        <f>IF($BJ20&gt;0,IF(INDEX('Final Calculation Sheet'!$A$4:$A$40,$BJ20-3)="","",INDEX('Final Calculation Sheet'!$A$4:$A$40,$BJ20-3)),IF(OR($BI20=1,$BL20=1,$BH20&gt;0),IF($BI20=1,SUM('Final Calculation Sheet'!$A$4:$A$40),IF($BL20=1,SUM('Final Calculation Sheet'!$A$4:$A$40)-SUMIFS('Final Calculation Sheet'!$A$4:$A$40,$AZ$5:$AZ$41,10),SUMIFS('Final Calculation Sheet'!$A$4:$A$40,$AZ$5:$AZ$41,$BH20))),""))</f>
        <v>1</v>
      </c>
      <c r="G21" s="80" t="str">
        <f>IF($BJ20&gt;0,IF(INDEX('Final Calculation Sheet'!$E$4:$E$40,$BJ20-3)="","",INDEX('Final Calculation Sheet'!$E$4:$E$40,$BJ20-3)),IF(OR($BI20=1,$BL20=1,$BH20&gt;0),"–",""))</f>
        <v>NO</v>
      </c>
      <c r="H21" s="70">
        <f>IF($BJ20&gt;0,IF(INDEX('Final Calculation Sheet'!$C$4:$C$40,$BJ20-3)="","",INDEX('Final Calculation Sheet'!$C$4:$C$40,$BJ20-3)),IF(OR($BI20=1,$BL20=1,$BH20&gt;0),"–",""))</f>
        <v>210001</v>
      </c>
      <c r="I21" s="70">
        <f>IF($BJ20&gt;0,IF(INDEX('Final Calculation Sheet'!$H$4:$H$40,$BJ20-3)="","",INDEX('Final Calculation Sheet'!$H$4:$H$40,$BJ20-3)),IF(OR($BI20=1,$BL20=1,$BH20&gt;0),IF($BI20=1,SUM('Final Calculation Sheet'!$H$4:$H$40),IF($BL20=1,SUM('Final Calculation Sheet'!$H$4:$H$40)-SUMIFS('Final Calculation Sheet'!$H$4:$H$40,$AZ$5:$AZ$41,10),SUMIFS('Final Calculation Sheet'!$H$4:$H$40,$AZ$5:$AZ$41,$BH20))),""))</f>
        <v>210001</v>
      </c>
      <c r="J21" s="70">
        <f>IF($BJ20&gt;0,IF(INDEX('Final Calculation Sheet'!$I$4:$I$40,$BJ20-3)="","",INDEX('Final Calculation Sheet'!$I$4:$I$40,$BJ20-3)),IF(OR($BI20=1,$BL20=1,$BH20&gt;0),IF($BI20=1,SUM('Final Calculation Sheet'!$I$4:$I$40),IF($BL20=1,SUM('Final Calculation Sheet'!$I$4:$I$40)-SUMIFS('Final Calculation Sheet'!$I$4:$I$40,$AZ$5:$AZ$41,10),SUMIFS('Final Calculation Sheet'!$I$4:$I$40,$AZ$5:$AZ$41,$BH20))),""))</f>
        <v>37800</v>
      </c>
      <c r="K21" s="70">
        <f>IF($BJ20&gt;0,IF(INDEX('Final Calculation Sheet'!$J$4:$J$40,$BJ20-3)="","",INDEX('Final Calculation Sheet'!$J$4:$J$40,$BJ20-3)),IF(OR($BI20=1,$BL20=1,$BH20&gt;0),IF($BI20=1,SUM('Final Calculation Sheet'!$J$4:$J$40),IF($BL20=1,SUM('Final Calculation Sheet'!$J$4:$J$40)-SUMIFS('Final Calculation Sheet'!$J$4:$J$40,$AZ$5:$AZ$41,10),SUMIFS('Final Calculation Sheet'!$J$4:$J$40,$AZ$5:$AZ$41,$BH20))),""))</f>
        <v>247801</v>
      </c>
      <c r="L21" s="70">
        <f>IF($BJ20&gt;0,IF(INDEX('Final Calculation Sheet'!$K$4:$K$40,$BJ20-3)="","",INDEX('Final Calculation Sheet'!$K$4:$K$40,$BJ20-3)),IF(OR($BI20=1,$BL20=1,$BH20&gt;0),IF($BI20=1,SUM('Final Calculation Sheet'!$K$4:$K$40),IF($BL20=1,SUM('Final Calculation Sheet'!$K$4:$K$40)-SUMIFS('Final Calculation Sheet'!$K$4:$K$40,$AZ$5:$AZ$41,10),SUMIFS('Final Calculation Sheet'!$K$4:$K$40,$AZ$5:$AZ$41,$BH20))),""))</f>
        <v>4956</v>
      </c>
      <c r="M21" s="70">
        <f>IF($BJ20&gt;0,IF(INDEX('Final Calculation Sheet'!$L$4:$L$40,$BJ20-3)="","",INDEX('Final Calculation Sheet'!$L$4:$L$40,$BJ20-3)),IF(OR($BI20=1,$BL20=1,$BH20&gt;0),IF($BI20=1,SUM('Final Calculation Sheet'!$L$4:$L$40),IF($BL20=1,SUM('Final Calculation Sheet'!$L$4:$L$40)-SUMIFS('Final Calculation Sheet'!$L$4:$L$40,$AZ$5:$AZ$41,10),SUMIFS('Final Calculation Sheet'!$L$4:$L$40,$AZ$5:$AZ$41,$BH20))),""))</f>
        <v>210.001</v>
      </c>
      <c r="N21" s="70">
        <f>IF($BJ20&gt;0,IF(INDEX('Final Calculation Sheet'!$M$4:$M$40,$BJ20-3)="","",INDEX('Final Calculation Sheet'!$M$4:$M$40,$BJ20-3)),IF(OR($BI20=1,$BL20=1,$BH20&gt;0),IF($BI20=1,SUM('Final Calculation Sheet'!$M$4:$M$40),IF($BL20=1,SUM('Final Calculation Sheet'!$M$4:$M$40)-SUMIFS('Final Calculation Sheet'!$M$4:$M$40,$AZ$5:$AZ$41,10),SUMIFS('Final Calculation Sheet'!$M$4:$M$40,$AZ$5:$AZ$41,$BH20))),""))</f>
        <v>5575.5265499999996</v>
      </c>
      <c r="O21" s="71">
        <f>IF($BJ20&gt;0,IF(INDEX('Final Calculation Sheet'!$N$4:$N$40,$BJ20-3)="","",INDEX('Final Calculation Sheet'!$N$4:$N$40,$BJ20-3)),IF(OR($BI20=1,$BL20=1,$BH20&gt;0),IF($BI20=1,SUM('Final Calculation Sheet'!$N$4:$N$40),IF($BL20=1,SUM('Final Calculation Sheet'!$N$4:$N$40)-SUMIFS('Final Calculation Sheet'!$N$4:$N$40,$AZ$5:$AZ$41,10),SUMIFS('Final Calculation Sheet'!$N$4:$N$40,$AZ$5:$AZ$41,$BH20))),""))</f>
        <v>94.500450000000001</v>
      </c>
      <c r="P21" s="70">
        <f>IF($BJ20&gt;0,IF(INDEX('Final Calculation Sheet'!$O$4:$O$40,$BJ20-3)="","",INDEX('Final Calculation Sheet'!$O$4:$O$40,$BJ20-3)),IF(OR($BI20=1,$BL20=1,$BH20&gt;0),IF($BI20=1,SUM('Final Calculation Sheet'!$O$4:$O$40),IF($BL20=1,SUM('Final Calculation Sheet'!$O$4:$O$40)-SUMIFS('Final Calculation Sheet'!$O$4:$O$40,$AZ$5:$AZ$41,10),SUMIFS('Final Calculation Sheet'!$O$4:$O$40,$AZ$5:$AZ$41,$BH20))),""))</f>
        <v>5481.0260999999991</v>
      </c>
      <c r="Q21" s="70">
        <f>IF($BJ20&gt;0,IF(INDEX('Final Calculation Sheet'!$P$4:$P$40,$BJ20-3)="","",INDEX('Final Calculation Sheet'!$P$4:$P$40,$BJ20-3)),IF(OR($BI20=1,$BL20=1,$BH20&gt;0),IF($BI20=1,SUM('Final Calculation Sheet'!$P$4:$P$40),IF($BL20=1,SUM('Final Calculation Sheet'!$P$4:$P$40)-SUMIFS('Final Calculation Sheet'!$P$4:$P$40,$AZ$5:$AZ$41,10),SUMIFS('Final Calculation Sheet'!$P$4:$P$40,$AZ$5:$AZ$41,$BH20))),""))</f>
        <v>5691</v>
      </c>
      <c r="R21" s="72">
        <f>IF($BJ20&gt;0,IF(INDEX('Final Calculation Sheet'!$Q$4:$Q$40,$BJ20-3)="","",INDEX('Final Calculation Sheet'!$Q$4:$Q$40,$BJ20-3)),IF(OR($BI20=1,$BL20=1,$BH20&gt;0),"–",""))</f>
        <v>0</v>
      </c>
      <c r="S21" s="70">
        <f>IF($BJ20&gt;0,IF(INDEX('Final Calculation Sheet'!$R$4:$R$40,$BJ20-3)="","",INDEX('Final Calculation Sheet'!$R$4:$R$40,$BJ20-3)),IF(OR($BI20=1,$BL20=1,$BH20&gt;0),IF($BI20=1,SUM('Final Calculation Sheet'!$R$4:$R$40),IF($BL20=1,SUM('Final Calculation Sheet'!$R$4:$R$40)-SUMIFS('Final Calculation Sheet'!$R$4:$R$40,$AZ$5:$AZ$41,10),SUMIFS('Final Calculation Sheet'!$R$4:$R$40,$AZ$5:$AZ$41,$BH20))),""))</f>
        <v>0</v>
      </c>
      <c r="T21" s="70">
        <f>IF($BJ20&gt;0,IF(INDEX('Final Calculation Sheet'!$S$4:$S$40,$BJ20-3)="","",INDEX('Final Calculation Sheet'!$S$4:$S$40,$BJ20-3)),IF(OR($BI20=1,$BL20=1,$BH20&gt;0),IF($BI20=1,SUM('Final Calculation Sheet'!$S$4:$S$40),IF($BL20=1,SUM('Final Calculation Sheet'!$S$4:$S$40)-SUMIFS('Final Calculation Sheet'!$S$4:$S$40,$AZ$5:$AZ$41,10),SUMIFS('Final Calculation Sheet'!$S$4:$S$40,$AZ$5:$AZ$41,$BH20))),""))</f>
        <v>247066</v>
      </c>
      <c r="U21" s="70">
        <f>IF($BJ20&gt;0,IF(INDEX('Final Calculation Sheet'!$T$4:$T$40,$BJ20-3)="","",INDEX('Final Calculation Sheet'!$T$4:$T$40,$BJ20-3)),IF(OR($BI20=1,$BL20=1,$BH20&gt;0),IF($BI20=1,SUM('Final Calculation Sheet'!$T$4:$T$40),IF($BL20=1,SUM('Final Calculation Sheet'!$T$4:$T$40)-SUMIFS('Final Calculation Sheet'!$T$4:$T$40,$AZ$5:$AZ$41,10),SUMIFS('Final Calculation Sheet'!$T$4:$T$40,$AZ$5:$AZ$41,$BH20))),""))</f>
        <v>52500</v>
      </c>
      <c r="V21" s="73">
        <f>IF($BJ20&gt;0,IF(INDEX('Final Calculation Sheet'!$U$4:$U$40,$BJ20-3)="","",INDEX('Final Calculation Sheet'!$U$4:$U$40,$BJ20-3)),IF(OR($BI20=1,$BL20=1,$BH20&gt;0),IF($BI20=1,SUM('Final Calculation Sheet'!$U$4:$U$40),IF($BL20=1,SUM('Final Calculation Sheet'!$U$4:$U$40)-SUMIFS('Final Calculation Sheet'!$U$4:$U$40,$AZ$5:$AZ$41,10),SUMIFS('Final Calculation Sheet'!$U$4:$U$40,$AZ$5:$AZ$41,$BH20))),""))</f>
        <v>52500</v>
      </c>
      <c r="W21" s="70" t="str">
        <f>IF($BJ20&gt;0,IF(INDEX('Final Calculation Sheet'!$V$4:$V$40,$BJ20-3)="","",INDEX('Final Calculation Sheet'!$V$4:$V$40,$BJ20-3)),IF(OR($BI20=1,$BL20=1,$BH20&gt;0),"–",""))</f>
        <v>13.08.2026</v>
      </c>
      <c r="X21" s="70">
        <f>IF($BJ20&gt;0,IF(INDEX('Final Calculation Sheet'!$W$4:$W$40,$BJ20-3)="","",INDEX('Final Calculation Sheet'!$W$4:$W$40,$BJ20-3)),IF(OR($BI20=1,$BL20=1,$BH20&gt;0),IF($BI20=1,SUM('Final Calculation Sheet'!$W$4:$W$40),IF($BL20=1,SUM('Final Calculation Sheet'!$W$4:$W$40)-SUMIFS('Final Calculation Sheet'!$W$4:$W$40,$AZ$5:$AZ$41,10),SUMIFS('Final Calculation Sheet'!$W$4:$W$40,$AZ$5:$AZ$41,$BH20))),""))</f>
        <v>194566</v>
      </c>
      <c r="Y21" s="70">
        <f>IF($BJ20&gt;0,IF(INDEX('Final Calculation Sheet'!$X$4:$X$40,$BJ20-3)="","",INDEX('Final Calculation Sheet'!$X$4:$X$40,$BJ20-3)),IF(OR($BI20=1,$BL20=1,$BH20&gt;0),IF($BI20=1,SUM('Final Calculation Sheet'!$X$4:$X$40),IF($BL20=1,SUM('Final Calculation Sheet'!$X$4:$X$40)-SUMIFS('Final Calculation Sheet'!$X$4:$X$40,$AZ$5:$AZ$41,10),SUMIFS('Final Calculation Sheet'!$X$4:$X$40,$AZ$5:$AZ$41,$BH20))),""))</f>
        <v>194566</v>
      </c>
      <c r="Z21" s="70" t="str">
        <f>IF($BJ20&gt;0,IF(INDEX('Final Calculation Sheet'!$Y$4:$Y$40,$BJ20-3)="","",INDEX('Final Calculation Sheet'!$Y$4:$Y$40,$BJ20-3)),IF(OR($BI20=1,$BL20=1,$BH20&gt;0),"–",""))</f>
        <v>24.08.2026</v>
      </c>
      <c r="AA21" s="70">
        <f>IF($BJ20&gt;0,IF(INDEX('Final Calculation Sheet'!$Z$4:$Z$40,$BJ20-3)="","",INDEX('Final Calculation Sheet'!$Z$4:$Z$40,$BJ20-3)),IF(OR($BI20=1,$BL20=1,$BH20&gt;0),IF($BI20=1,SUM('Final Calculation Sheet'!$Z$4:$Z$40),IF($BL20=1,SUM('Final Calculation Sheet'!$Z$4:$Z$40)-SUMIFS('Final Calculation Sheet'!$Z$4:$Z$40,$AZ$5:$AZ$41,10),SUMIFS('Final Calculation Sheet'!$Z$4:$Z$40,$AZ$5:$AZ$41,$BH20))),""))</f>
        <v>0</v>
      </c>
      <c r="AB21" s="70" t="str">
        <f>IF($BJ20&gt;0,IF(INDEX('Final Calculation Sheet'!$AA$4:$AA$40,$BJ20-3)="","",INDEX('Final Calculation Sheet'!$AA$4:$AA$40,$BJ20-3)),IF(OR($BI20=1,$BL20=1,$BH20&gt;0),IF($BI20=1,SUM('Final Calculation Sheet'!$AA$4:$AA$40),IF($BL20=1,SUM('Final Calculation Sheet'!$AA$4:$AA$40)-SUMIFS('Final Calculation Sheet'!$AA$4:$AA$40,$AZ$5:$AZ$41,10),SUMIFS('Final Calculation Sheet'!$AA$4:$AA$40,$AZ$5:$AZ$41,$BH20))),""))</f>
        <v/>
      </c>
      <c r="AC21" s="70" t="str">
        <f>IF($BJ20&gt;0,IF(INDEX('Final Calculation Sheet'!$AB$4:$AB$40,$BJ20-3)="","",INDEX('Final Calculation Sheet'!$AB$4:$AB$40,$BJ20-3)),IF(OR($BI20=1,$BL20=1,$BH20&gt;0),"–",""))</f>
        <v/>
      </c>
      <c r="AD21" s="70">
        <f>IF($BJ20&gt;0,IF(INDEX('Final Calculation Sheet'!$AC$4:$AC$40,$BJ20-3)="","",INDEX('Final Calculation Sheet'!$AC$4:$AC$40,$BJ20-3)),IF(OR($BI20=1,$BL20=1,$BH20&gt;0),IF($BI20=1,SUM('Final Calculation Sheet'!$AC$4:$AC$40),IF($BL20=1,SUM('Final Calculation Sheet'!$AC$4:$AC$40)-SUMIFS('Final Calculation Sheet'!$AC$4:$AC$40,$AZ$5:$AZ$41,10),SUMIFS('Final Calculation Sheet'!$AC$4:$AC$40,$AZ$5:$AZ$41,$BH20))),""))</f>
        <v>247066</v>
      </c>
      <c r="AE21" s="70">
        <f>IF($BJ20&gt;0,IF(INDEX('Final Calculation Sheet'!$AD$4:$AD$40,$BJ20-3)="","",INDEX('Final Calculation Sheet'!$AD$4:$AD$40,$BJ20-3)),IF(OR($BI20=1,$BL20=1,$BH20&gt;0),IF($BI20=1,SUM('Final Calculation Sheet'!$AD$4:$AD$40),IF($BL20=1,SUM('Final Calculation Sheet'!$AD$4:$AD$40)-SUMIFS('Final Calculation Sheet'!$AD$4:$AD$40,$AZ$5:$AZ$41,10),SUMIFS('Final Calculation Sheet'!$AD$4:$AD$40,$AZ$5:$AZ$41,$BH20))),""))</f>
        <v>0</v>
      </c>
      <c r="AF21" s="70" t="str">
        <f>IF($BJ20&gt;0,IF(INDEX('Final Calculation Sheet'!$AE$4:$AE$40,$BJ20-3)="","",INDEX('Final Calculation Sheet'!$AE$4:$AE$40,$BJ20-3)),IF(OR($BI20=1,$BL20=1,$BH20&gt;0),"–",""))</f>
        <v>DR2640100035</v>
      </c>
      <c r="AG21" s="74">
        <f>IF($BJ20&gt;0,IF(INDEX('Final Calculation Sheet'!$AF$4:$AF$40,$BJ20-3)="","",INDEX('Final Calculation Sheet'!$AF$4:$AF$40,$BJ20-3)),IF(OR($BI20=1,$BL20=1,$BH20&gt;0),"–",""))</f>
        <v>1800003307</v>
      </c>
      <c r="AH21" s="70" t="str">
        <f>IF($BJ20&gt;0,IF(INDEX('Final Calculation Sheet'!$AG$4:$AG$40,$BJ20-3)="","",INDEX('Final Calculation Sheet'!$AG$4:$AG$40,$BJ20-3)),IF(OR($BI20=1,$BL20=1,$BH20&gt;0),"–",""))</f>
        <v>27.08.2026</v>
      </c>
      <c r="AI21" s="75" t="str">
        <f>IF($BJ20&gt;0,IF(INDEX('Final Calculation Sheet'!$AD$4:$AD$40,$BJ20-3)="","",IF(INDEX('Final Calculation Sheet'!$AD$4:$AD$40,$BJ20-3)&lt;=5,"SETTLED","OUTSTANDING")),IF(OR($BI20=1,$BL20=1,$BH20&gt;0),IF(IF($BI20=1,SUM('Final Calculation Sheet'!$AD$4:$AD$40),IF($BL20=1,SUM('Final Calculation Sheet'!$AD$4:$AD$40)-SUMIFS('Final Calculation Sheet'!$AD$4:$AD$40,$AZ$5:$AZ$41,10),SUMIFS('Final Calculation Sheet'!$AD$4:$AD$40,$AZ$5:$AZ$41,$BH20)))&lt;=5,"ALL SETTLED","OUTSTANDING"),""))</f>
        <v>SETTLED</v>
      </c>
      <c r="AK21" t="str">
        <f>IF($F$3="Lot No.",'Final Calculation Sheet'!$F$20,IF($F$3="Buyer",'Final Calculation Sheet'!$G$20,IF($F$3="Lot Name",'Final Calculation Sheet'!$B$20,IF($F$3="Bid Sheet",'Final Calculation Sheet'!$D$20,IF($F$3="Unit",'Final Calculation Sheet'!$E$20,'Final Calculation Sheet'!$F$20&amp;" "&amp;'Final Calculation Sheet'!$G$20&amp;" "&amp;'Final Calculation Sheet'!$B$20)))))</f>
        <v>2020 OMKAR STEELS SCRAP 80MM² AAAC EARTHWIRE</v>
      </c>
      <c r="AL21">
        <f>AL20+IF($B$3="",0,--(SUMPRODUCT(--($AR$6:$AY$6&lt;&gt;""),--ISNUMBER(SEARCH($AR$6:$AY$6,$AK21)))&gt;0))</f>
        <v>0</v>
      </c>
      <c r="AM21">
        <f>IF(COUNTIF($BM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1</v>
      </c>
      <c r="AZ21">
        <f>IF($B$3="",IF(COUNTIF($A$4:$AI$4,"&lt;&gt;")=0,9,IF($AM21=1,9,10)),IF($AM21=0,10,IF(AND($AR$6&lt;&gt;"",ISNUMBER(SEARCH($AR$6,$AK21))),1,IF(AND($AS$6&lt;&gt;"",ISNUMBER(SEARCH($AS$6,$AK21))),2,IF(AND($AT$6&lt;&gt;"",ISNUMBER(SEARCH($AT$6,$AK21))),3,IF(AND($AU$6&lt;&gt;"",ISNUMBER(SEARCH($AU$6,$AK21))),4,IF(AND($AV$6&lt;&gt;"",ISNUMBER(SEARCH($AV$6,$AK21))),5,IF(AND($AW$6&lt;&gt;"",ISNUMBER(SEARCH($AW$6,$AK21))),6,IF(AND($AX$6&lt;&gt;"",ISNUMBER(SEARCH($AX$6,$AK21))),7,IF(AND($AY$6&lt;&gt;"",ISNUMBER(SEARCH($AY$6,$AK21))),8,0))))))))))</f>
        <v>9</v>
      </c>
      <c r="BA21">
        <f>SUMPRODUCT(($AZ$5:$AZ$41=$AZ21)*($BC$5:$BC$41&lt;$BC21))+1</f>
        <v>17</v>
      </c>
      <c r="BB21">
        <f>IF(INDEX($BF$4:$BF$13,$AZ21)=0,0,INDEX($BE$4:$BE$13,$AZ21)+$BA21-1)</f>
        <v>21</v>
      </c>
      <c r="BC21" t="n">
        <v>20</v>
      </c>
      <c r="BH21">
        <f>IFERROR(MATCH(21,$BF$4:$BF$13,0),0)</f>
        <v>0</v>
      </c>
      <c r="BI21">
        <f>IF(21=$BG$5,1,0)</f>
        <v>0</v>
      </c>
      <c r="BJ21">
        <f>IF(OR($BH21&gt;0,$BI21=1,$BL21=1),0,IFERROR(INDEX($BC$5:$BC$41,MATCH(21,$BB$5:$BB$41,0)),0))</f>
        <v>20</v>
      </c>
      <c r="BK21">
        <f>IF($BJ21&gt;0,IF(INDEX($AZ$5:$AZ$41,MATCH(21,$BB$5:$BB$41,0))=10,1,0),IF($BH21=10,1,0))</f>
        <v>0</v>
      </c>
      <c r="BL21">
        <f>IF(21=$BG$4,1,0)</f>
        <v>0</v>
      </c>
      <c r="BM21">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1</v>
      </c>
      <c r="BN21">
        <f>IF($B$4="",1,--(OR(SUMPRODUCT(--(TRIM(MID(SUBSTITUTE(SUBSTITUTE($B$4,"/",","),",",REPT(" ",99)),(ROW($1:$8)-1)*99+1,99))&lt;&gt;""),--ISNUMBER(SEARCH(TRIM(MID(SUBSTITUTE(SUBSTITUTE($B$4,"/",","),",",REPT(" ",99)),(ROW($1:$8)-1)*99+1,99)),IFERROR(('Final Calculation Sheet'!$F$20)&amp;"",""))))&gt;0,AND(ISNUMBER(SEARCH("blank",$B$4)),NOT(ISNUMBER(SEARCH("nonblank",$B$4))),IFERROR(('Final Calculation Sheet'!$F$20)&amp;"","")=""),AND(OR(ISNUMBER(SEARCH("nonblank",$B$4)),ISNUMBER(SEARCH("&lt;&gt;",$B$4))),IFERROR(('Final Calculation Sheet'!$F$20)&amp;"","")&lt;&gt;""),AND(TRIM($B$4)="",IFERROR(('Final Calculation Sheet'!$F$20)&amp;"","")=""))))</f>
        <v>1</v>
      </c>
      <c r="BO21">
        <f>IF($C$4="",1,--(OR(SUMPRODUCT(--(TRIM(MID(SUBSTITUTE(SUBSTITUTE($C$4,"/",","),",",REPT(" ",99)),(ROW($1:$8)-1)*99+1,99))&lt;&gt;""),--ISNUMBER(SEARCH(TRIM(MID(SUBSTITUTE(SUBSTITUTE($C$4,"/",","),",",REPT(" ",99)),(ROW($1:$8)-1)*99+1,99)),IFERROR(('Final Calculation Sheet'!$G$20)&amp;"",""))))&gt;0,AND(ISNUMBER(SEARCH("blank",$C$4)),NOT(ISNUMBER(SEARCH("nonblank",$C$4))),IFERROR(('Final Calculation Sheet'!$G$20)&amp;"","")=""),AND(OR(ISNUMBER(SEARCH("nonblank",$C$4)),ISNUMBER(SEARCH("&lt;&gt;",$C$4))),IFERROR(('Final Calculation Sheet'!$G$20)&amp;"","")&lt;&gt;""),AND(TRIM($C$4)="",IFERROR(('Final Calculation Sheet'!$G$20)&amp;"","")=""))))</f>
        <v>1</v>
      </c>
      <c r="BP21">
        <f>IF($D$4="",1,--(OR(SUMPRODUCT(--(TRIM(MID(SUBSTITUTE(SUBSTITUTE($D$4,"/",","),",",REPT(" ",99)),(ROW($1:$8)-1)*99+1,99))&lt;&gt;""),--ISNUMBER(SEARCH(TRIM(MID(SUBSTITUTE(SUBSTITUTE($D$4,"/",","),",",REPT(" ",99)),(ROW($1:$8)-1)*99+1,99)),IFERROR(('Final Calculation Sheet'!$B$20)&amp;"",""))))&gt;0,AND(ISNUMBER(SEARCH("blank",$D$4)),NOT(ISNUMBER(SEARCH("nonblank",$D$4))),IFERROR(('Final Calculation Sheet'!$B$20)&amp;"","")=""),AND(OR(ISNUMBER(SEARCH("nonblank",$D$4)),ISNUMBER(SEARCH("&lt;&gt;",$D$4))),IFERROR(('Final Calculation Sheet'!$B$20)&amp;"","")&lt;&gt;""),AND(TRIM($D$4)="",IFERROR(('Final Calculation Sheet'!$B$20)&amp;"","")=""))))</f>
        <v>1</v>
      </c>
      <c r="BQ21">
        <f>IF($E$4="",1,--(OR(SUMPRODUCT(--(TRIM(MID(SUBSTITUTE(SUBSTITUTE($E$4,"/",","),",",REPT(" ",99)),(ROW($1:$8)-1)*99+1,99))&lt;&gt;""),--ISNUMBER(SEARCH(TRIM(MID(SUBSTITUTE(SUBSTITUTE($E$4,"/",","),",",REPT(" ",99)),(ROW($1:$8)-1)*99+1,99)),IFERROR(('Final Calculation Sheet'!$D$20)&amp;"",""))))&gt;0,AND(ISNUMBER(SEARCH("blank",$E$4)),NOT(ISNUMBER(SEARCH("nonblank",$E$4))),IFERROR(('Final Calculation Sheet'!$D$20)&amp;"","")=""),AND(OR(ISNUMBER(SEARCH("nonblank",$E$4)),ISNUMBER(SEARCH("&lt;&gt;",$E$4))),IFERROR(('Final Calculation Sheet'!$D$20)&amp;"","")&lt;&gt;""),AND(TRIM($E$4)="",IFERROR(('Final Calculation Sheet'!$D$20)&amp;"","")=""))))</f>
        <v>1</v>
      </c>
      <c r="BR21">
        <f>IF($F$4="",1,--(OR(SUMPRODUCT(--(TRIM(MID(SUBSTITUTE(SUBSTITUTE($F$4,"/",","),",",REPT(" ",99)),(ROW($1:$8)-1)*99+1,99))&lt;&gt;""),--ISNUMBER(SEARCH(TRIM(MID(SUBSTITUTE(SUBSTITUTE($F$4,"/",","),",",REPT(" ",99)),(ROW($1:$8)-1)*99+1,99)),IFERROR(('Final Calculation Sheet'!$A$20)&amp;"",""))))&gt;0,AND(ISNUMBER(SEARCH("blank",$F$4)),NOT(ISNUMBER(SEARCH("nonblank",$F$4))),IFERROR(('Final Calculation Sheet'!$A$20)&amp;"","")=""),AND(OR(ISNUMBER(SEARCH("nonblank",$F$4)),ISNUMBER(SEARCH("&lt;&gt;",$F$4))),IFERROR(('Final Calculation Sheet'!$A$20)&amp;"","")&lt;&gt;""),AND(TRIM($F$4)="",IFERROR(('Final Calculation Sheet'!$A$20)&amp;"","")=""))))</f>
        <v>1</v>
      </c>
      <c r="BS21">
        <f>IF($G$4="",1,--(OR(SUMPRODUCT(--(TRIM(MID(SUBSTITUTE(SUBSTITUTE($G$4,"/",","),",",REPT(" ",99)),(ROW($1:$8)-1)*99+1,99))&lt;&gt;""),--ISNUMBER(SEARCH(TRIM(MID(SUBSTITUTE(SUBSTITUTE($G$4,"/",","),",",REPT(" ",99)),(ROW($1:$8)-1)*99+1,99)),IFERROR(('Final Calculation Sheet'!$E$20)&amp;"",""))))&gt;0,AND(ISNUMBER(SEARCH("blank",$G$4)),NOT(ISNUMBER(SEARCH("nonblank",$G$4))),IFERROR(('Final Calculation Sheet'!$E$20)&amp;"","")=""),AND(OR(ISNUMBER(SEARCH("nonblank",$G$4)),ISNUMBER(SEARCH("&lt;&gt;",$G$4))),IFERROR(('Final Calculation Sheet'!$E$20)&amp;"","")&lt;&gt;""),AND(TRIM($G$4)="",IFERROR(('Final Calculation Sheet'!$E$20)&amp;"","")=""))))</f>
        <v>1</v>
      </c>
      <c r="BT21">
        <f>IF($H$4="",1,--(OR(SUMPRODUCT(--(TRIM(MID(SUBSTITUTE(SUBSTITUTE($H$4,"/",","),",",REPT(" ",99)),(ROW($1:$8)-1)*99+1,99))&lt;&gt;""),--ISNUMBER(SEARCH(TRIM(MID(SUBSTITUTE(SUBSTITUTE($H$4,"/",","),",",REPT(" ",99)),(ROW($1:$8)-1)*99+1,99)),IFERROR(('Final Calculation Sheet'!$C$20)&amp;"",""))))&gt;0,AND(ISNUMBER(SEARCH("blank",$H$4)),NOT(ISNUMBER(SEARCH("nonblank",$H$4))),IFERROR(('Final Calculation Sheet'!$C$20)&amp;"","")=""),AND(OR(ISNUMBER(SEARCH("nonblank",$H$4)),ISNUMBER(SEARCH("&lt;&gt;",$H$4))),IFERROR(('Final Calculation Sheet'!$C$20)&amp;"","")&lt;&gt;""),AND(TRIM($H$4)="",IFERROR(('Final Calculation Sheet'!$C$20)&amp;"","")=""))))</f>
        <v>1</v>
      </c>
      <c r="BU21">
        <f>IF($I$4="",1,--(OR(SUMPRODUCT(--(TRIM(MID(SUBSTITUTE(SUBSTITUTE($I$4,"/",","),",",REPT(" ",99)),(ROW($1:$8)-1)*99+1,99))&lt;&gt;""),--ISNUMBER(SEARCH(TRIM(MID(SUBSTITUTE(SUBSTITUTE($I$4,"/",","),",",REPT(" ",99)),(ROW($1:$8)-1)*99+1,99)),IFERROR(('Final Calculation Sheet'!$H$20)&amp;"",""))))&gt;0,AND(ISNUMBER(SEARCH("blank",$I$4)),NOT(ISNUMBER(SEARCH("nonblank",$I$4))),IFERROR(('Final Calculation Sheet'!$H$20)&amp;"","")=""),AND(OR(ISNUMBER(SEARCH("nonblank",$I$4)),ISNUMBER(SEARCH("&lt;&gt;",$I$4))),IFERROR(('Final Calculation Sheet'!$H$20)&amp;"","")&lt;&gt;""),AND(TRIM($I$4)="",IFERROR(('Final Calculation Sheet'!$H$20)&amp;"","")=""))))</f>
        <v>1</v>
      </c>
      <c r="BV21">
        <f>IF($J$4="",1,--(OR(SUMPRODUCT(--(TRIM(MID(SUBSTITUTE(SUBSTITUTE($J$4,"/",","),",",REPT(" ",99)),(ROW($1:$8)-1)*99+1,99))&lt;&gt;""),--ISNUMBER(SEARCH(TRIM(MID(SUBSTITUTE(SUBSTITUTE($J$4,"/",","),",",REPT(" ",99)),(ROW($1:$8)-1)*99+1,99)),IFERROR(('Final Calculation Sheet'!$I$20)&amp;"",""))))&gt;0,AND(ISNUMBER(SEARCH("blank",$J$4)),NOT(ISNUMBER(SEARCH("nonblank",$J$4))),IFERROR(('Final Calculation Sheet'!$I$20)&amp;"","")=""),AND(OR(ISNUMBER(SEARCH("nonblank",$J$4)),ISNUMBER(SEARCH("&lt;&gt;",$J$4))),IFERROR(('Final Calculation Sheet'!$I$20)&amp;"","")&lt;&gt;""),AND(TRIM($J$4)="",IFERROR(('Final Calculation Sheet'!$I$20)&amp;"","")=""))))</f>
        <v>1</v>
      </c>
      <c r="BW21">
        <f>IF($K$4="",1,--(OR(SUMPRODUCT(--(TRIM(MID(SUBSTITUTE(SUBSTITUTE($K$4,"/",","),",",REPT(" ",99)),(ROW($1:$8)-1)*99+1,99))&lt;&gt;""),--ISNUMBER(SEARCH(TRIM(MID(SUBSTITUTE(SUBSTITUTE($K$4,"/",","),",",REPT(" ",99)),(ROW($1:$8)-1)*99+1,99)),IFERROR(('Final Calculation Sheet'!$J$20)&amp;"",""))))&gt;0,AND(ISNUMBER(SEARCH("blank",$K$4)),NOT(ISNUMBER(SEARCH("nonblank",$K$4))),IFERROR(('Final Calculation Sheet'!$J$20)&amp;"","")=""),AND(OR(ISNUMBER(SEARCH("nonblank",$K$4)),ISNUMBER(SEARCH("&lt;&gt;",$K$4))),IFERROR(('Final Calculation Sheet'!$J$20)&amp;"","")&lt;&gt;""),AND(TRIM($K$4)="",IFERROR(('Final Calculation Sheet'!$J$20)&amp;"","")=""))))</f>
        <v>1</v>
      </c>
      <c r="BX21">
        <f>IF($L$4="",1,--(OR(SUMPRODUCT(--(TRIM(MID(SUBSTITUTE(SUBSTITUTE($L$4,"/",","),",",REPT(" ",99)),(ROW($1:$8)-1)*99+1,99))&lt;&gt;""),--ISNUMBER(SEARCH(TRIM(MID(SUBSTITUTE(SUBSTITUTE($L$4,"/",","),",",REPT(" ",99)),(ROW($1:$8)-1)*99+1,99)),IFERROR(('Final Calculation Sheet'!$K$20)&amp;"",""))))&gt;0,AND(ISNUMBER(SEARCH("blank",$L$4)),NOT(ISNUMBER(SEARCH("nonblank",$L$4))),IFERROR(('Final Calculation Sheet'!$K$20)&amp;"","")=""),AND(OR(ISNUMBER(SEARCH("nonblank",$L$4)),ISNUMBER(SEARCH("&lt;&gt;",$L$4))),IFERROR(('Final Calculation Sheet'!$K$20)&amp;"","")&lt;&gt;""),AND(TRIM($L$4)="",IFERROR(('Final Calculation Sheet'!$K$20)&amp;"","")=""))))</f>
        <v>1</v>
      </c>
      <c r="BY21">
        <f>IF($M$4="",1,--(OR(SUMPRODUCT(--(TRIM(MID(SUBSTITUTE(SUBSTITUTE($M$4,"/",","),",",REPT(" ",99)),(ROW($1:$8)-1)*99+1,99))&lt;&gt;""),--ISNUMBER(SEARCH(TRIM(MID(SUBSTITUTE(SUBSTITUTE($M$4,"/",","),",",REPT(" ",99)),(ROW($1:$8)-1)*99+1,99)),IFERROR(('Final Calculation Sheet'!$L$20)&amp;"",""))))&gt;0,AND(ISNUMBER(SEARCH("blank",$M$4)),NOT(ISNUMBER(SEARCH("nonblank",$M$4))),IFERROR(('Final Calculation Sheet'!$L$20)&amp;"","")=""),AND(OR(ISNUMBER(SEARCH("nonblank",$M$4)),ISNUMBER(SEARCH("&lt;&gt;",$M$4))),IFERROR(('Final Calculation Sheet'!$L$20)&amp;"","")&lt;&gt;""),AND(TRIM($M$4)="",IFERROR(('Final Calculation Sheet'!$L$20)&amp;"","")=""))))</f>
        <v>1</v>
      </c>
      <c r="BZ21">
        <f>IF($N$4="",1,--(OR(SUMPRODUCT(--(TRIM(MID(SUBSTITUTE(SUBSTITUTE($N$4,"/",","),",",REPT(" ",99)),(ROW($1:$8)-1)*99+1,99))&lt;&gt;""),--ISNUMBER(SEARCH(TRIM(MID(SUBSTITUTE(SUBSTITUTE($N$4,"/",","),",",REPT(" ",99)),(ROW($1:$8)-1)*99+1,99)),IFERROR(('Final Calculation Sheet'!$M$20)&amp;"",""))))&gt;0,AND(ISNUMBER(SEARCH("blank",$N$4)),NOT(ISNUMBER(SEARCH("nonblank",$N$4))),IFERROR(('Final Calculation Sheet'!$M$20)&amp;"","")=""),AND(OR(ISNUMBER(SEARCH("nonblank",$N$4)),ISNUMBER(SEARCH("&lt;&gt;",$N$4))),IFERROR(('Final Calculation Sheet'!$M$20)&amp;"","")&lt;&gt;""),AND(TRIM($N$4)="",IFERROR(('Final Calculation Sheet'!$M$20)&amp;"","")=""))))</f>
        <v>1</v>
      </c>
      <c r="CA21">
        <f>IF($O$4="",1,--(OR(SUMPRODUCT(--(TRIM(MID(SUBSTITUTE(SUBSTITUTE($O$4,"/",","),",",REPT(" ",99)),(ROW($1:$8)-1)*99+1,99))&lt;&gt;""),--ISNUMBER(SEARCH(TRIM(MID(SUBSTITUTE(SUBSTITUTE($O$4,"/",","),",",REPT(" ",99)),(ROW($1:$8)-1)*99+1,99)),IFERROR(('Final Calculation Sheet'!$N$20)&amp;"",""))))&gt;0,AND(ISNUMBER(SEARCH("blank",$O$4)),NOT(ISNUMBER(SEARCH("nonblank",$O$4))),IFERROR(('Final Calculation Sheet'!$N$20)&amp;"","")=""),AND(OR(ISNUMBER(SEARCH("nonblank",$O$4)),ISNUMBER(SEARCH("&lt;&gt;",$O$4))),IFERROR(('Final Calculation Sheet'!$N$20)&amp;"","")&lt;&gt;""),AND(TRIM($O$4)="",IFERROR(('Final Calculation Sheet'!$N$20)&amp;"","")=""))))</f>
        <v>1</v>
      </c>
      <c r="CB21">
        <f>IF($P$4="",1,--(OR(SUMPRODUCT(--(TRIM(MID(SUBSTITUTE(SUBSTITUTE($P$4,"/",","),",",REPT(" ",99)),(ROW($1:$8)-1)*99+1,99))&lt;&gt;""),--ISNUMBER(SEARCH(TRIM(MID(SUBSTITUTE(SUBSTITUTE($P$4,"/",","),",",REPT(" ",99)),(ROW($1:$8)-1)*99+1,99)),IFERROR(('Final Calculation Sheet'!$O$20)&amp;"",""))))&gt;0,AND(ISNUMBER(SEARCH("blank",$P$4)),NOT(ISNUMBER(SEARCH("nonblank",$P$4))),IFERROR(('Final Calculation Sheet'!$O$20)&amp;"","")=""),AND(OR(ISNUMBER(SEARCH("nonblank",$P$4)),ISNUMBER(SEARCH("&lt;&gt;",$P$4))),IFERROR(('Final Calculation Sheet'!$O$20)&amp;"","")&lt;&gt;""),AND(TRIM($P$4)="",IFERROR(('Final Calculation Sheet'!$O$20)&amp;"","")=""))))</f>
        <v>1</v>
      </c>
      <c r="CC21">
        <f>IF($Q$4="",1,--(OR(SUMPRODUCT(--(TRIM(MID(SUBSTITUTE(SUBSTITUTE($Q$4,"/",","),",",REPT(" ",99)),(ROW($1:$8)-1)*99+1,99))&lt;&gt;""),--ISNUMBER(SEARCH(TRIM(MID(SUBSTITUTE(SUBSTITUTE($Q$4,"/",","),",",REPT(" ",99)),(ROW($1:$8)-1)*99+1,99)),IFERROR(('Final Calculation Sheet'!$P$20)&amp;"",""))))&gt;0,AND(ISNUMBER(SEARCH("blank",$Q$4)),NOT(ISNUMBER(SEARCH("nonblank",$Q$4))),IFERROR(('Final Calculation Sheet'!$P$20)&amp;"","")=""),AND(OR(ISNUMBER(SEARCH("nonblank",$Q$4)),ISNUMBER(SEARCH("&lt;&gt;",$Q$4))),IFERROR(('Final Calculation Sheet'!$P$20)&amp;"","")&lt;&gt;""),AND(TRIM($Q$4)="",IFERROR(('Final Calculation Sheet'!$P$20)&amp;"","")=""))))</f>
        <v>1</v>
      </c>
      <c r="CD21">
        <f>IF($R$4="",1,--(OR(SUMPRODUCT(--(TRIM(MID(SUBSTITUTE(SUBSTITUTE($R$4,"/",","),",",REPT(" ",99)),(ROW($1:$8)-1)*99+1,99))&lt;&gt;""),--ISNUMBER(SEARCH(TRIM(MID(SUBSTITUTE(SUBSTITUTE($R$4,"/",","),",",REPT(" ",99)),(ROW($1:$8)-1)*99+1,99)),IFERROR(('Final Calculation Sheet'!$Q$20)&amp;"",""))))&gt;0,AND(ISNUMBER(SEARCH("blank",$R$4)),NOT(ISNUMBER(SEARCH("nonblank",$R$4))),IFERROR(('Final Calculation Sheet'!$Q$20)&amp;"","")=""),AND(OR(ISNUMBER(SEARCH("nonblank",$R$4)),ISNUMBER(SEARCH("&lt;&gt;",$R$4))),IFERROR(('Final Calculation Sheet'!$Q$20)&amp;"","")&lt;&gt;""),AND(TRIM($R$4)="",IFERROR(('Final Calculation Sheet'!$Q$20)&amp;"","")=""))))</f>
        <v>1</v>
      </c>
      <c r="CE21">
        <f>IF($S$4="",1,--(OR(SUMPRODUCT(--(TRIM(MID(SUBSTITUTE(SUBSTITUTE($S$4,"/",","),",",REPT(" ",99)),(ROW($1:$8)-1)*99+1,99))&lt;&gt;""),--ISNUMBER(SEARCH(TRIM(MID(SUBSTITUTE(SUBSTITUTE($S$4,"/",","),",",REPT(" ",99)),(ROW($1:$8)-1)*99+1,99)),IFERROR(('Final Calculation Sheet'!$R$20)&amp;"",""))))&gt;0,AND(ISNUMBER(SEARCH("blank",$S$4)),NOT(ISNUMBER(SEARCH("nonblank",$S$4))),IFERROR(('Final Calculation Sheet'!$R$20)&amp;"","")=""),AND(OR(ISNUMBER(SEARCH("nonblank",$S$4)),ISNUMBER(SEARCH("&lt;&gt;",$S$4))),IFERROR(('Final Calculation Sheet'!$R$20)&amp;"","")&lt;&gt;""),AND(TRIM($S$4)="",IFERROR(('Final Calculation Sheet'!$R$20)&amp;"","")=""))))</f>
        <v>1</v>
      </c>
      <c r="CF21">
        <f>IF($T$4="",1,--(OR(SUMPRODUCT(--(TRIM(MID(SUBSTITUTE(SUBSTITUTE($T$4,"/",","),",",REPT(" ",99)),(ROW($1:$8)-1)*99+1,99))&lt;&gt;""),--ISNUMBER(SEARCH(TRIM(MID(SUBSTITUTE(SUBSTITUTE($T$4,"/",","),",",REPT(" ",99)),(ROW($1:$8)-1)*99+1,99)),IFERROR(('Final Calculation Sheet'!$S$20)&amp;"",""))))&gt;0,AND(ISNUMBER(SEARCH("blank",$T$4)),NOT(ISNUMBER(SEARCH("nonblank",$T$4))),IFERROR(('Final Calculation Sheet'!$S$20)&amp;"","")=""),AND(OR(ISNUMBER(SEARCH("nonblank",$T$4)),ISNUMBER(SEARCH("&lt;&gt;",$T$4))),IFERROR(('Final Calculation Sheet'!$S$20)&amp;"","")&lt;&gt;""),AND(TRIM($T$4)="",IFERROR(('Final Calculation Sheet'!$S$20)&amp;"","")=""))))</f>
        <v>1</v>
      </c>
      <c r="CG21">
        <f>IF($U$4="",1,--(OR(SUMPRODUCT(--(TRIM(MID(SUBSTITUTE(SUBSTITUTE($U$4,"/",","),",",REPT(" ",99)),(ROW($1:$8)-1)*99+1,99))&lt;&gt;""),--ISNUMBER(SEARCH(TRIM(MID(SUBSTITUTE(SUBSTITUTE($U$4,"/",","),",",REPT(" ",99)),(ROW($1:$8)-1)*99+1,99)),IFERROR(('Final Calculation Sheet'!$T$20)&amp;"",""))))&gt;0,AND(ISNUMBER(SEARCH("blank",$U$4)),NOT(ISNUMBER(SEARCH("nonblank",$U$4))),IFERROR(('Final Calculation Sheet'!$T$20)&amp;"","")=""),AND(OR(ISNUMBER(SEARCH("nonblank",$U$4)),ISNUMBER(SEARCH("&lt;&gt;",$U$4))),IFERROR(('Final Calculation Sheet'!$T$20)&amp;"","")&lt;&gt;""),AND(TRIM($U$4)="",IFERROR(('Final Calculation Sheet'!$T$20)&amp;"","")=""))))</f>
        <v>1</v>
      </c>
      <c r="CH21">
        <f>IF($V$4="",1,--(OR(SUMPRODUCT(--(TRIM(MID(SUBSTITUTE(SUBSTITUTE($V$4,"/",","),",",REPT(" ",99)),(ROW($1:$8)-1)*99+1,99))&lt;&gt;""),--ISNUMBER(SEARCH(TRIM(MID(SUBSTITUTE(SUBSTITUTE($V$4,"/",","),",",REPT(" ",99)),(ROW($1:$8)-1)*99+1,99)),IFERROR(('Final Calculation Sheet'!$U$20)&amp;"",""))))&gt;0,AND(ISNUMBER(SEARCH("blank",$V$4)),NOT(ISNUMBER(SEARCH("nonblank",$V$4))),IFERROR(('Final Calculation Sheet'!$U$20)&amp;"","")=""),AND(OR(ISNUMBER(SEARCH("nonblank",$V$4)),ISNUMBER(SEARCH("&lt;&gt;",$V$4))),IFERROR(('Final Calculation Sheet'!$U$20)&amp;"","")&lt;&gt;""),AND(TRIM($V$4)="",IFERROR(('Final Calculation Sheet'!$U$20)&amp;"","")=""))))</f>
        <v>1</v>
      </c>
      <c r="CI21">
        <f>IF($W$4="",1,--(OR(SUMPRODUCT(--(TRIM(MID(SUBSTITUTE(SUBSTITUTE($W$4,"/",","),",",REPT(" ",99)),(ROW($1:$8)-1)*99+1,99))&lt;&gt;""),--ISNUMBER(SEARCH(TRIM(MID(SUBSTITUTE(SUBSTITUTE($W$4,"/",","),",",REPT(" ",99)),(ROW($1:$8)-1)*99+1,99)),IFERROR(('Final Calculation Sheet'!$V$20)&amp;"",""))))&gt;0,AND(ISNUMBER(SEARCH("blank",$W$4)),NOT(ISNUMBER(SEARCH("nonblank",$W$4))),IFERROR(('Final Calculation Sheet'!$V$20)&amp;"","")=""),AND(OR(ISNUMBER(SEARCH("nonblank",$W$4)),ISNUMBER(SEARCH("&lt;&gt;",$W$4))),IFERROR(('Final Calculation Sheet'!$V$20)&amp;"","")&lt;&gt;""),AND(TRIM($W$4)="",IFERROR(('Final Calculation Sheet'!$V$20)&amp;"","")=""))))</f>
        <v>1</v>
      </c>
      <c r="CJ21">
        <f>IF($X$4="",1,--(OR(SUMPRODUCT(--(TRIM(MID(SUBSTITUTE(SUBSTITUTE($X$4,"/",","),",",REPT(" ",99)),(ROW($1:$8)-1)*99+1,99))&lt;&gt;""),--ISNUMBER(SEARCH(TRIM(MID(SUBSTITUTE(SUBSTITUTE($X$4,"/",","),",",REPT(" ",99)),(ROW($1:$8)-1)*99+1,99)),IFERROR(('Final Calculation Sheet'!$W$20)&amp;"",""))))&gt;0,AND(ISNUMBER(SEARCH("blank",$X$4)),NOT(ISNUMBER(SEARCH("nonblank",$X$4))),IFERROR(('Final Calculation Sheet'!$W$20)&amp;"","")=""),AND(OR(ISNUMBER(SEARCH("nonblank",$X$4)),ISNUMBER(SEARCH("&lt;&gt;",$X$4))),IFERROR(('Final Calculation Sheet'!$W$20)&amp;"","")&lt;&gt;""),AND(TRIM($X$4)="",IFERROR(('Final Calculation Sheet'!$W$20)&amp;"","")=""))))</f>
        <v>1</v>
      </c>
      <c r="CK21">
        <f>IF($Y$4="",1,--(OR(SUMPRODUCT(--(TRIM(MID(SUBSTITUTE(SUBSTITUTE($Y$4,"/",","),",",REPT(" ",99)),(ROW($1:$8)-1)*99+1,99))&lt;&gt;""),--ISNUMBER(SEARCH(TRIM(MID(SUBSTITUTE(SUBSTITUTE($Y$4,"/",","),",",REPT(" ",99)),(ROW($1:$8)-1)*99+1,99)),IFERROR(('Final Calculation Sheet'!$X$20)&amp;"",""))))&gt;0,AND(ISNUMBER(SEARCH("blank",$Y$4)),NOT(ISNUMBER(SEARCH("nonblank",$Y$4))),IFERROR(('Final Calculation Sheet'!$X$20)&amp;"","")=""),AND(OR(ISNUMBER(SEARCH("nonblank",$Y$4)),ISNUMBER(SEARCH("&lt;&gt;",$Y$4))),IFERROR(('Final Calculation Sheet'!$X$20)&amp;"","")&lt;&gt;""),AND(TRIM($Y$4)="",IFERROR(('Final Calculation Sheet'!$X$20)&amp;"","")=""))))</f>
        <v>1</v>
      </c>
      <c r="CL21">
        <f>IF($Z$4="",1,--(OR(SUMPRODUCT(--(TRIM(MID(SUBSTITUTE(SUBSTITUTE($Z$4,"/",","),",",REPT(" ",99)),(ROW($1:$8)-1)*99+1,99))&lt;&gt;""),--ISNUMBER(SEARCH(TRIM(MID(SUBSTITUTE(SUBSTITUTE($Z$4,"/",","),",",REPT(" ",99)),(ROW($1:$8)-1)*99+1,99)),IFERROR(('Final Calculation Sheet'!$Y$20)&amp;"",""))))&gt;0,AND(ISNUMBER(SEARCH("blank",$Z$4)),NOT(ISNUMBER(SEARCH("nonblank",$Z$4))),IFERROR(('Final Calculation Sheet'!$Y$20)&amp;"","")=""),AND(OR(ISNUMBER(SEARCH("nonblank",$Z$4)),ISNUMBER(SEARCH("&lt;&gt;",$Z$4))),IFERROR(('Final Calculation Sheet'!$Y$20)&amp;"","")&lt;&gt;""),AND(TRIM($Z$4)="",IFERROR(('Final Calculation Sheet'!$Y$20)&amp;"","")=""))))</f>
        <v>1</v>
      </c>
      <c r="CM21">
        <f>IF($AA$4="",1,--(OR(SUMPRODUCT(--(TRIM(MID(SUBSTITUTE(SUBSTITUTE($AA$4,"/",","),",",REPT(" ",99)),(ROW($1:$8)-1)*99+1,99))&lt;&gt;""),--ISNUMBER(SEARCH(TRIM(MID(SUBSTITUTE(SUBSTITUTE($AA$4,"/",","),",",REPT(" ",99)),(ROW($1:$8)-1)*99+1,99)),IFERROR(('Final Calculation Sheet'!$Z$20)&amp;"",""))))&gt;0,AND(ISNUMBER(SEARCH("blank",$AA$4)),NOT(ISNUMBER(SEARCH("nonblank",$AA$4))),IFERROR(('Final Calculation Sheet'!$Z$20)&amp;"","")=""),AND(OR(ISNUMBER(SEARCH("nonblank",$AA$4)),ISNUMBER(SEARCH("&lt;&gt;",$AA$4))),IFERROR(('Final Calculation Sheet'!$Z$20)&amp;"","")&lt;&gt;""),AND(TRIM($AA$4)="",IFERROR(('Final Calculation Sheet'!$Z$20)&amp;"","")=""))))</f>
        <v>1</v>
      </c>
      <c r="CN21">
        <f>IF($AB$4="",1,--(OR(SUMPRODUCT(--(TRIM(MID(SUBSTITUTE(SUBSTITUTE($AB$4,"/",","),",",REPT(" ",99)),(ROW($1:$8)-1)*99+1,99))&lt;&gt;""),--ISNUMBER(SEARCH(TRIM(MID(SUBSTITUTE(SUBSTITUTE($AB$4,"/",","),",",REPT(" ",99)),(ROW($1:$8)-1)*99+1,99)),IFERROR(('Final Calculation Sheet'!$AA$20)&amp;"",""))))&gt;0,AND(ISNUMBER(SEARCH("blank",$AB$4)),NOT(ISNUMBER(SEARCH("nonblank",$AB$4))),IFERROR(('Final Calculation Sheet'!$AA$20)&amp;"","")=""),AND(OR(ISNUMBER(SEARCH("nonblank",$AB$4)),ISNUMBER(SEARCH("&lt;&gt;",$AB$4))),IFERROR(('Final Calculation Sheet'!$AA$20)&amp;"","")&lt;&gt;""),AND(TRIM($AB$4)="",IFERROR(('Final Calculation Sheet'!$AA$20)&amp;"","")=""))))</f>
        <v>1</v>
      </c>
      <c r="CO21">
        <f>IF($AC$4="",1,--(OR(SUMPRODUCT(--(TRIM(MID(SUBSTITUTE(SUBSTITUTE($AC$4,"/",","),",",REPT(" ",99)),(ROW($1:$8)-1)*99+1,99))&lt;&gt;""),--ISNUMBER(SEARCH(TRIM(MID(SUBSTITUTE(SUBSTITUTE($AC$4,"/",","),",",REPT(" ",99)),(ROW($1:$8)-1)*99+1,99)),IFERROR(('Final Calculation Sheet'!$AB$20)&amp;"",""))))&gt;0,AND(ISNUMBER(SEARCH("blank",$AC$4)),NOT(ISNUMBER(SEARCH("nonblank",$AC$4))),IFERROR(('Final Calculation Sheet'!$AB$20)&amp;"","")=""),AND(OR(ISNUMBER(SEARCH("nonblank",$AC$4)),ISNUMBER(SEARCH("&lt;&gt;",$AC$4))),IFERROR(('Final Calculation Sheet'!$AB$20)&amp;"","")&lt;&gt;""),AND(TRIM($AC$4)="",IFERROR(('Final Calculation Sheet'!$AB$20)&amp;"","")=""))))</f>
        <v>1</v>
      </c>
      <c r="CP21">
        <f>IF($AD$4="",1,--(OR(SUMPRODUCT(--(TRIM(MID(SUBSTITUTE(SUBSTITUTE($AD$4,"/",","),",",REPT(" ",99)),(ROW($1:$8)-1)*99+1,99))&lt;&gt;""),--ISNUMBER(SEARCH(TRIM(MID(SUBSTITUTE(SUBSTITUTE($AD$4,"/",","),",",REPT(" ",99)),(ROW($1:$8)-1)*99+1,99)),IFERROR(('Final Calculation Sheet'!$AC$20)&amp;"",""))))&gt;0,AND(ISNUMBER(SEARCH("blank",$AD$4)),NOT(ISNUMBER(SEARCH("nonblank",$AD$4))),IFERROR(('Final Calculation Sheet'!$AC$20)&amp;"","")=""),AND(OR(ISNUMBER(SEARCH("nonblank",$AD$4)),ISNUMBER(SEARCH("&lt;&gt;",$AD$4))),IFERROR(('Final Calculation Sheet'!$AC$20)&amp;"","")&lt;&gt;""),AND(TRIM($AD$4)="",IFERROR(('Final Calculation Sheet'!$AC$20)&amp;"","")=""))))</f>
        <v>1</v>
      </c>
      <c r="CQ21">
        <f>IF($AE$4="",1,--(OR(SUMPRODUCT(--(TRIM(MID(SUBSTITUTE(SUBSTITUTE($AE$4,"/",","),",",REPT(" ",99)),(ROW($1:$8)-1)*99+1,99))&lt;&gt;""),--ISNUMBER(SEARCH(TRIM(MID(SUBSTITUTE(SUBSTITUTE($AE$4,"/",","),",",REPT(" ",99)),(ROW($1:$8)-1)*99+1,99)),IFERROR(('Final Calculation Sheet'!$AD$20)&amp;"",""))))&gt;0,AND(ISNUMBER(SEARCH("blank",$AE$4)),NOT(ISNUMBER(SEARCH("nonblank",$AE$4))),IFERROR(('Final Calculation Sheet'!$AD$20)&amp;"","")=""),AND(OR(ISNUMBER(SEARCH("nonblank",$AE$4)),ISNUMBER(SEARCH("&lt;&gt;",$AE$4))),IFERROR(('Final Calculation Sheet'!$AD$20)&amp;"","")&lt;&gt;""),AND(TRIM($AE$4)="",IFERROR(('Final Calculation Sheet'!$AD$20)&amp;"","")=""))))</f>
        <v>1</v>
      </c>
      <c r="CR21">
        <f>IF($AF$4="",1,--(OR(SUMPRODUCT(--(TRIM(MID(SUBSTITUTE(SUBSTITUTE($AF$4,"/",","),",",REPT(" ",99)),(ROW($1:$8)-1)*99+1,99))&lt;&gt;""),--ISNUMBER(SEARCH(TRIM(MID(SUBSTITUTE(SUBSTITUTE($AF$4,"/",","),",",REPT(" ",99)),(ROW($1:$8)-1)*99+1,99)),IFERROR(('Final Calculation Sheet'!$AE$20)&amp;"",""))))&gt;0,AND(ISNUMBER(SEARCH("blank",$AF$4)),NOT(ISNUMBER(SEARCH("nonblank",$AF$4))),IFERROR(('Final Calculation Sheet'!$AE$20)&amp;"","")=""),AND(OR(ISNUMBER(SEARCH("nonblank",$AF$4)),ISNUMBER(SEARCH("&lt;&gt;",$AF$4))),IFERROR(('Final Calculation Sheet'!$AE$20)&amp;"","")&lt;&gt;""),AND(TRIM($AF$4)="",IFERROR(('Final Calculation Sheet'!$AE$20)&amp;"","")=""))))</f>
        <v>1</v>
      </c>
      <c r="CS21">
        <f>IF($AG$4="",1,--(OR(SUMPRODUCT(--(TRIM(MID(SUBSTITUTE(SUBSTITUTE($AG$4,"/",","),",",REPT(" ",99)),(ROW($1:$8)-1)*99+1,99))&lt;&gt;""),--ISNUMBER(SEARCH(TRIM(MID(SUBSTITUTE(SUBSTITUTE($AG$4,"/",","),",",REPT(" ",99)),(ROW($1:$8)-1)*99+1,99)),IFERROR(('Final Calculation Sheet'!$AF$20)&amp;"",""))))&gt;0,AND(ISNUMBER(SEARCH("blank",$AG$4)),NOT(ISNUMBER(SEARCH("nonblank",$AG$4))),IFERROR(('Final Calculation Sheet'!$AF$20)&amp;"","")=""),AND(OR(ISNUMBER(SEARCH("nonblank",$AG$4)),ISNUMBER(SEARCH("&lt;&gt;",$AG$4))),IFERROR(('Final Calculation Sheet'!$AF$20)&amp;"","")&lt;&gt;""),AND(TRIM($AG$4)="",IFERROR(('Final Calculation Sheet'!$AF$20)&amp;"","")=""))))</f>
        <v>1</v>
      </c>
      <c r="CT21">
        <f>IF($AH$4="",1,--(OR(SUMPRODUCT(--(TRIM(MID(SUBSTITUTE(SUBSTITUTE($AH$4,"/",","),",",REPT(" ",99)),(ROW($1:$8)-1)*99+1,99))&lt;&gt;""),--ISNUMBER(SEARCH(TRIM(MID(SUBSTITUTE(SUBSTITUTE($AH$4,"/",","),",",REPT(" ",99)),(ROW($1:$8)-1)*99+1,99)),IFERROR(('Final Calculation Sheet'!$AG$20)&amp;"",""))))&gt;0,AND(ISNUMBER(SEARCH("blank",$AH$4)),NOT(ISNUMBER(SEARCH("nonblank",$AH$4))),IFERROR(('Final Calculation Sheet'!$AG$20)&amp;"","")=""),AND(OR(ISNUMBER(SEARCH("nonblank",$AH$4)),ISNUMBER(SEARCH("&lt;&gt;",$AH$4))),IFERROR(('Final Calculation Sheet'!$AG$20)&amp;"","")&lt;&gt;""),AND(TRIM($AH$4)="",IFERROR(('Final Calculation Sheet'!$AG$20)&amp;"","")=""))))</f>
        <v>1</v>
      </c>
      <c r="CU21">
        <f>IF($AI$4="",1,--(OR(SUMPRODUCT(--(TRIM(MID(SUBSTITUTE(SUBSTITUTE($AI$4,"/",","),",",REPT(" ",99)),(ROW($1:$8)-1)*99+1,99))&lt;&gt;""),--ISNUMBER(SEARCH(TRIM(MID(SUBSTITUTE(SUBSTITUTE($AI$4,"/",","),",",REPT(" ",99)),(ROW($1:$8)-1)*99+1,99)),IFERROR((IF('Final Calculation Sheet'!$AD$20&lt;=5,"SETTLED","OUTSTANDING"))&amp;"",""))))&gt;0,AND(ISNUMBER(SEARCH("blank",$AI$4)),NOT(ISNUMBER(SEARCH("nonblank",$AI$4))),IFERROR((IF('Final Calculation Sheet'!$AD$20&lt;=5,"SETTLED","OUTSTANDING"))&amp;"","")=""),AND(OR(ISNUMBER(SEARCH("nonblank",$AI$4)),ISNUMBER(SEARCH("&lt;&gt;",$AI$4))),IFERROR((IF('Final Calculation Sheet'!$AD$20&lt;=5,"SETTLED","OUTSTANDING"))&amp;"","")&lt;&gt;""),AND(TRIM($AI$4)="",IFERROR((IF('Final Calculation Sheet'!$AD$20&lt;=5,"SETTLED","OUTSTANDING"))&amp;"","")=""))))</f>
        <v>1</v>
      </c>
    </row>
    <row r="22" ht="15" customHeight="1" s="137">
      <c r="A22" s="67">
        <f>IF($BJ21&gt;0,INDEX($BA$5:$BA$41,MATCH(21,$BB$5:$BB$41,0)),IF(OR($BI21=1,$BL21=1,$BH21&gt;0),"∑",""))</f>
        <v>17</v>
      </c>
      <c r="B22" s="76">
        <f>IF($BJ21&gt;0,IF(INDEX('Final Calculation Sheet'!$F$4:$F$40,$BJ21-3)="","",INDEX('Final Calculation Sheet'!$F$4:$F$40,$BJ21-3)),"")</f>
        <v>2020</v>
      </c>
      <c r="C22" s="76" t="str">
        <f>IF($BJ21&gt;0,IF(INDEX('Final Calculation Sheet'!$G$4:$G$40,$BJ21-3)="","",INDEX('Final Calculation Sheet'!$G$4:$G$40,$BJ21-3)),IF(OR($BI21=1,$BL21=1,$BH21&gt;0),IF($BI21=1,37,IF($BL21=1,37-INDEX($BD$4:$BD$13,10),INDEX($BD$4:$BD$13,$BH21)))&amp;" lot(s)",""))</f>
        <v>OMKAR STEELS</v>
      </c>
      <c r="D22" s="80" t="str">
        <f>IF($BJ21&gt;0,IF(INDEX('Final Calculation Sheet'!$B$4:$B$40,$BJ21-3)="","",INDEX('Final Calculation Sheet'!$B$4:$B$40,$BJ21-3)),IF(OR($BI21=1,$BL21=1,$BH21&gt;0),IF($BI21=1,"GRAND TOTAL  —  matching + remaining",IF($BL21=1,"TOTAL MATCHED  —  every group together",IF($BH21=10,"REMAINING  —  did not match the search",IF($BH21=9,IF(COUNTIF($A$4:$AI$4,"&lt;&gt;")&gt;0,"FILTERED LOTS  —  column fields","ALL LOTS  —  nothing typed in the box"),"GROUP "&amp;$BH21&amp;" TOTAL  —  lots matching  "&amp;INDEX($AR$6:$AY$6,$BH21))))),""))</f>
        <v>SCRAP 80MM² AAAC EARTHWIRE</v>
      </c>
      <c r="E22" s="80">
        <f>IF($BJ21&gt;0,IF(INDEX('Final Calculation Sheet'!$D$4:$D$40,$BJ21-3)="","",INDEX('Final Calculation Sheet'!$D$4:$D$40,$BJ21-3)),IF(OR($BI21=1,$BL21=1,$BH21&gt;0),"–",""))</f>
        <v>21978</v>
      </c>
      <c r="F22" s="80">
        <f>IF($BJ21&gt;0,IF(INDEX('Final Calculation Sheet'!$A$4:$A$40,$BJ21-3)="","",INDEX('Final Calculation Sheet'!$A$4:$A$40,$BJ21-3)),IF(OR($BI21=1,$BL21=1,$BH21&gt;0),IF($BI21=1,SUM('Final Calculation Sheet'!$A$4:$A$40),IF($BL21=1,SUM('Final Calculation Sheet'!$A$4:$A$40)-SUMIFS('Final Calculation Sheet'!$A$4:$A$40,$AZ$5:$AZ$41,10),SUMIFS('Final Calculation Sheet'!$A$4:$A$40,$AZ$5:$AZ$41,$BH21))),""))</f>
        <v>3500</v>
      </c>
      <c r="G22" s="80" t="str">
        <f>IF($BJ21&gt;0,IF(INDEX('Final Calculation Sheet'!$E$4:$E$40,$BJ21-3)="","",INDEX('Final Calculation Sheet'!$E$4:$E$40,$BJ21-3)),IF(OR($BI21=1,$BL21=1,$BH21&gt;0),"–",""))</f>
        <v>KG</v>
      </c>
      <c r="H22" s="70">
        <f>IF($BJ21&gt;0,IF(INDEX('Final Calculation Sheet'!$C$4:$C$40,$BJ21-3)="","",INDEX('Final Calculation Sheet'!$C$4:$C$40,$BJ21-3)),IF(OR($BI21=1,$BL21=1,$BH21&gt;0),"–",""))</f>
        <v>333</v>
      </c>
      <c r="I22" s="70">
        <f>IF($BJ21&gt;0,IF(INDEX('Final Calculation Sheet'!$H$4:$H$40,$BJ21-3)="","",INDEX('Final Calculation Sheet'!$H$4:$H$40,$BJ21-3)),IF(OR($BI21=1,$BL21=1,$BH21&gt;0),IF($BI21=1,SUM('Final Calculation Sheet'!$H$4:$H$40),IF($BL21=1,SUM('Final Calculation Sheet'!$H$4:$H$40)-SUMIFS('Final Calculation Sheet'!$H$4:$H$40,$AZ$5:$AZ$41,10),SUMIFS('Final Calculation Sheet'!$H$4:$H$40,$AZ$5:$AZ$41,$BH21))),""))</f>
        <v>1165500</v>
      </c>
      <c r="J22" s="70">
        <f>IF($BJ21&gt;0,IF(INDEX('Final Calculation Sheet'!$I$4:$I$40,$BJ21-3)="","",INDEX('Final Calculation Sheet'!$I$4:$I$40,$BJ21-3)),IF(OR($BI21=1,$BL21=1,$BH21&gt;0),IF($BI21=1,SUM('Final Calculation Sheet'!$I$4:$I$40),IF($BL21=1,SUM('Final Calculation Sheet'!$I$4:$I$40)-SUMIFS('Final Calculation Sheet'!$I$4:$I$40,$AZ$5:$AZ$41,10),SUMIFS('Final Calculation Sheet'!$I$4:$I$40,$AZ$5:$AZ$41,$BH21))),""))</f>
        <v>209790</v>
      </c>
      <c r="K22" s="70">
        <f>IF($BJ21&gt;0,IF(INDEX('Final Calculation Sheet'!$J$4:$J$40,$BJ21-3)="","",INDEX('Final Calculation Sheet'!$J$4:$J$40,$BJ21-3)),IF(OR($BI21=1,$BL21=1,$BH21&gt;0),IF($BI21=1,SUM('Final Calculation Sheet'!$J$4:$J$40),IF($BL21=1,SUM('Final Calculation Sheet'!$J$4:$J$40)-SUMIFS('Final Calculation Sheet'!$J$4:$J$40,$AZ$5:$AZ$41,10),SUMIFS('Final Calculation Sheet'!$J$4:$J$40,$AZ$5:$AZ$41,$BH21))),""))</f>
        <v>1375290</v>
      </c>
      <c r="L22" s="70">
        <f>IF($BJ21&gt;0,IF(INDEX('Final Calculation Sheet'!$K$4:$K$40,$BJ21-3)="","",INDEX('Final Calculation Sheet'!$K$4:$K$40,$BJ21-3)),IF(OR($BI21=1,$BL21=1,$BH21&gt;0),IF($BI21=1,SUM('Final Calculation Sheet'!$K$4:$K$40),IF($BL21=1,SUM('Final Calculation Sheet'!$K$4:$K$40)-SUMIFS('Final Calculation Sheet'!$K$4:$K$40,$AZ$5:$AZ$41,10),SUMIFS('Final Calculation Sheet'!$K$4:$K$40,$AZ$5:$AZ$41,$BH21))),""))</f>
        <v>27506</v>
      </c>
      <c r="M22" s="70">
        <f>IF($BJ21&gt;0,IF(INDEX('Final Calculation Sheet'!$L$4:$L$40,$BJ21-3)="","",INDEX('Final Calculation Sheet'!$L$4:$L$40,$BJ21-3)),IF(OR($BI21=1,$BL21=1,$BH21&gt;0),IF($BI21=1,SUM('Final Calculation Sheet'!$L$4:$L$40),IF($BL21=1,SUM('Final Calculation Sheet'!$L$4:$L$40)-SUMIFS('Final Calculation Sheet'!$L$4:$L$40,$AZ$5:$AZ$41,10),SUMIFS('Final Calculation Sheet'!$L$4:$L$40,$AZ$5:$AZ$41,$BH21))),""))</f>
        <v>1165.5</v>
      </c>
      <c r="N22" s="70">
        <f>IF($BJ21&gt;0,IF(INDEX('Final Calculation Sheet'!$M$4:$M$40,$BJ21-3)="","",INDEX('Final Calculation Sheet'!$M$4:$M$40,$BJ21-3)),IF(OR($BI21=1,$BL21=1,$BH21&gt;0),IF($BI21=1,SUM('Final Calculation Sheet'!$M$4:$M$40),IF($BL21=1,SUM('Final Calculation Sheet'!$M$4:$M$40)-SUMIFS('Final Calculation Sheet'!$M$4:$M$40,$AZ$5:$AZ$41,10),SUMIFS('Final Calculation Sheet'!$M$4:$M$40,$AZ$5:$AZ$41,$BH21))),""))</f>
        <v>30944.024999999998</v>
      </c>
      <c r="O22" s="71">
        <f>IF($BJ21&gt;0,IF(INDEX('Final Calculation Sheet'!$N$4:$N$40,$BJ21-3)="","",INDEX('Final Calculation Sheet'!$N$4:$N$40,$BJ21-3)),IF(OR($BI21=1,$BL21=1,$BH21&gt;0),IF($BI21=1,SUM('Final Calculation Sheet'!$N$4:$N$40),IF($BL21=1,SUM('Final Calculation Sheet'!$N$4:$N$40)-SUMIFS('Final Calculation Sheet'!$N$4:$N$40,$AZ$5:$AZ$41,10),SUMIFS('Final Calculation Sheet'!$N$4:$N$40,$AZ$5:$AZ$41,$BH21))),""))</f>
        <v>524.47500000000002</v>
      </c>
      <c r="P22" s="70">
        <f>IF($BJ21&gt;0,IF(INDEX('Final Calculation Sheet'!$O$4:$O$40,$BJ21-3)="","",INDEX('Final Calculation Sheet'!$O$4:$O$40,$BJ21-3)),IF(OR($BI21=1,$BL21=1,$BH21&gt;0),IF($BI21=1,SUM('Final Calculation Sheet'!$O$4:$O$40),IF($BL21=1,SUM('Final Calculation Sheet'!$O$4:$O$40)-SUMIFS('Final Calculation Sheet'!$O$4:$O$40,$AZ$5:$AZ$41,10),SUMIFS('Final Calculation Sheet'!$O$4:$O$40,$AZ$5:$AZ$41,$BH21))),""))</f>
        <v>30419.55</v>
      </c>
      <c r="Q22" s="70">
        <f>IF($BJ21&gt;0,IF(INDEX('Final Calculation Sheet'!$P$4:$P$40,$BJ21-3)="","",INDEX('Final Calculation Sheet'!$P$4:$P$40,$BJ21-3)),IF(OR($BI21=1,$BL21=1,$BH21&gt;0),IF($BI21=1,SUM('Final Calculation Sheet'!$P$4:$P$40),IF($BL21=1,SUM('Final Calculation Sheet'!$P$4:$P$40)-SUMIFS('Final Calculation Sheet'!$P$4:$P$40,$AZ$5:$AZ$41,10),SUMIFS('Final Calculation Sheet'!$P$4:$P$40,$AZ$5:$AZ$41,$BH21))),""))</f>
        <v>31585</v>
      </c>
      <c r="R22" s="72">
        <f>IF($BJ21&gt;0,IF(INDEX('Final Calculation Sheet'!$Q$4:$Q$40,$BJ21-3)="","",INDEX('Final Calculation Sheet'!$Q$4:$Q$40,$BJ21-3)),IF(OR($BI21=1,$BL21=1,$BH21&gt;0),"–",""))</f>
        <v>0.02</v>
      </c>
      <c r="S22" s="70">
        <f>IF($BJ21&gt;0,IF(INDEX('Final Calculation Sheet'!$R$4:$R$40,$BJ21-3)="","",INDEX('Final Calculation Sheet'!$R$4:$R$40,$BJ21-3)),IF(OR($BI21=1,$BL21=1,$BH21&gt;0),IF($BI21=1,SUM('Final Calculation Sheet'!$R$4:$R$40),IF($BL21=1,SUM('Final Calculation Sheet'!$R$4:$R$40)-SUMIFS('Final Calculation Sheet'!$R$4:$R$40,$AZ$5:$AZ$41,10),SUMIFS('Final Calculation Sheet'!$R$4:$R$40,$AZ$5:$AZ$41,$BH21))),""))</f>
        <v>23310</v>
      </c>
      <c r="T22" s="70">
        <f>IF($BJ21&gt;0,IF(INDEX('Final Calculation Sheet'!$S$4:$S$40,$BJ21-3)="","",INDEX('Final Calculation Sheet'!$S$4:$S$40,$BJ21-3)),IF(OR($BI21=1,$BL21=1,$BH21&gt;0),IF($BI21=1,SUM('Final Calculation Sheet'!$S$4:$S$40),IF($BL21=1,SUM('Final Calculation Sheet'!$S$4:$S$40)-SUMIFS('Final Calculation Sheet'!$S$4:$S$40,$AZ$5:$AZ$41,10),SUMIFS('Final Calculation Sheet'!$S$4:$S$40,$AZ$5:$AZ$41,$BH21))),""))</f>
        <v>1347901</v>
      </c>
      <c r="U22" s="70">
        <f>IF($BJ21&gt;0,IF(INDEX('Final Calculation Sheet'!$T$4:$T$40,$BJ21-3)="","",INDEX('Final Calculation Sheet'!$T$4:$T$40,$BJ21-3)),IF(OR($BI21=1,$BL21=1,$BH21&gt;0),IF($BI21=1,SUM('Final Calculation Sheet'!$T$4:$T$40),IF($BL21=1,SUM('Final Calculation Sheet'!$T$4:$T$40)-SUMIFS('Final Calculation Sheet'!$T$4:$T$40,$AZ$5:$AZ$41,10),SUMIFS('Final Calculation Sheet'!$T$4:$T$40,$AZ$5:$AZ$41,$BH21))),""))</f>
        <v>291375</v>
      </c>
      <c r="V22" s="73">
        <f>IF($BJ21&gt;0,IF(INDEX('Final Calculation Sheet'!$U$4:$U$40,$BJ21-3)="","",INDEX('Final Calculation Sheet'!$U$4:$U$40,$BJ21-3)),IF(OR($BI21=1,$BL21=1,$BH21&gt;0),IF($BI21=1,SUM('Final Calculation Sheet'!$U$4:$U$40),IF($BL21=1,SUM('Final Calculation Sheet'!$U$4:$U$40)-SUMIFS('Final Calculation Sheet'!$U$4:$U$40,$AZ$5:$AZ$41,10),SUMIFS('Final Calculation Sheet'!$U$4:$U$40,$AZ$5:$AZ$41,$BH21))),""))</f>
        <v>291375</v>
      </c>
      <c r="W22" s="70" t="str">
        <f>IF($BJ21&gt;0,IF(INDEX('Final Calculation Sheet'!$V$4:$V$40,$BJ21-3)="","",INDEX('Final Calculation Sheet'!$V$4:$V$40,$BJ21-3)),IF(OR($BI21=1,$BL21=1,$BH21&gt;0),"–",""))</f>
        <v>10.08.2026</v>
      </c>
      <c r="X22" s="70">
        <f>IF($BJ21&gt;0,IF(INDEX('Final Calculation Sheet'!$W$4:$W$40,$BJ21-3)="","",INDEX('Final Calculation Sheet'!$W$4:$W$40,$BJ21-3)),IF(OR($BI21=1,$BL21=1,$BH21&gt;0),IF($BI21=1,SUM('Final Calculation Sheet'!$W$4:$W$40),IF($BL21=1,SUM('Final Calculation Sheet'!$W$4:$W$40)-SUMIFS('Final Calculation Sheet'!$W$4:$W$40,$AZ$5:$AZ$41,10),SUMIFS('Final Calculation Sheet'!$W$4:$W$40,$AZ$5:$AZ$41,$BH21))),""))</f>
        <v>1056526</v>
      </c>
      <c r="Y22" s="70">
        <f>IF($BJ21&gt;0,IF(INDEX('Final Calculation Sheet'!$X$4:$X$40,$BJ21-3)="","",INDEX('Final Calculation Sheet'!$X$4:$X$40,$BJ21-3)),IF(OR($BI21=1,$BL21=1,$BH21&gt;0),IF($BI21=1,SUM('Final Calculation Sheet'!$X$4:$X$40),IF($BL21=1,SUM('Final Calculation Sheet'!$X$4:$X$40)-SUMIFS('Final Calculation Sheet'!$X$4:$X$40,$AZ$5:$AZ$41,10),SUMIFS('Final Calculation Sheet'!$X$4:$X$40,$AZ$5:$AZ$41,$BH21))),""))</f>
        <v>1056525</v>
      </c>
      <c r="Z22" s="70" t="str">
        <f>IF($BJ21&gt;0,IF(INDEX('Final Calculation Sheet'!$Y$4:$Y$40,$BJ21-3)="","",INDEX('Final Calculation Sheet'!$Y$4:$Y$40,$BJ21-3)),IF(OR($BI21=1,$BL21=1,$BH21&gt;0),"–",""))</f>
        <v>10.08.2026</v>
      </c>
      <c r="AA22" s="70">
        <f>IF($BJ21&gt;0,IF(INDEX('Final Calculation Sheet'!$Z$4:$Z$40,$BJ21-3)="","",INDEX('Final Calculation Sheet'!$Z$4:$Z$40,$BJ21-3)),IF(OR($BI21=1,$BL21=1,$BH21&gt;0),IF($BI21=1,SUM('Final Calculation Sheet'!$Z$4:$Z$40),IF($BL21=1,SUM('Final Calculation Sheet'!$Z$4:$Z$40)-SUMIFS('Final Calculation Sheet'!$Z$4:$Z$40,$AZ$5:$AZ$41,10),SUMIFS('Final Calculation Sheet'!$Z$4:$Z$40,$AZ$5:$AZ$41,$BH21))),""))</f>
        <v>0</v>
      </c>
      <c r="AB22" s="70" t="str">
        <f>IF($BJ21&gt;0,IF(INDEX('Final Calculation Sheet'!$AA$4:$AA$40,$BJ21-3)="","",INDEX('Final Calculation Sheet'!$AA$4:$AA$40,$BJ21-3)),IF(OR($BI21=1,$BL21=1,$BH21&gt;0),IF($BI21=1,SUM('Final Calculation Sheet'!$AA$4:$AA$40),IF($BL21=1,SUM('Final Calculation Sheet'!$AA$4:$AA$40)-SUMIFS('Final Calculation Sheet'!$AA$4:$AA$40,$AZ$5:$AZ$41,10),SUMIFS('Final Calculation Sheet'!$AA$4:$AA$40,$AZ$5:$AZ$41,$BH21))),""))</f>
        <v/>
      </c>
      <c r="AC22" s="70" t="str">
        <f>IF($BJ21&gt;0,IF(INDEX('Final Calculation Sheet'!$AB$4:$AB$40,$BJ21-3)="","",INDEX('Final Calculation Sheet'!$AB$4:$AB$40,$BJ21-3)),IF(OR($BI21=1,$BL21=1,$BH21&gt;0),"–",""))</f>
        <v/>
      </c>
      <c r="AD22" s="70">
        <f>IF($BJ21&gt;0,IF(INDEX('Final Calculation Sheet'!$AC$4:$AC$40,$BJ21-3)="","",INDEX('Final Calculation Sheet'!$AC$4:$AC$40,$BJ21-3)),IF(OR($BI21=1,$BL21=1,$BH21&gt;0),IF($BI21=1,SUM('Final Calculation Sheet'!$AC$4:$AC$40),IF($BL21=1,SUM('Final Calculation Sheet'!$AC$4:$AC$40)-SUMIFS('Final Calculation Sheet'!$AC$4:$AC$40,$AZ$5:$AZ$41,10),SUMIFS('Final Calculation Sheet'!$AC$4:$AC$40,$AZ$5:$AZ$41,$BH21))),""))</f>
        <v>1347900</v>
      </c>
      <c r="AE22" s="70">
        <f>IF($BJ21&gt;0,IF(INDEX('Final Calculation Sheet'!$AD$4:$AD$40,$BJ21-3)="","",INDEX('Final Calculation Sheet'!$AD$4:$AD$40,$BJ21-3)),IF(OR($BI21=1,$BL21=1,$BH21&gt;0),IF($BI21=1,SUM('Final Calculation Sheet'!$AD$4:$AD$40),IF($BL21=1,SUM('Final Calculation Sheet'!$AD$4:$AD$40)-SUMIFS('Final Calculation Sheet'!$AD$4:$AD$40,$AZ$5:$AZ$41,10),SUMIFS('Final Calculation Sheet'!$AD$4:$AD$40,$AZ$5:$AZ$41,$BH21))),""))</f>
        <v>1</v>
      </c>
      <c r="AF22" s="70" t="str">
        <f>IF($BJ21&gt;0,IF(INDEX('Final Calculation Sheet'!$AE$4:$AE$40,$BJ21-3)="","",INDEX('Final Calculation Sheet'!$AE$4:$AE$40,$BJ21-3)),IF(OR($BI21=1,$BL21=1,$BH21&gt;0),"–",""))</f>
        <v>DR2640100017</v>
      </c>
      <c r="AG22" s="74">
        <f>IF($BJ21&gt;0,IF(INDEX('Final Calculation Sheet'!$AF$4:$AF$40,$BJ21-3)="","",INDEX('Final Calculation Sheet'!$AF$4:$AF$40,$BJ21-3)),IF(OR($BI21=1,$BL21=1,$BH21&gt;0),"–",""))</f>
        <v>1800003065</v>
      </c>
      <c r="AH22" s="70" t="str">
        <f>IF($BJ21&gt;0,IF(INDEX('Final Calculation Sheet'!$AG$4:$AG$40,$BJ21-3)="","",INDEX('Final Calculation Sheet'!$AG$4:$AG$40,$BJ21-3)),IF(OR($BI21=1,$BL21=1,$BH21&gt;0),"–",""))</f>
        <v>12.08.2026</v>
      </c>
      <c r="AI22" s="75" t="str">
        <f>IF($BJ21&gt;0,IF(INDEX('Final Calculation Sheet'!$AD$4:$AD$40,$BJ21-3)="","",IF(INDEX('Final Calculation Sheet'!$AD$4:$AD$40,$BJ21-3)&lt;=5,"SETTLED","OUTSTANDING")),IF(OR($BI21=1,$BL21=1,$BH21&gt;0),IF(IF($BI21=1,SUM('Final Calculation Sheet'!$AD$4:$AD$40),IF($BL21=1,SUM('Final Calculation Sheet'!$AD$4:$AD$40)-SUMIFS('Final Calculation Sheet'!$AD$4:$AD$40,$AZ$5:$AZ$41,10),SUMIFS('Final Calculation Sheet'!$AD$4:$AD$40,$AZ$5:$AZ$41,$BH21)))&lt;=5,"ALL SETTLED","OUTSTANDING"),""))</f>
        <v>SETTLED</v>
      </c>
      <c r="AK22" t="str">
        <f>IF($F$3="Lot No.",'Final Calculation Sheet'!$F$21,IF($F$3="Buyer",'Final Calculation Sheet'!$G$21,IF($F$3="Lot Name",'Final Calculation Sheet'!$B$21,IF($F$3="Bid Sheet",'Final Calculation Sheet'!$D$21,IF($F$3="Unit",'Final Calculation Sheet'!$E$21,'Final Calculation Sheet'!$F$21&amp;" "&amp;'Final Calculation Sheet'!$G$21&amp;" "&amp;'Final Calculation Sheet'!$B$21)))))</f>
        <v>2022 NATIONAL SCRAP AND BUILDING MATERIAL SUPPLIER Scrap of 132 KV CT</v>
      </c>
      <c r="AL22">
        <f>AL21+IF($B$3="",0,--(SUMPRODUCT(--($AR$6:$AY$6&lt;&gt;""),--ISNUMBER(SEARCH($AR$6:$AY$6,$AK22)))&gt;0))</f>
        <v>0</v>
      </c>
      <c r="AM22">
        <f>IF(COUNTIF($BM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1</v>
      </c>
      <c r="AZ22">
        <f>IF($B$3="",IF(COUNTIF($A$4:$AI$4,"&lt;&gt;")=0,9,IF($AM22=1,9,10)),IF($AM22=0,10,IF(AND($AR$6&lt;&gt;"",ISNUMBER(SEARCH($AR$6,$AK22))),1,IF(AND($AS$6&lt;&gt;"",ISNUMBER(SEARCH($AS$6,$AK22))),2,IF(AND($AT$6&lt;&gt;"",ISNUMBER(SEARCH($AT$6,$AK22))),3,IF(AND($AU$6&lt;&gt;"",ISNUMBER(SEARCH($AU$6,$AK22))),4,IF(AND($AV$6&lt;&gt;"",ISNUMBER(SEARCH($AV$6,$AK22))),5,IF(AND($AW$6&lt;&gt;"",ISNUMBER(SEARCH($AW$6,$AK22))),6,IF(AND($AX$6&lt;&gt;"",ISNUMBER(SEARCH($AX$6,$AK22))),7,IF(AND($AY$6&lt;&gt;"",ISNUMBER(SEARCH($AY$6,$AK22))),8,0))))))))))</f>
        <v>9</v>
      </c>
      <c r="BA22">
        <f>SUMPRODUCT(($AZ$5:$AZ$41=$AZ22)*($BC$5:$BC$41&lt;$BC22))+1</f>
        <v>18</v>
      </c>
      <c r="BB22">
        <f>IF(INDEX($BF$4:$BF$13,$AZ22)=0,0,INDEX($BE$4:$BE$13,$AZ22)+$BA22-1)</f>
        <v>22</v>
      </c>
      <c r="BC22" t="n">
        <v>21</v>
      </c>
      <c r="BH22">
        <f>IFERROR(MATCH(22,$BF$4:$BF$13,0),0)</f>
        <v>0</v>
      </c>
      <c r="BI22">
        <f>IF(22=$BG$5,1,0)</f>
        <v>0</v>
      </c>
      <c r="BJ22">
        <f>IF(OR($BH22&gt;0,$BI22=1,$BL22=1),0,IFERROR(INDEX($BC$5:$BC$41,MATCH(22,$BB$5:$BB$41,0)),0))</f>
        <v>21</v>
      </c>
      <c r="BK22">
        <f>IF($BJ22&gt;0,IF(INDEX($AZ$5:$AZ$41,MATCH(22,$BB$5:$BB$41,0))=10,1,0),IF($BH22=10,1,0))</f>
        <v>0</v>
      </c>
      <c r="BL22">
        <f>IF(22=$BG$4,1,0)</f>
        <v>0</v>
      </c>
      <c r="BM22">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1</v>
      </c>
      <c r="BN22">
        <f>IF($B$4="",1,--(OR(SUMPRODUCT(--(TRIM(MID(SUBSTITUTE(SUBSTITUTE($B$4,"/",","),",",REPT(" ",99)),(ROW($1:$8)-1)*99+1,99))&lt;&gt;""),--ISNUMBER(SEARCH(TRIM(MID(SUBSTITUTE(SUBSTITUTE($B$4,"/",","),",",REPT(" ",99)),(ROW($1:$8)-1)*99+1,99)),IFERROR(('Final Calculation Sheet'!$F$21)&amp;"",""))))&gt;0,AND(ISNUMBER(SEARCH("blank",$B$4)),NOT(ISNUMBER(SEARCH("nonblank",$B$4))),IFERROR(('Final Calculation Sheet'!$F$21)&amp;"","")=""),AND(OR(ISNUMBER(SEARCH("nonblank",$B$4)),ISNUMBER(SEARCH("&lt;&gt;",$B$4))),IFERROR(('Final Calculation Sheet'!$F$21)&amp;"","")&lt;&gt;""),AND(TRIM($B$4)="",IFERROR(('Final Calculation Sheet'!$F$21)&amp;"","")=""))))</f>
        <v>1</v>
      </c>
      <c r="BO22">
        <f>IF($C$4="",1,--(OR(SUMPRODUCT(--(TRIM(MID(SUBSTITUTE(SUBSTITUTE($C$4,"/",","),",",REPT(" ",99)),(ROW($1:$8)-1)*99+1,99))&lt;&gt;""),--ISNUMBER(SEARCH(TRIM(MID(SUBSTITUTE(SUBSTITUTE($C$4,"/",","),",",REPT(" ",99)),(ROW($1:$8)-1)*99+1,99)),IFERROR(('Final Calculation Sheet'!$G$21)&amp;"",""))))&gt;0,AND(ISNUMBER(SEARCH("blank",$C$4)),NOT(ISNUMBER(SEARCH("nonblank",$C$4))),IFERROR(('Final Calculation Sheet'!$G$21)&amp;"","")=""),AND(OR(ISNUMBER(SEARCH("nonblank",$C$4)),ISNUMBER(SEARCH("&lt;&gt;",$C$4))),IFERROR(('Final Calculation Sheet'!$G$21)&amp;"","")&lt;&gt;""),AND(TRIM($C$4)="",IFERROR(('Final Calculation Sheet'!$G$21)&amp;"","")=""))))</f>
        <v>1</v>
      </c>
      <c r="BP22">
        <f>IF($D$4="",1,--(OR(SUMPRODUCT(--(TRIM(MID(SUBSTITUTE(SUBSTITUTE($D$4,"/",","),",",REPT(" ",99)),(ROW($1:$8)-1)*99+1,99))&lt;&gt;""),--ISNUMBER(SEARCH(TRIM(MID(SUBSTITUTE(SUBSTITUTE($D$4,"/",","),",",REPT(" ",99)),(ROW($1:$8)-1)*99+1,99)),IFERROR(('Final Calculation Sheet'!$B$21)&amp;"",""))))&gt;0,AND(ISNUMBER(SEARCH("blank",$D$4)),NOT(ISNUMBER(SEARCH("nonblank",$D$4))),IFERROR(('Final Calculation Sheet'!$B$21)&amp;"","")=""),AND(OR(ISNUMBER(SEARCH("nonblank",$D$4)),ISNUMBER(SEARCH("&lt;&gt;",$D$4))),IFERROR(('Final Calculation Sheet'!$B$21)&amp;"","")&lt;&gt;""),AND(TRIM($D$4)="",IFERROR(('Final Calculation Sheet'!$B$21)&amp;"","")=""))))</f>
        <v>1</v>
      </c>
      <c r="BQ22">
        <f>IF($E$4="",1,--(OR(SUMPRODUCT(--(TRIM(MID(SUBSTITUTE(SUBSTITUTE($E$4,"/",","),",",REPT(" ",99)),(ROW($1:$8)-1)*99+1,99))&lt;&gt;""),--ISNUMBER(SEARCH(TRIM(MID(SUBSTITUTE(SUBSTITUTE($E$4,"/",","),",",REPT(" ",99)),(ROW($1:$8)-1)*99+1,99)),IFERROR(('Final Calculation Sheet'!$D$21)&amp;"",""))))&gt;0,AND(ISNUMBER(SEARCH("blank",$E$4)),NOT(ISNUMBER(SEARCH("nonblank",$E$4))),IFERROR(('Final Calculation Sheet'!$D$21)&amp;"","")=""),AND(OR(ISNUMBER(SEARCH("nonblank",$E$4)),ISNUMBER(SEARCH("&lt;&gt;",$E$4))),IFERROR(('Final Calculation Sheet'!$D$21)&amp;"","")&lt;&gt;""),AND(TRIM($E$4)="",IFERROR(('Final Calculation Sheet'!$D$21)&amp;"","")=""))))</f>
        <v>1</v>
      </c>
      <c r="BR22">
        <f>IF($F$4="",1,--(OR(SUMPRODUCT(--(TRIM(MID(SUBSTITUTE(SUBSTITUTE($F$4,"/",","),",",REPT(" ",99)),(ROW($1:$8)-1)*99+1,99))&lt;&gt;""),--ISNUMBER(SEARCH(TRIM(MID(SUBSTITUTE(SUBSTITUTE($F$4,"/",","),",",REPT(" ",99)),(ROW($1:$8)-1)*99+1,99)),IFERROR(('Final Calculation Sheet'!$A$21)&amp;"",""))))&gt;0,AND(ISNUMBER(SEARCH("blank",$F$4)),NOT(ISNUMBER(SEARCH("nonblank",$F$4))),IFERROR(('Final Calculation Sheet'!$A$21)&amp;"","")=""),AND(OR(ISNUMBER(SEARCH("nonblank",$F$4)),ISNUMBER(SEARCH("&lt;&gt;",$F$4))),IFERROR(('Final Calculation Sheet'!$A$21)&amp;"","")&lt;&gt;""),AND(TRIM($F$4)="",IFERROR(('Final Calculation Sheet'!$A$21)&amp;"","")=""))))</f>
        <v>1</v>
      </c>
      <c r="BS22">
        <f>IF($G$4="",1,--(OR(SUMPRODUCT(--(TRIM(MID(SUBSTITUTE(SUBSTITUTE($G$4,"/",","),",",REPT(" ",99)),(ROW($1:$8)-1)*99+1,99))&lt;&gt;""),--ISNUMBER(SEARCH(TRIM(MID(SUBSTITUTE(SUBSTITUTE($G$4,"/",","),",",REPT(" ",99)),(ROW($1:$8)-1)*99+1,99)),IFERROR(('Final Calculation Sheet'!$E$21)&amp;"",""))))&gt;0,AND(ISNUMBER(SEARCH("blank",$G$4)),NOT(ISNUMBER(SEARCH("nonblank",$G$4))),IFERROR(('Final Calculation Sheet'!$E$21)&amp;"","")=""),AND(OR(ISNUMBER(SEARCH("nonblank",$G$4)),ISNUMBER(SEARCH("&lt;&gt;",$G$4))),IFERROR(('Final Calculation Sheet'!$E$21)&amp;"","")&lt;&gt;""),AND(TRIM($G$4)="",IFERROR(('Final Calculation Sheet'!$E$21)&amp;"","")=""))))</f>
        <v>1</v>
      </c>
      <c r="BT22">
        <f>IF($H$4="",1,--(OR(SUMPRODUCT(--(TRIM(MID(SUBSTITUTE(SUBSTITUTE($H$4,"/",","),",",REPT(" ",99)),(ROW($1:$8)-1)*99+1,99))&lt;&gt;""),--ISNUMBER(SEARCH(TRIM(MID(SUBSTITUTE(SUBSTITUTE($H$4,"/",","),",",REPT(" ",99)),(ROW($1:$8)-1)*99+1,99)),IFERROR(('Final Calculation Sheet'!$C$21)&amp;"",""))))&gt;0,AND(ISNUMBER(SEARCH("blank",$H$4)),NOT(ISNUMBER(SEARCH("nonblank",$H$4))),IFERROR(('Final Calculation Sheet'!$C$21)&amp;"","")=""),AND(OR(ISNUMBER(SEARCH("nonblank",$H$4)),ISNUMBER(SEARCH("&lt;&gt;",$H$4))),IFERROR(('Final Calculation Sheet'!$C$21)&amp;"","")&lt;&gt;""),AND(TRIM($H$4)="",IFERROR(('Final Calculation Sheet'!$C$21)&amp;"","")=""))))</f>
        <v>1</v>
      </c>
      <c r="BU22">
        <f>IF($I$4="",1,--(OR(SUMPRODUCT(--(TRIM(MID(SUBSTITUTE(SUBSTITUTE($I$4,"/",","),",",REPT(" ",99)),(ROW($1:$8)-1)*99+1,99))&lt;&gt;""),--ISNUMBER(SEARCH(TRIM(MID(SUBSTITUTE(SUBSTITUTE($I$4,"/",","),",",REPT(" ",99)),(ROW($1:$8)-1)*99+1,99)),IFERROR(('Final Calculation Sheet'!$H$21)&amp;"",""))))&gt;0,AND(ISNUMBER(SEARCH("blank",$I$4)),NOT(ISNUMBER(SEARCH("nonblank",$I$4))),IFERROR(('Final Calculation Sheet'!$H$21)&amp;"","")=""),AND(OR(ISNUMBER(SEARCH("nonblank",$I$4)),ISNUMBER(SEARCH("&lt;&gt;",$I$4))),IFERROR(('Final Calculation Sheet'!$H$21)&amp;"","")&lt;&gt;""),AND(TRIM($I$4)="",IFERROR(('Final Calculation Sheet'!$H$21)&amp;"","")=""))))</f>
        <v>1</v>
      </c>
      <c r="BV22">
        <f>IF($J$4="",1,--(OR(SUMPRODUCT(--(TRIM(MID(SUBSTITUTE(SUBSTITUTE($J$4,"/",","),",",REPT(" ",99)),(ROW($1:$8)-1)*99+1,99))&lt;&gt;""),--ISNUMBER(SEARCH(TRIM(MID(SUBSTITUTE(SUBSTITUTE($J$4,"/",","),",",REPT(" ",99)),(ROW($1:$8)-1)*99+1,99)),IFERROR(('Final Calculation Sheet'!$I$21)&amp;"",""))))&gt;0,AND(ISNUMBER(SEARCH("blank",$J$4)),NOT(ISNUMBER(SEARCH("nonblank",$J$4))),IFERROR(('Final Calculation Sheet'!$I$21)&amp;"","")=""),AND(OR(ISNUMBER(SEARCH("nonblank",$J$4)),ISNUMBER(SEARCH("&lt;&gt;",$J$4))),IFERROR(('Final Calculation Sheet'!$I$21)&amp;"","")&lt;&gt;""),AND(TRIM($J$4)="",IFERROR(('Final Calculation Sheet'!$I$21)&amp;"","")=""))))</f>
        <v>1</v>
      </c>
      <c r="BW22">
        <f>IF($K$4="",1,--(OR(SUMPRODUCT(--(TRIM(MID(SUBSTITUTE(SUBSTITUTE($K$4,"/",","),",",REPT(" ",99)),(ROW($1:$8)-1)*99+1,99))&lt;&gt;""),--ISNUMBER(SEARCH(TRIM(MID(SUBSTITUTE(SUBSTITUTE($K$4,"/",","),",",REPT(" ",99)),(ROW($1:$8)-1)*99+1,99)),IFERROR(('Final Calculation Sheet'!$J$21)&amp;"",""))))&gt;0,AND(ISNUMBER(SEARCH("blank",$K$4)),NOT(ISNUMBER(SEARCH("nonblank",$K$4))),IFERROR(('Final Calculation Sheet'!$J$21)&amp;"","")=""),AND(OR(ISNUMBER(SEARCH("nonblank",$K$4)),ISNUMBER(SEARCH("&lt;&gt;",$K$4))),IFERROR(('Final Calculation Sheet'!$J$21)&amp;"","")&lt;&gt;""),AND(TRIM($K$4)="",IFERROR(('Final Calculation Sheet'!$J$21)&amp;"","")=""))))</f>
        <v>1</v>
      </c>
      <c r="BX22">
        <f>IF($L$4="",1,--(OR(SUMPRODUCT(--(TRIM(MID(SUBSTITUTE(SUBSTITUTE($L$4,"/",","),",",REPT(" ",99)),(ROW($1:$8)-1)*99+1,99))&lt;&gt;""),--ISNUMBER(SEARCH(TRIM(MID(SUBSTITUTE(SUBSTITUTE($L$4,"/",","),",",REPT(" ",99)),(ROW($1:$8)-1)*99+1,99)),IFERROR(('Final Calculation Sheet'!$K$21)&amp;"",""))))&gt;0,AND(ISNUMBER(SEARCH("blank",$L$4)),NOT(ISNUMBER(SEARCH("nonblank",$L$4))),IFERROR(('Final Calculation Sheet'!$K$21)&amp;"","")=""),AND(OR(ISNUMBER(SEARCH("nonblank",$L$4)),ISNUMBER(SEARCH("&lt;&gt;",$L$4))),IFERROR(('Final Calculation Sheet'!$K$21)&amp;"","")&lt;&gt;""),AND(TRIM($L$4)="",IFERROR(('Final Calculation Sheet'!$K$21)&amp;"","")=""))))</f>
        <v>1</v>
      </c>
      <c r="BY22">
        <f>IF($M$4="",1,--(OR(SUMPRODUCT(--(TRIM(MID(SUBSTITUTE(SUBSTITUTE($M$4,"/",","),",",REPT(" ",99)),(ROW($1:$8)-1)*99+1,99))&lt;&gt;""),--ISNUMBER(SEARCH(TRIM(MID(SUBSTITUTE(SUBSTITUTE($M$4,"/",","),",",REPT(" ",99)),(ROW($1:$8)-1)*99+1,99)),IFERROR(('Final Calculation Sheet'!$L$21)&amp;"",""))))&gt;0,AND(ISNUMBER(SEARCH("blank",$M$4)),NOT(ISNUMBER(SEARCH("nonblank",$M$4))),IFERROR(('Final Calculation Sheet'!$L$21)&amp;"","")=""),AND(OR(ISNUMBER(SEARCH("nonblank",$M$4)),ISNUMBER(SEARCH("&lt;&gt;",$M$4))),IFERROR(('Final Calculation Sheet'!$L$21)&amp;"","")&lt;&gt;""),AND(TRIM($M$4)="",IFERROR(('Final Calculation Sheet'!$L$21)&amp;"","")=""))))</f>
        <v>1</v>
      </c>
      <c r="BZ22">
        <f>IF($N$4="",1,--(OR(SUMPRODUCT(--(TRIM(MID(SUBSTITUTE(SUBSTITUTE($N$4,"/",","),",",REPT(" ",99)),(ROW($1:$8)-1)*99+1,99))&lt;&gt;""),--ISNUMBER(SEARCH(TRIM(MID(SUBSTITUTE(SUBSTITUTE($N$4,"/",","),",",REPT(" ",99)),(ROW($1:$8)-1)*99+1,99)),IFERROR(('Final Calculation Sheet'!$M$21)&amp;"",""))))&gt;0,AND(ISNUMBER(SEARCH("blank",$N$4)),NOT(ISNUMBER(SEARCH("nonblank",$N$4))),IFERROR(('Final Calculation Sheet'!$M$21)&amp;"","")=""),AND(OR(ISNUMBER(SEARCH("nonblank",$N$4)),ISNUMBER(SEARCH("&lt;&gt;",$N$4))),IFERROR(('Final Calculation Sheet'!$M$21)&amp;"","")&lt;&gt;""),AND(TRIM($N$4)="",IFERROR(('Final Calculation Sheet'!$M$21)&amp;"","")=""))))</f>
        <v>1</v>
      </c>
      <c r="CA22">
        <f>IF($O$4="",1,--(OR(SUMPRODUCT(--(TRIM(MID(SUBSTITUTE(SUBSTITUTE($O$4,"/",","),",",REPT(" ",99)),(ROW($1:$8)-1)*99+1,99))&lt;&gt;""),--ISNUMBER(SEARCH(TRIM(MID(SUBSTITUTE(SUBSTITUTE($O$4,"/",","),",",REPT(" ",99)),(ROW($1:$8)-1)*99+1,99)),IFERROR(('Final Calculation Sheet'!$N$21)&amp;"",""))))&gt;0,AND(ISNUMBER(SEARCH("blank",$O$4)),NOT(ISNUMBER(SEARCH("nonblank",$O$4))),IFERROR(('Final Calculation Sheet'!$N$21)&amp;"","")=""),AND(OR(ISNUMBER(SEARCH("nonblank",$O$4)),ISNUMBER(SEARCH("&lt;&gt;",$O$4))),IFERROR(('Final Calculation Sheet'!$N$21)&amp;"","")&lt;&gt;""),AND(TRIM($O$4)="",IFERROR(('Final Calculation Sheet'!$N$21)&amp;"","")=""))))</f>
        <v>1</v>
      </c>
      <c r="CB22">
        <f>IF($P$4="",1,--(OR(SUMPRODUCT(--(TRIM(MID(SUBSTITUTE(SUBSTITUTE($P$4,"/",","),",",REPT(" ",99)),(ROW($1:$8)-1)*99+1,99))&lt;&gt;""),--ISNUMBER(SEARCH(TRIM(MID(SUBSTITUTE(SUBSTITUTE($P$4,"/",","),",",REPT(" ",99)),(ROW($1:$8)-1)*99+1,99)),IFERROR(('Final Calculation Sheet'!$O$21)&amp;"",""))))&gt;0,AND(ISNUMBER(SEARCH("blank",$P$4)),NOT(ISNUMBER(SEARCH("nonblank",$P$4))),IFERROR(('Final Calculation Sheet'!$O$21)&amp;"","")=""),AND(OR(ISNUMBER(SEARCH("nonblank",$P$4)),ISNUMBER(SEARCH("&lt;&gt;",$P$4))),IFERROR(('Final Calculation Sheet'!$O$21)&amp;"","")&lt;&gt;""),AND(TRIM($P$4)="",IFERROR(('Final Calculation Sheet'!$O$21)&amp;"","")=""))))</f>
        <v>1</v>
      </c>
      <c r="CC22">
        <f>IF($Q$4="",1,--(OR(SUMPRODUCT(--(TRIM(MID(SUBSTITUTE(SUBSTITUTE($Q$4,"/",","),",",REPT(" ",99)),(ROW($1:$8)-1)*99+1,99))&lt;&gt;""),--ISNUMBER(SEARCH(TRIM(MID(SUBSTITUTE(SUBSTITUTE($Q$4,"/",","),",",REPT(" ",99)),(ROW($1:$8)-1)*99+1,99)),IFERROR(('Final Calculation Sheet'!$P$21)&amp;"",""))))&gt;0,AND(ISNUMBER(SEARCH("blank",$Q$4)),NOT(ISNUMBER(SEARCH("nonblank",$Q$4))),IFERROR(('Final Calculation Sheet'!$P$21)&amp;"","")=""),AND(OR(ISNUMBER(SEARCH("nonblank",$Q$4)),ISNUMBER(SEARCH("&lt;&gt;",$Q$4))),IFERROR(('Final Calculation Sheet'!$P$21)&amp;"","")&lt;&gt;""),AND(TRIM($Q$4)="",IFERROR(('Final Calculation Sheet'!$P$21)&amp;"","")=""))))</f>
        <v>1</v>
      </c>
      <c r="CD22">
        <f>IF($R$4="",1,--(OR(SUMPRODUCT(--(TRIM(MID(SUBSTITUTE(SUBSTITUTE($R$4,"/",","),",",REPT(" ",99)),(ROW($1:$8)-1)*99+1,99))&lt;&gt;""),--ISNUMBER(SEARCH(TRIM(MID(SUBSTITUTE(SUBSTITUTE($R$4,"/",","),",",REPT(" ",99)),(ROW($1:$8)-1)*99+1,99)),IFERROR(('Final Calculation Sheet'!$Q$21)&amp;"",""))))&gt;0,AND(ISNUMBER(SEARCH("blank",$R$4)),NOT(ISNUMBER(SEARCH("nonblank",$R$4))),IFERROR(('Final Calculation Sheet'!$Q$21)&amp;"","")=""),AND(OR(ISNUMBER(SEARCH("nonblank",$R$4)),ISNUMBER(SEARCH("&lt;&gt;",$R$4))),IFERROR(('Final Calculation Sheet'!$Q$21)&amp;"","")&lt;&gt;""),AND(TRIM($R$4)="",IFERROR(('Final Calculation Sheet'!$Q$21)&amp;"","")=""))))</f>
        <v>1</v>
      </c>
      <c r="CE22">
        <f>IF($S$4="",1,--(OR(SUMPRODUCT(--(TRIM(MID(SUBSTITUTE(SUBSTITUTE($S$4,"/",","),",",REPT(" ",99)),(ROW($1:$8)-1)*99+1,99))&lt;&gt;""),--ISNUMBER(SEARCH(TRIM(MID(SUBSTITUTE(SUBSTITUTE($S$4,"/",","),",",REPT(" ",99)),(ROW($1:$8)-1)*99+1,99)),IFERROR(('Final Calculation Sheet'!$R$21)&amp;"",""))))&gt;0,AND(ISNUMBER(SEARCH("blank",$S$4)),NOT(ISNUMBER(SEARCH("nonblank",$S$4))),IFERROR(('Final Calculation Sheet'!$R$21)&amp;"","")=""),AND(OR(ISNUMBER(SEARCH("nonblank",$S$4)),ISNUMBER(SEARCH("&lt;&gt;",$S$4))),IFERROR(('Final Calculation Sheet'!$R$21)&amp;"","")&lt;&gt;""),AND(TRIM($S$4)="",IFERROR(('Final Calculation Sheet'!$R$21)&amp;"","")=""))))</f>
        <v>1</v>
      </c>
      <c r="CF22">
        <f>IF($T$4="",1,--(OR(SUMPRODUCT(--(TRIM(MID(SUBSTITUTE(SUBSTITUTE($T$4,"/",","),",",REPT(" ",99)),(ROW($1:$8)-1)*99+1,99))&lt;&gt;""),--ISNUMBER(SEARCH(TRIM(MID(SUBSTITUTE(SUBSTITUTE($T$4,"/",","),",",REPT(" ",99)),(ROW($1:$8)-1)*99+1,99)),IFERROR(('Final Calculation Sheet'!$S$21)&amp;"",""))))&gt;0,AND(ISNUMBER(SEARCH("blank",$T$4)),NOT(ISNUMBER(SEARCH("nonblank",$T$4))),IFERROR(('Final Calculation Sheet'!$S$21)&amp;"","")=""),AND(OR(ISNUMBER(SEARCH("nonblank",$T$4)),ISNUMBER(SEARCH("&lt;&gt;",$T$4))),IFERROR(('Final Calculation Sheet'!$S$21)&amp;"","")&lt;&gt;""),AND(TRIM($T$4)="",IFERROR(('Final Calculation Sheet'!$S$21)&amp;"","")=""))))</f>
        <v>1</v>
      </c>
      <c r="CG22">
        <f>IF($U$4="",1,--(OR(SUMPRODUCT(--(TRIM(MID(SUBSTITUTE(SUBSTITUTE($U$4,"/",","),",",REPT(" ",99)),(ROW($1:$8)-1)*99+1,99))&lt;&gt;""),--ISNUMBER(SEARCH(TRIM(MID(SUBSTITUTE(SUBSTITUTE($U$4,"/",","),",",REPT(" ",99)),(ROW($1:$8)-1)*99+1,99)),IFERROR(('Final Calculation Sheet'!$T$21)&amp;"",""))))&gt;0,AND(ISNUMBER(SEARCH("blank",$U$4)),NOT(ISNUMBER(SEARCH("nonblank",$U$4))),IFERROR(('Final Calculation Sheet'!$T$21)&amp;"","")=""),AND(OR(ISNUMBER(SEARCH("nonblank",$U$4)),ISNUMBER(SEARCH("&lt;&gt;",$U$4))),IFERROR(('Final Calculation Sheet'!$T$21)&amp;"","")&lt;&gt;""),AND(TRIM($U$4)="",IFERROR(('Final Calculation Sheet'!$T$21)&amp;"","")=""))))</f>
        <v>1</v>
      </c>
      <c r="CH22">
        <f>IF($V$4="",1,--(OR(SUMPRODUCT(--(TRIM(MID(SUBSTITUTE(SUBSTITUTE($V$4,"/",","),",",REPT(" ",99)),(ROW($1:$8)-1)*99+1,99))&lt;&gt;""),--ISNUMBER(SEARCH(TRIM(MID(SUBSTITUTE(SUBSTITUTE($V$4,"/",","),",",REPT(" ",99)),(ROW($1:$8)-1)*99+1,99)),IFERROR(('Final Calculation Sheet'!$U$21)&amp;"",""))))&gt;0,AND(ISNUMBER(SEARCH("blank",$V$4)),NOT(ISNUMBER(SEARCH("nonblank",$V$4))),IFERROR(('Final Calculation Sheet'!$U$21)&amp;"","")=""),AND(OR(ISNUMBER(SEARCH("nonblank",$V$4)),ISNUMBER(SEARCH("&lt;&gt;",$V$4))),IFERROR(('Final Calculation Sheet'!$U$21)&amp;"","")&lt;&gt;""),AND(TRIM($V$4)="",IFERROR(('Final Calculation Sheet'!$U$21)&amp;"","")=""))))</f>
        <v>1</v>
      </c>
      <c r="CI22">
        <f>IF($W$4="",1,--(OR(SUMPRODUCT(--(TRIM(MID(SUBSTITUTE(SUBSTITUTE($W$4,"/",","),",",REPT(" ",99)),(ROW($1:$8)-1)*99+1,99))&lt;&gt;""),--ISNUMBER(SEARCH(TRIM(MID(SUBSTITUTE(SUBSTITUTE($W$4,"/",","),",",REPT(" ",99)),(ROW($1:$8)-1)*99+1,99)),IFERROR(('Final Calculation Sheet'!$V$21)&amp;"",""))))&gt;0,AND(ISNUMBER(SEARCH("blank",$W$4)),NOT(ISNUMBER(SEARCH("nonblank",$W$4))),IFERROR(('Final Calculation Sheet'!$V$21)&amp;"","")=""),AND(OR(ISNUMBER(SEARCH("nonblank",$W$4)),ISNUMBER(SEARCH("&lt;&gt;",$W$4))),IFERROR(('Final Calculation Sheet'!$V$21)&amp;"","")&lt;&gt;""),AND(TRIM($W$4)="",IFERROR(('Final Calculation Sheet'!$V$21)&amp;"","")=""))))</f>
        <v>1</v>
      </c>
      <c r="CJ22">
        <f>IF($X$4="",1,--(OR(SUMPRODUCT(--(TRIM(MID(SUBSTITUTE(SUBSTITUTE($X$4,"/",","),",",REPT(" ",99)),(ROW($1:$8)-1)*99+1,99))&lt;&gt;""),--ISNUMBER(SEARCH(TRIM(MID(SUBSTITUTE(SUBSTITUTE($X$4,"/",","),",",REPT(" ",99)),(ROW($1:$8)-1)*99+1,99)),IFERROR(('Final Calculation Sheet'!$W$21)&amp;"",""))))&gt;0,AND(ISNUMBER(SEARCH("blank",$X$4)),NOT(ISNUMBER(SEARCH("nonblank",$X$4))),IFERROR(('Final Calculation Sheet'!$W$21)&amp;"","")=""),AND(OR(ISNUMBER(SEARCH("nonblank",$X$4)),ISNUMBER(SEARCH("&lt;&gt;",$X$4))),IFERROR(('Final Calculation Sheet'!$W$21)&amp;"","")&lt;&gt;""),AND(TRIM($X$4)="",IFERROR(('Final Calculation Sheet'!$W$21)&amp;"","")=""))))</f>
        <v>1</v>
      </c>
      <c r="CK22">
        <f>IF($Y$4="",1,--(OR(SUMPRODUCT(--(TRIM(MID(SUBSTITUTE(SUBSTITUTE($Y$4,"/",","),",",REPT(" ",99)),(ROW($1:$8)-1)*99+1,99))&lt;&gt;""),--ISNUMBER(SEARCH(TRIM(MID(SUBSTITUTE(SUBSTITUTE($Y$4,"/",","),",",REPT(" ",99)),(ROW($1:$8)-1)*99+1,99)),IFERROR(('Final Calculation Sheet'!$X$21)&amp;"",""))))&gt;0,AND(ISNUMBER(SEARCH("blank",$Y$4)),NOT(ISNUMBER(SEARCH("nonblank",$Y$4))),IFERROR(('Final Calculation Sheet'!$X$21)&amp;"","")=""),AND(OR(ISNUMBER(SEARCH("nonblank",$Y$4)),ISNUMBER(SEARCH("&lt;&gt;",$Y$4))),IFERROR(('Final Calculation Sheet'!$X$21)&amp;"","")&lt;&gt;""),AND(TRIM($Y$4)="",IFERROR(('Final Calculation Sheet'!$X$21)&amp;"","")=""))))</f>
        <v>1</v>
      </c>
      <c r="CL22">
        <f>IF($Z$4="",1,--(OR(SUMPRODUCT(--(TRIM(MID(SUBSTITUTE(SUBSTITUTE($Z$4,"/",","),",",REPT(" ",99)),(ROW($1:$8)-1)*99+1,99))&lt;&gt;""),--ISNUMBER(SEARCH(TRIM(MID(SUBSTITUTE(SUBSTITUTE($Z$4,"/",","),",",REPT(" ",99)),(ROW($1:$8)-1)*99+1,99)),IFERROR(('Final Calculation Sheet'!$Y$21)&amp;"",""))))&gt;0,AND(ISNUMBER(SEARCH("blank",$Z$4)),NOT(ISNUMBER(SEARCH("nonblank",$Z$4))),IFERROR(('Final Calculation Sheet'!$Y$21)&amp;"","")=""),AND(OR(ISNUMBER(SEARCH("nonblank",$Z$4)),ISNUMBER(SEARCH("&lt;&gt;",$Z$4))),IFERROR(('Final Calculation Sheet'!$Y$21)&amp;"","")&lt;&gt;""),AND(TRIM($Z$4)="",IFERROR(('Final Calculation Sheet'!$Y$21)&amp;"","")=""))))</f>
        <v>1</v>
      </c>
      <c r="CM22">
        <f>IF($AA$4="",1,--(OR(SUMPRODUCT(--(TRIM(MID(SUBSTITUTE(SUBSTITUTE($AA$4,"/",","),",",REPT(" ",99)),(ROW($1:$8)-1)*99+1,99))&lt;&gt;""),--ISNUMBER(SEARCH(TRIM(MID(SUBSTITUTE(SUBSTITUTE($AA$4,"/",","),",",REPT(" ",99)),(ROW($1:$8)-1)*99+1,99)),IFERROR(('Final Calculation Sheet'!$Z$21)&amp;"",""))))&gt;0,AND(ISNUMBER(SEARCH("blank",$AA$4)),NOT(ISNUMBER(SEARCH("nonblank",$AA$4))),IFERROR(('Final Calculation Sheet'!$Z$21)&amp;"","")=""),AND(OR(ISNUMBER(SEARCH("nonblank",$AA$4)),ISNUMBER(SEARCH("&lt;&gt;",$AA$4))),IFERROR(('Final Calculation Sheet'!$Z$21)&amp;"","")&lt;&gt;""),AND(TRIM($AA$4)="",IFERROR(('Final Calculation Sheet'!$Z$21)&amp;"","")=""))))</f>
        <v>1</v>
      </c>
      <c r="CN22">
        <f>IF($AB$4="",1,--(OR(SUMPRODUCT(--(TRIM(MID(SUBSTITUTE(SUBSTITUTE($AB$4,"/",","),",",REPT(" ",99)),(ROW($1:$8)-1)*99+1,99))&lt;&gt;""),--ISNUMBER(SEARCH(TRIM(MID(SUBSTITUTE(SUBSTITUTE($AB$4,"/",","),",",REPT(" ",99)),(ROW($1:$8)-1)*99+1,99)),IFERROR(('Final Calculation Sheet'!$AA$21)&amp;"",""))))&gt;0,AND(ISNUMBER(SEARCH("blank",$AB$4)),NOT(ISNUMBER(SEARCH("nonblank",$AB$4))),IFERROR(('Final Calculation Sheet'!$AA$21)&amp;"","")=""),AND(OR(ISNUMBER(SEARCH("nonblank",$AB$4)),ISNUMBER(SEARCH("&lt;&gt;",$AB$4))),IFERROR(('Final Calculation Sheet'!$AA$21)&amp;"","")&lt;&gt;""),AND(TRIM($AB$4)="",IFERROR(('Final Calculation Sheet'!$AA$21)&amp;"","")=""))))</f>
        <v>1</v>
      </c>
      <c r="CO22">
        <f>IF($AC$4="",1,--(OR(SUMPRODUCT(--(TRIM(MID(SUBSTITUTE(SUBSTITUTE($AC$4,"/",","),",",REPT(" ",99)),(ROW($1:$8)-1)*99+1,99))&lt;&gt;""),--ISNUMBER(SEARCH(TRIM(MID(SUBSTITUTE(SUBSTITUTE($AC$4,"/",","),",",REPT(" ",99)),(ROW($1:$8)-1)*99+1,99)),IFERROR(('Final Calculation Sheet'!$AB$21)&amp;"",""))))&gt;0,AND(ISNUMBER(SEARCH("blank",$AC$4)),NOT(ISNUMBER(SEARCH("nonblank",$AC$4))),IFERROR(('Final Calculation Sheet'!$AB$21)&amp;"","")=""),AND(OR(ISNUMBER(SEARCH("nonblank",$AC$4)),ISNUMBER(SEARCH("&lt;&gt;",$AC$4))),IFERROR(('Final Calculation Sheet'!$AB$21)&amp;"","")&lt;&gt;""),AND(TRIM($AC$4)="",IFERROR(('Final Calculation Sheet'!$AB$21)&amp;"","")=""))))</f>
        <v>1</v>
      </c>
      <c r="CP22">
        <f>IF($AD$4="",1,--(OR(SUMPRODUCT(--(TRIM(MID(SUBSTITUTE(SUBSTITUTE($AD$4,"/",","),",",REPT(" ",99)),(ROW($1:$8)-1)*99+1,99))&lt;&gt;""),--ISNUMBER(SEARCH(TRIM(MID(SUBSTITUTE(SUBSTITUTE($AD$4,"/",","),",",REPT(" ",99)),(ROW($1:$8)-1)*99+1,99)),IFERROR(('Final Calculation Sheet'!$AC$21)&amp;"",""))))&gt;0,AND(ISNUMBER(SEARCH("blank",$AD$4)),NOT(ISNUMBER(SEARCH("nonblank",$AD$4))),IFERROR(('Final Calculation Sheet'!$AC$21)&amp;"","")=""),AND(OR(ISNUMBER(SEARCH("nonblank",$AD$4)),ISNUMBER(SEARCH("&lt;&gt;",$AD$4))),IFERROR(('Final Calculation Sheet'!$AC$21)&amp;"","")&lt;&gt;""),AND(TRIM($AD$4)="",IFERROR(('Final Calculation Sheet'!$AC$21)&amp;"","")=""))))</f>
        <v>1</v>
      </c>
      <c r="CQ22">
        <f>IF($AE$4="",1,--(OR(SUMPRODUCT(--(TRIM(MID(SUBSTITUTE(SUBSTITUTE($AE$4,"/",","),",",REPT(" ",99)),(ROW($1:$8)-1)*99+1,99))&lt;&gt;""),--ISNUMBER(SEARCH(TRIM(MID(SUBSTITUTE(SUBSTITUTE($AE$4,"/",","),",",REPT(" ",99)),(ROW($1:$8)-1)*99+1,99)),IFERROR(('Final Calculation Sheet'!$AD$21)&amp;"",""))))&gt;0,AND(ISNUMBER(SEARCH("blank",$AE$4)),NOT(ISNUMBER(SEARCH("nonblank",$AE$4))),IFERROR(('Final Calculation Sheet'!$AD$21)&amp;"","")=""),AND(OR(ISNUMBER(SEARCH("nonblank",$AE$4)),ISNUMBER(SEARCH("&lt;&gt;",$AE$4))),IFERROR(('Final Calculation Sheet'!$AD$21)&amp;"","")&lt;&gt;""),AND(TRIM($AE$4)="",IFERROR(('Final Calculation Sheet'!$AD$21)&amp;"","")=""))))</f>
        <v>1</v>
      </c>
      <c r="CR22">
        <f>IF($AF$4="",1,--(OR(SUMPRODUCT(--(TRIM(MID(SUBSTITUTE(SUBSTITUTE($AF$4,"/",","),",",REPT(" ",99)),(ROW($1:$8)-1)*99+1,99))&lt;&gt;""),--ISNUMBER(SEARCH(TRIM(MID(SUBSTITUTE(SUBSTITUTE($AF$4,"/",","),",",REPT(" ",99)),(ROW($1:$8)-1)*99+1,99)),IFERROR(('Final Calculation Sheet'!$AE$21)&amp;"",""))))&gt;0,AND(ISNUMBER(SEARCH("blank",$AF$4)),NOT(ISNUMBER(SEARCH("nonblank",$AF$4))),IFERROR(('Final Calculation Sheet'!$AE$21)&amp;"","")=""),AND(OR(ISNUMBER(SEARCH("nonblank",$AF$4)),ISNUMBER(SEARCH("&lt;&gt;",$AF$4))),IFERROR(('Final Calculation Sheet'!$AE$21)&amp;"","")&lt;&gt;""),AND(TRIM($AF$4)="",IFERROR(('Final Calculation Sheet'!$AE$21)&amp;"","")=""))))</f>
        <v>1</v>
      </c>
      <c r="CS22">
        <f>IF($AG$4="",1,--(OR(SUMPRODUCT(--(TRIM(MID(SUBSTITUTE(SUBSTITUTE($AG$4,"/",","),",",REPT(" ",99)),(ROW($1:$8)-1)*99+1,99))&lt;&gt;""),--ISNUMBER(SEARCH(TRIM(MID(SUBSTITUTE(SUBSTITUTE($AG$4,"/",","),",",REPT(" ",99)),(ROW($1:$8)-1)*99+1,99)),IFERROR(('Final Calculation Sheet'!$AF$21)&amp;"",""))))&gt;0,AND(ISNUMBER(SEARCH("blank",$AG$4)),NOT(ISNUMBER(SEARCH("nonblank",$AG$4))),IFERROR(('Final Calculation Sheet'!$AF$21)&amp;"","")=""),AND(OR(ISNUMBER(SEARCH("nonblank",$AG$4)),ISNUMBER(SEARCH("&lt;&gt;",$AG$4))),IFERROR(('Final Calculation Sheet'!$AF$21)&amp;"","")&lt;&gt;""),AND(TRIM($AG$4)="",IFERROR(('Final Calculation Sheet'!$AF$21)&amp;"","")=""))))</f>
        <v>1</v>
      </c>
      <c r="CT22">
        <f>IF($AH$4="",1,--(OR(SUMPRODUCT(--(TRIM(MID(SUBSTITUTE(SUBSTITUTE($AH$4,"/",","),",",REPT(" ",99)),(ROW($1:$8)-1)*99+1,99))&lt;&gt;""),--ISNUMBER(SEARCH(TRIM(MID(SUBSTITUTE(SUBSTITUTE($AH$4,"/",","),",",REPT(" ",99)),(ROW($1:$8)-1)*99+1,99)),IFERROR(('Final Calculation Sheet'!$AG$21)&amp;"",""))))&gt;0,AND(ISNUMBER(SEARCH("blank",$AH$4)),NOT(ISNUMBER(SEARCH("nonblank",$AH$4))),IFERROR(('Final Calculation Sheet'!$AG$21)&amp;"","")=""),AND(OR(ISNUMBER(SEARCH("nonblank",$AH$4)),ISNUMBER(SEARCH("&lt;&gt;",$AH$4))),IFERROR(('Final Calculation Sheet'!$AG$21)&amp;"","")&lt;&gt;""),AND(TRIM($AH$4)="",IFERROR(('Final Calculation Sheet'!$AG$21)&amp;"","")=""))))</f>
        <v>1</v>
      </c>
      <c r="CU22">
        <f>IF($AI$4="",1,--(OR(SUMPRODUCT(--(TRIM(MID(SUBSTITUTE(SUBSTITUTE($AI$4,"/",","),",",REPT(" ",99)),(ROW($1:$8)-1)*99+1,99))&lt;&gt;""),--ISNUMBER(SEARCH(TRIM(MID(SUBSTITUTE(SUBSTITUTE($AI$4,"/",","),",",REPT(" ",99)),(ROW($1:$8)-1)*99+1,99)),IFERROR((IF('Final Calculation Sheet'!$AD$21&lt;=5,"SETTLED","OUTSTANDING"))&amp;"",""))))&gt;0,AND(ISNUMBER(SEARCH("blank",$AI$4)),NOT(ISNUMBER(SEARCH("nonblank",$AI$4))),IFERROR((IF('Final Calculation Sheet'!$AD$21&lt;=5,"SETTLED","OUTSTANDING"))&amp;"","")=""),AND(OR(ISNUMBER(SEARCH("nonblank",$AI$4)),ISNUMBER(SEARCH("&lt;&gt;",$AI$4))),IFERROR((IF('Final Calculation Sheet'!$AD$21&lt;=5,"SETTLED","OUTSTANDING"))&amp;"","")&lt;&gt;""),AND(TRIM($AI$4)="",IFERROR((IF('Final Calculation Sheet'!$AD$21&lt;=5,"SETTLED","OUTSTANDING"))&amp;"","")=""))))</f>
        <v>1</v>
      </c>
    </row>
    <row r="23" ht="15" customHeight="1" s="137">
      <c r="A23" s="67">
        <f>IF($BJ22&gt;0,INDEX($BA$5:$BA$41,MATCH(22,$BB$5:$BB$41,0)),IF(OR($BI22=1,$BL22=1,$BH22&gt;0),"∑",""))</f>
        <v>18</v>
      </c>
      <c r="B23" s="76">
        <f>IF($BJ22&gt;0,IF(INDEX('Final Calculation Sheet'!$F$4:$F$40,$BJ22-3)="","",INDEX('Final Calculation Sheet'!$F$4:$F$40,$BJ22-3)),"")</f>
        <v>2022</v>
      </c>
      <c r="C23" s="76" t="str">
        <f>IF($BJ22&gt;0,IF(INDEX('Final Calculation Sheet'!$G$4:$G$40,$BJ22-3)="","",INDEX('Final Calculation Sheet'!$G$4:$G$40,$BJ22-3)),IF(OR($BI22=1,$BL22=1,$BH22&gt;0),IF($BI22=1,37,IF($BL22=1,37-INDEX($BD$4:$BD$13,10),INDEX($BD$4:$BD$13,$BH22)))&amp;" lot(s)",""))</f>
        <v>NATIONAL SCRAP AND BUILDING MATERIAL SUPPLIER</v>
      </c>
      <c r="D23" s="80" t="str">
        <f>IF($BJ22&gt;0,IF(INDEX('Final Calculation Sheet'!$B$4:$B$40,$BJ22-3)="","",INDEX('Final Calculation Sheet'!$B$4:$B$40,$BJ22-3)),IF(OR($BI22=1,$BL22=1,$BH22&gt;0),IF($BI22=1,"GRAND TOTAL  —  matching + remaining",IF($BL22=1,"TOTAL MATCHED  —  every group together",IF($BH22=10,"REMAINING  —  did not match the search",IF($BH22=9,IF(COUNTIF($A$4:$AI$4,"&lt;&gt;")&gt;0,"FILTERED LOTS  —  column fields","ALL LOTS  —  nothing typed in the box"),"GROUP "&amp;$BH22&amp;" TOTAL  —  lots matching  "&amp;INDEX($AR$6:$AY$6,$BH22))))),""))</f>
        <v>Scrap of 132 KV CT</v>
      </c>
      <c r="E23" s="80">
        <f>IF($BJ22&gt;0,IF(INDEX('Final Calculation Sheet'!$D$4:$D$40,$BJ22-3)="","",INDEX('Final Calculation Sheet'!$D$4:$D$40,$BJ22-3)),IF(OR($BI22=1,$BL22=1,$BH22&gt;0),"–",""))</f>
        <v>21978</v>
      </c>
      <c r="F23" s="80">
        <f>IF($BJ22&gt;0,IF(INDEX('Final Calculation Sheet'!$A$4:$A$40,$BJ22-3)="","",INDEX('Final Calculation Sheet'!$A$4:$A$40,$BJ22-3)),IF(OR($BI22=1,$BL22=1,$BH22&gt;0),IF($BI22=1,SUM('Final Calculation Sheet'!$A$4:$A$40),IF($BL22=1,SUM('Final Calculation Sheet'!$A$4:$A$40)-SUMIFS('Final Calculation Sheet'!$A$4:$A$40,$AZ$5:$AZ$41,10),SUMIFS('Final Calculation Sheet'!$A$4:$A$40,$AZ$5:$AZ$41,$BH22))),""))</f>
        <v>3</v>
      </c>
      <c r="G23" s="80" t="str">
        <f>IF($BJ22&gt;0,IF(INDEX('Final Calculation Sheet'!$E$4:$E$40,$BJ22-3)="","",INDEX('Final Calculation Sheet'!$E$4:$E$40,$BJ22-3)),IF(OR($BI22=1,$BL22=1,$BH22&gt;0),"–",""))</f>
        <v>NO</v>
      </c>
      <c r="H23" s="70">
        <f>IF($BJ22&gt;0,IF(INDEX('Final Calculation Sheet'!$C$4:$C$40,$BJ22-3)="","",INDEX('Final Calculation Sheet'!$C$4:$C$40,$BJ22-3)),IF(OR($BI22=1,$BL22=1,$BH22&gt;0),"–",""))</f>
        <v>110200</v>
      </c>
      <c r="I23" s="70">
        <f>IF($BJ22&gt;0,IF(INDEX('Final Calculation Sheet'!$H$4:$H$40,$BJ22-3)="","",INDEX('Final Calculation Sheet'!$H$4:$H$40,$BJ22-3)),IF(OR($BI22=1,$BL22=1,$BH22&gt;0),IF($BI22=1,SUM('Final Calculation Sheet'!$H$4:$H$40),IF($BL22=1,SUM('Final Calculation Sheet'!$H$4:$H$40)-SUMIFS('Final Calculation Sheet'!$H$4:$H$40,$AZ$5:$AZ$41,10),SUMIFS('Final Calculation Sheet'!$H$4:$H$40,$AZ$5:$AZ$41,$BH22))),""))</f>
        <v>330600</v>
      </c>
      <c r="J23" s="70">
        <f>IF($BJ22&gt;0,IF(INDEX('Final Calculation Sheet'!$I$4:$I$40,$BJ22-3)="","",INDEX('Final Calculation Sheet'!$I$4:$I$40,$BJ22-3)),IF(OR($BI22=1,$BL22=1,$BH22&gt;0),IF($BI22=1,SUM('Final Calculation Sheet'!$I$4:$I$40),IF($BL22=1,SUM('Final Calculation Sheet'!$I$4:$I$40)-SUMIFS('Final Calculation Sheet'!$I$4:$I$40,$AZ$5:$AZ$41,10),SUMIFS('Final Calculation Sheet'!$I$4:$I$40,$AZ$5:$AZ$41,$BH22))),""))</f>
        <v>59508</v>
      </c>
      <c r="K23" s="70">
        <f>IF($BJ22&gt;0,IF(INDEX('Final Calculation Sheet'!$J$4:$J$40,$BJ22-3)="","",INDEX('Final Calculation Sheet'!$J$4:$J$40,$BJ22-3)),IF(OR($BI22=1,$BL22=1,$BH22&gt;0),IF($BI22=1,SUM('Final Calculation Sheet'!$J$4:$J$40),IF($BL22=1,SUM('Final Calculation Sheet'!$J$4:$J$40)-SUMIFS('Final Calculation Sheet'!$J$4:$J$40,$AZ$5:$AZ$41,10),SUMIFS('Final Calculation Sheet'!$J$4:$J$40,$AZ$5:$AZ$41,$BH22))),""))</f>
        <v>390108</v>
      </c>
      <c r="L23" s="70">
        <f>IF($BJ22&gt;0,IF(INDEX('Final Calculation Sheet'!$K$4:$K$40,$BJ22-3)="","",INDEX('Final Calculation Sheet'!$K$4:$K$40,$BJ22-3)),IF(OR($BI22=1,$BL22=1,$BH22&gt;0),IF($BI22=1,SUM('Final Calculation Sheet'!$K$4:$K$40),IF($BL22=1,SUM('Final Calculation Sheet'!$K$4:$K$40)-SUMIFS('Final Calculation Sheet'!$K$4:$K$40,$AZ$5:$AZ$41,10),SUMIFS('Final Calculation Sheet'!$K$4:$K$40,$AZ$5:$AZ$41,$BH22))),""))</f>
        <v>7802</v>
      </c>
      <c r="M23" s="70">
        <f>IF($BJ22&gt;0,IF(INDEX('Final Calculation Sheet'!$L$4:$L$40,$BJ22-3)="","",INDEX('Final Calculation Sheet'!$L$4:$L$40,$BJ22-3)),IF(OR($BI22=1,$BL22=1,$BH22&gt;0),IF($BI22=1,SUM('Final Calculation Sheet'!$L$4:$L$40),IF($BL22=1,SUM('Final Calculation Sheet'!$L$4:$L$40)-SUMIFS('Final Calculation Sheet'!$L$4:$L$40,$AZ$5:$AZ$41,10),SUMIFS('Final Calculation Sheet'!$L$4:$L$40,$AZ$5:$AZ$41,$BH22))),""))</f>
        <v>330.6</v>
      </c>
      <c r="N23" s="70">
        <f>IF($BJ22&gt;0,IF(INDEX('Final Calculation Sheet'!$M$4:$M$40,$BJ22-3)="","",INDEX('Final Calculation Sheet'!$M$4:$M$40,$BJ22-3)),IF(OR($BI22=1,$BL22=1,$BH22&gt;0),IF($BI22=1,SUM('Final Calculation Sheet'!$M$4:$M$40),IF($BL22=1,SUM('Final Calculation Sheet'!$M$4:$M$40)-SUMIFS('Final Calculation Sheet'!$M$4:$M$40,$AZ$5:$AZ$41,10),SUMIFS('Final Calculation Sheet'!$M$4:$M$40,$AZ$5:$AZ$41,$BH22))),""))</f>
        <v>8777.43</v>
      </c>
      <c r="O23" s="71">
        <f>IF($BJ22&gt;0,IF(INDEX('Final Calculation Sheet'!$N$4:$N$40,$BJ22-3)="","",INDEX('Final Calculation Sheet'!$N$4:$N$40,$BJ22-3)),IF(OR($BI22=1,$BL22=1,$BH22&gt;0),IF($BI22=1,SUM('Final Calculation Sheet'!$N$4:$N$40),IF($BL22=1,SUM('Final Calculation Sheet'!$N$4:$N$40)-SUMIFS('Final Calculation Sheet'!$N$4:$N$40,$AZ$5:$AZ$41,10),SUMIFS('Final Calculation Sheet'!$N$4:$N$40,$AZ$5:$AZ$41,$BH22))),""))</f>
        <v>148.77000000000001</v>
      </c>
      <c r="P23" s="70">
        <f>IF($BJ22&gt;0,IF(INDEX('Final Calculation Sheet'!$O$4:$O$40,$BJ22-3)="","",INDEX('Final Calculation Sheet'!$O$4:$O$40,$BJ22-3)),IF(OR($BI22=1,$BL22=1,$BH22&gt;0),IF($BI22=1,SUM('Final Calculation Sheet'!$O$4:$O$40),IF($BL22=1,SUM('Final Calculation Sheet'!$O$4:$O$40)-SUMIFS('Final Calculation Sheet'!$O$4:$O$40,$AZ$5:$AZ$41,10),SUMIFS('Final Calculation Sheet'!$O$4:$O$40,$AZ$5:$AZ$41,$BH22))),""))</f>
        <v>8628.66</v>
      </c>
      <c r="Q23" s="70">
        <f>IF($BJ22&gt;0,IF(INDEX('Final Calculation Sheet'!$P$4:$P$40,$BJ22-3)="","",INDEX('Final Calculation Sheet'!$P$4:$P$40,$BJ22-3)),IF(OR($BI22=1,$BL22=1,$BH22&gt;0),IF($BI22=1,SUM('Final Calculation Sheet'!$P$4:$P$40),IF($BL22=1,SUM('Final Calculation Sheet'!$P$4:$P$40)-SUMIFS('Final Calculation Sheet'!$P$4:$P$40,$AZ$5:$AZ$41,10),SUMIFS('Final Calculation Sheet'!$P$4:$P$40,$AZ$5:$AZ$41,$BH22))),""))</f>
        <v>8959</v>
      </c>
      <c r="R23" s="72">
        <f>IF($BJ22&gt;0,IF(INDEX('Final Calculation Sheet'!$Q$4:$Q$40,$BJ22-3)="","",INDEX('Final Calculation Sheet'!$Q$4:$Q$40,$BJ22-3)),IF(OR($BI22=1,$BL22=1,$BH22&gt;0),"–",""))</f>
        <v>0</v>
      </c>
      <c r="S23" s="70">
        <f>IF($BJ22&gt;0,IF(INDEX('Final Calculation Sheet'!$R$4:$R$40,$BJ22-3)="","",INDEX('Final Calculation Sheet'!$R$4:$R$40,$BJ22-3)),IF(OR($BI22=1,$BL22=1,$BH22&gt;0),IF($BI22=1,SUM('Final Calculation Sheet'!$R$4:$R$40),IF($BL22=1,SUM('Final Calculation Sheet'!$R$4:$R$40)-SUMIFS('Final Calculation Sheet'!$R$4:$R$40,$AZ$5:$AZ$41,10),SUMIFS('Final Calculation Sheet'!$R$4:$R$40,$AZ$5:$AZ$41,$BH22))),""))</f>
        <v>0</v>
      </c>
      <c r="T23" s="70">
        <f>IF($BJ22&gt;0,IF(INDEX('Final Calculation Sheet'!$S$4:$S$40,$BJ22-3)="","",INDEX('Final Calculation Sheet'!$S$4:$S$40,$BJ22-3)),IF(OR($BI22=1,$BL22=1,$BH22&gt;0),IF($BI22=1,SUM('Final Calculation Sheet'!$S$4:$S$40),IF($BL22=1,SUM('Final Calculation Sheet'!$S$4:$S$40)-SUMIFS('Final Calculation Sheet'!$S$4:$S$40,$AZ$5:$AZ$41,10),SUMIFS('Final Calculation Sheet'!$S$4:$S$40,$AZ$5:$AZ$41,$BH22))),""))</f>
        <v>388951</v>
      </c>
      <c r="U23" s="70">
        <f>IF($BJ22&gt;0,IF(INDEX('Final Calculation Sheet'!$T$4:$T$40,$BJ22-3)="","",INDEX('Final Calculation Sheet'!$T$4:$T$40,$BJ22-3)),IF(OR($BI22=1,$BL22=1,$BH22&gt;0),IF($BI22=1,SUM('Final Calculation Sheet'!$T$4:$T$40),IF($BL22=1,SUM('Final Calculation Sheet'!$T$4:$T$40)-SUMIFS('Final Calculation Sheet'!$T$4:$T$40,$AZ$5:$AZ$41,10),SUMIFS('Final Calculation Sheet'!$T$4:$T$40,$AZ$5:$AZ$41,$BH22))),""))</f>
        <v>82650</v>
      </c>
      <c r="V23" s="73">
        <f>IF($BJ22&gt;0,IF(INDEX('Final Calculation Sheet'!$U$4:$U$40,$BJ22-3)="","",INDEX('Final Calculation Sheet'!$U$4:$U$40,$BJ22-3)),IF(OR($BI22=1,$BL22=1,$BH22&gt;0),IF($BI22=1,SUM('Final Calculation Sheet'!$U$4:$U$40),IF($BL22=1,SUM('Final Calculation Sheet'!$U$4:$U$40)-SUMIFS('Final Calculation Sheet'!$U$4:$U$40,$AZ$5:$AZ$41,10),SUMIFS('Final Calculation Sheet'!$U$4:$U$40,$AZ$5:$AZ$41,$BH22))),""))</f>
        <v>82650</v>
      </c>
      <c r="W23" s="70" t="str">
        <f>IF($BJ22&gt;0,IF(INDEX('Final Calculation Sheet'!$V$4:$V$40,$BJ22-3)="","",INDEX('Final Calculation Sheet'!$V$4:$V$40,$BJ22-3)),IF(OR($BI22=1,$BL22=1,$BH22&gt;0),"–",""))</f>
        <v>14.08.2026</v>
      </c>
      <c r="X23" s="70">
        <f>IF($BJ22&gt;0,IF(INDEX('Final Calculation Sheet'!$W$4:$W$40,$BJ22-3)="","",INDEX('Final Calculation Sheet'!$W$4:$W$40,$BJ22-3)),IF(OR($BI22=1,$BL22=1,$BH22&gt;0),IF($BI22=1,SUM('Final Calculation Sheet'!$W$4:$W$40),IF($BL22=1,SUM('Final Calculation Sheet'!$W$4:$W$40)-SUMIFS('Final Calculation Sheet'!$W$4:$W$40,$AZ$5:$AZ$41,10),SUMIFS('Final Calculation Sheet'!$W$4:$W$40,$AZ$5:$AZ$41,$BH22))),""))</f>
        <v>306301</v>
      </c>
      <c r="Y23" s="70">
        <f>IF($BJ22&gt;0,IF(INDEX('Final Calculation Sheet'!$X$4:$X$40,$BJ22-3)="","",INDEX('Final Calculation Sheet'!$X$4:$X$40,$BJ22-3)),IF(OR($BI22=1,$BL22=1,$BH22&gt;0),IF($BI22=1,SUM('Final Calculation Sheet'!$X$4:$X$40),IF($BL22=1,SUM('Final Calculation Sheet'!$X$4:$X$40)-SUMIFS('Final Calculation Sheet'!$X$4:$X$40,$AZ$5:$AZ$41,10),SUMIFS('Final Calculation Sheet'!$X$4:$X$40,$AZ$5:$AZ$41,$BH22))),""))</f>
        <v>306301</v>
      </c>
      <c r="Z23" s="70" t="str">
        <f>IF($BJ22&gt;0,IF(INDEX('Final Calculation Sheet'!$Y$4:$Y$40,$BJ22-3)="","",INDEX('Final Calculation Sheet'!$Y$4:$Y$40,$BJ22-3)),IF(OR($BI22=1,$BL22=1,$BH22&gt;0),"–",""))</f>
        <v>21.08.2026</v>
      </c>
      <c r="AA23" s="70">
        <f>IF($BJ22&gt;0,IF(INDEX('Final Calculation Sheet'!$Z$4:$Z$40,$BJ22-3)="","",INDEX('Final Calculation Sheet'!$Z$4:$Z$40,$BJ22-3)),IF(OR($BI22=1,$BL22=1,$BH22&gt;0),IF($BI22=1,SUM('Final Calculation Sheet'!$Z$4:$Z$40),IF($BL22=1,SUM('Final Calculation Sheet'!$Z$4:$Z$40)-SUMIFS('Final Calculation Sheet'!$Z$4:$Z$40,$AZ$5:$AZ$41,10),SUMIFS('Final Calculation Sheet'!$Z$4:$Z$40,$AZ$5:$AZ$41,$BH22))),""))</f>
        <v>0</v>
      </c>
      <c r="AB23" s="70" t="str">
        <f>IF($BJ22&gt;0,IF(INDEX('Final Calculation Sheet'!$AA$4:$AA$40,$BJ22-3)="","",INDEX('Final Calculation Sheet'!$AA$4:$AA$40,$BJ22-3)),IF(OR($BI22=1,$BL22=1,$BH22&gt;0),IF($BI22=1,SUM('Final Calculation Sheet'!$AA$4:$AA$40),IF($BL22=1,SUM('Final Calculation Sheet'!$AA$4:$AA$40)-SUMIFS('Final Calculation Sheet'!$AA$4:$AA$40,$AZ$5:$AZ$41,10),SUMIFS('Final Calculation Sheet'!$AA$4:$AA$40,$AZ$5:$AZ$41,$BH22))),""))</f>
        <v/>
      </c>
      <c r="AC23" s="70" t="str">
        <f>IF($BJ22&gt;0,IF(INDEX('Final Calculation Sheet'!$AB$4:$AB$40,$BJ22-3)="","",INDEX('Final Calculation Sheet'!$AB$4:$AB$40,$BJ22-3)),IF(OR($BI22=1,$BL22=1,$BH22&gt;0),"–",""))</f>
        <v/>
      </c>
      <c r="AD23" s="70">
        <f>IF($BJ22&gt;0,IF(INDEX('Final Calculation Sheet'!$AC$4:$AC$40,$BJ22-3)="","",INDEX('Final Calculation Sheet'!$AC$4:$AC$40,$BJ22-3)),IF(OR($BI22=1,$BL22=1,$BH22&gt;0),IF($BI22=1,SUM('Final Calculation Sheet'!$AC$4:$AC$40),IF($BL22=1,SUM('Final Calculation Sheet'!$AC$4:$AC$40)-SUMIFS('Final Calculation Sheet'!$AC$4:$AC$40,$AZ$5:$AZ$41,10),SUMIFS('Final Calculation Sheet'!$AC$4:$AC$40,$AZ$5:$AZ$41,$BH22))),""))</f>
        <v>388951</v>
      </c>
      <c r="AE23" s="70">
        <f>IF($BJ22&gt;0,IF(INDEX('Final Calculation Sheet'!$AD$4:$AD$40,$BJ22-3)="","",INDEX('Final Calculation Sheet'!$AD$4:$AD$40,$BJ22-3)),IF(OR($BI22=1,$BL22=1,$BH22&gt;0),IF($BI22=1,SUM('Final Calculation Sheet'!$AD$4:$AD$40),IF($BL22=1,SUM('Final Calculation Sheet'!$AD$4:$AD$40)-SUMIFS('Final Calculation Sheet'!$AD$4:$AD$40,$AZ$5:$AZ$41,10),SUMIFS('Final Calculation Sheet'!$AD$4:$AD$40,$AZ$5:$AZ$41,$BH22))),""))</f>
        <v>0</v>
      </c>
      <c r="AF23" s="70" t="str">
        <f>IF($BJ22&gt;0,IF(INDEX('Final Calculation Sheet'!$AE$4:$AE$40,$BJ22-3)="","",INDEX('Final Calculation Sheet'!$AE$4:$AE$40,$BJ22-3)),IF(OR($BI22=1,$BL22=1,$BH22&gt;0),"–",""))</f>
        <v>DR2640100028</v>
      </c>
      <c r="AG23" s="74">
        <f>IF($BJ22&gt;0,IF(INDEX('Final Calculation Sheet'!$AF$4:$AF$40,$BJ22-3)="","",INDEX('Final Calculation Sheet'!$AF$4:$AF$40,$BJ22-3)),IF(OR($BI22=1,$BL22=1,$BH22&gt;0),"–",""))</f>
        <v>1800003269</v>
      </c>
      <c r="AH23" s="70" t="str">
        <f>IF($BJ22&gt;0,IF(INDEX('Final Calculation Sheet'!$AG$4:$AG$40,$BJ22-3)="","",INDEX('Final Calculation Sheet'!$AG$4:$AG$40,$BJ22-3)),IF(OR($BI22=1,$BL22=1,$BH22&gt;0),"–",""))</f>
        <v>24.08.2026</v>
      </c>
      <c r="AI23" s="75" t="str">
        <f>IF($BJ22&gt;0,IF(INDEX('Final Calculation Sheet'!$AD$4:$AD$40,$BJ22-3)="","",IF(INDEX('Final Calculation Sheet'!$AD$4:$AD$40,$BJ22-3)&lt;=5,"SETTLED","OUTSTANDING")),IF(OR($BI22=1,$BL22=1,$BH22&gt;0),IF(IF($BI22=1,SUM('Final Calculation Sheet'!$AD$4:$AD$40),IF($BL22=1,SUM('Final Calculation Sheet'!$AD$4:$AD$40)-SUMIFS('Final Calculation Sheet'!$AD$4:$AD$40,$AZ$5:$AZ$41,10),SUMIFS('Final Calculation Sheet'!$AD$4:$AD$40,$AZ$5:$AZ$41,$BH22)))&lt;=5,"ALL SETTLED","OUTSTANDING"),""))</f>
        <v>SETTLED</v>
      </c>
      <c r="AK23" t="str">
        <f>IF($F$3="Lot No.",'Final Calculation Sheet'!$F$22,IF($F$3="Buyer",'Final Calculation Sheet'!$G$22,IF($F$3="Lot Name",'Final Calculation Sheet'!$B$22,IF($F$3="Bid Sheet",'Final Calculation Sheet'!$D$22,IF($F$3="Unit",'Final Calculation Sheet'!$E$22,'Final Calculation Sheet'!$F$22&amp;" "&amp;'Final Calculation Sheet'!$G$22&amp;" "&amp;'Final Calculation Sheet'!$B$22)))))</f>
        <v>2023 NATIONAL ENTERPRISES Scrap of 132 KV CT</v>
      </c>
      <c r="AL23">
        <f>AL22+IF($B$3="",0,--(SUMPRODUCT(--($AR$6:$AY$6&lt;&gt;""),--ISNUMBER(SEARCH($AR$6:$AY$6,$AK23)))&gt;0))</f>
        <v>0</v>
      </c>
      <c r="AM23">
        <f>IF(COUNTIF($BM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1</v>
      </c>
      <c r="AZ23">
        <f>IF($B$3="",IF(COUNTIF($A$4:$AI$4,"&lt;&gt;")=0,9,IF($AM23=1,9,10)),IF($AM23=0,10,IF(AND($AR$6&lt;&gt;"",ISNUMBER(SEARCH($AR$6,$AK23))),1,IF(AND($AS$6&lt;&gt;"",ISNUMBER(SEARCH($AS$6,$AK23))),2,IF(AND($AT$6&lt;&gt;"",ISNUMBER(SEARCH($AT$6,$AK23))),3,IF(AND($AU$6&lt;&gt;"",ISNUMBER(SEARCH($AU$6,$AK23))),4,IF(AND($AV$6&lt;&gt;"",ISNUMBER(SEARCH($AV$6,$AK23))),5,IF(AND($AW$6&lt;&gt;"",ISNUMBER(SEARCH($AW$6,$AK23))),6,IF(AND($AX$6&lt;&gt;"",ISNUMBER(SEARCH($AX$6,$AK23))),7,IF(AND($AY$6&lt;&gt;"",ISNUMBER(SEARCH($AY$6,$AK23))),8,0))))))))))</f>
        <v>9</v>
      </c>
      <c r="BA23">
        <f>SUMPRODUCT(($AZ$5:$AZ$41=$AZ23)*($BC$5:$BC$41&lt;$BC23))+1</f>
        <v>19</v>
      </c>
      <c r="BB23">
        <f>IF(INDEX($BF$4:$BF$13,$AZ23)=0,0,INDEX($BE$4:$BE$13,$AZ23)+$BA23-1)</f>
        <v>23</v>
      </c>
      <c r="BC23" t="n">
        <v>22</v>
      </c>
      <c r="BH23">
        <f>IFERROR(MATCH(23,$BF$4:$BF$13,0),0)</f>
        <v>0</v>
      </c>
      <c r="BI23">
        <f>IF(23=$BG$5,1,0)</f>
        <v>0</v>
      </c>
      <c r="BJ23">
        <f>IF(OR($BH23&gt;0,$BI23=1,$BL23=1),0,IFERROR(INDEX($BC$5:$BC$41,MATCH(23,$BB$5:$BB$41,0)),0))</f>
        <v>22</v>
      </c>
      <c r="BK23">
        <f>IF($BJ23&gt;0,IF(INDEX($AZ$5:$AZ$41,MATCH(23,$BB$5:$BB$41,0))=10,1,0),IF($BH23=10,1,0))</f>
        <v>0</v>
      </c>
      <c r="BL23">
        <f>IF(23=$BG$4,1,0)</f>
        <v>0</v>
      </c>
      <c r="BM23">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1</v>
      </c>
      <c r="BN23">
        <f>IF($B$4="",1,--(OR(SUMPRODUCT(--(TRIM(MID(SUBSTITUTE(SUBSTITUTE($B$4,"/",","),",",REPT(" ",99)),(ROW($1:$8)-1)*99+1,99))&lt;&gt;""),--ISNUMBER(SEARCH(TRIM(MID(SUBSTITUTE(SUBSTITUTE($B$4,"/",","),",",REPT(" ",99)),(ROW($1:$8)-1)*99+1,99)),IFERROR(('Final Calculation Sheet'!$F$22)&amp;"",""))))&gt;0,AND(ISNUMBER(SEARCH("blank",$B$4)),NOT(ISNUMBER(SEARCH("nonblank",$B$4))),IFERROR(('Final Calculation Sheet'!$F$22)&amp;"","")=""),AND(OR(ISNUMBER(SEARCH("nonblank",$B$4)),ISNUMBER(SEARCH("&lt;&gt;",$B$4))),IFERROR(('Final Calculation Sheet'!$F$22)&amp;"","")&lt;&gt;""),AND(TRIM($B$4)="",IFERROR(('Final Calculation Sheet'!$F$22)&amp;"","")=""))))</f>
        <v>1</v>
      </c>
      <c r="BO23">
        <f>IF($C$4="",1,--(OR(SUMPRODUCT(--(TRIM(MID(SUBSTITUTE(SUBSTITUTE($C$4,"/",","),",",REPT(" ",99)),(ROW($1:$8)-1)*99+1,99))&lt;&gt;""),--ISNUMBER(SEARCH(TRIM(MID(SUBSTITUTE(SUBSTITUTE($C$4,"/",","),",",REPT(" ",99)),(ROW($1:$8)-1)*99+1,99)),IFERROR(('Final Calculation Sheet'!$G$22)&amp;"",""))))&gt;0,AND(ISNUMBER(SEARCH("blank",$C$4)),NOT(ISNUMBER(SEARCH("nonblank",$C$4))),IFERROR(('Final Calculation Sheet'!$G$22)&amp;"","")=""),AND(OR(ISNUMBER(SEARCH("nonblank",$C$4)),ISNUMBER(SEARCH("&lt;&gt;",$C$4))),IFERROR(('Final Calculation Sheet'!$G$22)&amp;"","")&lt;&gt;""),AND(TRIM($C$4)="",IFERROR(('Final Calculation Sheet'!$G$22)&amp;"","")=""))))</f>
        <v>1</v>
      </c>
      <c r="BP23">
        <f>IF($D$4="",1,--(OR(SUMPRODUCT(--(TRIM(MID(SUBSTITUTE(SUBSTITUTE($D$4,"/",","),",",REPT(" ",99)),(ROW($1:$8)-1)*99+1,99))&lt;&gt;""),--ISNUMBER(SEARCH(TRIM(MID(SUBSTITUTE(SUBSTITUTE($D$4,"/",","),",",REPT(" ",99)),(ROW($1:$8)-1)*99+1,99)),IFERROR(('Final Calculation Sheet'!$B$22)&amp;"",""))))&gt;0,AND(ISNUMBER(SEARCH("blank",$D$4)),NOT(ISNUMBER(SEARCH("nonblank",$D$4))),IFERROR(('Final Calculation Sheet'!$B$22)&amp;"","")=""),AND(OR(ISNUMBER(SEARCH("nonblank",$D$4)),ISNUMBER(SEARCH("&lt;&gt;",$D$4))),IFERROR(('Final Calculation Sheet'!$B$22)&amp;"","")&lt;&gt;""),AND(TRIM($D$4)="",IFERROR(('Final Calculation Sheet'!$B$22)&amp;"","")=""))))</f>
        <v>1</v>
      </c>
      <c r="BQ23">
        <f>IF($E$4="",1,--(OR(SUMPRODUCT(--(TRIM(MID(SUBSTITUTE(SUBSTITUTE($E$4,"/",","),",",REPT(" ",99)),(ROW($1:$8)-1)*99+1,99))&lt;&gt;""),--ISNUMBER(SEARCH(TRIM(MID(SUBSTITUTE(SUBSTITUTE($E$4,"/",","),",",REPT(" ",99)),(ROW($1:$8)-1)*99+1,99)),IFERROR(('Final Calculation Sheet'!$D$22)&amp;"",""))))&gt;0,AND(ISNUMBER(SEARCH("blank",$E$4)),NOT(ISNUMBER(SEARCH("nonblank",$E$4))),IFERROR(('Final Calculation Sheet'!$D$22)&amp;"","")=""),AND(OR(ISNUMBER(SEARCH("nonblank",$E$4)),ISNUMBER(SEARCH("&lt;&gt;",$E$4))),IFERROR(('Final Calculation Sheet'!$D$22)&amp;"","")&lt;&gt;""),AND(TRIM($E$4)="",IFERROR(('Final Calculation Sheet'!$D$22)&amp;"","")=""))))</f>
        <v>1</v>
      </c>
      <c r="BR23">
        <f>IF($F$4="",1,--(OR(SUMPRODUCT(--(TRIM(MID(SUBSTITUTE(SUBSTITUTE($F$4,"/",","),",",REPT(" ",99)),(ROW($1:$8)-1)*99+1,99))&lt;&gt;""),--ISNUMBER(SEARCH(TRIM(MID(SUBSTITUTE(SUBSTITUTE($F$4,"/",","),",",REPT(" ",99)),(ROW($1:$8)-1)*99+1,99)),IFERROR(('Final Calculation Sheet'!$A$22)&amp;"",""))))&gt;0,AND(ISNUMBER(SEARCH("blank",$F$4)),NOT(ISNUMBER(SEARCH("nonblank",$F$4))),IFERROR(('Final Calculation Sheet'!$A$22)&amp;"","")=""),AND(OR(ISNUMBER(SEARCH("nonblank",$F$4)),ISNUMBER(SEARCH("&lt;&gt;",$F$4))),IFERROR(('Final Calculation Sheet'!$A$22)&amp;"","")&lt;&gt;""),AND(TRIM($F$4)="",IFERROR(('Final Calculation Sheet'!$A$22)&amp;"","")=""))))</f>
        <v>1</v>
      </c>
      <c r="BS23">
        <f>IF($G$4="",1,--(OR(SUMPRODUCT(--(TRIM(MID(SUBSTITUTE(SUBSTITUTE($G$4,"/",","),",",REPT(" ",99)),(ROW($1:$8)-1)*99+1,99))&lt;&gt;""),--ISNUMBER(SEARCH(TRIM(MID(SUBSTITUTE(SUBSTITUTE($G$4,"/",","),",",REPT(" ",99)),(ROW($1:$8)-1)*99+1,99)),IFERROR(('Final Calculation Sheet'!$E$22)&amp;"",""))))&gt;0,AND(ISNUMBER(SEARCH("blank",$G$4)),NOT(ISNUMBER(SEARCH("nonblank",$G$4))),IFERROR(('Final Calculation Sheet'!$E$22)&amp;"","")=""),AND(OR(ISNUMBER(SEARCH("nonblank",$G$4)),ISNUMBER(SEARCH("&lt;&gt;",$G$4))),IFERROR(('Final Calculation Sheet'!$E$22)&amp;"","")&lt;&gt;""),AND(TRIM($G$4)="",IFERROR(('Final Calculation Sheet'!$E$22)&amp;"","")=""))))</f>
        <v>1</v>
      </c>
      <c r="BT23">
        <f>IF($H$4="",1,--(OR(SUMPRODUCT(--(TRIM(MID(SUBSTITUTE(SUBSTITUTE($H$4,"/",","),",",REPT(" ",99)),(ROW($1:$8)-1)*99+1,99))&lt;&gt;""),--ISNUMBER(SEARCH(TRIM(MID(SUBSTITUTE(SUBSTITUTE($H$4,"/",","),",",REPT(" ",99)),(ROW($1:$8)-1)*99+1,99)),IFERROR(('Final Calculation Sheet'!$C$22)&amp;"",""))))&gt;0,AND(ISNUMBER(SEARCH("blank",$H$4)),NOT(ISNUMBER(SEARCH("nonblank",$H$4))),IFERROR(('Final Calculation Sheet'!$C$22)&amp;"","")=""),AND(OR(ISNUMBER(SEARCH("nonblank",$H$4)),ISNUMBER(SEARCH("&lt;&gt;",$H$4))),IFERROR(('Final Calculation Sheet'!$C$22)&amp;"","")&lt;&gt;""),AND(TRIM($H$4)="",IFERROR(('Final Calculation Sheet'!$C$22)&amp;"","")=""))))</f>
        <v>1</v>
      </c>
      <c r="BU23">
        <f>IF($I$4="",1,--(OR(SUMPRODUCT(--(TRIM(MID(SUBSTITUTE(SUBSTITUTE($I$4,"/",","),",",REPT(" ",99)),(ROW($1:$8)-1)*99+1,99))&lt;&gt;""),--ISNUMBER(SEARCH(TRIM(MID(SUBSTITUTE(SUBSTITUTE($I$4,"/",","),",",REPT(" ",99)),(ROW($1:$8)-1)*99+1,99)),IFERROR(('Final Calculation Sheet'!$H$22)&amp;"",""))))&gt;0,AND(ISNUMBER(SEARCH("blank",$I$4)),NOT(ISNUMBER(SEARCH("nonblank",$I$4))),IFERROR(('Final Calculation Sheet'!$H$22)&amp;"","")=""),AND(OR(ISNUMBER(SEARCH("nonblank",$I$4)),ISNUMBER(SEARCH("&lt;&gt;",$I$4))),IFERROR(('Final Calculation Sheet'!$H$22)&amp;"","")&lt;&gt;""),AND(TRIM($I$4)="",IFERROR(('Final Calculation Sheet'!$H$22)&amp;"","")=""))))</f>
        <v>1</v>
      </c>
      <c r="BV23">
        <f>IF($J$4="",1,--(OR(SUMPRODUCT(--(TRIM(MID(SUBSTITUTE(SUBSTITUTE($J$4,"/",","),",",REPT(" ",99)),(ROW($1:$8)-1)*99+1,99))&lt;&gt;""),--ISNUMBER(SEARCH(TRIM(MID(SUBSTITUTE(SUBSTITUTE($J$4,"/",","),",",REPT(" ",99)),(ROW($1:$8)-1)*99+1,99)),IFERROR(('Final Calculation Sheet'!$I$22)&amp;"",""))))&gt;0,AND(ISNUMBER(SEARCH("blank",$J$4)),NOT(ISNUMBER(SEARCH("nonblank",$J$4))),IFERROR(('Final Calculation Sheet'!$I$22)&amp;"","")=""),AND(OR(ISNUMBER(SEARCH("nonblank",$J$4)),ISNUMBER(SEARCH("&lt;&gt;",$J$4))),IFERROR(('Final Calculation Sheet'!$I$22)&amp;"","")&lt;&gt;""),AND(TRIM($J$4)="",IFERROR(('Final Calculation Sheet'!$I$22)&amp;"","")=""))))</f>
        <v>1</v>
      </c>
      <c r="BW23">
        <f>IF($K$4="",1,--(OR(SUMPRODUCT(--(TRIM(MID(SUBSTITUTE(SUBSTITUTE($K$4,"/",","),",",REPT(" ",99)),(ROW($1:$8)-1)*99+1,99))&lt;&gt;""),--ISNUMBER(SEARCH(TRIM(MID(SUBSTITUTE(SUBSTITUTE($K$4,"/",","),",",REPT(" ",99)),(ROW($1:$8)-1)*99+1,99)),IFERROR(('Final Calculation Sheet'!$J$22)&amp;"",""))))&gt;0,AND(ISNUMBER(SEARCH("blank",$K$4)),NOT(ISNUMBER(SEARCH("nonblank",$K$4))),IFERROR(('Final Calculation Sheet'!$J$22)&amp;"","")=""),AND(OR(ISNUMBER(SEARCH("nonblank",$K$4)),ISNUMBER(SEARCH("&lt;&gt;",$K$4))),IFERROR(('Final Calculation Sheet'!$J$22)&amp;"","")&lt;&gt;""),AND(TRIM($K$4)="",IFERROR(('Final Calculation Sheet'!$J$22)&amp;"","")=""))))</f>
        <v>1</v>
      </c>
      <c r="BX23">
        <f>IF($L$4="",1,--(OR(SUMPRODUCT(--(TRIM(MID(SUBSTITUTE(SUBSTITUTE($L$4,"/",","),",",REPT(" ",99)),(ROW($1:$8)-1)*99+1,99))&lt;&gt;""),--ISNUMBER(SEARCH(TRIM(MID(SUBSTITUTE(SUBSTITUTE($L$4,"/",","),",",REPT(" ",99)),(ROW($1:$8)-1)*99+1,99)),IFERROR(('Final Calculation Sheet'!$K$22)&amp;"",""))))&gt;0,AND(ISNUMBER(SEARCH("blank",$L$4)),NOT(ISNUMBER(SEARCH("nonblank",$L$4))),IFERROR(('Final Calculation Sheet'!$K$22)&amp;"","")=""),AND(OR(ISNUMBER(SEARCH("nonblank",$L$4)),ISNUMBER(SEARCH("&lt;&gt;",$L$4))),IFERROR(('Final Calculation Sheet'!$K$22)&amp;"","")&lt;&gt;""),AND(TRIM($L$4)="",IFERROR(('Final Calculation Sheet'!$K$22)&amp;"","")=""))))</f>
        <v>1</v>
      </c>
      <c r="BY23">
        <f>IF($M$4="",1,--(OR(SUMPRODUCT(--(TRIM(MID(SUBSTITUTE(SUBSTITUTE($M$4,"/",","),",",REPT(" ",99)),(ROW($1:$8)-1)*99+1,99))&lt;&gt;""),--ISNUMBER(SEARCH(TRIM(MID(SUBSTITUTE(SUBSTITUTE($M$4,"/",","),",",REPT(" ",99)),(ROW($1:$8)-1)*99+1,99)),IFERROR(('Final Calculation Sheet'!$L$22)&amp;"",""))))&gt;0,AND(ISNUMBER(SEARCH("blank",$M$4)),NOT(ISNUMBER(SEARCH("nonblank",$M$4))),IFERROR(('Final Calculation Sheet'!$L$22)&amp;"","")=""),AND(OR(ISNUMBER(SEARCH("nonblank",$M$4)),ISNUMBER(SEARCH("&lt;&gt;",$M$4))),IFERROR(('Final Calculation Sheet'!$L$22)&amp;"","")&lt;&gt;""),AND(TRIM($M$4)="",IFERROR(('Final Calculation Sheet'!$L$22)&amp;"","")=""))))</f>
        <v>1</v>
      </c>
      <c r="BZ23">
        <f>IF($N$4="",1,--(OR(SUMPRODUCT(--(TRIM(MID(SUBSTITUTE(SUBSTITUTE($N$4,"/",","),",",REPT(" ",99)),(ROW($1:$8)-1)*99+1,99))&lt;&gt;""),--ISNUMBER(SEARCH(TRIM(MID(SUBSTITUTE(SUBSTITUTE($N$4,"/",","),",",REPT(" ",99)),(ROW($1:$8)-1)*99+1,99)),IFERROR(('Final Calculation Sheet'!$M$22)&amp;"",""))))&gt;0,AND(ISNUMBER(SEARCH("blank",$N$4)),NOT(ISNUMBER(SEARCH("nonblank",$N$4))),IFERROR(('Final Calculation Sheet'!$M$22)&amp;"","")=""),AND(OR(ISNUMBER(SEARCH("nonblank",$N$4)),ISNUMBER(SEARCH("&lt;&gt;",$N$4))),IFERROR(('Final Calculation Sheet'!$M$22)&amp;"","")&lt;&gt;""),AND(TRIM($N$4)="",IFERROR(('Final Calculation Sheet'!$M$22)&amp;"","")=""))))</f>
        <v>1</v>
      </c>
      <c r="CA23">
        <f>IF($O$4="",1,--(OR(SUMPRODUCT(--(TRIM(MID(SUBSTITUTE(SUBSTITUTE($O$4,"/",","),",",REPT(" ",99)),(ROW($1:$8)-1)*99+1,99))&lt;&gt;""),--ISNUMBER(SEARCH(TRIM(MID(SUBSTITUTE(SUBSTITUTE($O$4,"/",","),",",REPT(" ",99)),(ROW($1:$8)-1)*99+1,99)),IFERROR(('Final Calculation Sheet'!$N$22)&amp;"",""))))&gt;0,AND(ISNUMBER(SEARCH("blank",$O$4)),NOT(ISNUMBER(SEARCH("nonblank",$O$4))),IFERROR(('Final Calculation Sheet'!$N$22)&amp;"","")=""),AND(OR(ISNUMBER(SEARCH("nonblank",$O$4)),ISNUMBER(SEARCH("&lt;&gt;",$O$4))),IFERROR(('Final Calculation Sheet'!$N$22)&amp;"","")&lt;&gt;""),AND(TRIM($O$4)="",IFERROR(('Final Calculation Sheet'!$N$22)&amp;"","")=""))))</f>
        <v>1</v>
      </c>
      <c r="CB23">
        <f>IF($P$4="",1,--(OR(SUMPRODUCT(--(TRIM(MID(SUBSTITUTE(SUBSTITUTE($P$4,"/",","),",",REPT(" ",99)),(ROW($1:$8)-1)*99+1,99))&lt;&gt;""),--ISNUMBER(SEARCH(TRIM(MID(SUBSTITUTE(SUBSTITUTE($P$4,"/",","),",",REPT(" ",99)),(ROW($1:$8)-1)*99+1,99)),IFERROR(('Final Calculation Sheet'!$O$22)&amp;"",""))))&gt;0,AND(ISNUMBER(SEARCH("blank",$P$4)),NOT(ISNUMBER(SEARCH("nonblank",$P$4))),IFERROR(('Final Calculation Sheet'!$O$22)&amp;"","")=""),AND(OR(ISNUMBER(SEARCH("nonblank",$P$4)),ISNUMBER(SEARCH("&lt;&gt;",$P$4))),IFERROR(('Final Calculation Sheet'!$O$22)&amp;"","")&lt;&gt;""),AND(TRIM($P$4)="",IFERROR(('Final Calculation Sheet'!$O$22)&amp;"","")=""))))</f>
        <v>1</v>
      </c>
      <c r="CC23">
        <f>IF($Q$4="",1,--(OR(SUMPRODUCT(--(TRIM(MID(SUBSTITUTE(SUBSTITUTE($Q$4,"/",","),",",REPT(" ",99)),(ROW($1:$8)-1)*99+1,99))&lt;&gt;""),--ISNUMBER(SEARCH(TRIM(MID(SUBSTITUTE(SUBSTITUTE($Q$4,"/",","),",",REPT(" ",99)),(ROW($1:$8)-1)*99+1,99)),IFERROR(('Final Calculation Sheet'!$P$22)&amp;"",""))))&gt;0,AND(ISNUMBER(SEARCH("blank",$Q$4)),NOT(ISNUMBER(SEARCH("nonblank",$Q$4))),IFERROR(('Final Calculation Sheet'!$P$22)&amp;"","")=""),AND(OR(ISNUMBER(SEARCH("nonblank",$Q$4)),ISNUMBER(SEARCH("&lt;&gt;",$Q$4))),IFERROR(('Final Calculation Sheet'!$P$22)&amp;"","")&lt;&gt;""),AND(TRIM($Q$4)="",IFERROR(('Final Calculation Sheet'!$P$22)&amp;"","")=""))))</f>
        <v>1</v>
      </c>
      <c r="CD23">
        <f>IF($R$4="",1,--(OR(SUMPRODUCT(--(TRIM(MID(SUBSTITUTE(SUBSTITUTE($R$4,"/",","),",",REPT(" ",99)),(ROW($1:$8)-1)*99+1,99))&lt;&gt;""),--ISNUMBER(SEARCH(TRIM(MID(SUBSTITUTE(SUBSTITUTE($R$4,"/",","),",",REPT(" ",99)),(ROW($1:$8)-1)*99+1,99)),IFERROR(('Final Calculation Sheet'!$Q$22)&amp;"",""))))&gt;0,AND(ISNUMBER(SEARCH("blank",$R$4)),NOT(ISNUMBER(SEARCH("nonblank",$R$4))),IFERROR(('Final Calculation Sheet'!$Q$22)&amp;"","")=""),AND(OR(ISNUMBER(SEARCH("nonblank",$R$4)),ISNUMBER(SEARCH("&lt;&gt;",$R$4))),IFERROR(('Final Calculation Sheet'!$Q$22)&amp;"","")&lt;&gt;""),AND(TRIM($R$4)="",IFERROR(('Final Calculation Sheet'!$Q$22)&amp;"","")=""))))</f>
        <v>1</v>
      </c>
      <c r="CE23">
        <f>IF($S$4="",1,--(OR(SUMPRODUCT(--(TRIM(MID(SUBSTITUTE(SUBSTITUTE($S$4,"/",","),",",REPT(" ",99)),(ROW($1:$8)-1)*99+1,99))&lt;&gt;""),--ISNUMBER(SEARCH(TRIM(MID(SUBSTITUTE(SUBSTITUTE($S$4,"/",","),",",REPT(" ",99)),(ROW($1:$8)-1)*99+1,99)),IFERROR(('Final Calculation Sheet'!$R$22)&amp;"",""))))&gt;0,AND(ISNUMBER(SEARCH("blank",$S$4)),NOT(ISNUMBER(SEARCH("nonblank",$S$4))),IFERROR(('Final Calculation Sheet'!$R$22)&amp;"","")=""),AND(OR(ISNUMBER(SEARCH("nonblank",$S$4)),ISNUMBER(SEARCH("&lt;&gt;",$S$4))),IFERROR(('Final Calculation Sheet'!$R$22)&amp;"","")&lt;&gt;""),AND(TRIM($S$4)="",IFERROR(('Final Calculation Sheet'!$R$22)&amp;"","")=""))))</f>
        <v>1</v>
      </c>
      <c r="CF23">
        <f>IF($T$4="",1,--(OR(SUMPRODUCT(--(TRIM(MID(SUBSTITUTE(SUBSTITUTE($T$4,"/",","),",",REPT(" ",99)),(ROW($1:$8)-1)*99+1,99))&lt;&gt;""),--ISNUMBER(SEARCH(TRIM(MID(SUBSTITUTE(SUBSTITUTE($T$4,"/",","),",",REPT(" ",99)),(ROW($1:$8)-1)*99+1,99)),IFERROR(('Final Calculation Sheet'!$S$22)&amp;"",""))))&gt;0,AND(ISNUMBER(SEARCH("blank",$T$4)),NOT(ISNUMBER(SEARCH("nonblank",$T$4))),IFERROR(('Final Calculation Sheet'!$S$22)&amp;"","")=""),AND(OR(ISNUMBER(SEARCH("nonblank",$T$4)),ISNUMBER(SEARCH("&lt;&gt;",$T$4))),IFERROR(('Final Calculation Sheet'!$S$22)&amp;"","")&lt;&gt;""),AND(TRIM($T$4)="",IFERROR(('Final Calculation Sheet'!$S$22)&amp;"","")=""))))</f>
        <v>1</v>
      </c>
      <c r="CG23">
        <f>IF($U$4="",1,--(OR(SUMPRODUCT(--(TRIM(MID(SUBSTITUTE(SUBSTITUTE($U$4,"/",","),",",REPT(" ",99)),(ROW($1:$8)-1)*99+1,99))&lt;&gt;""),--ISNUMBER(SEARCH(TRIM(MID(SUBSTITUTE(SUBSTITUTE($U$4,"/",","),",",REPT(" ",99)),(ROW($1:$8)-1)*99+1,99)),IFERROR(('Final Calculation Sheet'!$T$22)&amp;"",""))))&gt;0,AND(ISNUMBER(SEARCH("blank",$U$4)),NOT(ISNUMBER(SEARCH("nonblank",$U$4))),IFERROR(('Final Calculation Sheet'!$T$22)&amp;"","")=""),AND(OR(ISNUMBER(SEARCH("nonblank",$U$4)),ISNUMBER(SEARCH("&lt;&gt;",$U$4))),IFERROR(('Final Calculation Sheet'!$T$22)&amp;"","")&lt;&gt;""),AND(TRIM($U$4)="",IFERROR(('Final Calculation Sheet'!$T$22)&amp;"","")=""))))</f>
        <v>1</v>
      </c>
      <c r="CH23">
        <f>IF($V$4="",1,--(OR(SUMPRODUCT(--(TRIM(MID(SUBSTITUTE(SUBSTITUTE($V$4,"/",","),",",REPT(" ",99)),(ROW($1:$8)-1)*99+1,99))&lt;&gt;""),--ISNUMBER(SEARCH(TRIM(MID(SUBSTITUTE(SUBSTITUTE($V$4,"/",","),",",REPT(" ",99)),(ROW($1:$8)-1)*99+1,99)),IFERROR(('Final Calculation Sheet'!$U$22)&amp;"",""))))&gt;0,AND(ISNUMBER(SEARCH("blank",$V$4)),NOT(ISNUMBER(SEARCH("nonblank",$V$4))),IFERROR(('Final Calculation Sheet'!$U$22)&amp;"","")=""),AND(OR(ISNUMBER(SEARCH("nonblank",$V$4)),ISNUMBER(SEARCH("&lt;&gt;",$V$4))),IFERROR(('Final Calculation Sheet'!$U$22)&amp;"","")&lt;&gt;""),AND(TRIM($V$4)="",IFERROR(('Final Calculation Sheet'!$U$22)&amp;"","")=""))))</f>
        <v>1</v>
      </c>
      <c r="CI23">
        <f>IF($W$4="",1,--(OR(SUMPRODUCT(--(TRIM(MID(SUBSTITUTE(SUBSTITUTE($W$4,"/",","),",",REPT(" ",99)),(ROW($1:$8)-1)*99+1,99))&lt;&gt;""),--ISNUMBER(SEARCH(TRIM(MID(SUBSTITUTE(SUBSTITUTE($W$4,"/",","),",",REPT(" ",99)),(ROW($1:$8)-1)*99+1,99)),IFERROR(('Final Calculation Sheet'!$V$22)&amp;"",""))))&gt;0,AND(ISNUMBER(SEARCH("blank",$W$4)),NOT(ISNUMBER(SEARCH("nonblank",$W$4))),IFERROR(('Final Calculation Sheet'!$V$22)&amp;"","")=""),AND(OR(ISNUMBER(SEARCH("nonblank",$W$4)),ISNUMBER(SEARCH("&lt;&gt;",$W$4))),IFERROR(('Final Calculation Sheet'!$V$22)&amp;"","")&lt;&gt;""),AND(TRIM($W$4)="",IFERROR(('Final Calculation Sheet'!$V$22)&amp;"","")=""))))</f>
        <v>1</v>
      </c>
      <c r="CJ23">
        <f>IF($X$4="",1,--(OR(SUMPRODUCT(--(TRIM(MID(SUBSTITUTE(SUBSTITUTE($X$4,"/",","),",",REPT(" ",99)),(ROW($1:$8)-1)*99+1,99))&lt;&gt;""),--ISNUMBER(SEARCH(TRIM(MID(SUBSTITUTE(SUBSTITUTE($X$4,"/",","),",",REPT(" ",99)),(ROW($1:$8)-1)*99+1,99)),IFERROR(('Final Calculation Sheet'!$W$22)&amp;"",""))))&gt;0,AND(ISNUMBER(SEARCH("blank",$X$4)),NOT(ISNUMBER(SEARCH("nonblank",$X$4))),IFERROR(('Final Calculation Sheet'!$W$22)&amp;"","")=""),AND(OR(ISNUMBER(SEARCH("nonblank",$X$4)),ISNUMBER(SEARCH("&lt;&gt;",$X$4))),IFERROR(('Final Calculation Sheet'!$W$22)&amp;"","")&lt;&gt;""),AND(TRIM($X$4)="",IFERROR(('Final Calculation Sheet'!$W$22)&amp;"","")=""))))</f>
        <v>1</v>
      </c>
      <c r="CK23">
        <f>IF($Y$4="",1,--(OR(SUMPRODUCT(--(TRIM(MID(SUBSTITUTE(SUBSTITUTE($Y$4,"/",","),",",REPT(" ",99)),(ROW($1:$8)-1)*99+1,99))&lt;&gt;""),--ISNUMBER(SEARCH(TRIM(MID(SUBSTITUTE(SUBSTITUTE($Y$4,"/",","),",",REPT(" ",99)),(ROW($1:$8)-1)*99+1,99)),IFERROR(('Final Calculation Sheet'!$X$22)&amp;"",""))))&gt;0,AND(ISNUMBER(SEARCH("blank",$Y$4)),NOT(ISNUMBER(SEARCH("nonblank",$Y$4))),IFERROR(('Final Calculation Sheet'!$X$22)&amp;"","")=""),AND(OR(ISNUMBER(SEARCH("nonblank",$Y$4)),ISNUMBER(SEARCH("&lt;&gt;",$Y$4))),IFERROR(('Final Calculation Sheet'!$X$22)&amp;"","")&lt;&gt;""),AND(TRIM($Y$4)="",IFERROR(('Final Calculation Sheet'!$X$22)&amp;"","")=""))))</f>
        <v>1</v>
      </c>
      <c r="CL23">
        <f>IF($Z$4="",1,--(OR(SUMPRODUCT(--(TRIM(MID(SUBSTITUTE(SUBSTITUTE($Z$4,"/",","),",",REPT(" ",99)),(ROW($1:$8)-1)*99+1,99))&lt;&gt;""),--ISNUMBER(SEARCH(TRIM(MID(SUBSTITUTE(SUBSTITUTE($Z$4,"/",","),",",REPT(" ",99)),(ROW($1:$8)-1)*99+1,99)),IFERROR(('Final Calculation Sheet'!$Y$22)&amp;"",""))))&gt;0,AND(ISNUMBER(SEARCH("blank",$Z$4)),NOT(ISNUMBER(SEARCH("nonblank",$Z$4))),IFERROR(('Final Calculation Sheet'!$Y$22)&amp;"","")=""),AND(OR(ISNUMBER(SEARCH("nonblank",$Z$4)),ISNUMBER(SEARCH("&lt;&gt;",$Z$4))),IFERROR(('Final Calculation Sheet'!$Y$22)&amp;"","")&lt;&gt;""),AND(TRIM($Z$4)="",IFERROR(('Final Calculation Sheet'!$Y$22)&amp;"","")=""))))</f>
        <v>1</v>
      </c>
      <c r="CM23">
        <f>IF($AA$4="",1,--(OR(SUMPRODUCT(--(TRIM(MID(SUBSTITUTE(SUBSTITUTE($AA$4,"/",","),",",REPT(" ",99)),(ROW($1:$8)-1)*99+1,99))&lt;&gt;""),--ISNUMBER(SEARCH(TRIM(MID(SUBSTITUTE(SUBSTITUTE($AA$4,"/",","),",",REPT(" ",99)),(ROW($1:$8)-1)*99+1,99)),IFERROR(('Final Calculation Sheet'!$Z$22)&amp;"",""))))&gt;0,AND(ISNUMBER(SEARCH("blank",$AA$4)),NOT(ISNUMBER(SEARCH("nonblank",$AA$4))),IFERROR(('Final Calculation Sheet'!$Z$22)&amp;"","")=""),AND(OR(ISNUMBER(SEARCH("nonblank",$AA$4)),ISNUMBER(SEARCH("&lt;&gt;",$AA$4))),IFERROR(('Final Calculation Sheet'!$Z$22)&amp;"","")&lt;&gt;""),AND(TRIM($AA$4)="",IFERROR(('Final Calculation Sheet'!$Z$22)&amp;"","")=""))))</f>
        <v>1</v>
      </c>
      <c r="CN23">
        <f>IF($AB$4="",1,--(OR(SUMPRODUCT(--(TRIM(MID(SUBSTITUTE(SUBSTITUTE($AB$4,"/",","),",",REPT(" ",99)),(ROW($1:$8)-1)*99+1,99))&lt;&gt;""),--ISNUMBER(SEARCH(TRIM(MID(SUBSTITUTE(SUBSTITUTE($AB$4,"/",","),",",REPT(" ",99)),(ROW($1:$8)-1)*99+1,99)),IFERROR(('Final Calculation Sheet'!$AA$22)&amp;"",""))))&gt;0,AND(ISNUMBER(SEARCH("blank",$AB$4)),NOT(ISNUMBER(SEARCH("nonblank",$AB$4))),IFERROR(('Final Calculation Sheet'!$AA$22)&amp;"","")=""),AND(OR(ISNUMBER(SEARCH("nonblank",$AB$4)),ISNUMBER(SEARCH("&lt;&gt;",$AB$4))),IFERROR(('Final Calculation Sheet'!$AA$22)&amp;"","")&lt;&gt;""),AND(TRIM($AB$4)="",IFERROR(('Final Calculation Sheet'!$AA$22)&amp;"","")=""))))</f>
        <v>1</v>
      </c>
      <c r="CO23">
        <f>IF($AC$4="",1,--(OR(SUMPRODUCT(--(TRIM(MID(SUBSTITUTE(SUBSTITUTE($AC$4,"/",","),",",REPT(" ",99)),(ROW($1:$8)-1)*99+1,99))&lt;&gt;""),--ISNUMBER(SEARCH(TRIM(MID(SUBSTITUTE(SUBSTITUTE($AC$4,"/",","),",",REPT(" ",99)),(ROW($1:$8)-1)*99+1,99)),IFERROR(('Final Calculation Sheet'!$AB$22)&amp;"",""))))&gt;0,AND(ISNUMBER(SEARCH("blank",$AC$4)),NOT(ISNUMBER(SEARCH("nonblank",$AC$4))),IFERROR(('Final Calculation Sheet'!$AB$22)&amp;"","")=""),AND(OR(ISNUMBER(SEARCH("nonblank",$AC$4)),ISNUMBER(SEARCH("&lt;&gt;",$AC$4))),IFERROR(('Final Calculation Sheet'!$AB$22)&amp;"","")&lt;&gt;""),AND(TRIM($AC$4)="",IFERROR(('Final Calculation Sheet'!$AB$22)&amp;"","")=""))))</f>
        <v>1</v>
      </c>
      <c r="CP23">
        <f>IF($AD$4="",1,--(OR(SUMPRODUCT(--(TRIM(MID(SUBSTITUTE(SUBSTITUTE($AD$4,"/",","),",",REPT(" ",99)),(ROW($1:$8)-1)*99+1,99))&lt;&gt;""),--ISNUMBER(SEARCH(TRIM(MID(SUBSTITUTE(SUBSTITUTE($AD$4,"/",","),",",REPT(" ",99)),(ROW($1:$8)-1)*99+1,99)),IFERROR(('Final Calculation Sheet'!$AC$22)&amp;"",""))))&gt;0,AND(ISNUMBER(SEARCH("blank",$AD$4)),NOT(ISNUMBER(SEARCH("nonblank",$AD$4))),IFERROR(('Final Calculation Sheet'!$AC$22)&amp;"","")=""),AND(OR(ISNUMBER(SEARCH("nonblank",$AD$4)),ISNUMBER(SEARCH("&lt;&gt;",$AD$4))),IFERROR(('Final Calculation Sheet'!$AC$22)&amp;"","")&lt;&gt;""),AND(TRIM($AD$4)="",IFERROR(('Final Calculation Sheet'!$AC$22)&amp;"","")=""))))</f>
        <v>1</v>
      </c>
      <c r="CQ23">
        <f>IF($AE$4="",1,--(OR(SUMPRODUCT(--(TRIM(MID(SUBSTITUTE(SUBSTITUTE($AE$4,"/",","),",",REPT(" ",99)),(ROW($1:$8)-1)*99+1,99))&lt;&gt;""),--ISNUMBER(SEARCH(TRIM(MID(SUBSTITUTE(SUBSTITUTE($AE$4,"/",","),",",REPT(" ",99)),(ROW($1:$8)-1)*99+1,99)),IFERROR(('Final Calculation Sheet'!$AD$22)&amp;"",""))))&gt;0,AND(ISNUMBER(SEARCH("blank",$AE$4)),NOT(ISNUMBER(SEARCH("nonblank",$AE$4))),IFERROR(('Final Calculation Sheet'!$AD$22)&amp;"","")=""),AND(OR(ISNUMBER(SEARCH("nonblank",$AE$4)),ISNUMBER(SEARCH("&lt;&gt;",$AE$4))),IFERROR(('Final Calculation Sheet'!$AD$22)&amp;"","")&lt;&gt;""),AND(TRIM($AE$4)="",IFERROR(('Final Calculation Sheet'!$AD$22)&amp;"","")=""))))</f>
        <v>1</v>
      </c>
      <c r="CR23">
        <f>IF($AF$4="",1,--(OR(SUMPRODUCT(--(TRIM(MID(SUBSTITUTE(SUBSTITUTE($AF$4,"/",","),",",REPT(" ",99)),(ROW($1:$8)-1)*99+1,99))&lt;&gt;""),--ISNUMBER(SEARCH(TRIM(MID(SUBSTITUTE(SUBSTITUTE($AF$4,"/",","),",",REPT(" ",99)),(ROW($1:$8)-1)*99+1,99)),IFERROR(('Final Calculation Sheet'!$AE$22)&amp;"",""))))&gt;0,AND(ISNUMBER(SEARCH("blank",$AF$4)),NOT(ISNUMBER(SEARCH("nonblank",$AF$4))),IFERROR(('Final Calculation Sheet'!$AE$22)&amp;"","")=""),AND(OR(ISNUMBER(SEARCH("nonblank",$AF$4)),ISNUMBER(SEARCH("&lt;&gt;",$AF$4))),IFERROR(('Final Calculation Sheet'!$AE$22)&amp;"","")&lt;&gt;""),AND(TRIM($AF$4)="",IFERROR(('Final Calculation Sheet'!$AE$22)&amp;"","")=""))))</f>
        <v>1</v>
      </c>
      <c r="CS23">
        <f>IF($AG$4="",1,--(OR(SUMPRODUCT(--(TRIM(MID(SUBSTITUTE(SUBSTITUTE($AG$4,"/",","),",",REPT(" ",99)),(ROW($1:$8)-1)*99+1,99))&lt;&gt;""),--ISNUMBER(SEARCH(TRIM(MID(SUBSTITUTE(SUBSTITUTE($AG$4,"/",","),",",REPT(" ",99)),(ROW($1:$8)-1)*99+1,99)),IFERROR(('Final Calculation Sheet'!$AF$22)&amp;"",""))))&gt;0,AND(ISNUMBER(SEARCH("blank",$AG$4)),NOT(ISNUMBER(SEARCH("nonblank",$AG$4))),IFERROR(('Final Calculation Sheet'!$AF$22)&amp;"","")=""),AND(OR(ISNUMBER(SEARCH("nonblank",$AG$4)),ISNUMBER(SEARCH("&lt;&gt;",$AG$4))),IFERROR(('Final Calculation Sheet'!$AF$22)&amp;"","")&lt;&gt;""),AND(TRIM($AG$4)="",IFERROR(('Final Calculation Sheet'!$AF$22)&amp;"","")=""))))</f>
        <v>1</v>
      </c>
      <c r="CT23">
        <f>IF($AH$4="",1,--(OR(SUMPRODUCT(--(TRIM(MID(SUBSTITUTE(SUBSTITUTE($AH$4,"/",","),",",REPT(" ",99)),(ROW($1:$8)-1)*99+1,99))&lt;&gt;""),--ISNUMBER(SEARCH(TRIM(MID(SUBSTITUTE(SUBSTITUTE($AH$4,"/",","),",",REPT(" ",99)),(ROW($1:$8)-1)*99+1,99)),IFERROR(('Final Calculation Sheet'!$AG$22)&amp;"",""))))&gt;0,AND(ISNUMBER(SEARCH("blank",$AH$4)),NOT(ISNUMBER(SEARCH("nonblank",$AH$4))),IFERROR(('Final Calculation Sheet'!$AG$22)&amp;"","")=""),AND(OR(ISNUMBER(SEARCH("nonblank",$AH$4)),ISNUMBER(SEARCH("&lt;&gt;",$AH$4))),IFERROR(('Final Calculation Sheet'!$AG$22)&amp;"","")&lt;&gt;""),AND(TRIM($AH$4)="",IFERROR(('Final Calculation Sheet'!$AG$22)&amp;"","")=""))))</f>
        <v>1</v>
      </c>
      <c r="CU23">
        <f>IF($AI$4="",1,--(OR(SUMPRODUCT(--(TRIM(MID(SUBSTITUTE(SUBSTITUTE($AI$4,"/",","),",",REPT(" ",99)),(ROW($1:$8)-1)*99+1,99))&lt;&gt;""),--ISNUMBER(SEARCH(TRIM(MID(SUBSTITUTE(SUBSTITUTE($AI$4,"/",","),",",REPT(" ",99)),(ROW($1:$8)-1)*99+1,99)),IFERROR((IF('Final Calculation Sheet'!$AD$22&lt;=5,"SETTLED","OUTSTANDING"))&amp;"",""))))&gt;0,AND(ISNUMBER(SEARCH("blank",$AI$4)),NOT(ISNUMBER(SEARCH("nonblank",$AI$4))),IFERROR((IF('Final Calculation Sheet'!$AD$22&lt;=5,"SETTLED","OUTSTANDING"))&amp;"","")=""),AND(OR(ISNUMBER(SEARCH("nonblank",$AI$4)),ISNUMBER(SEARCH("&lt;&gt;",$AI$4))),IFERROR((IF('Final Calculation Sheet'!$AD$22&lt;=5,"SETTLED","OUTSTANDING"))&amp;"","")&lt;&gt;""),AND(TRIM($AI$4)="",IFERROR((IF('Final Calculation Sheet'!$AD$22&lt;=5,"SETTLED","OUTSTANDING"))&amp;"","")=""))))</f>
        <v>1</v>
      </c>
    </row>
    <row r="24" ht="15" customHeight="1" s="137">
      <c r="A24" s="67">
        <f>IF($BJ23&gt;0,INDEX($BA$5:$BA$41,MATCH(23,$BB$5:$BB$41,0)),IF(OR($BI23=1,$BL23=1,$BH23&gt;0),"∑",""))</f>
        <v>19</v>
      </c>
      <c r="B24" s="76">
        <f>IF($BJ23&gt;0,IF(INDEX('Final Calculation Sheet'!$F$4:$F$40,$BJ23-3)="","",INDEX('Final Calculation Sheet'!$F$4:$F$40,$BJ23-3)),"")</f>
        <v>2023</v>
      </c>
      <c r="C24" s="76" t="str">
        <f>IF($BJ23&gt;0,IF(INDEX('Final Calculation Sheet'!$G$4:$G$40,$BJ23-3)="","",INDEX('Final Calculation Sheet'!$G$4:$G$40,$BJ23-3)),IF(OR($BI23=1,$BL23=1,$BH23&gt;0),IF($BI23=1,37,IF($BL23=1,37-INDEX($BD$4:$BD$13,10),INDEX($BD$4:$BD$13,$BH23)))&amp;" lot(s)",""))</f>
        <v>NATIONAL ENTERPRISES</v>
      </c>
      <c r="D24" s="80" t="str">
        <f>IF($BJ23&gt;0,IF(INDEX('Final Calculation Sheet'!$B$4:$B$40,$BJ23-3)="","",INDEX('Final Calculation Sheet'!$B$4:$B$40,$BJ23-3)),IF(OR($BI23=1,$BL23=1,$BH23&gt;0),IF($BI23=1,"GRAND TOTAL  —  matching + remaining",IF($BL23=1,"TOTAL MATCHED  —  every group together",IF($BH23=10,"REMAINING  —  did not match the search",IF($BH23=9,IF(COUNTIF($A$4:$AI$4,"&lt;&gt;")&gt;0,"FILTERED LOTS  —  column fields","ALL LOTS  —  nothing typed in the box"),"GROUP "&amp;$BH23&amp;" TOTAL  —  lots matching  "&amp;INDEX($AR$6:$AY$6,$BH23))))),""))</f>
        <v>Scrap of 132 KV CT</v>
      </c>
      <c r="E24" s="80">
        <f>IF($BJ23&gt;0,IF(INDEX('Final Calculation Sheet'!$D$4:$D$40,$BJ23-3)="","",INDEX('Final Calculation Sheet'!$D$4:$D$40,$BJ23-3)),IF(OR($BI23=1,$BL23=1,$BH23&gt;0),"–",""))</f>
        <v>21978</v>
      </c>
      <c r="F24" s="80">
        <f>IF($BJ23&gt;0,IF(INDEX('Final Calculation Sheet'!$A$4:$A$40,$BJ23-3)="","",INDEX('Final Calculation Sheet'!$A$4:$A$40,$BJ23-3)),IF(OR($BI23=1,$BL23=1,$BH23&gt;0),IF($BI23=1,SUM('Final Calculation Sheet'!$A$4:$A$40),IF($BL23=1,SUM('Final Calculation Sheet'!$A$4:$A$40)-SUMIFS('Final Calculation Sheet'!$A$4:$A$40,$AZ$5:$AZ$41,10),SUMIFS('Final Calculation Sheet'!$A$4:$A$40,$AZ$5:$AZ$41,$BH23))),""))</f>
        <v>3</v>
      </c>
      <c r="G24" s="80" t="str">
        <f>IF($BJ23&gt;0,IF(INDEX('Final Calculation Sheet'!$E$4:$E$40,$BJ23-3)="","",INDEX('Final Calculation Sheet'!$E$4:$E$40,$BJ23-3)),IF(OR($BI23=1,$BL23=1,$BH23&gt;0),"–",""))</f>
        <v>NO</v>
      </c>
      <c r="H24" s="70">
        <f>IF($BJ23&gt;0,IF(INDEX('Final Calculation Sheet'!$C$4:$C$40,$BJ23-3)="","",INDEX('Final Calculation Sheet'!$C$4:$C$40,$BJ23-3)),IF(OR($BI23=1,$BL23=1,$BH23&gt;0),"–",""))</f>
        <v>83743</v>
      </c>
      <c r="I24" s="70">
        <f>IF($BJ23&gt;0,IF(INDEX('Final Calculation Sheet'!$H$4:$H$40,$BJ23-3)="","",INDEX('Final Calculation Sheet'!$H$4:$H$40,$BJ23-3)),IF(OR($BI23=1,$BL23=1,$BH23&gt;0),IF($BI23=1,SUM('Final Calculation Sheet'!$H$4:$H$40),IF($BL23=1,SUM('Final Calculation Sheet'!$H$4:$H$40)-SUMIFS('Final Calculation Sheet'!$H$4:$H$40,$AZ$5:$AZ$41,10),SUMIFS('Final Calculation Sheet'!$H$4:$H$40,$AZ$5:$AZ$41,$BH23))),""))</f>
        <v>251229</v>
      </c>
      <c r="J24" s="70">
        <f>IF($BJ23&gt;0,IF(INDEX('Final Calculation Sheet'!$I$4:$I$40,$BJ23-3)="","",INDEX('Final Calculation Sheet'!$I$4:$I$40,$BJ23-3)),IF(OR($BI23=1,$BL23=1,$BH23&gt;0),IF($BI23=1,SUM('Final Calculation Sheet'!$I$4:$I$40),IF($BL23=1,SUM('Final Calculation Sheet'!$I$4:$I$40)-SUMIFS('Final Calculation Sheet'!$I$4:$I$40,$AZ$5:$AZ$41,10),SUMIFS('Final Calculation Sheet'!$I$4:$I$40,$AZ$5:$AZ$41,$BH23))),""))</f>
        <v>45221</v>
      </c>
      <c r="K24" s="70">
        <f>IF($BJ23&gt;0,IF(INDEX('Final Calculation Sheet'!$J$4:$J$40,$BJ23-3)="","",INDEX('Final Calculation Sheet'!$J$4:$J$40,$BJ23-3)),IF(OR($BI23=1,$BL23=1,$BH23&gt;0),IF($BI23=1,SUM('Final Calculation Sheet'!$J$4:$J$40),IF($BL23=1,SUM('Final Calculation Sheet'!$J$4:$J$40)-SUMIFS('Final Calculation Sheet'!$J$4:$J$40,$AZ$5:$AZ$41,10),SUMIFS('Final Calculation Sheet'!$J$4:$J$40,$AZ$5:$AZ$41,$BH23))),""))</f>
        <v>296450</v>
      </c>
      <c r="L24" s="70">
        <f>IF($BJ23&gt;0,IF(INDEX('Final Calculation Sheet'!$K$4:$K$40,$BJ23-3)="","",INDEX('Final Calculation Sheet'!$K$4:$K$40,$BJ23-3)),IF(OR($BI23=1,$BL23=1,$BH23&gt;0),IF($BI23=1,SUM('Final Calculation Sheet'!$K$4:$K$40),IF($BL23=1,SUM('Final Calculation Sheet'!$K$4:$K$40)-SUMIFS('Final Calculation Sheet'!$K$4:$K$40,$AZ$5:$AZ$41,10),SUMIFS('Final Calculation Sheet'!$K$4:$K$40,$AZ$5:$AZ$41,$BH23))),""))</f>
        <v>5929</v>
      </c>
      <c r="M24" s="70">
        <f>IF($BJ23&gt;0,IF(INDEX('Final Calculation Sheet'!$L$4:$L$40,$BJ23-3)="","",INDEX('Final Calculation Sheet'!$L$4:$L$40,$BJ23-3)),IF(OR($BI23=1,$BL23=1,$BH23&gt;0),IF($BI23=1,SUM('Final Calculation Sheet'!$L$4:$L$40),IF($BL23=1,SUM('Final Calculation Sheet'!$L$4:$L$40)-SUMIFS('Final Calculation Sheet'!$L$4:$L$40,$AZ$5:$AZ$41,10),SUMIFS('Final Calculation Sheet'!$L$4:$L$40,$AZ$5:$AZ$41,$BH23))),""))</f>
        <v>251.22900000000001</v>
      </c>
      <c r="N24" s="70">
        <f>IF($BJ23&gt;0,IF(INDEX('Final Calculation Sheet'!$M$4:$M$40,$BJ23-3)="","",INDEX('Final Calculation Sheet'!$M$4:$M$40,$BJ23-3)),IF(OR($BI23=1,$BL23=1,$BH23&gt;0),IF($BI23=1,SUM('Final Calculation Sheet'!$M$4:$M$40),IF($BL23=1,SUM('Final Calculation Sheet'!$M$4:$M$40)-SUMIFS('Final Calculation Sheet'!$M$4:$M$40,$AZ$5:$AZ$41,10),SUMIFS('Final Calculation Sheet'!$M$4:$M$40,$AZ$5:$AZ$41,$BH23))),""))</f>
        <v>6670.1299499999996</v>
      </c>
      <c r="O24" s="71">
        <f>IF($BJ23&gt;0,IF(INDEX('Final Calculation Sheet'!$N$4:$N$40,$BJ23-3)="","",INDEX('Final Calculation Sheet'!$N$4:$N$40,$BJ23-3)),IF(OR($BI23=1,$BL23=1,$BH23&gt;0),IF($BI23=1,SUM('Final Calculation Sheet'!$N$4:$N$40),IF($BL23=1,SUM('Final Calculation Sheet'!$N$4:$N$40)-SUMIFS('Final Calculation Sheet'!$N$4:$N$40,$AZ$5:$AZ$41,10),SUMIFS('Final Calculation Sheet'!$N$4:$N$40,$AZ$5:$AZ$41,$BH23))),""))</f>
        <v>113.05305</v>
      </c>
      <c r="P24" s="70">
        <f>IF($BJ23&gt;0,IF(INDEX('Final Calculation Sheet'!$O$4:$O$40,$BJ23-3)="","",INDEX('Final Calculation Sheet'!$O$4:$O$40,$BJ23-3)),IF(OR($BI23=1,$BL23=1,$BH23&gt;0),IF($BI23=1,SUM('Final Calculation Sheet'!$O$4:$O$40),IF($BL23=1,SUM('Final Calculation Sheet'!$O$4:$O$40)-SUMIFS('Final Calculation Sheet'!$O$4:$O$40,$AZ$5:$AZ$41,10),SUMIFS('Final Calculation Sheet'!$O$4:$O$40,$AZ$5:$AZ$41,$BH23))),""))</f>
        <v>6557.0768999999991</v>
      </c>
      <c r="Q24" s="70">
        <f>IF($BJ23&gt;0,IF(INDEX('Final Calculation Sheet'!$P$4:$P$40,$BJ23-3)="","",INDEX('Final Calculation Sheet'!$P$4:$P$40,$BJ23-3)),IF(OR($BI23=1,$BL23=1,$BH23&gt;0),IF($BI23=1,SUM('Final Calculation Sheet'!$P$4:$P$40),IF($BL23=1,SUM('Final Calculation Sheet'!$P$4:$P$40)-SUMIFS('Final Calculation Sheet'!$P$4:$P$40,$AZ$5:$AZ$41,10),SUMIFS('Final Calculation Sheet'!$P$4:$P$40,$AZ$5:$AZ$41,$BH23))),""))</f>
        <v>6808</v>
      </c>
      <c r="R24" s="72">
        <f>IF($BJ23&gt;0,IF(INDEX('Final Calculation Sheet'!$Q$4:$Q$40,$BJ23-3)="","",INDEX('Final Calculation Sheet'!$Q$4:$Q$40,$BJ23-3)),IF(OR($BI23=1,$BL23=1,$BH23&gt;0),"–",""))</f>
        <v>0</v>
      </c>
      <c r="S24" s="70">
        <f>IF($BJ23&gt;0,IF(INDEX('Final Calculation Sheet'!$R$4:$R$40,$BJ23-3)="","",INDEX('Final Calculation Sheet'!$R$4:$R$40,$BJ23-3)),IF(OR($BI23=1,$BL23=1,$BH23&gt;0),IF($BI23=1,SUM('Final Calculation Sheet'!$R$4:$R$40),IF($BL23=1,SUM('Final Calculation Sheet'!$R$4:$R$40)-SUMIFS('Final Calculation Sheet'!$R$4:$R$40,$AZ$5:$AZ$41,10),SUMIFS('Final Calculation Sheet'!$R$4:$R$40,$AZ$5:$AZ$41,$BH23))),""))</f>
        <v>0</v>
      </c>
      <c r="T24" s="70">
        <f>IF($BJ23&gt;0,IF(INDEX('Final Calculation Sheet'!$S$4:$S$40,$BJ23-3)="","",INDEX('Final Calculation Sheet'!$S$4:$S$40,$BJ23-3)),IF(OR($BI23=1,$BL23=1,$BH23&gt;0),IF($BI23=1,SUM('Final Calculation Sheet'!$S$4:$S$40),IF($BL23=1,SUM('Final Calculation Sheet'!$S$4:$S$40)-SUMIFS('Final Calculation Sheet'!$S$4:$S$40,$AZ$5:$AZ$41,10),SUMIFS('Final Calculation Sheet'!$S$4:$S$40,$AZ$5:$AZ$41,$BH23))),""))</f>
        <v>295571</v>
      </c>
      <c r="U24" s="70">
        <f>IF($BJ23&gt;0,IF(INDEX('Final Calculation Sheet'!$T$4:$T$40,$BJ23-3)="","",INDEX('Final Calculation Sheet'!$T$4:$T$40,$BJ23-3)),IF(OR($BI23=1,$BL23=1,$BH23&gt;0),IF($BI23=1,SUM('Final Calculation Sheet'!$T$4:$T$40),IF($BL23=1,SUM('Final Calculation Sheet'!$T$4:$T$40)-SUMIFS('Final Calculation Sheet'!$T$4:$T$40,$AZ$5:$AZ$41,10),SUMIFS('Final Calculation Sheet'!$T$4:$T$40,$AZ$5:$AZ$41,$BH23))),""))</f>
        <v>62807</v>
      </c>
      <c r="V24" s="73">
        <f>IF($BJ23&gt;0,IF(INDEX('Final Calculation Sheet'!$U$4:$U$40,$BJ23-3)="","",INDEX('Final Calculation Sheet'!$U$4:$U$40,$BJ23-3)),IF(OR($BI23=1,$BL23=1,$BH23&gt;0),IF($BI23=1,SUM('Final Calculation Sheet'!$U$4:$U$40),IF($BL23=1,SUM('Final Calculation Sheet'!$U$4:$U$40)-SUMIFS('Final Calculation Sheet'!$U$4:$U$40,$AZ$5:$AZ$41,10),SUMIFS('Final Calculation Sheet'!$U$4:$U$40,$AZ$5:$AZ$41,$BH23))),""))</f>
        <v>62807</v>
      </c>
      <c r="W24" s="70" t="str">
        <f>IF($BJ23&gt;0,IF(INDEX('Final Calculation Sheet'!$V$4:$V$40,$BJ23-3)="","",INDEX('Final Calculation Sheet'!$V$4:$V$40,$BJ23-3)),IF(OR($BI23=1,$BL23=1,$BH23&gt;0),"–",""))</f>
        <v>13.08.2026</v>
      </c>
      <c r="X24" s="70">
        <f>IF($BJ23&gt;0,IF(INDEX('Final Calculation Sheet'!$W$4:$W$40,$BJ23-3)="","",INDEX('Final Calculation Sheet'!$W$4:$W$40,$BJ23-3)),IF(OR($BI23=1,$BL23=1,$BH23&gt;0),IF($BI23=1,SUM('Final Calculation Sheet'!$W$4:$W$40),IF($BL23=1,SUM('Final Calculation Sheet'!$W$4:$W$40)-SUMIFS('Final Calculation Sheet'!$W$4:$W$40,$AZ$5:$AZ$41,10),SUMIFS('Final Calculation Sheet'!$W$4:$W$40,$AZ$5:$AZ$41,$BH23))),""))</f>
        <v>232764</v>
      </c>
      <c r="Y24" s="70">
        <f>IF($BJ23&gt;0,IF(INDEX('Final Calculation Sheet'!$X$4:$X$40,$BJ23-3)="","",INDEX('Final Calculation Sheet'!$X$4:$X$40,$BJ23-3)),IF(OR($BI23=1,$BL23=1,$BH23&gt;0),IF($BI23=1,SUM('Final Calculation Sheet'!$X$4:$X$40),IF($BL23=1,SUM('Final Calculation Sheet'!$X$4:$X$40)-SUMIFS('Final Calculation Sheet'!$X$4:$X$40,$AZ$5:$AZ$41,10),SUMIFS('Final Calculation Sheet'!$X$4:$X$40,$AZ$5:$AZ$41,$BH23))),""))</f>
        <v>232764</v>
      </c>
      <c r="Z24" s="70" t="str">
        <f>IF($BJ23&gt;0,IF(INDEX('Final Calculation Sheet'!$Y$4:$Y$40,$BJ23-3)="","",INDEX('Final Calculation Sheet'!$Y$4:$Y$40,$BJ23-3)),IF(OR($BI23=1,$BL23=1,$BH23&gt;0),"–",""))</f>
        <v>24.08.2026</v>
      </c>
      <c r="AA24" s="70">
        <f>IF($BJ23&gt;0,IF(INDEX('Final Calculation Sheet'!$Z$4:$Z$40,$BJ23-3)="","",INDEX('Final Calculation Sheet'!$Z$4:$Z$40,$BJ23-3)),IF(OR($BI23=1,$BL23=1,$BH23&gt;0),IF($BI23=1,SUM('Final Calculation Sheet'!$Z$4:$Z$40),IF($BL23=1,SUM('Final Calculation Sheet'!$Z$4:$Z$40)-SUMIFS('Final Calculation Sheet'!$Z$4:$Z$40,$AZ$5:$AZ$41,10),SUMIFS('Final Calculation Sheet'!$Z$4:$Z$40,$AZ$5:$AZ$41,$BH23))),""))</f>
        <v>0</v>
      </c>
      <c r="AB24" s="70" t="str">
        <f>IF($BJ23&gt;0,IF(INDEX('Final Calculation Sheet'!$AA$4:$AA$40,$BJ23-3)="","",INDEX('Final Calculation Sheet'!$AA$4:$AA$40,$BJ23-3)),IF(OR($BI23=1,$BL23=1,$BH23&gt;0),IF($BI23=1,SUM('Final Calculation Sheet'!$AA$4:$AA$40),IF($BL23=1,SUM('Final Calculation Sheet'!$AA$4:$AA$40)-SUMIFS('Final Calculation Sheet'!$AA$4:$AA$40,$AZ$5:$AZ$41,10),SUMIFS('Final Calculation Sheet'!$AA$4:$AA$40,$AZ$5:$AZ$41,$BH23))),""))</f>
        <v/>
      </c>
      <c r="AC24" s="70" t="str">
        <f>IF($BJ23&gt;0,IF(INDEX('Final Calculation Sheet'!$AB$4:$AB$40,$BJ23-3)="","",INDEX('Final Calculation Sheet'!$AB$4:$AB$40,$BJ23-3)),IF(OR($BI23=1,$BL23=1,$BH23&gt;0),"–",""))</f>
        <v/>
      </c>
      <c r="AD24" s="70">
        <f>IF($BJ23&gt;0,IF(INDEX('Final Calculation Sheet'!$AC$4:$AC$40,$BJ23-3)="","",INDEX('Final Calculation Sheet'!$AC$4:$AC$40,$BJ23-3)),IF(OR($BI23=1,$BL23=1,$BH23&gt;0),IF($BI23=1,SUM('Final Calculation Sheet'!$AC$4:$AC$40),IF($BL23=1,SUM('Final Calculation Sheet'!$AC$4:$AC$40)-SUMIFS('Final Calculation Sheet'!$AC$4:$AC$40,$AZ$5:$AZ$41,10),SUMIFS('Final Calculation Sheet'!$AC$4:$AC$40,$AZ$5:$AZ$41,$BH23))),""))</f>
        <v>295571</v>
      </c>
      <c r="AE24" s="70">
        <f>IF($BJ23&gt;0,IF(INDEX('Final Calculation Sheet'!$AD$4:$AD$40,$BJ23-3)="","",INDEX('Final Calculation Sheet'!$AD$4:$AD$40,$BJ23-3)),IF(OR($BI23=1,$BL23=1,$BH23&gt;0),IF($BI23=1,SUM('Final Calculation Sheet'!$AD$4:$AD$40),IF($BL23=1,SUM('Final Calculation Sheet'!$AD$4:$AD$40)-SUMIFS('Final Calculation Sheet'!$AD$4:$AD$40,$AZ$5:$AZ$41,10),SUMIFS('Final Calculation Sheet'!$AD$4:$AD$40,$AZ$5:$AZ$41,$BH23))),""))</f>
        <v>0</v>
      </c>
      <c r="AF24" s="70" t="str">
        <f>IF($BJ23&gt;0,IF(INDEX('Final Calculation Sheet'!$AE$4:$AE$40,$BJ23-3)="","",INDEX('Final Calculation Sheet'!$AE$4:$AE$40,$BJ23-3)),IF(OR($BI23=1,$BL23=1,$BH23&gt;0),"–",""))</f>
        <v>DR2640100044</v>
      </c>
      <c r="AG24" s="74">
        <f>IF($BJ23&gt;0,IF(INDEX('Final Calculation Sheet'!$AF$4:$AF$40,$BJ23-3)="","",INDEX('Final Calculation Sheet'!$AF$4:$AF$40,$BJ23-3)),IF(OR($BI23=1,$BL23=1,$BH23&gt;0),"–",""))</f>
        <v>1800003308</v>
      </c>
      <c r="AH24" s="70" t="str">
        <f>IF($BJ23&gt;0,IF(INDEX('Final Calculation Sheet'!$AG$4:$AG$40,$BJ23-3)="","",INDEX('Final Calculation Sheet'!$AG$4:$AG$40,$BJ23-3)),IF(OR($BI23=1,$BL23=1,$BH23&gt;0),"–",""))</f>
        <v>27.08.2026</v>
      </c>
      <c r="AI24" s="75" t="str">
        <f>IF($BJ23&gt;0,IF(INDEX('Final Calculation Sheet'!$AD$4:$AD$40,$BJ23-3)="","",IF(INDEX('Final Calculation Sheet'!$AD$4:$AD$40,$BJ23-3)&lt;=5,"SETTLED","OUTSTANDING")),IF(OR($BI23=1,$BL23=1,$BH23&gt;0),IF(IF($BI23=1,SUM('Final Calculation Sheet'!$AD$4:$AD$40),IF($BL23=1,SUM('Final Calculation Sheet'!$AD$4:$AD$40)-SUMIFS('Final Calculation Sheet'!$AD$4:$AD$40,$AZ$5:$AZ$41,10),SUMIFS('Final Calculation Sheet'!$AD$4:$AD$40,$AZ$5:$AZ$41,$BH23)))&lt;=5,"ALL SETTLED","OUTSTANDING"),""))</f>
        <v>SETTLED</v>
      </c>
      <c r="AK24" t="str">
        <f>IF($F$3="Lot No.",'Final Calculation Sheet'!$F$23,IF($F$3="Buyer",'Final Calculation Sheet'!$G$23,IF($F$3="Lot Name",'Final Calculation Sheet'!$B$23,IF($F$3="Bid Sheet",'Final Calculation Sheet'!$D$23,IF($F$3="Unit",'Final Calculation Sheet'!$E$23,'Final Calculation Sheet'!$F$23&amp;" "&amp;'Final Calculation Sheet'!$G$23&amp;" "&amp;'Final Calculation Sheet'!$B$23)))))</f>
        <v>2025 STERLING ENTERPRISES Scrap of empty oil Barrels</v>
      </c>
      <c r="AL24">
        <f>AL23+IF($B$3="",0,--(SUMPRODUCT(--($AR$6:$AY$6&lt;&gt;""),--ISNUMBER(SEARCH($AR$6:$AY$6,$AK24)))&gt;0))</f>
        <v>0</v>
      </c>
      <c r="AM24">
        <f>IF(COUNTIF($BM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1</v>
      </c>
      <c r="AZ24">
        <f>IF($B$3="",IF(COUNTIF($A$4:$AI$4,"&lt;&gt;")=0,9,IF($AM24=1,9,10)),IF($AM24=0,10,IF(AND($AR$6&lt;&gt;"",ISNUMBER(SEARCH($AR$6,$AK24))),1,IF(AND($AS$6&lt;&gt;"",ISNUMBER(SEARCH($AS$6,$AK24))),2,IF(AND($AT$6&lt;&gt;"",ISNUMBER(SEARCH($AT$6,$AK24))),3,IF(AND($AU$6&lt;&gt;"",ISNUMBER(SEARCH($AU$6,$AK24))),4,IF(AND($AV$6&lt;&gt;"",ISNUMBER(SEARCH($AV$6,$AK24))),5,IF(AND($AW$6&lt;&gt;"",ISNUMBER(SEARCH($AW$6,$AK24))),6,IF(AND($AX$6&lt;&gt;"",ISNUMBER(SEARCH($AX$6,$AK24))),7,IF(AND($AY$6&lt;&gt;"",ISNUMBER(SEARCH($AY$6,$AK24))),8,0))))))))))</f>
        <v>9</v>
      </c>
      <c r="BA24">
        <f>SUMPRODUCT(($AZ$5:$AZ$41=$AZ24)*($BC$5:$BC$41&lt;$BC24))+1</f>
        <v>20</v>
      </c>
      <c r="BB24">
        <f>IF(INDEX($BF$4:$BF$13,$AZ24)=0,0,INDEX($BE$4:$BE$13,$AZ24)+$BA24-1)</f>
        <v>24</v>
      </c>
      <c r="BC24" t="n">
        <v>23</v>
      </c>
      <c r="BH24">
        <f>IFERROR(MATCH(24,$BF$4:$BF$13,0),0)</f>
        <v>0</v>
      </c>
      <c r="BI24">
        <f>IF(24=$BG$5,1,0)</f>
        <v>0</v>
      </c>
      <c r="BJ24">
        <f>IF(OR($BH24&gt;0,$BI24=1,$BL24=1),0,IFERROR(INDEX($BC$5:$BC$41,MATCH(24,$BB$5:$BB$41,0)),0))</f>
        <v>23</v>
      </c>
      <c r="BK24">
        <f>IF($BJ24&gt;0,IF(INDEX($AZ$5:$AZ$41,MATCH(24,$BB$5:$BB$41,0))=10,1,0),IF($BH24=10,1,0))</f>
        <v>0</v>
      </c>
      <c r="BL24">
        <f>IF(24=$BG$4,1,0)</f>
        <v>0</v>
      </c>
      <c r="BM24">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1</v>
      </c>
      <c r="BN24">
        <f>IF($B$4="",1,--(OR(SUMPRODUCT(--(TRIM(MID(SUBSTITUTE(SUBSTITUTE($B$4,"/",","),",",REPT(" ",99)),(ROW($1:$8)-1)*99+1,99))&lt;&gt;""),--ISNUMBER(SEARCH(TRIM(MID(SUBSTITUTE(SUBSTITUTE($B$4,"/",","),",",REPT(" ",99)),(ROW($1:$8)-1)*99+1,99)),IFERROR(('Final Calculation Sheet'!$F$23)&amp;"",""))))&gt;0,AND(ISNUMBER(SEARCH("blank",$B$4)),NOT(ISNUMBER(SEARCH("nonblank",$B$4))),IFERROR(('Final Calculation Sheet'!$F$23)&amp;"","")=""),AND(OR(ISNUMBER(SEARCH("nonblank",$B$4)),ISNUMBER(SEARCH("&lt;&gt;",$B$4))),IFERROR(('Final Calculation Sheet'!$F$23)&amp;"","")&lt;&gt;""),AND(TRIM($B$4)="",IFERROR(('Final Calculation Sheet'!$F$23)&amp;"","")=""))))</f>
        <v>1</v>
      </c>
      <c r="BO24">
        <f>IF($C$4="",1,--(OR(SUMPRODUCT(--(TRIM(MID(SUBSTITUTE(SUBSTITUTE($C$4,"/",","),",",REPT(" ",99)),(ROW($1:$8)-1)*99+1,99))&lt;&gt;""),--ISNUMBER(SEARCH(TRIM(MID(SUBSTITUTE(SUBSTITUTE($C$4,"/",","),",",REPT(" ",99)),(ROW($1:$8)-1)*99+1,99)),IFERROR(('Final Calculation Sheet'!$G$23)&amp;"",""))))&gt;0,AND(ISNUMBER(SEARCH("blank",$C$4)),NOT(ISNUMBER(SEARCH("nonblank",$C$4))),IFERROR(('Final Calculation Sheet'!$G$23)&amp;"","")=""),AND(OR(ISNUMBER(SEARCH("nonblank",$C$4)),ISNUMBER(SEARCH("&lt;&gt;",$C$4))),IFERROR(('Final Calculation Sheet'!$G$23)&amp;"","")&lt;&gt;""),AND(TRIM($C$4)="",IFERROR(('Final Calculation Sheet'!$G$23)&amp;"","")=""))))</f>
        <v>1</v>
      </c>
      <c r="BP24">
        <f>IF($D$4="",1,--(OR(SUMPRODUCT(--(TRIM(MID(SUBSTITUTE(SUBSTITUTE($D$4,"/",","),",",REPT(" ",99)),(ROW($1:$8)-1)*99+1,99))&lt;&gt;""),--ISNUMBER(SEARCH(TRIM(MID(SUBSTITUTE(SUBSTITUTE($D$4,"/",","),",",REPT(" ",99)),(ROW($1:$8)-1)*99+1,99)),IFERROR(('Final Calculation Sheet'!$B$23)&amp;"",""))))&gt;0,AND(ISNUMBER(SEARCH("blank",$D$4)),NOT(ISNUMBER(SEARCH("nonblank",$D$4))),IFERROR(('Final Calculation Sheet'!$B$23)&amp;"","")=""),AND(OR(ISNUMBER(SEARCH("nonblank",$D$4)),ISNUMBER(SEARCH("&lt;&gt;",$D$4))),IFERROR(('Final Calculation Sheet'!$B$23)&amp;"","")&lt;&gt;""),AND(TRIM($D$4)="",IFERROR(('Final Calculation Sheet'!$B$23)&amp;"","")=""))))</f>
        <v>1</v>
      </c>
      <c r="BQ24">
        <f>IF($E$4="",1,--(OR(SUMPRODUCT(--(TRIM(MID(SUBSTITUTE(SUBSTITUTE($E$4,"/",","),",",REPT(" ",99)),(ROW($1:$8)-1)*99+1,99))&lt;&gt;""),--ISNUMBER(SEARCH(TRIM(MID(SUBSTITUTE(SUBSTITUTE($E$4,"/",","),",",REPT(" ",99)),(ROW($1:$8)-1)*99+1,99)),IFERROR(('Final Calculation Sheet'!$D$23)&amp;"",""))))&gt;0,AND(ISNUMBER(SEARCH("blank",$E$4)),NOT(ISNUMBER(SEARCH("nonblank",$E$4))),IFERROR(('Final Calculation Sheet'!$D$23)&amp;"","")=""),AND(OR(ISNUMBER(SEARCH("nonblank",$E$4)),ISNUMBER(SEARCH("&lt;&gt;",$E$4))),IFERROR(('Final Calculation Sheet'!$D$23)&amp;"","")&lt;&gt;""),AND(TRIM($E$4)="",IFERROR(('Final Calculation Sheet'!$D$23)&amp;"","")=""))))</f>
        <v>1</v>
      </c>
      <c r="BR24">
        <f>IF($F$4="",1,--(OR(SUMPRODUCT(--(TRIM(MID(SUBSTITUTE(SUBSTITUTE($F$4,"/",","),",",REPT(" ",99)),(ROW($1:$8)-1)*99+1,99))&lt;&gt;""),--ISNUMBER(SEARCH(TRIM(MID(SUBSTITUTE(SUBSTITUTE($F$4,"/",","),",",REPT(" ",99)),(ROW($1:$8)-1)*99+1,99)),IFERROR(('Final Calculation Sheet'!$A$23)&amp;"",""))))&gt;0,AND(ISNUMBER(SEARCH("blank",$F$4)),NOT(ISNUMBER(SEARCH("nonblank",$F$4))),IFERROR(('Final Calculation Sheet'!$A$23)&amp;"","")=""),AND(OR(ISNUMBER(SEARCH("nonblank",$F$4)),ISNUMBER(SEARCH("&lt;&gt;",$F$4))),IFERROR(('Final Calculation Sheet'!$A$23)&amp;"","")&lt;&gt;""),AND(TRIM($F$4)="",IFERROR(('Final Calculation Sheet'!$A$23)&amp;"","")=""))))</f>
        <v>1</v>
      </c>
      <c r="BS24">
        <f>IF($G$4="",1,--(OR(SUMPRODUCT(--(TRIM(MID(SUBSTITUTE(SUBSTITUTE($G$4,"/",","),",",REPT(" ",99)),(ROW($1:$8)-1)*99+1,99))&lt;&gt;""),--ISNUMBER(SEARCH(TRIM(MID(SUBSTITUTE(SUBSTITUTE($G$4,"/",","),",",REPT(" ",99)),(ROW($1:$8)-1)*99+1,99)),IFERROR(('Final Calculation Sheet'!$E$23)&amp;"",""))))&gt;0,AND(ISNUMBER(SEARCH("blank",$G$4)),NOT(ISNUMBER(SEARCH("nonblank",$G$4))),IFERROR(('Final Calculation Sheet'!$E$23)&amp;"","")=""),AND(OR(ISNUMBER(SEARCH("nonblank",$G$4)),ISNUMBER(SEARCH("&lt;&gt;",$G$4))),IFERROR(('Final Calculation Sheet'!$E$23)&amp;"","")&lt;&gt;""),AND(TRIM($G$4)="",IFERROR(('Final Calculation Sheet'!$E$23)&amp;"","")=""))))</f>
        <v>1</v>
      </c>
      <c r="BT24">
        <f>IF($H$4="",1,--(OR(SUMPRODUCT(--(TRIM(MID(SUBSTITUTE(SUBSTITUTE($H$4,"/",","),",",REPT(" ",99)),(ROW($1:$8)-1)*99+1,99))&lt;&gt;""),--ISNUMBER(SEARCH(TRIM(MID(SUBSTITUTE(SUBSTITUTE($H$4,"/",","),",",REPT(" ",99)),(ROW($1:$8)-1)*99+1,99)),IFERROR(('Final Calculation Sheet'!$C$23)&amp;"",""))))&gt;0,AND(ISNUMBER(SEARCH("blank",$H$4)),NOT(ISNUMBER(SEARCH("nonblank",$H$4))),IFERROR(('Final Calculation Sheet'!$C$23)&amp;"","")=""),AND(OR(ISNUMBER(SEARCH("nonblank",$H$4)),ISNUMBER(SEARCH("&lt;&gt;",$H$4))),IFERROR(('Final Calculation Sheet'!$C$23)&amp;"","")&lt;&gt;""),AND(TRIM($H$4)="",IFERROR(('Final Calculation Sheet'!$C$23)&amp;"","")=""))))</f>
        <v>1</v>
      </c>
      <c r="BU24">
        <f>IF($I$4="",1,--(OR(SUMPRODUCT(--(TRIM(MID(SUBSTITUTE(SUBSTITUTE($I$4,"/",","),",",REPT(" ",99)),(ROW($1:$8)-1)*99+1,99))&lt;&gt;""),--ISNUMBER(SEARCH(TRIM(MID(SUBSTITUTE(SUBSTITUTE($I$4,"/",","),",",REPT(" ",99)),(ROW($1:$8)-1)*99+1,99)),IFERROR(('Final Calculation Sheet'!$H$23)&amp;"",""))))&gt;0,AND(ISNUMBER(SEARCH("blank",$I$4)),NOT(ISNUMBER(SEARCH("nonblank",$I$4))),IFERROR(('Final Calculation Sheet'!$H$23)&amp;"","")=""),AND(OR(ISNUMBER(SEARCH("nonblank",$I$4)),ISNUMBER(SEARCH("&lt;&gt;",$I$4))),IFERROR(('Final Calculation Sheet'!$H$23)&amp;"","")&lt;&gt;""),AND(TRIM($I$4)="",IFERROR(('Final Calculation Sheet'!$H$23)&amp;"","")=""))))</f>
        <v>1</v>
      </c>
      <c r="BV24">
        <f>IF($J$4="",1,--(OR(SUMPRODUCT(--(TRIM(MID(SUBSTITUTE(SUBSTITUTE($J$4,"/",","),",",REPT(" ",99)),(ROW($1:$8)-1)*99+1,99))&lt;&gt;""),--ISNUMBER(SEARCH(TRIM(MID(SUBSTITUTE(SUBSTITUTE($J$4,"/",","),",",REPT(" ",99)),(ROW($1:$8)-1)*99+1,99)),IFERROR(('Final Calculation Sheet'!$I$23)&amp;"",""))))&gt;0,AND(ISNUMBER(SEARCH("blank",$J$4)),NOT(ISNUMBER(SEARCH("nonblank",$J$4))),IFERROR(('Final Calculation Sheet'!$I$23)&amp;"","")=""),AND(OR(ISNUMBER(SEARCH("nonblank",$J$4)),ISNUMBER(SEARCH("&lt;&gt;",$J$4))),IFERROR(('Final Calculation Sheet'!$I$23)&amp;"","")&lt;&gt;""),AND(TRIM($J$4)="",IFERROR(('Final Calculation Sheet'!$I$23)&amp;"","")=""))))</f>
        <v>1</v>
      </c>
      <c r="BW24">
        <f>IF($K$4="",1,--(OR(SUMPRODUCT(--(TRIM(MID(SUBSTITUTE(SUBSTITUTE($K$4,"/",","),",",REPT(" ",99)),(ROW($1:$8)-1)*99+1,99))&lt;&gt;""),--ISNUMBER(SEARCH(TRIM(MID(SUBSTITUTE(SUBSTITUTE($K$4,"/",","),",",REPT(" ",99)),(ROW($1:$8)-1)*99+1,99)),IFERROR(('Final Calculation Sheet'!$J$23)&amp;"",""))))&gt;0,AND(ISNUMBER(SEARCH("blank",$K$4)),NOT(ISNUMBER(SEARCH("nonblank",$K$4))),IFERROR(('Final Calculation Sheet'!$J$23)&amp;"","")=""),AND(OR(ISNUMBER(SEARCH("nonblank",$K$4)),ISNUMBER(SEARCH("&lt;&gt;",$K$4))),IFERROR(('Final Calculation Sheet'!$J$23)&amp;"","")&lt;&gt;""),AND(TRIM($K$4)="",IFERROR(('Final Calculation Sheet'!$J$23)&amp;"","")=""))))</f>
        <v>1</v>
      </c>
      <c r="BX24">
        <f>IF($L$4="",1,--(OR(SUMPRODUCT(--(TRIM(MID(SUBSTITUTE(SUBSTITUTE($L$4,"/",","),",",REPT(" ",99)),(ROW($1:$8)-1)*99+1,99))&lt;&gt;""),--ISNUMBER(SEARCH(TRIM(MID(SUBSTITUTE(SUBSTITUTE($L$4,"/",","),",",REPT(" ",99)),(ROW($1:$8)-1)*99+1,99)),IFERROR(('Final Calculation Sheet'!$K$23)&amp;"",""))))&gt;0,AND(ISNUMBER(SEARCH("blank",$L$4)),NOT(ISNUMBER(SEARCH("nonblank",$L$4))),IFERROR(('Final Calculation Sheet'!$K$23)&amp;"","")=""),AND(OR(ISNUMBER(SEARCH("nonblank",$L$4)),ISNUMBER(SEARCH("&lt;&gt;",$L$4))),IFERROR(('Final Calculation Sheet'!$K$23)&amp;"","")&lt;&gt;""),AND(TRIM($L$4)="",IFERROR(('Final Calculation Sheet'!$K$23)&amp;"","")=""))))</f>
        <v>1</v>
      </c>
      <c r="BY24">
        <f>IF($M$4="",1,--(OR(SUMPRODUCT(--(TRIM(MID(SUBSTITUTE(SUBSTITUTE($M$4,"/",","),",",REPT(" ",99)),(ROW($1:$8)-1)*99+1,99))&lt;&gt;""),--ISNUMBER(SEARCH(TRIM(MID(SUBSTITUTE(SUBSTITUTE($M$4,"/",","),",",REPT(" ",99)),(ROW($1:$8)-1)*99+1,99)),IFERROR(('Final Calculation Sheet'!$L$23)&amp;"",""))))&gt;0,AND(ISNUMBER(SEARCH("blank",$M$4)),NOT(ISNUMBER(SEARCH("nonblank",$M$4))),IFERROR(('Final Calculation Sheet'!$L$23)&amp;"","")=""),AND(OR(ISNUMBER(SEARCH("nonblank",$M$4)),ISNUMBER(SEARCH("&lt;&gt;",$M$4))),IFERROR(('Final Calculation Sheet'!$L$23)&amp;"","")&lt;&gt;""),AND(TRIM($M$4)="",IFERROR(('Final Calculation Sheet'!$L$23)&amp;"","")=""))))</f>
        <v>1</v>
      </c>
      <c r="BZ24">
        <f>IF($N$4="",1,--(OR(SUMPRODUCT(--(TRIM(MID(SUBSTITUTE(SUBSTITUTE($N$4,"/",","),",",REPT(" ",99)),(ROW($1:$8)-1)*99+1,99))&lt;&gt;""),--ISNUMBER(SEARCH(TRIM(MID(SUBSTITUTE(SUBSTITUTE($N$4,"/",","),",",REPT(" ",99)),(ROW($1:$8)-1)*99+1,99)),IFERROR(('Final Calculation Sheet'!$M$23)&amp;"",""))))&gt;0,AND(ISNUMBER(SEARCH("blank",$N$4)),NOT(ISNUMBER(SEARCH("nonblank",$N$4))),IFERROR(('Final Calculation Sheet'!$M$23)&amp;"","")=""),AND(OR(ISNUMBER(SEARCH("nonblank",$N$4)),ISNUMBER(SEARCH("&lt;&gt;",$N$4))),IFERROR(('Final Calculation Sheet'!$M$23)&amp;"","")&lt;&gt;""),AND(TRIM($N$4)="",IFERROR(('Final Calculation Sheet'!$M$23)&amp;"","")=""))))</f>
        <v>1</v>
      </c>
      <c r="CA24">
        <f>IF($O$4="",1,--(OR(SUMPRODUCT(--(TRIM(MID(SUBSTITUTE(SUBSTITUTE($O$4,"/",","),",",REPT(" ",99)),(ROW($1:$8)-1)*99+1,99))&lt;&gt;""),--ISNUMBER(SEARCH(TRIM(MID(SUBSTITUTE(SUBSTITUTE($O$4,"/",","),",",REPT(" ",99)),(ROW($1:$8)-1)*99+1,99)),IFERROR(('Final Calculation Sheet'!$N$23)&amp;"",""))))&gt;0,AND(ISNUMBER(SEARCH("blank",$O$4)),NOT(ISNUMBER(SEARCH("nonblank",$O$4))),IFERROR(('Final Calculation Sheet'!$N$23)&amp;"","")=""),AND(OR(ISNUMBER(SEARCH("nonblank",$O$4)),ISNUMBER(SEARCH("&lt;&gt;",$O$4))),IFERROR(('Final Calculation Sheet'!$N$23)&amp;"","")&lt;&gt;""),AND(TRIM($O$4)="",IFERROR(('Final Calculation Sheet'!$N$23)&amp;"","")=""))))</f>
        <v>1</v>
      </c>
      <c r="CB24">
        <f>IF($P$4="",1,--(OR(SUMPRODUCT(--(TRIM(MID(SUBSTITUTE(SUBSTITUTE($P$4,"/",","),",",REPT(" ",99)),(ROW($1:$8)-1)*99+1,99))&lt;&gt;""),--ISNUMBER(SEARCH(TRIM(MID(SUBSTITUTE(SUBSTITUTE($P$4,"/",","),",",REPT(" ",99)),(ROW($1:$8)-1)*99+1,99)),IFERROR(('Final Calculation Sheet'!$O$23)&amp;"",""))))&gt;0,AND(ISNUMBER(SEARCH("blank",$P$4)),NOT(ISNUMBER(SEARCH("nonblank",$P$4))),IFERROR(('Final Calculation Sheet'!$O$23)&amp;"","")=""),AND(OR(ISNUMBER(SEARCH("nonblank",$P$4)),ISNUMBER(SEARCH("&lt;&gt;",$P$4))),IFERROR(('Final Calculation Sheet'!$O$23)&amp;"","")&lt;&gt;""),AND(TRIM($P$4)="",IFERROR(('Final Calculation Sheet'!$O$23)&amp;"","")=""))))</f>
        <v>1</v>
      </c>
      <c r="CC24">
        <f>IF($Q$4="",1,--(OR(SUMPRODUCT(--(TRIM(MID(SUBSTITUTE(SUBSTITUTE($Q$4,"/",","),",",REPT(" ",99)),(ROW($1:$8)-1)*99+1,99))&lt;&gt;""),--ISNUMBER(SEARCH(TRIM(MID(SUBSTITUTE(SUBSTITUTE($Q$4,"/",","),",",REPT(" ",99)),(ROW($1:$8)-1)*99+1,99)),IFERROR(('Final Calculation Sheet'!$P$23)&amp;"",""))))&gt;0,AND(ISNUMBER(SEARCH("blank",$Q$4)),NOT(ISNUMBER(SEARCH("nonblank",$Q$4))),IFERROR(('Final Calculation Sheet'!$P$23)&amp;"","")=""),AND(OR(ISNUMBER(SEARCH("nonblank",$Q$4)),ISNUMBER(SEARCH("&lt;&gt;",$Q$4))),IFERROR(('Final Calculation Sheet'!$P$23)&amp;"","")&lt;&gt;""),AND(TRIM($Q$4)="",IFERROR(('Final Calculation Sheet'!$P$23)&amp;"","")=""))))</f>
        <v>1</v>
      </c>
      <c r="CD24">
        <f>IF($R$4="",1,--(OR(SUMPRODUCT(--(TRIM(MID(SUBSTITUTE(SUBSTITUTE($R$4,"/",","),",",REPT(" ",99)),(ROW($1:$8)-1)*99+1,99))&lt;&gt;""),--ISNUMBER(SEARCH(TRIM(MID(SUBSTITUTE(SUBSTITUTE($R$4,"/",","),",",REPT(" ",99)),(ROW($1:$8)-1)*99+1,99)),IFERROR(('Final Calculation Sheet'!$Q$23)&amp;"",""))))&gt;0,AND(ISNUMBER(SEARCH("blank",$R$4)),NOT(ISNUMBER(SEARCH("nonblank",$R$4))),IFERROR(('Final Calculation Sheet'!$Q$23)&amp;"","")=""),AND(OR(ISNUMBER(SEARCH("nonblank",$R$4)),ISNUMBER(SEARCH("&lt;&gt;",$R$4))),IFERROR(('Final Calculation Sheet'!$Q$23)&amp;"","")&lt;&gt;""),AND(TRIM($R$4)="",IFERROR(('Final Calculation Sheet'!$Q$23)&amp;"","")=""))))</f>
        <v>1</v>
      </c>
      <c r="CE24">
        <f>IF($S$4="",1,--(OR(SUMPRODUCT(--(TRIM(MID(SUBSTITUTE(SUBSTITUTE($S$4,"/",","),",",REPT(" ",99)),(ROW($1:$8)-1)*99+1,99))&lt;&gt;""),--ISNUMBER(SEARCH(TRIM(MID(SUBSTITUTE(SUBSTITUTE($S$4,"/",","),",",REPT(" ",99)),(ROW($1:$8)-1)*99+1,99)),IFERROR(('Final Calculation Sheet'!$R$23)&amp;"",""))))&gt;0,AND(ISNUMBER(SEARCH("blank",$S$4)),NOT(ISNUMBER(SEARCH("nonblank",$S$4))),IFERROR(('Final Calculation Sheet'!$R$23)&amp;"","")=""),AND(OR(ISNUMBER(SEARCH("nonblank",$S$4)),ISNUMBER(SEARCH("&lt;&gt;",$S$4))),IFERROR(('Final Calculation Sheet'!$R$23)&amp;"","")&lt;&gt;""),AND(TRIM($S$4)="",IFERROR(('Final Calculation Sheet'!$R$23)&amp;"","")=""))))</f>
        <v>1</v>
      </c>
      <c r="CF24">
        <f>IF($T$4="",1,--(OR(SUMPRODUCT(--(TRIM(MID(SUBSTITUTE(SUBSTITUTE($T$4,"/",","),",",REPT(" ",99)),(ROW($1:$8)-1)*99+1,99))&lt;&gt;""),--ISNUMBER(SEARCH(TRIM(MID(SUBSTITUTE(SUBSTITUTE($T$4,"/",","),",",REPT(" ",99)),(ROW($1:$8)-1)*99+1,99)),IFERROR(('Final Calculation Sheet'!$S$23)&amp;"",""))))&gt;0,AND(ISNUMBER(SEARCH("blank",$T$4)),NOT(ISNUMBER(SEARCH("nonblank",$T$4))),IFERROR(('Final Calculation Sheet'!$S$23)&amp;"","")=""),AND(OR(ISNUMBER(SEARCH("nonblank",$T$4)),ISNUMBER(SEARCH("&lt;&gt;",$T$4))),IFERROR(('Final Calculation Sheet'!$S$23)&amp;"","")&lt;&gt;""),AND(TRIM($T$4)="",IFERROR(('Final Calculation Sheet'!$S$23)&amp;"","")=""))))</f>
        <v>1</v>
      </c>
      <c r="CG24">
        <f>IF($U$4="",1,--(OR(SUMPRODUCT(--(TRIM(MID(SUBSTITUTE(SUBSTITUTE($U$4,"/",","),",",REPT(" ",99)),(ROW($1:$8)-1)*99+1,99))&lt;&gt;""),--ISNUMBER(SEARCH(TRIM(MID(SUBSTITUTE(SUBSTITUTE($U$4,"/",","),",",REPT(" ",99)),(ROW($1:$8)-1)*99+1,99)),IFERROR(('Final Calculation Sheet'!$T$23)&amp;"",""))))&gt;0,AND(ISNUMBER(SEARCH("blank",$U$4)),NOT(ISNUMBER(SEARCH("nonblank",$U$4))),IFERROR(('Final Calculation Sheet'!$T$23)&amp;"","")=""),AND(OR(ISNUMBER(SEARCH("nonblank",$U$4)),ISNUMBER(SEARCH("&lt;&gt;",$U$4))),IFERROR(('Final Calculation Sheet'!$T$23)&amp;"","")&lt;&gt;""),AND(TRIM($U$4)="",IFERROR(('Final Calculation Sheet'!$T$23)&amp;"","")=""))))</f>
        <v>1</v>
      </c>
      <c r="CH24">
        <f>IF($V$4="",1,--(OR(SUMPRODUCT(--(TRIM(MID(SUBSTITUTE(SUBSTITUTE($V$4,"/",","),",",REPT(" ",99)),(ROW($1:$8)-1)*99+1,99))&lt;&gt;""),--ISNUMBER(SEARCH(TRIM(MID(SUBSTITUTE(SUBSTITUTE($V$4,"/",","),",",REPT(" ",99)),(ROW($1:$8)-1)*99+1,99)),IFERROR(('Final Calculation Sheet'!$U$23)&amp;"",""))))&gt;0,AND(ISNUMBER(SEARCH("blank",$V$4)),NOT(ISNUMBER(SEARCH("nonblank",$V$4))),IFERROR(('Final Calculation Sheet'!$U$23)&amp;"","")=""),AND(OR(ISNUMBER(SEARCH("nonblank",$V$4)),ISNUMBER(SEARCH("&lt;&gt;",$V$4))),IFERROR(('Final Calculation Sheet'!$U$23)&amp;"","")&lt;&gt;""),AND(TRIM($V$4)="",IFERROR(('Final Calculation Sheet'!$U$23)&amp;"","")=""))))</f>
        <v>1</v>
      </c>
      <c r="CI24">
        <f>IF($W$4="",1,--(OR(SUMPRODUCT(--(TRIM(MID(SUBSTITUTE(SUBSTITUTE($W$4,"/",","),",",REPT(" ",99)),(ROW($1:$8)-1)*99+1,99))&lt;&gt;""),--ISNUMBER(SEARCH(TRIM(MID(SUBSTITUTE(SUBSTITUTE($W$4,"/",","),",",REPT(" ",99)),(ROW($1:$8)-1)*99+1,99)),IFERROR(('Final Calculation Sheet'!$V$23)&amp;"",""))))&gt;0,AND(ISNUMBER(SEARCH("blank",$W$4)),NOT(ISNUMBER(SEARCH("nonblank",$W$4))),IFERROR(('Final Calculation Sheet'!$V$23)&amp;"","")=""),AND(OR(ISNUMBER(SEARCH("nonblank",$W$4)),ISNUMBER(SEARCH("&lt;&gt;",$W$4))),IFERROR(('Final Calculation Sheet'!$V$23)&amp;"","")&lt;&gt;""),AND(TRIM($W$4)="",IFERROR(('Final Calculation Sheet'!$V$23)&amp;"","")=""))))</f>
        <v>1</v>
      </c>
      <c r="CJ24">
        <f>IF($X$4="",1,--(OR(SUMPRODUCT(--(TRIM(MID(SUBSTITUTE(SUBSTITUTE($X$4,"/",","),",",REPT(" ",99)),(ROW($1:$8)-1)*99+1,99))&lt;&gt;""),--ISNUMBER(SEARCH(TRIM(MID(SUBSTITUTE(SUBSTITUTE($X$4,"/",","),",",REPT(" ",99)),(ROW($1:$8)-1)*99+1,99)),IFERROR(('Final Calculation Sheet'!$W$23)&amp;"",""))))&gt;0,AND(ISNUMBER(SEARCH("blank",$X$4)),NOT(ISNUMBER(SEARCH("nonblank",$X$4))),IFERROR(('Final Calculation Sheet'!$W$23)&amp;"","")=""),AND(OR(ISNUMBER(SEARCH("nonblank",$X$4)),ISNUMBER(SEARCH("&lt;&gt;",$X$4))),IFERROR(('Final Calculation Sheet'!$W$23)&amp;"","")&lt;&gt;""),AND(TRIM($X$4)="",IFERROR(('Final Calculation Sheet'!$W$23)&amp;"","")=""))))</f>
        <v>1</v>
      </c>
      <c r="CK24">
        <f>IF($Y$4="",1,--(OR(SUMPRODUCT(--(TRIM(MID(SUBSTITUTE(SUBSTITUTE($Y$4,"/",","),",",REPT(" ",99)),(ROW($1:$8)-1)*99+1,99))&lt;&gt;""),--ISNUMBER(SEARCH(TRIM(MID(SUBSTITUTE(SUBSTITUTE($Y$4,"/",","),",",REPT(" ",99)),(ROW($1:$8)-1)*99+1,99)),IFERROR(('Final Calculation Sheet'!$X$23)&amp;"",""))))&gt;0,AND(ISNUMBER(SEARCH("blank",$Y$4)),NOT(ISNUMBER(SEARCH("nonblank",$Y$4))),IFERROR(('Final Calculation Sheet'!$X$23)&amp;"","")=""),AND(OR(ISNUMBER(SEARCH("nonblank",$Y$4)),ISNUMBER(SEARCH("&lt;&gt;",$Y$4))),IFERROR(('Final Calculation Sheet'!$X$23)&amp;"","")&lt;&gt;""),AND(TRIM($Y$4)="",IFERROR(('Final Calculation Sheet'!$X$23)&amp;"","")=""))))</f>
        <v>1</v>
      </c>
      <c r="CL24">
        <f>IF($Z$4="",1,--(OR(SUMPRODUCT(--(TRIM(MID(SUBSTITUTE(SUBSTITUTE($Z$4,"/",","),",",REPT(" ",99)),(ROW($1:$8)-1)*99+1,99))&lt;&gt;""),--ISNUMBER(SEARCH(TRIM(MID(SUBSTITUTE(SUBSTITUTE($Z$4,"/",","),",",REPT(" ",99)),(ROW($1:$8)-1)*99+1,99)),IFERROR(('Final Calculation Sheet'!$Y$23)&amp;"",""))))&gt;0,AND(ISNUMBER(SEARCH("blank",$Z$4)),NOT(ISNUMBER(SEARCH("nonblank",$Z$4))),IFERROR(('Final Calculation Sheet'!$Y$23)&amp;"","")=""),AND(OR(ISNUMBER(SEARCH("nonblank",$Z$4)),ISNUMBER(SEARCH("&lt;&gt;",$Z$4))),IFERROR(('Final Calculation Sheet'!$Y$23)&amp;"","")&lt;&gt;""),AND(TRIM($Z$4)="",IFERROR(('Final Calculation Sheet'!$Y$23)&amp;"","")=""))))</f>
        <v>1</v>
      </c>
      <c r="CM24">
        <f>IF($AA$4="",1,--(OR(SUMPRODUCT(--(TRIM(MID(SUBSTITUTE(SUBSTITUTE($AA$4,"/",","),",",REPT(" ",99)),(ROW($1:$8)-1)*99+1,99))&lt;&gt;""),--ISNUMBER(SEARCH(TRIM(MID(SUBSTITUTE(SUBSTITUTE($AA$4,"/",","),",",REPT(" ",99)),(ROW($1:$8)-1)*99+1,99)),IFERROR(('Final Calculation Sheet'!$Z$23)&amp;"",""))))&gt;0,AND(ISNUMBER(SEARCH("blank",$AA$4)),NOT(ISNUMBER(SEARCH("nonblank",$AA$4))),IFERROR(('Final Calculation Sheet'!$Z$23)&amp;"","")=""),AND(OR(ISNUMBER(SEARCH("nonblank",$AA$4)),ISNUMBER(SEARCH("&lt;&gt;",$AA$4))),IFERROR(('Final Calculation Sheet'!$Z$23)&amp;"","")&lt;&gt;""),AND(TRIM($AA$4)="",IFERROR(('Final Calculation Sheet'!$Z$23)&amp;"","")=""))))</f>
        <v>1</v>
      </c>
      <c r="CN24">
        <f>IF($AB$4="",1,--(OR(SUMPRODUCT(--(TRIM(MID(SUBSTITUTE(SUBSTITUTE($AB$4,"/",","),",",REPT(" ",99)),(ROW($1:$8)-1)*99+1,99))&lt;&gt;""),--ISNUMBER(SEARCH(TRIM(MID(SUBSTITUTE(SUBSTITUTE($AB$4,"/",","),",",REPT(" ",99)),(ROW($1:$8)-1)*99+1,99)),IFERROR(('Final Calculation Sheet'!$AA$23)&amp;"",""))))&gt;0,AND(ISNUMBER(SEARCH("blank",$AB$4)),NOT(ISNUMBER(SEARCH("nonblank",$AB$4))),IFERROR(('Final Calculation Sheet'!$AA$23)&amp;"","")=""),AND(OR(ISNUMBER(SEARCH("nonblank",$AB$4)),ISNUMBER(SEARCH("&lt;&gt;",$AB$4))),IFERROR(('Final Calculation Sheet'!$AA$23)&amp;"","")&lt;&gt;""),AND(TRIM($AB$4)="",IFERROR(('Final Calculation Sheet'!$AA$23)&amp;"","")=""))))</f>
        <v>1</v>
      </c>
      <c r="CO24">
        <f>IF($AC$4="",1,--(OR(SUMPRODUCT(--(TRIM(MID(SUBSTITUTE(SUBSTITUTE($AC$4,"/",","),",",REPT(" ",99)),(ROW($1:$8)-1)*99+1,99))&lt;&gt;""),--ISNUMBER(SEARCH(TRIM(MID(SUBSTITUTE(SUBSTITUTE($AC$4,"/",","),",",REPT(" ",99)),(ROW($1:$8)-1)*99+1,99)),IFERROR(('Final Calculation Sheet'!$AB$23)&amp;"",""))))&gt;0,AND(ISNUMBER(SEARCH("blank",$AC$4)),NOT(ISNUMBER(SEARCH("nonblank",$AC$4))),IFERROR(('Final Calculation Sheet'!$AB$23)&amp;"","")=""),AND(OR(ISNUMBER(SEARCH("nonblank",$AC$4)),ISNUMBER(SEARCH("&lt;&gt;",$AC$4))),IFERROR(('Final Calculation Sheet'!$AB$23)&amp;"","")&lt;&gt;""),AND(TRIM($AC$4)="",IFERROR(('Final Calculation Sheet'!$AB$23)&amp;"","")=""))))</f>
        <v>1</v>
      </c>
      <c r="CP24">
        <f>IF($AD$4="",1,--(OR(SUMPRODUCT(--(TRIM(MID(SUBSTITUTE(SUBSTITUTE($AD$4,"/",","),",",REPT(" ",99)),(ROW($1:$8)-1)*99+1,99))&lt;&gt;""),--ISNUMBER(SEARCH(TRIM(MID(SUBSTITUTE(SUBSTITUTE($AD$4,"/",","),",",REPT(" ",99)),(ROW($1:$8)-1)*99+1,99)),IFERROR(('Final Calculation Sheet'!$AC$23)&amp;"",""))))&gt;0,AND(ISNUMBER(SEARCH("blank",$AD$4)),NOT(ISNUMBER(SEARCH("nonblank",$AD$4))),IFERROR(('Final Calculation Sheet'!$AC$23)&amp;"","")=""),AND(OR(ISNUMBER(SEARCH("nonblank",$AD$4)),ISNUMBER(SEARCH("&lt;&gt;",$AD$4))),IFERROR(('Final Calculation Sheet'!$AC$23)&amp;"","")&lt;&gt;""),AND(TRIM($AD$4)="",IFERROR(('Final Calculation Sheet'!$AC$23)&amp;"","")=""))))</f>
        <v>1</v>
      </c>
      <c r="CQ24">
        <f>IF($AE$4="",1,--(OR(SUMPRODUCT(--(TRIM(MID(SUBSTITUTE(SUBSTITUTE($AE$4,"/",","),",",REPT(" ",99)),(ROW($1:$8)-1)*99+1,99))&lt;&gt;""),--ISNUMBER(SEARCH(TRIM(MID(SUBSTITUTE(SUBSTITUTE($AE$4,"/",","),",",REPT(" ",99)),(ROW($1:$8)-1)*99+1,99)),IFERROR(('Final Calculation Sheet'!$AD$23)&amp;"",""))))&gt;0,AND(ISNUMBER(SEARCH("blank",$AE$4)),NOT(ISNUMBER(SEARCH("nonblank",$AE$4))),IFERROR(('Final Calculation Sheet'!$AD$23)&amp;"","")=""),AND(OR(ISNUMBER(SEARCH("nonblank",$AE$4)),ISNUMBER(SEARCH("&lt;&gt;",$AE$4))),IFERROR(('Final Calculation Sheet'!$AD$23)&amp;"","")&lt;&gt;""),AND(TRIM($AE$4)="",IFERROR(('Final Calculation Sheet'!$AD$23)&amp;"","")=""))))</f>
        <v>1</v>
      </c>
      <c r="CR24">
        <f>IF($AF$4="",1,--(OR(SUMPRODUCT(--(TRIM(MID(SUBSTITUTE(SUBSTITUTE($AF$4,"/",","),",",REPT(" ",99)),(ROW($1:$8)-1)*99+1,99))&lt;&gt;""),--ISNUMBER(SEARCH(TRIM(MID(SUBSTITUTE(SUBSTITUTE($AF$4,"/",","),",",REPT(" ",99)),(ROW($1:$8)-1)*99+1,99)),IFERROR(('Final Calculation Sheet'!$AE$23)&amp;"",""))))&gt;0,AND(ISNUMBER(SEARCH("blank",$AF$4)),NOT(ISNUMBER(SEARCH("nonblank",$AF$4))),IFERROR(('Final Calculation Sheet'!$AE$23)&amp;"","")=""),AND(OR(ISNUMBER(SEARCH("nonblank",$AF$4)),ISNUMBER(SEARCH("&lt;&gt;",$AF$4))),IFERROR(('Final Calculation Sheet'!$AE$23)&amp;"","")&lt;&gt;""),AND(TRIM($AF$4)="",IFERROR(('Final Calculation Sheet'!$AE$23)&amp;"","")=""))))</f>
        <v>1</v>
      </c>
      <c r="CS24">
        <f>IF($AG$4="",1,--(OR(SUMPRODUCT(--(TRIM(MID(SUBSTITUTE(SUBSTITUTE($AG$4,"/",","),",",REPT(" ",99)),(ROW($1:$8)-1)*99+1,99))&lt;&gt;""),--ISNUMBER(SEARCH(TRIM(MID(SUBSTITUTE(SUBSTITUTE($AG$4,"/",","),",",REPT(" ",99)),(ROW($1:$8)-1)*99+1,99)),IFERROR(('Final Calculation Sheet'!$AF$23)&amp;"",""))))&gt;0,AND(ISNUMBER(SEARCH("blank",$AG$4)),NOT(ISNUMBER(SEARCH("nonblank",$AG$4))),IFERROR(('Final Calculation Sheet'!$AF$23)&amp;"","")=""),AND(OR(ISNUMBER(SEARCH("nonblank",$AG$4)),ISNUMBER(SEARCH("&lt;&gt;",$AG$4))),IFERROR(('Final Calculation Sheet'!$AF$23)&amp;"","")&lt;&gt;""),AND(TRIM($AG$4)="",IFERROR(('Final Calculation Sheet'!$AF$23)&amp;"","")=""))))</f>
        <v>1</v>
      </c>
      <c r="CT24">
        <f>IF($AH$4="",1,--(OR(SUMPRODUCT(--(TRIM(MID(SUBSTITUTE(SUBSTITUTE($AH$4,"/",","),",",REPT(" ",99)),(ROW($1:$8)-1)*99+1,99))&lt;&gt;""),--ISNUMBER(SEARCH(TRIM(MID(SUBSTITUTE(SUBSTITUTE($AH$4,"/",","),",",REPT(" ",99)),(ROW($1:$8)-1)*99+1,99)),IFERROR(('Final Calculation Sheet'!$AG$23)&amp;"",""))))&gt;0,AND(ISNUMBER(SEARCH("blank",$AH$4)),NOT(ISNUMBER(SEARCH("nonblank",$AH$4))),IFERROR(('Final Calculation Sheet'!$AG$23)&amp;"","")=""),AND(OR(ISNUMBER(SEARCH("nonblank",$AH$4)),ISNUMBER(SEARCH("&lt;&gt;",$AH$4))),IFERROR(('Final Calculation Sheet'!$AG$23)&amp;"","")&lt;&gt;""),AND(TRIM($AH$4)="",IFERROR(('Final Calculation Sheet'!$AG$23)&amp;"","")=""))))</f>
        <v>1</v>
      </c>
      <c r="CU24">
        <f>IF($AI$4="",1,--(OR(SUMPRODUCT(--(TRIM(MID(SUBSTITUTE(SUBSTITUTE($AI$4,"/",","),",",REPT(" ",99)),(ROW($1:$8)-1)*99+1,99))&lt;&gt;""),--ISNUMBER(SEARCH(TRIM(MID(SUBSTITUTE(SUBSTITUTE($AI$4,"/",","),",",REPT(" ",99)),(ROW($1:$8)-1)*99+1,99)),IFERROR((IF('Final Calculation Sheet'!$AD$23&lt;=5,"SETTLED","OUTSTANDING"))&amp;"",""))))&gt;0,AND(ISNUMBER(SEARCH("blank",$AI$4)),NOT(ISNUMBER(SEARCH("nonblank",$AI$4))),IFERROR((IF('Final Calculation Sheet'!$AD$23&lt;=5,"SETTLED","OUTSTANDING"))&amp;"","")=""),AND(OR(ISNUMBER(SEARCH("nonblank",$AI$4)),ISNUMBER(SEARCH("&lt;&gt;",$AI$4))),IFERROR((IF('Final Calculation Sheet'!$AD$23&lt;=5,"SETTLED","OUTSTANDING"))&amp;"","")&lt;&gt;""),AND(TRIM($AI$4)="",IFERROR((IF('Final Calculation Sheet'!$AD$23&lt;=5,"SETTLED","OUTSTANDING"))&amp;"","")=""))))</f>
        <v>1</v>
      </c>
    </row>
    <row r="25" ht="15" customHeight="1" s="137">
      <c r="A25" s="67">
        <f>IF($BJ24&gt;0,INDEX($BA$5:$BA$41,MATCH(24,$BB$5:$BB$41,0)),IF(OR($BI24=1,$BL24=1,$BH24&gt;0),"∑",""))</f>
        <v>20</v>
      </c>
      <c r="B25" s="76">
        <f>IF($BJ24&gt;0,IF(INDEX('Final Calculation Sheet'!$F$4:$F$40,$BJ24-3)="","",INDEX('Final Calculation Sheet'!$F$4:$F$40,$BJ24-3)),"")</f>
        <v>2025</v>
      </c>
      <c r="C25" s="76" t="str">
        <f>IF($BJ24&gt;0,IF(INDEX('Final Calculation Sheet'!$G$4:$G$40,$BJ24-3)="","",INDEX('Final Calculation Sheet'!$G$4:$G$40,$BJ24-3)),IF(OR($BI24=1,$BL24=1,$BH24&gt;0),IF($BI24=1,37,IF($BL24=1,37-INDEX($BD$4:$BD$13,10),INDEX($BD$4:$BD$13,$BH24)))&amp;" lot(s)",""))</f>
        <v>STERLING ENTERPRISES</v>
      </c>
      <c r="D25" s="80" t="str">
        <f>IF($BJ24&gt;0,IF(INDEX('Final Calculation Sheet'!$B$4:$B$40,$BJ24-3)="","",INDEX('Final Calculation Sheet'!$B$4:$B$40,$BJ24-3)),IF(OR($BI24=1,$BL24=1,$BH24&gt;0),IF($BI24=1,"GRAND TOTAL  —  matching + remaining",IF($BL24=1,"TOTAL MATCHED  —  every group together",IF($BH24=10,"REMAINING  —  did not match the search",IF($BH24=9,IF(COUNTIF($A$4:$AI$4,"&lt;&gt;")&gt;0,"FILTERED LOTS  —  column fields","ALL LOTS  —  nothing typed in the box"),"GROUP "&amp;$BH24&amp;" TOTAL  —  lots matching  "&amp;INDEX($AR$6:$AY$6,$BH24))))),""))</f>
        <v>Scrap of empty oil Barrels</v>
      </c>
      <c r="E25" s="80">
        <f>IF($BJ24&gt;0,IF(INDEX('Final Calculation Sheet'!$D$4:$D$40,$BJ24-3)="","",INDEX('Final Calculation Sheet'!$D$4:$D$40,$BJ24-3)),IF(OR($BI24=1,$BL24=1,$BH24&gt;0),"–",""))</f>
        <v>21978</v>
      </c>
      <c r="F25" s="80">
        <f>IF($BJ24&gt;0,IF(INDEX('Final Calculation Sheet'!$A$4:$A$40,$BJ24-3)="","",INDEX('Final Calculation Sheet'!$A$4:$A$40,$BJ24-3)),IF(OR($BI24=1,$BL24=1,$BH24&gt;0),IF($BI24=1,SUM('Final Calculation Sheet'!$A$4:$A$40),IF($BL24=1,SUM('Final Calculation Sheet'!$A$4:$A$40)-SUMIFS('Final Calculation Sheet'!$A$4:$A$40,$AZ$5:$AZ$41,10),SUMIFS('Final Calculation Sheet'!$A$4:$A$40,$AZ$5:$AZ$41,$BH24))),""))</f>
        <v>90</v>
      </c>
      <c r="G25" s="80" t="str">
        <f>IF($BJ24&gt;0,IF(INDEX('Final Calculation Sheet'!$E$4:$E$40,$BJ24-3)="","",INDEX('Final Calculation Sheet'!$E$4:$E$40,$BJ24-3)),IF(OR($BI24=1,$BL24=1,$BH24&gt;0),"–",""))</f>
        <v>NO</v>
      </c>
      <c r="H25" s="70">
        <f>IF($BJ24&gt;0,IF(INDEX('Final Calculation Sheet'!$C$4:$C$40,$BJ24-3)="","",INDEX('Final Calculation Sheet'!$C$4:$C$40,$BJ24-3)),IF(OR($BI24=1,$BL24=1,$BH24&gt;0),"–",""))</f>
        <v>700</v>
      </c>
      <c r="I25" s="70">
        <f>IF($BJ24&gt;0,IF(INDEX('Final Calculation Sheet'!$H$4:$H$40,$BJ24-3)="","",INDEX('Final Calculation Sheet'!$H$4:$H$40,$BJ24-3)),IF(OR($BI24=1,$BL24=1,$BH24&gt;0),IF($BI24=1,SUM('Final Calculation Sheet'!$H$4:$H$40),IF($BL24=1,SUM('Final Calculation Sheet'!$H$4:$H$40)-SUMIFS('Final Calculation Sheet'!$H$4:$H$40,$AZ$5:$AZ$41,10),SUMIFS('Final Calculation Sheet'!$H$4:$H$40,$AZ$5:$AZ$41,$BH24))),""))</f>
        <v>63000</v>
      </c>
      <c r="J25" s="70">
        <f>IF($BJ24&gt;0,IF(INDEX('Final Calculation Sheet'!$I$4:$I$40,$BJ24-3)="","",INDEX('Final Calculation Sheet'!$I$4:$I$40,$BJ24-3)),IF(OR($BI24=1,$BL24=1,$BH24&gt;0),IF($BI24=1,SUM('Final Calculation Sheet'!$I$4:$I$40),IF($BL24=1,SUM('Final Calculation Sheet'!$I$4:$I$40)-SUMIFS('Final Calculation Sheet'!$I$4:$I$40,$AZ$5:$AZ$41,10),SUMIFS('Final Calculation Sheet'!$I$4:$I$40,$AZ$5:$AZ$41,$BH24))),""))</f>
        <v>11340</v>
      </c>
      <c r="K25" s="70">
        <f>IF($BJ24&gt;0,IF(INDEX('Final Calculation Sheet'!$J$4:$J$40,$BJ24-3)="","",INDEX('Final Calculation Sheet'!$J$4:$J$40,$BJ24-3)),IF(OR($BI24=1,$BL24=1,$BH24&gt;0),IF($BI24=1,SUM('Final Calculation Sheet'!$J$4:$J$40),IF($BL24=1,SUM('Final Calculation Sheet'!$J$4:$J$40)-SUMIFS('Final Calculation Sheet'!$J$4:$J$40,$AZ$5:$AZ$41,10),SUMIFS('Final Calculation Sheet'!$J$4:$J$40,$AZ$5:$AZ$41,$BH24))),""))</f>
        <v>74340</v>
      </c>
      <c r="L25" s="70">
        <f>IF($BJ24&gt;0,IF(INDEX('Final Calculation Sheet'!$K$4:$K$40,$BJ24-3)="","",INDEX('Final Calculation Sheet'!$K$4:$K$40,$BJ24-3)),IF(OR($BI24=1,$BL24=1,$BH24&gt;0),IF($BI24=1,SUM('Final Calculation Sheet'!$K$4:$K$40),IF($BL24=1,SUM('Final Calculation Sheet'!$K$4:$K$40)-SUMIFS('Final Calculation Sheet'!$K$4:$K$40,$AZ$5:$AZ$41,10),SUMIFS('Final Calculation Sheet'!$K$4:$K$40,$AZ$5:$AZ$41,$BH24))),""))</f>
        <v>1487</v>
      </c>
      <c r="M25" s="70">
        <f>IF($BJ24&gt;0,IF(INDEX('Final Calculation Sheet'!$L$4:$L$40,$BJ24-3)="","",INDEX('Final Calculation Sheet'!$L$4:$L$40,$BJ24-3)),IF(OR($BI24=1,$BL24=1,$BH24&gt;0),IF($BI24=1,SUM('Final Calculation Sheet'!$L$4:$L$40),IF($BL24=1,SUM('Final Calculation Sheet'!$L$4:$L$40)-SUMIFS('Final Calculation Sheet'!$L$4:$L$40,$AZ$5:$AZ$41,10),SUMIFS('Final Calculation Sheet'!$L$4:$L$40,$AZ$5:$AZ$41,$BH24))),""))</f>
        <v>63</v>
      </c>
      <c r="N25" s="70">
        <f>IF($BJ24&gt;0,IF(INDEX('Final Calculation Sheet'!$M$4:$M$40,$BJ24-3)="","",INDEX('Final Calculation Sheet'!$M$4:$M$40,$BJ24-3)),IF(OR($BI24=1,$BL24=1,$BH24&gt;0),IF($BI24=1,SUM('Final Calculation Sheet'!$M$4:$M$40),IF($BL24=1,SUM('Final Calculation Sheet'!$M$4:$M$40)-SUMIFS('Final Calculation Sheet'!$M$4:$M$40,$AZ$5:$AZ$41,10),SUMIFS('Final Calculation Sheet'!$M$4:$M$40,$AZ$5:$AZ$41,$BH24))),""))</f>
        <v>1672.6499999999999</v>
      </c>
      <c r="O25" s="71">
        <f>IF($BJ24&gt;0,IF(INDEX('Final Calculation Sheet'!$N$4:$N$40,$BJ24-3)="","",INDEX('Final Calculation Sheet'!$N$4:$N$40,$BJ24-3)),IF(OR($BI24=1,$BL24=1,$BH24&gt;0),IF($BI24=1,SUM('Final Calculation Sheet'!$N$4:$N$40),IF($BL24=1,SUM('Final Calculation Sheet'!$N$4:$N$40)-SUMIFS('Final Calculation Sheet'!$N$4:$N$40,$AZ$5:$AZ$41,10),SUMIFS('Final Calculation Sheet'!$N$4:$N$40,$AZ$5:$AZ$41,$BH24))),""))</f>
        <v>28.35</v>
      </c>
      <c r="P25" s="70">
        <f>IF($BJ24&gt;0,IF(INDEX('Final Calculation Sheet'!$O$4:$O$40,$BJ24-3)="","",INDEX('Final Calculation Sheet'!$O$4:$O$40,$BJ24-3)),IF(OR($BI24=1,$BL24=1,$BH24&gt;0),IF($BI24=1,SUM('Final Calculation Sheet'!$O$4:$O$40),IF($BL24=1,SUM('Final Calculation Sheet'!$O$4:$O$40)-SUMIFS('Final Calculation Sheet'!$O$4:$O$40,$AZ$5:$AZ$41,10),SUMIFS('Final Calculation Sheet'!$O$4:$O$40,$AZ$5:$AZ$41,$BH24))),""))</f>
        <v>1644.3</v>
      </c>
      <c r="Q25" s="70">
        <f>IF($BJ24&gt;0,IF(INDEX('Final Calculation Sheet'!$P$4:$P$40,$BJ24-3)="","",INDEX('Final Calculation Sheet'!$P$4:$P$40,$BJ24-3)),IF(OR($BI24=1,$BL24=1,$BH24&gt;0),IF($BI24=1,SUM('Final Calculation Sheet'!$P$4:$P$40),IF($BL24=1,SUM('Final Calculation Sheet'!$P$4:$P$40)-SUMIFS('Final Calculation Sheet'!$P$4:$P$40,$AZ$5:$AZ$41,10),SUMIFS('Final Calculation Sheet'!$P$4:$P$40,$AZ$5:$AZ$41,$BH24))),""))</f>
        <v>1707</v>
      </c>
      <c r="R25" s="72">
        <f>IF($BJ24&gt;0,IF(INDEX('Final Calculation Sheet'!$Q$4:$Q$40,$BJ24-3)="","",INDEX('Final Calculation Sheet'!$Q$4:$Q$40,$BJ24-3)),IF(OR($BI24=1,$BL24=1,$BH24&gt;0),"–",""))</f>
        <v>0</v>
      </c>
      <c r="S25" s="70">
        <f>IF($BJ24&gt;0,IF(INDEX('Final Calculation Sheet'!$R$4:$R$40,$BJ24-3)="","",INDEX('Final Calculation Sheet'!$R$4:$R$40,$BJ24-3)),IF(OR($BI24=1,$BL24=1,$BH24&gt;0),IF($BI24=1,SUM('Final Calculation Sheet'!$R$4:$R$40),IF($BL24=1,SUM('Final Calculation Sheet'!$R$4:$R$40)-SUMIFS('Final Calculation Sheet'!$R$4:$R$40,$AZ$5:$AZ$41,10),SUMIFS('Final Calculation Sheet'!$R$4:$R$40,$AZ$5:$AZ$41,$BH24))),""))</f>
        <v>0</v>
      </c>
      <c r="T25" s="70">
        <f>IF($BJ24&gt;0,IF(INDEX('Final Calculation Sheet'!$S$4:$S$40,$BJ24-3)="","",INDEX('Final Calculation Sheet'!$S$4:$S$40,$BJ24-3)),IF(OR($BI24=1,$BL24=1,$BH24&gt;0),IF($BI24=1,SUM('Final Calculation Sheet'!$S$4:$S$40),IF($BL24=1,SUM('Final Calculation Sheet'!$S$4:$S$40)-SUMIFS('Final Calculation Sheet'!$S$4:$S$40,$AZ$5:$AZ$41,10),SUMIFS('Final Calculation Sheet'!$S$4:$S$40,$AZ$5:$AZ$41,$BH24))),""))</f>
        <v>74120</v>
      </c>
      <c r="U25" s="70">
        <f>IF($BJ24&gt;0,IF(INDEX('Final Calculation Sheet'!$T$4:$T$40,$BJ24-3)="","",INDEX('Final Calculation Sheet'!$T$4:$T$40,$BJ24-3)),IF(OR($BI24=1,$BL24=1,$BH24&gt;0),IF($BI24=1,SUM('Final Calculation Sheet'!$T$4:$T$40),IF($BL24=1,SUM('Final Calculation Sheet'!$T$4:$T$40)-SUMIFS('Final Calculation Sheet'!$T$4:$T$40,$AZ$5:$AZ$41,10),SUMIFS('Final Calculation Sheet'!$T$4:$T$40,$AZ$5:$AZ$41,$BH24))),""))</f>
        <v>15750</v>
      </c>
      <c r="V25" s="73">
        <f>IF($BJ24&gt;0,IF(INDEX('Final Calculation Sheet'!$U$4:$U$40,$BJ24-3)="","",INDEX('Final Calculation Sheet'!$U$4:$U$40,$BJ24-3)),IF(OR($BI24=1,$BL24=1,$BH24&gt;0),IF($BI24=1,SUM('Final Calculation Sheet'!$U$4:$U$40),IF($BL24=1,SUM('Final Calculation Sheet'!$U$4:$U$40)-SUMIFS('Final Calculation Sheet'!$U$4:$U$40,$AZ$5:$AZ$41,10),SUMIFS('Final Calculation Sheet'!$U$4:$U$40,$AZ$5:$AZ$41,$BH24))),""))</f>
        <v>15750</v>
      </c>
      <c r="W25" s="70" t="str">
        <f>IF($BJ24&gt;0,IF(INDEX('Final Calculation Sheet'!$V$4:$V$40,$BJ24-3)="","",INDEX('Final Calculation Sheet'!$V$4:$V$40,$BJ24-3)),IF(OR($BI24=1,$BL24=1,$BH24&gt;0),"–",""))</f>
        <v>11.08.2026</v>
      </c>
      <c r="X25" s="70">
        <f>IF($BJ24&gt;0,IF(INDEX('Final Calculation Sheet'!$W$4:$W$40,$BJ24-3)="","",INDEX('Final Calculation Sheet'!$W$4:$W$40,$BJ24-3)),IF(OR($BI24=1,$BL24=1,$BH24&gt;0),IF($BI24=1,SUM('Final Calculation Sheet'!$W$4:$W$40),IF($BL24=1,SUM('Final Calculation Sheet'!$W$4:$W$40)-SUMIFS('Final Calculation Sheet'!$W$4:$W$40,$AZ$5:$AZ$41,10),SUMIFS('Final Calculation Sheet'!$W$4:$W$40,$AZ$5:$AZ$41,$BH24))),""))</f>
        <v>58370</v>
      </c>
      <c r="Y25" s="70">
        <f>IF($BJ24&gt;0,IF(INDEX('Final Calculation Sheet'!$X$4:$X$40,$BJ24-3)="","",INDEX('Final Calculation Sheet'!$X$4:$X$40,$BJ24-3)),IF(OR($BI24=1,$BL24=1,$BH24&gt;0),IF($BI24=1,SUM('Final Calculation Sheet'!$X$4:$X$40),IF($BL24=1,SUM('Final Calculation Sheet'!$X$4:$X$40)-SUMIFS('Final Calculation Sheet'!$X$4:$X$40,$AZ$5:$AZ$41,10),SUMIFS('Final Calculation Sheet'!$X$4:$X$40,$AZ$5:$AZ$41,$BH24))),""))</f>
        <v>58418</v>
      </c>
      <c r="Z25" s="70" t="str">
        <f>IF($BJ24&gt;0,IF(INDEX('Final Calculation Sheet'!$Y$4:$Y$40,$BJ24-3)="","",INDEX('Final Calculation Sheet'!$Y$4:$Y$40,$BJ24-3)),IF(OR($BI24=1,$BL24=1,$BH24&gt;0),"–",""))</f>
        <v>11.08.2026</v>
      </c>
      <c r="AA25" s="70">
        <f>IF($BJ24&gt;0,IF(INDEX('Final Calculation Sheet'!$Z$4:$Z$40,$BJ24-3)="","",INDEX('Final Calculation Sheet'!$Z$4:$Z$40,$BJ24-3)),IF(OR($BI24=1,$BL24=1,$BH24&gt;0),IF($BI24=1,SUM('Final Calculation Sheet'!$Z$4:$Z$40),IF($BL24=1,SUM('Final Calculation Sheet'!$Z$4:$Z$40)-SUMIFS('Final Calculation Sheet'!$Z$4:$Z$40,$AZ$5:$AZ$41,10),SUMIFS('Final Calculation Sheet'!$Z$4:$Z$40,$AZ$5:$AZ$41,$BH24))),""))</f>
        <v>0</v>
      </c>
      <c r="AB25" s="70" t="str">
        <f>IF($BJ24&gt;0,IF(INDEX('Final Calculation Sheet'!$AA$4:$AA$40,$BJ24-3)="","",INDEX('Final Calculation Sheet'!$AA$4:$AA$40,$BJ24-3)),IF(OR($BI24=1,$BL24=1,$BH24&gt;0),IF($BI24=1,SUM('Final Calculation Sheet'!$AA$4:$AA$40),IF($BL24=1,SUM('Final Calculation Sheet'!$AA$4:$AA$40)-SUMIFS('Final Calculation Sheet'!$AA$4:$AA$40,$AZ$5:$AZ$41,10),SUMIFS('Final Calculation Sheet'!$AA$4:$AA$40,$AZ$5:$AZ$41,$BH24))),""))</f>
        <v/>
      </c>
      <c r="AC25" s="70" t="str">
        <f>IF($BJ24&gt;0,IF(INDEX('Final Calculation Sheet'!$AB$4:$AB$40,$BJ24-3)="","",INDEX('Final Calculation Sheet'!$AB$4:$AB$40,$BJ24-3)),IF(OR($BI24=1,$BL24=1,$BH24&gt;0),"–",""))</f>
        <v/>
      </c>
      <c r="AD25" s="70">
        <f>IF($BJ24&gt;0,IF(INDEX('Final Calculation Sheet'!$AC$4:$AC$40,$BJ24-3)="","",INDEX('Final Calculation Sheet'!$AC$4:$AC$40,$BJ24-3)),IF(OR($BI24=1,$BL24=1,$BH24&gt;0),IF($BI24=1,SUM('Final Calculation Sheet'!$AC$4:$AC$40),IF($BL24=1,SUM('Final Calculation Sheet'!$AC$4:$AC$40)-SUMIFS('Final Calculation Sheet'!$AC$4:$AC$40,$AZ$5:$AZ$41,10),SUMIFS('Final Calculation Sheet'!$AC$4:$AC$40,$AZ$5:$AZ$41,$BH24))),""))</f>
        <v>74168</v>
      </c>
      <c r="AE25" s="70">
        <f>IF($BJ24&gt;0,IF(INDEX('Final Calculation Sheet'!$AD$4:$AD$40,$BJ24-3)="","",INDEX('Final Calculation Sheet'!$AD$4:$AD$40,$BJ24-3)),IF(OR($BI24=1,$BL24=1,$BH24&gt;0),IF($BI24=1,SUM('Final Calculation Sheet'!$AD$4:$AD$40),IF($BL24=1,SUM('Final Calculation Sheet'!$AD$4:$AD$40)-SUMIFS('Final Calculation Sheet'!$AD$4:$AD$40,$AZ$5:$AZ$41,10),SUMIFS('Final Calculation Sheet'!$AD$4:$AD$40,$AZ$5:$AZ$41,$BH24))),""))</f>
        <v>-48</v>
      </c>
      <c r="AF25" s="70" t="str">
        <f>IF($BJ24&gt;0,IF(INDEX('Final Calculation Sheet'!$AE$4:$AE$40,$BJ24-3)="","",INDEX('Final Calculation Sheet'!$AE$4:$AE$40,$BJ24-3)),IF(OR($BI24=1,$BL24=1,$BH24&gt;0),"–",""))</f>
        <v>DR2640100021</v>
      </c>
      <c r="AG25" s="74">
        <f>IF($BJ24&gt;0,IF(INDEX('Final Calculation Sheet'!$AF$4:$AF$40,$BJ24-3)="","",INDEX('Final Calculation Sheet'!$AF$4:$AF$40,$BJ24-3)),IF(OR($BI24=1,$BL24=1,$BH24&gt;0),"–",""))</f>
        <v>1800003160</v>
      </c>
      <c r="AH25" s="70" t="str">
        <f>IF($BJ24&gt;0,IF(INDEX('Final Calculation Sheet'!$AG$4:$AG$40,$BJ24-3)="","",INDEX('Final Calculation Sheet'!$AG$4:$AG$40,$BJ24-3)),IF(OR($BI24=1,$BL24=1,$BH24&gt;0),"–",""))</f>
        <v>14.08.2026</v>
      </c>
      <c r="AI25" s="75" t="str">
        <f>IF($BJ24&gt;0,IF(INDEX('Final Calculation Sheet'!$AD$4:$AD$40,$BJ24-3)="","",IF(INDEX('Final Calculation Sheet'!$AD$4:$AD$40,$BJ24-3)&lt;=5,"SETTLED","OUTSTANDING")),IF(OR($BI24=1,$BL24=1,$BH24&gt;0),IF(IF($BI24=1,SUM('Final Calculation Sheet'!$AD$4:$AD$40),IF($BL24=1,SUM('Final Calculation Sheet'!$AD$4:$AD$40)-SUMIFS('Final Calculation Sheet'!$AD$4:$AD$40,$AZ$5:$AZ$41,10),SUMIFS('Final Calculation Sheet'!$AD$4:$AD$40,$AZ$5:$AZ$41,$BH24)))&lt;=5,"ALL SETTLED","OUTSTANDING"),""))</f>
        <v>SETTLED</v>
      </c>
      <c r="AK25" t="str">
        <f>IF($F$3="Lot No.",'Final Calculation Sheet'!$F$24,IF($F$3="Buyer",'Final Calculation Sheet'!$G$24,IF($F$3="Lot Name",'Final Calculation Sheet'!$B$24,IF($F$3="Bid Sheet",'Final Calculation Sheet'!$D$24,IF($F$3="Unit",'Final Calculation Sheet'!$E$24,'Final Calculation Sheet'!$F$24&amp;" "&amp;'Final Calculation Sheet'!$G$24&amp;" "&amp;'Final Calculation Sheet'!$B$24)))))</f>
        <v>2027 NATIONAL ENTERPRISES Scrap of 132 KV CT</v>
      </c>
      <c r="AL25">
        <f>AL24+IF($B$3="",0,--(SUMPRODUCT(--($AR$6:$AY$6&lt;&gt;""),--ISNUMBER(SEARCH($AR$6:$AY$6,$AK25)))&gt;0))</f>
        <v>0</v>
      </c>
      <c r="AM25">
        <f>IF(COUNTIF($BM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1</v>
      </c>
      <c r="AZ25">
        <f>IF($B$3="",IF(COUNTIF($A$4:$AI$4,"&lt;&gt;")=0,9,IF($AM25=1,9,10)),IF($AM25=0,10,IF(AND($AR$6&lt;&gt;"",ISNUMBER(SEARCH($AR$6,$AK25))),1,IF(AND($AS$6&lt;&gt;"",ISNUMBER(SEARCH($AS$6,$AK25))),2,IF(AND($AT$6&lt;&gt;"",ISNUMBER(SEARCH($AT$6,$AK25))),3,IF(AND($AU$6&lt;&gt;"",ISNUMBER(SEARCH($AU$6,$AK25))),4,IF(AND($AV$6&lt;&gt;"",ISNUMBER(SEARCH($AV$6,$AK25))),5,IF(AND($AW$6&lt;&gt;"",ISNUMBER(SEARCH($AW$6,$AK25))),6,IF(AND($AX$6&lt;&gt;"",ISNUMBER(SEARCH($AX$6,$AK25))),7,IF(AND($AY$6&lt;&gt;"",ISNUMBER(SEARCH($AY$6,$AK25))),8,0))))))))))</f>
        <v>9</v>
      </c>
      <c r="BA25">
        <f>SUMPRODUCT(($AZ$5:$AZ$41=$AZ25)*($BC$5:$BC$41&lt;$BC25))+1</f>
        <v>21</v>
      </c>
      <c r="BB25">
        <f>IF(INDEX($BF$4:$BF$13,$AZ25)=0,0,INDEX($BE$4:$BE$13,$AZ25)+$BA25-1)</f>
        <v>25</v>
      </c>
      <c r="BC25" t="n">
        <v>24</v>
      </c>
      <c r="BH25">
        <f>IFERROR(MATCH(25,$BF$4:$BF$13,0),0)</f>
        <v>0</v>
      </c>
      <c r="BI25">
        <f>IF(25=$BG$5,1,0)</f>
        <v>0</v>
      </c>
      <c r="BJ25">
        <f>IF(OR($BH25&gt;0,$BI25=1,$BL25=1),0,IFERROR(INDEX($BC$5:$BC$41,MATCH(25,$BB$5:$BB$41,0)),0))</f>
        <v>24</v>
      </c>
      <c r="BK25">
        <f>IF($BJ25&gt;0,IF(INDEX($AZ$5:$AZ$41,MATCH(25,$BB$5:$BB$41,0))=10,1,0),IF($BH25=10,1,0))</f>
        <v>0</v>
      </c>
      <c r="BL25">
        <f>IF(25=$BG$4,1,0)</f>
        <v>0</v>
      </c>
      <c r="BM25">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1</v>
      </c>
      <c r="BN25">
        <f>IF($B$4="",1,--(OR(SUMPRODUCT(--(TRIM(MID(SUBSTITUTE(SUBSTITUTE($B$4,"/",","),",",REPT(" ",99)),(ROW($1:$8)-1)*99+1,99))&lt;&gt;""),--ISNUMBER(SEARCH(TRIM(MID(SUBSTITUTE(SUBSTITUTE($B$4,"/",","),",",REPT(" ",99)),(ROW($1:$8)-1)*99+1,99)),IFERROR(('Final Calculation Sheet'!$F$24)&amp;"",""))))&gt;0,AND(ISNUMBER(SEARCH("blank",$B$4)),NOT(ISNUMBER(SEARCH("nonblank",$B$4))),IFERROR(('Final Calculation Sheet'!$F$24)&amp;"","")=""),AND(OR(ISNUMBER(SEARCH("nonblank",$B$4)),ISNUMBER(SEARCH("&lt;&gt;",$B$4))),IFERROR(('Final Calculation Sheet'!$F$24)&amp;"","")&lt;&gt;""),AND(TRIM($B$4)="",IFERROR(('Final Calculation Sheet'!$F$24)&amp;"","")=""))))</f>
        <v>1</v>
      </c>
      <c r="BO25">
        <f>IF($C$4="",1,--(OR(SUMPRODUCT(--(TRIM(MID(SUBSTITUTE(SUBSTITUTE($C$4,"/",","),",",REPT(" ",99)),(ROW($1:$8)-1)*99+1,99))&lt;&gt;""),--ISNUMBER(SEARCH(TRIM(MID(SUBSTITUTE(SUBSTITUTE($C$4,"/",","),",",REPT(" ",99)),(ROW($1:$8)-1)*99+1,99)),IFERROR(('Final Calculation Sheet'!$G$24)&amp;"",""))))&gt;0,AND(ISNUMBER(SEARCH("blank",$C$4)),NOT(ISNUMBER(SEARCH("nonblank",$C$4))),IFERROR(('Final Calculation Sheet'!$G$24)&amp;"","")=""),AND(OR(ISNUMBER(SEARCH("nonblank",$C$4)),ISNUMBER(SEARCH("&lt;&gt;",$C$4))),IFERROR(('Final Calculation Sheet'!$G$24)&amp;"","")&lt;&gt;""),AND(TRIM($C$4)="",IFERROR(('Final Calculation Sheet'!$G$24)&amp;"","")=""))))</f>
        <v>1</v>
      </c>
      <c r="BP25">
        <f>IF($D$4="",1,--(OR(SUMPRODUCT(--(TRIM(MID(SUBSTITUTE(SUBSTITUTE($D$4,"/",","),",",REPT(" ",99)),(ROW($1:$8)-1)*99+1,99))&lt;&gt;""),--ISNUMBER(SEARCH(TRIM(MID(SUBSTITUTE(SUBSTITUTE($D$4,"/",","),",",REPT(" ",99)),(ROW($1:$8)-1)*99+1,99)),IFERROR(('Final Calculation Sheet'!$B$24)&amp;"",""))))&gt;0,AND(ISNUMBER(SEARCH("blank",$D$4)),NOT(ISNUMBER(SEARCH("nonblank",$D$4))),IFERROR(('Final Calculation Sheet'!$B$24)&amp;"","")=""),AND(OR(ISNUMBER(SEARCH("nonblank",$D$4)),ISNUMBER(SEARCH("&lt;&gt;",$D$4))),IFERROR(('Final Calculation Sheet'!$B$24)&amp;"","")&lt;&gt;""),AND(TRIM($D$4)="",IFERROR(('Final Calculation Sheet'!$B$24)&amp;"","")=""))))</f>
        <v>1</v>
      </c>
      <c r="BQ25">
        <f>IF($E$4="",1,--(OR(SUMPRODUCT(--(TRIM(MID(SUBSTITUTE(SUBSTITUTE($E$4,"/",","),",",REPT(" ",99)),(ROW($1:$8)-1)*99+1,99))&lt;&gt;""),--ISNUMBER(SEARCH(TRIM(MID(SUBSTITUTE(SUBSTITUTE($E$4,"/",","),",",REPT(" ",99)),(ROW($1:$8)-1)*99+1,99)),IFERROR(('Final Calculation Sheet'!$D$24)&amp;"",""))))&gt;0,AND(ISNUMBER(SEARCH("blank",$E$4)),NOT(ISNUMBER(SEARCH("nonblank",$E$4))),IFERROR(('Final Calculation Sheet'!$D$24)&amp;"","")=""),AND(OR(ISNUMBER(SEARCH("nonblank",$E$4)),ISNUMBER(SEARCH("&lt;&gt;",$E$4))),IFERROR(('Final Calculation Sheet'!$D$24)&amp;"","")&lt;&gt;""),AND(TRIM($E$4)="",IFERROR(('Final Calculation Sheet'!$D$24)&amp;"","")=""))))</f>
        <v>1</v>
      </c>
      <c r="BR25">
        <f>IF($F$4="",1,--(OR(SUMPRODUCT(--(TRIM(MID(SUBSTITUTE(SUBSTITUTE($F$4,"/",","),",",REPT(" ",99)),(ROW($1:$8)-1)*99+1,99))&lt;&gt;""),--ISNUMBER(SEARCH(TRIM(MID(SUBSTITUTE(SUBSTITUTE($F$4,"/",","),",",REPT(" ",99)),(ROW($1:$8)-1)*99+1,99)),IFERROR(('Final Calculation Sheet'!$A$24)&amp;"",""))))&gt;0,AND(ISNUMBER(SEARCH("blank",$F$4)),NOT(ISNUMBER(SEARCH("nonblank",$F$4))),IFERROR(('Final Calculation Sheet'!$A$24)&amp;"","")=""),AND(OR(ISNUMBER(SEARCH("nonblank",$F$4)),ISNUMBER(SEARCH("&lt;&gt;",$F$4))),IFERROR(('Final Calculation Sheet'!$A$24)&amp;"","")&lt;&gt;""),AND(TRIM($F$4)="",IFERROR(('Final Calculation Sheet'!$A$24)&amp;"","")=""))))</f>
        <v>1</v>
      </c>
      <c r="BS25">
        <f>IF($G$4="",1,--(OR(SUMPRODUCT(--(TRIM(MID(SUBSTITUTE(SUBSTITUTE($G$4,"/",","),",",REPT(" ",99)),(ROW($1:$8)-1)*99+1,99))&lt;&gt;""),--ISNUMBER(SEARCH(TRIM(MID(SUBSTITUTE(SUBSTITUTE($G$4,"/",","),",",REPT(" ",99)),(ROW($1:$8)-1)*99+1,99)),IFERROR(('Final Calculation Sheet'!$E$24)&amp;"",""))))&gt;0,AND(ISNUMBER(SEARCH("blank",$G$4)),NOT(ISNUMBER(SEARCH("nonblank",$G$4))),IFERROR(('Final Calculation Sheet'!$E$24)&amp;"","")=""),AND(OR(ISNUMBER(SEARCH("nonblank",$G$4)),ISNUMBER(SEARCH("&lt;&gt;",$G$4))),IFERROR(('Final Calculation Sheet'!$E$24)&amp;"","")&lt;&gt;""),AND(TRIM($G$4)="",IFERROR(('Final Calculation Sheet'!$E$24)&amp;"","")=""))))</f>
        <v>1</v>
      </c>
      <c r="BT25">
        <f>IF($H$4="",1,--(OR(SUMPRODUCT(--(TRIM(MID(SUBSTITUTE(SUBSTITUTE($H$4,"/",","),",",REPT(" ",99)),(ROW($1:$8)-1)*99+1,99))&lt;&gt;""),--ISNUMBER(SEARCH(TRIM(MID(SUBSTITUTE(SUBSTITUTE($H$4,"/",","),",",REPT(" ",99)),(ROW($1:$8)-1)*99+1,99)),IFERROR(('Final Calculation Sheet'!$C$24)&amp;"",""))))&gt;0,AND(ISNUMBER(SEARCH("blank",$H$4)),NOT(ISNUMBER(SEARCH("nonblank",$H$4))),IFERROR(('Final Calculation Sheet'!$C$24)&amp;"","")=""),AND(OR(ISNUMBER(SEARCH("nonblank",$H$4)),ISNUMBER(SEARCH("&lt;&gt;",$H$4))),IFERROR(('Final Calculation Sheet'!$C$24)&amp;"","")&lt;&gt;""),AND(TRIM($H$4)="",IFERROR(('Final Calculation Sheet'!$C$24)&amp;"","")=""))))</f>
        <v>1</v>
      </c>
      <c r="BU25">
        <f>IF($I$4="",1,--(OR(SUMPRODUCT(--(TRIM(MID(SUBSTITUTE(SUBSTITUTE($I$4,"/",","),",",REPT(" ",99)),(ROW($1:$8)-1)*99+1,99))&lt;&gt;""),--ISNUMBER(SEARCH(TRIM(MID(SUBSTITUTE(SUBSTITUTE($I$4,"/",","),",",REPT(" ",99)),(ROW($1:$8)-1)*99+1,99)),IFERROR(('Final Calculation Sheet'!$H$24)&amp;"",""))))&gt;0,AND(ISNUMBER(SEARCH("blank",$I$4)),NOT(ISNUMBER(SEARCH("nonblank",$I$4))),IFERROR(('Final Calculation Sheet'!$H$24)&amp;"","")=""),AND(OR(ISNUMBER(SEARCH("nonblank",$I$4)),ISNUMBER(SEARCH("&lt;&gt;",$I$4))),IFERROR(('Final Calculation Sheet'!$H$24)&amp;"","")&lt;&gt;""),AND(TRIM($I$4)="",IFERROR(('Final Calculation Sheet'!$H$24)&amp;"","")=""))))</f>
        <v>1</v>
      </c>
      <c r="BV25">
        <f>IF($J$4="",1,--(OR(SUMPRODUCT(--(TRIM(MID(SUBSTITUTE(SUBSTITUTE($J$4,"/",","),",",REPT(" ",99)),(ROW($1:$8)-1)*99+1,99))&lt;&gt;""),--ISNUMBER(SEARCH(TRIM(MID(SUBSTITUTE(SUBSTITUTE($J$4,"/",","),",",REPT(" ",99)),(ROW($1:$8)-1)*99+1,99)),IFERROR(('Final Calculation Sheet'!$I$24)&amp;"",""))))&gt;0,AND(ISNUMBER(SEARCH("blank",$J$4)),NOT(ISNUMBER(SEARCH("nonblank",$J$4))),IFERROR(('Final Calculation Sheet'!$I$24)&amp;"","")=""),AND(OR(ISNUMBER(SEARCH("nonblank",$J$4)),ISNUMBER(SEARCH("&lt;&gt;",$J$4))),IFERROR(('Final Calculation Sheet'!$I$24)&amp;"","")&lt;&gt;""),AND(TRIM($J$4)="",IFERROR(('Final Calculation Sheet'!$I$24)&amp;"","")=""))))</f>
        <v>1</v>
      </c>
      <c r="BW25">
        <f>IF($K$4="",1,--(OR(SUMPRODUCT(--(TRIM(MID(SUBSTITUTE(SUBSTITUTE($K$4,"/",","),",",REPT(" ",99)),(ROW($1:$8)-1)*99+1,99))&lt;&gt;""),--ISNUMBER(SEARCH(TRIM(MID(SUBSTITUTE(SUBSTITUTE($K$4,"/",","),",",REPT(" ",99)),(ROW($1:$8)-1)*99+1,99)),IFERROR(('Final Calculation Sheet'!$J$24)&amp;"",""))))&gt;0,AND(ISNUMBER(SEARCH("blank",$K$4)),NOT(ISNUMBER(SEARCH("nonblank",$K$4))),IFERROR(('Final Calculation Sheet'!$J$24)&amp;"","")=""),AND(OR(ISNUMBER(SEARCH("nonblank",$K$4)),ISNUMBER(SEARCH("&lt;&gt;",$K$4))),IFERROR(('Final Calculation Sheet'!$J$24)&amp;"","")&lt;&gt;""),AND(TRIM($K$4)="",IFERROR(('Final Calculation Sheet'!$J$24)&amp;"","")=""))))</f>
        <v>1</v>
      </c>
      <c r="BX25">
        <f>IF($L$4="",1,--(OR(SUMPRODUCT(--(TRIM(MID(SUBSTITUTE(SUBSTITUTE($L$4,"/",","),",",REPT(" ",99)),(ROW($1:$8)-1)*99+1,99))&lt;&gt;""),--ISNUMBER(SEARCH(TRIM(MID(SUBSTITUTE(SUBSTITUTE($L$4,"/",","),",",REPT(" ",99)),(ROW($1:$8)-1)*99+1,99)),IFERROR(('Final Calculation Sheet'!$K$24)&amp;"",""))))&gt;0,AND(ISNUMBER(SEARCH("blank",$L$4)),NOT(ISNUMBER(SEARCH("nonblank",$L$4))),IFERROR(('Final Calculation Sheet'!$K$24)&amp;"","")=""),AND(OR(ISNUMBER(SEARCH("nonblank",$L$4)),ISNUMBER(SEARCH("&lt;&gt;",$L$4))),IFERROR(('Final Calculation Sheet'!$K$24)&amp;"","")&lt;&gt;""),AND(TRIM($L$4)="",IFERROR(('Final Calculation Sheet'!$K$24)&amp;"","")=""))))</f>
        <v>1</v>
      </c>
      <c r="BY25">
        <f>IF($M$4="",1,--(OR(SUMPRODUCT(--(TRIM(MID(SUBSTITUTE(SUBSTITUTE($M$4,"/",","),",",REPT(" ",99)),(ROW($1:$8)-1)*99+1,99))&lt;&gt;""),--ISNUMBER(SEARCH(TRIM(MID(SUBSTITUTE(SUBSTITUTE($M$4,"/",","),",",REPT(" ",99)),(ROW($1:$8)-1)*99+1,99)),IFERROR(('Final Calculation Sheet'!$L$24)&amp;"",""))))&gt;0,AND(ISNUMBER(SEARCH("blank",$M$4)),NOT(ISNUMBER(SEARCH("nonblank",$M$4))),IFERROR(('Final Calculation Sheet'!$L$24)&amp;"","")=""),AND(OR(ISNUMBER(SEARCH("nonblank",$M$4)),ISNUMBER(SEARCH("&lt;&gt;",$M$4))),IFERROR(('Final Calculation Sheet'!$L$24)&amp;"","")&lt;&gt;""),AND(TRIM($M$4)="",IFERROR(('Final Calculation Sheet'!$L$24)&amp;"","")=""))))</f>
        <v>1</v>
      </c>
      <c r="BZ25">
        <f>IF($N$4="",1,--(OR(SUMPRODUCT(--(TRIM(MID(SUBSTITUTE(SUBSTITUTE($N$4,"/",","),",",REPT(" ",99)),(ROW($1:$8)-1)*99+1,99))&lt;&gt;""),--ISNUMBER(SEARCH(TRIM(MID(SUBSTITUTE(SUBSTITUTE($N$4,"/",","),",",REPT(" ",99)),(ROW($1:$8)-1)*99+1,99)),IFERROR(('Final Calculation Sheet'!$M$24)&amp;"",""))))&gt;0,AND(ISNUMBER(SEARCH("blank",$N$4)),NOT(ISNUMBER(SEARCH("nonblank",$N$4))),IFERROR(('Final Calculation Sheet'!$M$24)&amp;"","")=""),AND(OR(ISNUMBER(SEARCH("nonblank",$N$4)),ISNUMBER(SEARCH("&lt;&gt;",$N$4))),IFERROR(('Final Calculation Sheet'!$M$24)&amp;"","")&lt;&gt;""),AND(TRIM($N$4)="",IFERROR(('Final Calculation Sheet'!$M$24)&amp;"","")=""))))</f>
        <v>1</v>
      </c>
      <c r="CA25">
        <f>IF($O$4="",1,--(OR(SUMPRODUCT(--(TRIM(MID(SUBSTITUTE(SUBSTITUTE($O$4,"/",","),",",REPT(" ",99)),(ROW($1:$8)-1)*99+1,99))&lt;&gt;""),--ISNUMBER(SEARCH(TRIM(MID(SUBSTITUTE(SUBSTITUTE($O$4,"/",","),",",REPT(" ",99)),(ROW($1:$8)-1)*99+1,99)),IFERROR(('Final Calculation Sheet'!$N$24)&amp;"",""))))&gt;0,AND(ISNUMBER(SEARCH("blank",$O$4)),NOT(ISNUMBER(SEARCH("nonblank",$O$4))),IFERROR(('Final Calculation Sheet'!$N$24)&amp;"","")=""),AND(OR(ISNUMBER(SEARCH("nonblank",$O$4)),ISNUMBER(SEARCH("&lt;&gt;",$O$4))),IFERROR(('Final Calculation Sheet'!$N$24)&amp;"","")&lt;&gt;""),AND(TRIM($O$4)="",IFERROR(('Final Calculation Sheet'!$N$24)&amp;"","")=""))))</f>
        <v>1</v>
      </c>
      <c r="CB25">
        <f>IF($P$4="",1,--(OR(SUMPRODUCT(--(TRIM(MID(SUBSTITUTE(SUBSTITUTE($P$4,"/",","),",",REPT(" ",99)),(ROW($1:$8)-1)*99+1,99))&lt;&gt;""),--ISNUMBER(SEARCH(TRIM(MID(SUBSTITUTE(SUBSTITUTE($P$4,"/",","),",",REPT(" ",99)),(ROW($1:$8)-1)*99+1,99)),IFERROR(('Final Calculation Sheet'!$O$24)&amp;"",""))))&gt;0,AND(ISNUMBER(SEARCH("blank",$P$4)),NOT(ISNUMBER(SEARCH("nonblank",$P$4))),IFERROR(('Final Calculation Sheet'!$O$24)&amp;"","")=""),AND(OR(ISNUMBER(SEARCH("nonblank",$P$4)),ISNUMBER(SEARCH("&lt;&gt;",$P$4))),IFERROR(('Final Calculation Sheet'!$O$24)&amp;"","")&lt;&gt;""),AND(TRIM($P$4)="",IFERROR(('Final Calculation Sheet'!$O$24)&amp;"","")=""))))</f>
        <v>1</v>
      </c>
      <c r="CC25">
        <f>IF($Q$4="",1,--(OR(SUMPRODUCT(--(TRIM(MID(SUBSTITUTE(SUBSTITUTE($Q$4,"/",","),",",REPT(" ",99)),(ROW($1:$8)-1)*99+1,99))&lt;&gt;""),--ISNUMBER(SEARCH(TRIM(MID(SUBSTITUTE(SUBSTITUTE($Q$4,"/",","),",",REPT(" ",99)),(ROW($1:$8)-1)*99+1,99)),IFERROR(('Final Calculation Sheet'!$P$24)&amp;"",""))))&gt;0,AND(ISNUMBER(SEARCH("blank",$Q$4)),NOT(ISNUMBER(SEARCH("nonblank",$Q$4))),IFERROR(('Final Calculation Sheet'!$P$24)&amp;"","")=""),AND(OR(ISNUMBER(SEARCH("nonblank",$Q$4)),ISNUMBER(SEARCH("&lt;&gt;",$Q$4))),IFERROR(('Final Calculation Sheet'!$P$24)&amp;"","")&lt;&gt;""),AND(TRIM($Q$4)="",IFERROR(('Final Calculation Sheet'!$P$24)&amp;"","")=""))))</f>
        <v>1</v>
      </c>
      <c r="CD25">
        <f>IF($R$4="",1,--(OR(SUMPRODUCT(--(TRIM(MID(SUBSTITUTE(SUBSTITUTE($R$4,"/",","),",",REPT(" ",99)),(ROW($1:$8)-1)*99+1,99))&lt;&gt;""),--ISNUMBER(SEARCH(TRIM(MID(SUBSTITUTE(SUBSTITUTE($R$4,"/",","),",",REPT(" ",99)),(ROW($1:$8)-1)*99+1,99)),IFERROR(('Final Calculation Sheet'!$Q$24)&amp;"",""))))&gt;0,AND(ISNUMBER(SEARCH("blank",$R$4)),NOT(ISNUMBER(SEARCH("nonblank",$R$4))),IFERROR(('Final Calculation Sheet'!$Q$24)&amp;"","")=""),AND(OR(ISNUMBER(SEARCH("nonblank",$R$4)),ISNUMBER(SEARCH("&lt;&gt;",$R$4))),IFERROR(('Final Calculation Sheet'!$Q$24)&amp;"","")&lt;&gt;""),AND(TRIM($R$4)="",IFERROR(('Final Calculation Sheet'!$Q$24)&amp;"","")=""))))</f>
        <v>1</v>
      </c>
      <c r="CE25">
        <f>IF($S$4="",1,--(OR(SUMPRODUCT(--(TRIM(MID(SUBSTITUTE(SUBSTITUTE($S$4,"/",","),",",REPT(" ",99)),(ROW($1:$8)-1)*99+1,99))&lt;&gt;""),--ISNUMBER(SEARCH(TRIM(MID(SUBSTITUTE(SUBSTITUTE($S$4,"/",","),",",REPT(" ",99)),(ROW($1:$8)-1)*99+1,99)),IFERROR(('Final Calculation Sheet'!$R$24)&amp;"",""))))&gt;0,AND(ISNUMBER(SEARCH("blank",$S$4)),NOT(ISNUMBER(SEARCH("nonblank",$S$4))),IFERROR(('Final Calculation Sheet'!$R$24)&amp;"","")=""),AND(OR(ISNUMBER(SEARCH("nonblank",$S$4)),ISNUMBER(SEARCH("&lt;&gt;",$S$4))),IFERROR(('Final Calculation Sheet'!$R$24)&amp;"","")&lt;&gt;""),AND(TRIM($S$4)="",IFERROR(('Final Calculation Sheet'!$R$24)&amp;"","")=""))))</f>
        <v>1</v>
      </c>
      <c r="CF25">
        <f>IF($T$4="",1,--(OR(SUMPRODUCT(--(TRIM(MID(SUBSTITUTE(SUBSTITUTE($T$4,"/",","),",",REPT(" ",99)),(ROW($1:$8)-1)*99+1,99))&lt;&gt;""),--ISNUMBER(SEARCH(TRIM(MID(SUBSTITUTE(SUBSTITUTE($T$4,"/",","),",",REPT(" ",99)),(ROW($1:$8)-1)*99+1,99)),IFERROR(('Final Calculation Sheet'!$S$24)&amp;"",""))))&gt;0,AND(ISNUMBER(SEARCH("blank",$T$4)),NOT(ISNUMBER(SEARCH("nonblank",$T$4))),IFERROR(('Final Calculation Sheet'!$S$24)&amp;"","")=""),AND(OR(ISNUMBER(SEARCH("nonblank",$T$4)),ISNUMBER(SEARCH("&lt;&gt;",$T$4))),IFERROR(('Final Calculation Sheet'!$S$24)&amp;"","")&lt;&gt;""),AND(TRIM($T$4)="",IFERROR(('Final Calculation Sheet'!$S$24)&amp;"","")=""))))</f>
        <v>1</v>
      </c>
      <c r="CG25">
        <f>IF($U$4="",1,--(OR(SUMPRODUCT(--(TRIM(MID(SUBSTITUTE(SUBSTITUTE($U$4,"/",","),",",REPT(" ",99)),(ROW($1:$8)-1)*99+1,99))&lt;&gt;""),--ISNUMBER(SEARCH(TRIM(MID(SUBSTITUTE(SUBSTITUTE($U$4,"/",","),",",REPT(" ",99)),(ROW($1:$8)-1)*99+1,99)),IFERROR(('Final Calculation Sheet'!$T$24)&amp;"",""))))&gt;0,AND(ISNUMBER(SEARCH("blank",$U$4)),NOT(ISNUMBER(SEARCH("nonblank",$U$4))),IFERROR(('Final Calculation Sheet'!$T$24)&amp;"","")=""),AND(OR(ISNUMBER(SEARCH("nonblank",$U$4)),ISNUMBER(SEARCH("&lt;&gt;",$U$4))),IFERROR(('Final Calculation Sheet'!$T$24)&amp;"","")&lt;&gt;""),AND(TRIM($U$4)="",IFERROR(('Final Calculation Sheet'!$T$24)&amp;"","")=""))))</f>
        <v>1</v>
      </c>
      <c r="CH25">
        <f>IF($V$4="",1,--(OR(SUMPRODUCT(--(TRIM(MID(SUBSTITUTE(SUBSTITUTE($V$4,"/",","),",",REPT(" ",99)),(ROW($1:$8)-1)*99+1,99))&lt;&gt;""),--ISNUMBER(SEARCH(TRIM(MID(SUBSTITUTE(SUBSTITUTE($V$4,"/",","),",",REPT(" ",99)),(ROW($1:$8)-1)*99+1,99)),IFERROR(('Final Calculation Sheet'!$U$24)&amp;"",""))))&gt;0,AND(ISNUMBER(SEARCH("blank",$V$4)),NOT(ISNUMBER(SEARCH("nonblank",$V$4))),IFERROR(('Final Calculation Sheet'!$U$24)&amp;"","")=""),AND(OR(ISNUMBER(SEARCH("nonblank",$V$4)),ISNUMBER(SEARCH("&lt;&gt;",$V$4))),IFERROR(('Final Calculation Sheet'!$U$24)&amp;"","")&lt;&gt;""),AND(TRIM($V$4)="",IFERROR(('Final Calculation Sheet'!$U$24)&amp;"","")=""))))</f>
        <v>1</v>
      </c>
      <c r="CI25">
        <f>IF($W$4="",1,--(OR(SUMPRODUCT(--(TRIM(MID(SUBSTITUTE(SUBSTITUTE($W$4,"/",","),",",REPT(" ",99)),(ROW($1:$8)-1)*99+1,99))&lt;&gt;""),--ISNUMBER(SEARCH(TRIM(MID(SUBSTITUTE(SUBSTITUTE($W$4,"/",","),",",REPT(" ",99)),(ROW($1:$8)-1)*99+1,99)),IFERROR(('Final Calculation Sheet'!$V$24)&amp;"",""))))&gt;0,AND(ISNUMBER(SEARCH("blank",$W$4)),NOT(ISNUMBER(SEARCH("nonblank",$W$4))),IFERROR(('Final Calculation Sheet'!$V$24)&amp;"","")=""),AND(OR(ISNUMBER(SEARCH("nonblank",$W$4)),ISNUMBER(SEARCH("&lt;&gt;",$W$4))),IFERROR(('Final Calculation Sheet'!$V$24)&amp;"","")&lt;&gt;""),AND(TRIM($W$4)="",IFERROR(('Final Calculation Sheet'!$V$24)&amp;"","")=""))))</f>
        <v>1</v>
      </c>
      <c r="CJ25">
        <f>IF($X$4="",1,--(OR(SUMPRODUCT(--(TRIM(MID(SUBSTITUTE(SUBSTITUTE($X$4,"/",","),",",REPT(" ",99)),(ROW($1:$8)-1)*99+1,99))&lt;&gt;""),--ISNUMBER(SEARCH(TRIM(MID(SUBSTITUTE(SUBSTITUTE($X$4,"/",","),",",REPT(" ",99)),(ROW($1:$8)-1)*99+1,99)),IFERROR(('Final Calculation Sheet'!$W$24)&amp;"",""))))&gt;0,AND(ISNUMBER(SEARCH("blank",$X$4)),NOT(ISNUMBER(SEARCH("nonblank",$X$4))),IFERROR(('Final Calculation Sheet'!$W$24)&amp;"","")=""),AND(OR(ISNUMBER(SEARCH("nonblank",$X$4)),ISNUMBER(SEARCH("&lt;&gt;",$X$4))),IFERROR(('Final Calculation Sheet'!$W$24)&amp;"","")&lt;&gt;""),AND(TRIM($X$4)="",IFERROR(('Final Calculation Sheet'!$W$24)&amp;"","")=""))))</f>
        <v>1</v>
      </c>
      <c r="CK25">
        <f>IF($Y$4="",1,--(OR(SUMPRODUCT(--(TRIM(MID(SUBSTITUTE(SUBSTITUTE($Y$4,"/",","),",",REPT(" ",99)),(ROW($1:$8)-1)*99+1,99))&lt;&gt;""),--ISNUMBER(SEARCH(TRIM(MID(SUBSTITUTE(SUBSTITUTE($Y$4,"/",","),",",REPT(" ",99)),(ROW($1:$8)-1)*99+1,99)),IFERROR(('Final Calculation Sheet'!$X$24)&amp;"",""))))&gt;0,AND(ISNUMBER(SEARCH("blank",$Y$4)),NOT(ISNUMBER(SEARCH("nonblank",$Y$4))),IFERROR(('Final Calculation Sheet'!$X$24)&amp;"","")=""),AND(OR(ISNUMBER(SEARCH("nonblank",$Y$4)),ISNUMBER(SEARCH("&lt;&gt;",$Y$4))),IFERROR(('Final Calculation Sheet'!$X$24)&amp;"","")&lt;&gt;""),AND(TRIM($Y$4)="",IFERROR(('Final Calculation Sheet'!$X$24)&amp;"","")=""))))</f>
        <v>1</v>
      </c>
      <c r="CL25">
        <f>IF($Z$4="",1,--(OR(SUMPRODUCT(--(TRIM(MID(SUBSTITUTE(SUBSTITUTE($Z$4,"/",","),",",REPT(" ",99)),(ROW($1:$8)-1)*99+1,99))&lt;&gt;""),--ISNUMBER(SEARCH(TRIM(MID(SUBSTITUTE(SUBSTITUTE($Z$4,"/",","),",",REPT(" ",99)),(ROW($1:$8)-1)*99+1,99)),IFERROR(('Final Calculation Sheet'!$Y$24)&amp;"",""))))&gt;0,AND(ISNUMBER(SEARCH("blank",$Z$4)),NOT(ISNUMBER(SEARCH("nonblank",$Z$4))),IFERROR(('Final Calculation Sheet'!$Y$24)&amp;"","")=""),AND(OR(ISNUMBER(SEARCH("nonblank",$Z$4)),ISNUMBER(SEARCH("&lt;&gt;",$Z$4))),IFERROR(('Final Calculation Sheet'!$Y$24)&amp;"","")&lt;&gt;""),AND(TRIM($Z$4)="",IFERROR(('Final Calculation Sheet'!$Y$24)&amp;"","")=""))))</f>
        <v>1</v>
      </c>
      <c r="CM25">
        <f>IF($AA$4="",1,--(OR(SUMPRODUCT(--(TRIM(MID(SUBSTITUTE(SUBSTITUTE($AA$4,"/",","),",",REPT(" ",99)),(ROW($1:$8)-1)*99+1,99))&lt;&gt;""),--ISNUMBER(SEARCH(TRIM(MID(SUBSTITUTE(SUBSTITUTE($AA$4,"/",","),",",REPT(" ",99)),(ROW($1:$8)-1)*99+1,99)),IFERROR(('Final Calculation Sheet'!$Z$24)&amp;"",""))))&gt;0,AND(ISNUMBER(SEARCH("blank",$AA$4)),NOT(ISNUMBER(SEARCH("nonblank",$AA$4))),IFERROR(('Final Calculation Sheet'!$Z$24)&amp;"","")=""),AND(OR(ISNUMBER(SEARCH("nonblank",$AA$4)),ISNUMBER(SEARCH("&lt;&gt;",$AA$4))),IFERROR(('Final Calculation Sheet'!$Z$24)&amp;"","")&lt;&gt;""),AND(TRIM($AA$4)="",IFERROR(('Final Calculation Sheet'!$Z$24)&amp;"","")=""))))</f>
        <v>1</v>
      </c>
      <c r="CN25">
        <f>IF($AB$4="",1,--(OR(SUMPRODUCT(--(TRIM(MID(SUBSTITUTE(SUBSTITUTE($AB$4,"/",","),",",REPT(" ",99)),(ROW($1:$8)-1)*99+1,99))&lt;&gt;""),--ISNUMBER(SEARCH(TRIM(MID(SUBSTITUTE(SUBSTITUTE($AB$4,"/",","),",",REPT(" ",99)),(ROW($1:$8)-1)*99+1,99)),IFERROR(('Final Calculation Sheet'!$AA$24)&amp;"",""))))&gt;0,AND(ISNUMBER(SEARCH("blank",$AB$4)),NOT(ISNUMBER(SEARCH("nonblank",$AB$4))),IFERROR(('Final Calculation Sheet'!$AA$24)&amp;"","")=""),AND(OR(ISNUMBER(SEARCH("nonblank",$AB$4)),ISNUMBER(SEARCH("&lt;&gt;",$AB$4))),IFERROR(('Final Calculation Sheet'!$AA$24)&amp;"","")&lt;&gt;""),AND(TRIM($AB$4)="",IFERROR(('Final Calculation Sheet'!$AA$24)&amp;"","")=""))))</f>
        <v>1</v>
      </c>
      <c r="CO25">
        <f>IF($AC$4="",1,--(OR(SUMPRODUCT(--(TRIM(MID(SUBSTITUTE(SUBSTITUTE($AC$4,"/",","),",",REPT(" ",99)),(ROW($1:$8)-1)*99+1,99))&lt;&gt;""),--ISNUMBER(SEARCH(TRIM(MID(SUBSTITUTE(SUBSTITUTE($AC$4,"/",","),",",REPT(" ",99)),(ROW($1:$8)-1)*99+1,99)),IFERROR(('Final Calculation Sheet'!$AB$24)&amp;"",""))))&gt;0,AND(ISNUMBER(SEARCH("blank",$AC$4)),NOT(ISNUMBER(SEARCH("nonblank",$AC$4))),IFERROR(('Final Calculation Sheet'!$AB$24)&amp;"","")=""),AND(OR(ISNUMBER(SEARCH("nonblank",$AC$4)),ISNUMBER(SEARCH("&lt;&gt;",$AC$4))),IFERROR(('Final Calculation Sheet'!$AB$24)&amp;"","")&lt;&gt;""),AND(TRIM($AC$4)="",IFERROR(('Final Calculation Sheet'!$AB$24)&amp;"","")=""))))</f>
        <v>1</v>
      </c>
      <c r="CP25">
        <f>IF($AD$4="",1,--(OR(SUMPRODUCT(--(TRIM(MID(SUBSTITUTE(SUBSTITUTE($AD$4,"/",","),",",REPT(" ",99)),(ROW($1:$8)-1)*99+1,99))&lt;&gt;""),--ISNUMBER(SEARCH(TRIM(MID(SUBSTITUTE(SUBSTITUTE($AD$4,"/",","),",",REPT(" ",99)),(ROW($1:$8)-1)*99+1,99)),IFERROR(('Final Calculation Sheet'!$AC$24)&amp;"",""))))&gt;0,AND(ISNUMBER(SEARCH("blank",$AD$4)),NOT(ISNUMBER(SEARCH("nonblank",$AD$4))),IFERROR(('Final Calculation Sheet'!$AC$24)&amp;"","")=""),AND(OR(ISNUMBER(SEARCH("nonblank",$AD$4)),ISNUMBER(SEARCH("&lt;&gt;",$AD$4))),IFERROR(('Final Calculation Sheet'!$AC$24)&amp;"","")&lt;&gt;""),AND(TRIM($AD$4)="",IFERROR(('Final Calculation Sheet'!$AC$24)&amp;"","")=""))))</f>
        <v>1</v>
      </c>
      <c r="CQ25">
        <f>IF($AE$4="",1,--(OR(SUMPRODUCT(--(TRIM(MID(SUBSTITUTE(SUBSTITUTE($AE$4,"/",","),",",REPT(" ",99)),(ROW($1:$8)-1)*99+1,99))&lt;&gt;""),--ISNUMBER(SEARCH(TRIM(MID(SUBSTITUTE(SUBSTITUTE($AE$4,"/",","),",",REPT(" ",99)),(ROW($1:$8)-1)*99+1,99)),IFERROR(('Final Calculation Sheet'!$AD$24)&amp;"",""))))&gt;0,AND(ISNUMBER(SEARCH("blank",$AE$4)),NOT(ISNUMBER(SEARCH("nonblank",$AE$4))),IFERROR(('Final Calculation Sheet'!$AD$24)&amp;"","")=""),AND(OR(ISNUMBER(SEARCH("nonblank",$AE$4)),ISNUMBER(SEARCH("&lt;&gt;",$AE$4))),IFERROR(('Final Calculation Sheet'!$AD$24)&amp;"","")&lt;&gt;""),AND(TRIM($AE$4)="",IFERROR(('Final Calculation Sheet'!$AD$24)&amp;"","")=""))))</f>
        <v>1</v>
      </c>
      <c r="CR25">
        <f>IF($AF$4="",1,--(OR(SUMPRODUCT(--(TRIM(MID(SUBSTITUTE(SUBSTITUTE($AF$4,"/",","),",",REPT(" ",99)),(ROW($1:$8)-1)*99+1,99))&lt;&gt;""),--ISNUMBER(SEARCH(TRIM(MID(SUBSTITUTE(SUBSTITUTE($AF$4,"/",","),",",REPT(" ",99)),(ROW($1:$8)-1)*99+1,99)),IFERROR(('Final Calculation Sheet'!$AE$24)&amp;"",""))))&gt;0,AND(ISNUMBER(SEARCH("blank",$AF$4)),NOT(ISNUMBER(SEARCH("nonblank",$AF$4))),IFERROR(('Final Calculation Sheet'!$AE$24)&amp;"","")=""),AND(OR(ISNUMBER(SEARCH("nonblank",$AF$4)),ISNUMBER(SEARCH("&lt;&gt;",$AF$4))),IFERROR(('Final Calculation Sheet'!$AE$24)&amp;"","")&lt;&gt;""),AND(TRIM($AF$4)="",IFERROR(('Final Calculation Sheet'!$AE$24)&amp;"","")=""))))</f>
        <v>1</v>
      </c>
      <c r="CS25">
        <f>IF($AG$4="",1,--(OR(SUMPRODUCT(--(TRIM(MID(SUBSTITUTE(SUBSTITUTE($AG$4,"/",","),",",REPT(" ",99)),(ROW($1:$8)-1)*99+1,99))&lt;&gt;""),--ISNUMBER(SEARCH(TRIM(MID(SUBSTITUTE(SUBSTITUTE($AG$4,"/",","),",",REPT(" ",99)),(ROW($1:$8)-1)*99+1,99)),IFERROR(('Final Calculation Sheet'!$AF$24)&amp;"",""))))&gt;0,AND(ISNUMBER(SEARCH("blank",$AG$4)),NOT(ISNUMBER(SEARCH("nonblank",$AG$4))),IFERROR(('Final Calculation Sheet'!$AF$24)&amp;"","")=""),AND(OR(ISNUMBER(SEARCH("nonblank",$AG$4)),ISNUMBER(SEARCH("&lt;&gt;",$AG$4))),IFERROR(('Final Calculation Sheet'!$AF$24)&amp;"","")&lt;&gt;""),AND(TRIM($AG$4)="",IFERROR(('Final Calculation Sheet'!$AF$24)&amp;"","")=""))))</f>
        <v>1</v>
      </c>
      <c r="CT25">
        <f>IF($AH$4="",1,--(OR(SUMPRODUCT(--(TRIM(MID(SUBSTITUTE(SUBSTITUTE($AH$4,"/",","),",",REPT(" ",99)),(ROW($1:$8)-1)*99+1,99))&lt;&gt;""),--ISNUMBER(SEARCH(TRIM(MID(SUBSTITUTE(SUBSTITUTE($AH$4,"/",","),",",REPT(" ",99)),(ROW($1:$8)-1)*99+1,99)),IFERROR(('Final Calculation Sheet'!$AG$24)&amp;"",""))))&gt;0,AND(ISNUMBER(SEARCH("blank",$AH$4)),NOT(ISNUMBER(SEARCH("nonblank",$AH$4))),IFERROR(('Final Calculation Sheet'!$AG$24)&amp;"","")=""),AND(OR(ISNUMBER(SEARCH("nonblank",$AH$4)),ISNUMBER(SEARCH("&lt;&gt;",$AH$4))),IFERROR(('Final Calculation Sheet'!$AG$24)&amp;"","")&lt;&gt;""),AND(TRIM($AH$4)="",IFERROR(('Final Calculation Sheet'!$AG$24)&amp;"","")=""))))</f>
        <v>1</v>
      </c>
      <c r="CU25">
        <f>IF($AI$4="",1,--(OR(SUMPRODUCT(--(TRIM(MID(SUBSTITUTE(SUBSTITUTE($AI$4,"/",","),",",REPT(" ",99)),(ROW($1:$8)-1)*99+1,99))&lt;&gt;""),--ISNUMBER(SEARCH(TRIM(MID(SUBSTITUTE(SUBSTITUTE($AI$4,"/",","),",",REPT(" ",99)),(ROW($1:$8)-1)*99+1,99)),IFERROR((IF('Final Calculation Sheet'!$AD$24&lt;=5,"SETTLED","OUTSTANDING"))&amp;"",""))))&gt;0,AND(ISNUMBER(SEARCH("blank",$AI$4)),NOT(ISNUMBER(SEARCH("nonblank",$AI$4))),IFERROR((IF('Final Calculation Sheet'!$AD$24&lt;=5,"SETTLED","OUTSTANDING"))&amp;"","")=""),AND(OR(ISNUMBER(SEARCH("nonblank",$AI$4)),ISNUMBER(SEARCH("&lt;&gt;",$AI$4))),IFERROR((IF('Final Calculation Sheet'!$AD$24&lt;=5,"SETTLED","OUTSTANDING"))&amp;"","")&lt;&gt;""),AND(TRIM($AI$4)="",IFERROR((IF('Final Calculation Sheet'!$AD$24&lt;=5,"SETTLED","OUTSTANDING"))&amp;"","")=""))))</f>
        <v>1</v>
      </c>
    </row>
    <row r="26" ht="15" customHeight="1" s="137">
      <c r="A26" s="67">
        <f>IF($BJ25&gt;0,INDEX($BA$5:$BA$41,MATCH(25,$BB$5:$BB$41,0)),IF(OR($BI25=1,$BL25=1,$BH25&gt;0),"∑",""))</f>
        <v>21</v>
      </c>
      <c r="B26" s="76">
        <f>IF($BJ25&gt;0,IF(INDEX('Final Calculation Sheet'!$F$4:$F$40,$BJ25-3)="","",INDEX('Final Calculation Sheet'!$F$4:$F$40,$BJ25-3)),"")</f>
        <v>2027</v>
      </c>
      <c r="C26" s="76" t="str">
        <f>IF($BJ25&gt;0,IF(INDEX('Final Calculation Sheet'!$G$4:$G$40,$BJ25-3)="","",INDEX('Final Calculation Sheet'!$G$4:$G$40,$BJ25-3)),IF(OR($BI25=1,$BL25=1,$BH25&gt;0),IF($BI25=1,37,IF($BL25=1,37-INDEX($BD$4:$BD$13,10),INDEX($BD$4:$BD$13,$BH25)))&amp;" lot(s)",""))</f>
        <v>NATIONAL ENTERPRISES</v>
      </c>
      <c r="D26" s="80" t="str">
        <f>IF($BJ25&gt;0,IF(INDEX('Final Calculation Sheet'!$B$4:$B$40,$BJ25-3)="","",INDEX('Final Calculation Sheet'!$B$4:$B$40,$BJ25-3)),IF(OR($BI25=1,$BL25=1,$BH25&gt;0),IF($BI25=1,"GRAND TOTAL  —  matching + remaining",IF($BL25=1,"TOTAL MATCHED  —  every group together",IF($BH25=10,"REMAINING  —  did not match the search",IF($BH25=9,IF(COUNTIF($A$4:$AI$4,"&lt;&gt;")&gt;0,"FILTERED LOTS  —  column fields","ALL LOTS  —  nothing typed in the box"),"GROUP "&amp;$BH25&amp;" TOTAL  —  lots matching  "&amp;INDEX($AR$6:$AY$6,$BH25))))),""))</f>
        <v>Scrap of 132 KV CT</v>
      </c>
      <c r="E26" s="80">
        <f>IF($BJ25&gt;0,IF(INDEX('Final Calculation Sheet'!$D$4:$D$40,$BJ25-3)="","",INDEX('Final Calculation Sheet'!$D$4:$D$40,$BJ25-3)),IF(OR($BI25=1,$BL25=1,$BH25&gt;0),"–",""))</f>
        <v>21978</v>
      </c>
      <c r="F26" s="80">
        <f>IF($BJ25&gt;0,IF(INDEX('Final Calculation Sheet'!$A$4:$A$40,$BJ25-3)="","",INDEX('Final Calculation Sheet'!$A$4:$A$40,$BJ25-3)),IF(OR($BI25=1,$BL25=1,$BH25&gt;0),IF($BI25=1,SUM('Final Calculation Sheet'!$A$4:$A$40),IF($BL25=1,SUM('Final Calculation Sheet'!$A$4:$A$40)-SUMIFS('Final Calculation Sheet'!$A$4:$A$40,$AZ$5:$AZ$41,10),SUMIFS('Final Calculation Sheet'!$A$4:$A$40,$AZ$5:$AZ$41,$BH25))),""))</f>
        <v>1</v>
      </c>
      <c r="G26" s="80" t="str">
        <f>IF($BJ25&gt;0,IF(INDEX('Final Calculation Sheet'!$E$4:$E$40,$BJ25-3)="","",INDEX('Final Calculation Sheet'!$E$4:$E$40,$BJ25-3)),IF(OR($BI25=1,$BL25=1,$BH25&gt;0),"–",""))</f>
        <v>NO</v>
      </c>
      <c r="H26" s="70">
        <f>IF($BJ25&gt;0,IF(INDEX('Final Calculation Sheet'!$C$4:$C$40,$BJ25-3)="","",INDEX('Final Calculation Sheet'!$C$4:$C$40,$BJ25-3)),IF(OR($BI25=1,$BL25=1,$BH25&gt;0),"–",""))</f>
        <v>50003</v>
      </c>
      <c r="I26" s="70">
        <f>IF($BJ25&gt;0,IF(INDEX('Final Calculation Sheet'!$H$4:$H$40,$BJ25-3)="","",INDEX('Final Calculation Sheet'!$H$4:$H$40,$BJ25-3)),IF(OR($BI25=1,$BL25=1,$BH25&gt;0),IF($BI25=1,SUM('Final Calculation Sheet'!$H$4:$H$40),IF($BL25=1,SUM('Final Calculation Sheet'!$H$4:$H$40)-SUMIFS('Final Calculation Sheet'!$H$4:$H$40,$AZ$5:$AZ$41,10),SUMIFS('Final Calculation Sheet'!$H$4:$H$40,$AZ$5:$AZ$41,$BH25))),""))</f>
        <v>50003</v>
      </c>
      <c r="J26" s="70">
        <f>IF($BJ25&gt;0,IF(INDEX('Final Calculation Sheet'!$I$4:$I$40,$BJ25-3)="","",INDEX('Final Calculation Sheet'!$I$4:$I$40,$BJ25-3)),IF(OR($BI25=1,$BL25=1,$BH25&gt;0),IF($BI25=1,SUM('Final Calculation Sheet'!$I$4:$I$40),IF($BL25=1,SUM('Final Calculation Sheet'!$I$4:$I$40)-SUMIFS('Final Calculation Sheet'!$I$4:$I$40,$AZ$5:$AZ$41,10),SUMIFS('Final Calculation Sheet'!$I$4:$I$40,$AZ$5:$AZ$41,$BH25))),""))</f>
        <v>9001</v>
      </c>
      <c r="K26" s="70">
        <f>IF($BJ25&gt;0,IF(INDEX('Final Calculation Sheet'!$J$4:$J$40,$BJ25-3)="","",INDEX('Final Calculation Sheet'!$J$4:$J$40,$BJ25-3)),IF(OR($BI25=1,$BL25=1,$BH25&gt;0),IF($BI25=1,SUM('Final Calculation Sheet'!$J$4:$J$40),IF($BL25=1,SUM('Final Calculation Sheet'!$J$4:$J$40)-SUMIFS('Final Calculation Sheet'!$J$4:$J$40,$AZ$5:$AZ$41,10),SUMIFS('Final Calculation Sheet'!$J$4:$J$40,$AZ$5:$AZ$41,$BH25))),""))</f>
        <v>59004</v>
      </c>
      <c r="L26" s="70">
        <f>IF($BJ25&gt;0,IF(INDEX('Final Calculation Sheet'!$K$4:$K$40,$BJ25-3)="","",INDEX('Final Calculation Sheet'!$K$4:$K$40,$BJ25-3)),IF(OR($BI25=1,$BL25=1,$BH25&gt;0),IF($BI25=1,SUM('Final Calculation Sheet'!$K$4:$K$40),IF($BL25=1,SUM('Final Calculation Sheet'!$K$4:$K$40)-SUMIFS('Final Calculation Sheet'!$K$4:$K$40,$AZ$5:$AZ$41,10),SUMIFS('Final Calculation Sheet'!$K$4:$K$40,$AZ$5:$AZ$41,$BH25))),""))</f>
        <v>1180</v>
      </c>
      <c r="M26" s="70">
        <f>IF($BJ25&gt;0,IF(INDEX('Final Calculation Sheet'!$L$4:$L$40,$BJ25-3)="","",INDEX('Final Calculation Sheet'!$L$4:$L$40,$BJ25-3)),IF(OR($BI25=1,$BL25=1,$BH25&gt;0),IF($BI25=1,SUM('Final Calculation Sheet'!$L$4:$L$40),IF($BL25=1,SUM('Final Calculation Sheet'!$L$4:$L$40)-SUMIFS('Final Calculation Sheet'!$L$4:$L$40,$AZ$5:$AZ$41,10),SUMIFS('Final Calculation Sheet'!$L$4:$L$40,$AZ$5:$AZ$41,$BH25))),""))</f>
        <v>50.003</v>
      </c>
      <c r="N26" s="70">
        <f>IF($BJ25&gt;0,IF(INDEX('Final Calculation Sheet'!$M$4:$M$40,$BJ25-3)="","",INDEX('Final Calculation Sheet'!$M$4:$M$40,$BJ25-3)),IF(OR($BI25=1,$BL25=1,$BH25&gt;0),IF($BI25=1,SUM('Final Calculation Sheet'!$M$4:$M$40),IF($BL25=1,SUM('Final Calculation Sheet'!$M$4:$M$40)-SUMIFS('Final Calculation Sheet'!$M$4:$M$40,$AZ$5:$AZ$41,10),SUMIFS('Final Calculation Sheet'!$M$4:$M$40,$AZ$5:$AZ$41,$BH25))),""))</f>
        <v>1327.5796499999999</v>
      </c>
      <c r="O26" s="71">
        <f>IF($BJ25&gt;0,IF(INDEX('Final Calculation Sheet'!$N$4:$N$40,$BJ25-3)="","",INDEX('Final Calculation Sheet'!$N$4:$N$40,$BJ25-3)),IF(OR($BI25=1,$BL25=1,$BH25&gt;0),IF($BI25=1,SUM('Final Calculation Sheet'!$N$4:$N$40),IF($BL25=1,SUM('Final Calculation Sheet'!$N$4:$N$40)-SUMIFS('Final Calculation Sheet'!$N$4:$N$40,$AZ$5:$AZ$41,10),SUMIFS('Final Calculation Sheet'!$N$4:$N$40,$AZ$5:$AZ$41,$BH25))),""))</f>
        <v>22.501349999999999</v>
      </c>
      <c r="P26" s="70">
        <f>IF($BJ25&gt;0,IF(INDEX('Final Calculation Sheet'!$O$4:$O$40,$BJ25-3)="","",INDEX('Final Calculation Sheet'!$O$4:$O$40,$BJ25-3)),IF(OR($BI25=1,$BL25=1,$BH25&gt;0),IF($BI25=1,SUM('Final Calculation Sheet'!$O$4:$O$40),IF($BL25=1,SUM('Final Calculation Sheet'!$O$4:$O$40)-SUMIFS('Final Calculation Sheet'!$O$4:$O$40,$AZ$5:$AZ$41,10),SUMIFS('Final Calculation Sheet'!$O$4:$O$40,$AZ$5:$AZ$41,$BH25))),""))</f>
        <v>1305.0782999999999</v>
      </c>
      <c r="Q26" s="70">
        <f>IF($BJ25&gt;0,IF(INDEX('Final Calculation Sheet'!$P$4:$P$40,$BJ25-3)="","",INDEX('Final Calculation Sheet'!$P$4:$P$40,$BJ25-3)),IF(OR($BI25=1,$BL25=1,$BH25&gt;0),IF($BI25=1,SUM('Final Calculation Sheet'!$P$4:$P$40),IF($BL25=1,SUM('Final Calculation Sheet'!$P$4:$P$40)-SUMIFS('Final Calculation Sheet'!$P$4:$P$40,$AZ$5:$AZ$41,10),SUMIFS('Final Calculation Sheet'!$P$4:$P$40,$AZ$5:$AZ$41,$BH25))),""))</f>
        <v>1355</v>
      </c>
      <c r="R26" s="72">
        <f>IF($BJ25&gt;0,IF(INDEX('Final Calculation Sheet'!$Q$4:$Q$40,$BJ25-3)="","",INDEX('Final Calculation Sheet'!$Q$4:$Q$40,$BJ25-3)),IF(OR($BI25=1,$BL25=1,$BH25&gt;0),"–",""))</f>
        <v>0</v>
      </c>
      <c r="S26" s="70">
        <f>IF($BJ25&gt;0,IF(INDEX('Final Calculation Sheet'!$R$4:$R$40,$BJ25-3)="","",INDEX('Final Calculation Sheet'!$R$4:$R$40,$BJ25-3)),IF(OR($BI25=1,$BL25=1,$BH25&gt;0),IF($BI25=1,SUM('Final Calculation Sheet'!$R$4:$R$40),IF($BL25=1,SUM('Final Calculation Sheet'!$R$4:$R$40)-SUMIFS('Final Calculation Sheet'!$R$4:$R$40,$AZ$5:$AZ$41,10),SUMIFS('Final Calculation Sheet'!$R$4:$R$40,$AZ$5:$AZ$41,$BH25))),""))</f>
        <v>0</v>
      </c>
      <c r="T26" s="70">
        <f>IF($BJ25&gt;0,IF(INDEX('Final Calculation Sheet'!$S$4:$S$40,$BJ25-3)="","",INDEX('Final Calculation Sheet'!$S$4:$S$40,$BJ25-3)),IF(OR($BI25=1,$BL25=1,$BH25&gt;0),IF($BI25=1,SUM('Final Calculation Sheet'!$S$4:$S$40),IF($BL25=1,SUM('Final Calculation Sheet'!$S$4:$S$40)-SUMIFS('Final Calculation Sheet'!$S$4:$S$40,$AZ$5:$AZ$41,10),SUMIFS('Final Calculation Sheet'!$S$4:$S$40,$AZ$5:$AZ$41,$BH25))),""))</f>
        <v>58829</v>
      </c>
      <c r="U26" s="70">
        <f>IF($BJ25&gt;0,IF(INDEX('Final Calculation Sheet'!$T$4:$T$40,$BJ25-3)="","",INDEX('Final Calculation Sheet'!$T$4:$T$40,$BJ25-3)),IF(OR($BI25=1,$BL25=1,$BH25&gt;0),IF($BI25=1,SUM('Final Calculation Sheet'!$T$4:$T$40),IF($BL25=1,SUM('Final Calculation Sheet'!$T$4:$T$40)-SUMIFS('Final Calculation Sheet'!$T$4:$T$40,$AZ$5:$AZ$41,10),SUMIFS('Final Calculation Sheet'!$T$4:$T$40,$AZ$5:$AZ$41,$BH25))),""))</f>
        <v>12501</v>
      </c>
      <c r="V26" s="73">
        <f>IF($BJ25&gt;0,IF(INDEX('Final Calculation Sheet'!$U$4:$U$40,$BJ25-3)="","",INDEX('Final Calculation Sheet'!$U$4:$U$40,$BJ25-3)),IF(OR($BI25=1,$BL25=1,$BH25&gt;0),IF($BI25=1,SUM('Final Calculation Sheet'!$U$4:$U$40),IF($BL25=1,SUM('Final Calculation Sheet'!$U$4:$U$40)-SUMIFS('Final Calculation Sheet'!$U$4:$U$40,$AZ$5:$AZ$41,10),SUMIFS('Final Calculation Sheet'!$U$4:$U$40,$AZ$5:$AZ$41,$BH25))),""))</f>
        <v>12501</v>
      </c>
      <c r="W26" s="70" t="str">
        <f>IF($BJ25&gt;0,IF(INDEX('Final Calculation Sheet'!$V$4:$V$40,$BJ25-3)="","",INDEX('Final Calculation Sheet'!$V$4:$V$40,$BJ25-3)),IF(OR($BI25=1,$BL25=1,$BH25&gt;0),"–",""))</f>
        <v>13.08.2026</v>
      </c>
      <c r="X26" s="70">
        <f>IF($BJ25&gt;0,IF(INDEX('Final Calculation Sheet'!$W$4:$W$40,$BJ25-3)="","",INDEX('Final Calculation Sheet'!$W$4:$W$40,$BJ25-3)),IF(OR($BI25=1,$BL25=1,$BH25&gt;0),IF($BI25=1,SUM('Final Calculation Sheet'!$W$4:$W$40),IF($BL25=1,SUM('Final Calculation Sheet'!$W$4:$W$40)-SUMIFS('Final Calculation Sheet'!$W$4:$W$40,$AZ$5:$AZ$41,10),SUMIFS('Final Calculation Sheet'!$W$4:$W$40,$AZ$5:$AZ$41,$BH25))),""))</f>
        <v>46328</v>
      </c>
      <c r="Y26" s="70">
        <f>IF($BJ25&gt;0,IF(INDEX('Final Calculation Sheet'!$X$4:$X$40,$BJ25-3)="","",INDEX('Final Calculation Sheet'!$X$4:$X$40,$BJ25-3)),IF(OR($BI25=1,$BL25=1,$BH25&gt;0),IF($BI25=1,SUM('Final Calculation Sheet'!$X$4:$X$40),IF($BL25=1,SUM('Final Calculation Sheet'!$X$4:$X$40)-SUMIFS('Final Calculation Sheet'!$X$4:$X$40,$AZ$5:$AZ$41,10),SUMIFS('Final Calculation Sheet'!$X$4:$X$40,$AZ$5:$AZ$41,$BH25))),""))</f>
        <v>46328</v>
      </c>
      <c r="Z26" s="70" t="str">
        <f>IF($BJ25&gt;0,IF(INDEX('Final Calculation Sheet'!$Y$4:$Y$40,$BJ25-3)="","",INDEX('Final Calculation Sheet'!$Y$4:$Y$40,$BJ25-3)),IF(OR($BI25=1,$BL25=1,$BH25&gt;0),"–",""))</f>
        <v>24.08.2026</v>
      </c>
      <c r="AA26" s="70">
        <f>IF($BJ25&gt;0,IF(INDEX('Final Calculation Sheet'!$Z$4:$Z$40,$BJ25-3)="","",INDEX('Final Calculation Sheet'!$Z$4:$Z$40,$BJ25-3)),IF(OR($BI25=1,$BL25=1,$BH25&gt;0),IF($BI25=1,SUM('Final Calculation Sheet'!$Z$4:$Z$40),IF($BL25=1,SUM('Final Calculation Sheet'!$Z$4:$Z$40)-SUMIFS('Final Calculation Sheet'!$Z$4:$Z$40,$AZ$5:$AZ$41,10),SUMIFS('Final Calculation Sheet'!$Z$4:$Z$40,$AZ$5:$AZ$41,$BH25))),""))</f>
        <v>0</v>
      </c>
      <c r="AB26" s="70" t="str">
        <f>IF($BJ25&gt;0,IF(INDEX('Final Calculation Sheet'!$AA$4:$AA$40,$BJ25-3)="","",INDEX('Final Calculation Sheet'!$AA$4:$AA$40,$BJ25-3)),IF(OR($BI25=1,$BL25=1,$BH25&gt;0),IF($BI25=1,SUM('Final Calculation Sheet'!$AA$4:$AA$40),IF($BL25=1,SUM('Final Calculation Sheet'!$AA$4:$AA$40)-SUMIFS('Final Calculation Sheet'!$AA$4:$AA$40,$AZ$5:$AZ$41,10),SUMIFS('Final Calculation Sheet'!$AA$4:$AA$40,$AZ$5:$AZ$41,$BH25))),""))</f>
        <v/>
      </c>
      <c r="AC26" s="70" t="str">
        <f>IF($BJ25&gt;0,IF(INDEX('Final Calculation Sheet'!$AB$4:$AB$40,$BJ25-3)="","",INDEX('Final Calculation Sheet'!$AB$4:$AB$40,$BJ25-3)),IF(OR($BI25=1,$BL25=1,$BH25&gt;0),"–",""))</f>
        <v/>
      </c>
      <c r="AD26" s="70">
        <f>IF($BJ25&gt;0,IF(INDEX('Final Calculation Sheet'!$AC$4:$AC$40,$BJ25-3)="","",INDEX('Final Calculation Sheet'!$AC$4:$AC$40,$BJ25-3)),IF(OR($BI25=1,$BL25=1,$BH25&gt;0),IF($BI25=1,SUM('Final Calculation Sheet'!$AC$4:$AC$40),IF($BL25=1,SUM('Final Calculation Sheet'!$AC$4:$AC$40)-SUMIFS('Final Calculation Sheet'!$AC$4:$AC$40,$AZ$5:$AZ$41,10),SUMIFS('Final Calculation Sheet'!$AC$4:$AC$40,$AZ$5:$AZ$41,$BH25))),""))</f>
        <v>58829</v>
      </c>
      <c r="AE26" s="70">
        <f>IF($BJ25&gt;0,IF(INDEX('Final Calculation Sheet'!$AD$4:$AD$40,$BJ25-3)="","",INDEX('Final Calculation Sheet'!$AD$4:$AD$40,$BJ25-3)),IF(OR($BI25=1,$BL25=1,$BH25&gt;0),IF($BI25=1,SUM('Final Calculation Sheet'!$AD$4:$AD$40),IF($BL25=1,SUM('Final Calculation Sheet'!$AD$4:$AD$40)-SUMIFS('Final Calculation Sheet'!$AD$4:$AD$40,$AZ$5:$AZ$41,10),SUMIFS('Final Calculation Sheet'!$AD$4:$AD$40,$AZ$5:$AZ$41,$BH25))),""))</f>
        <v>0</v>
      </c>
      <c r="AF26" s="70" t="str">
        <f>IF($BJ25&gt;0,IF(INDEX('Final Calculation Sheet'!$AE$4:$AE$40,$BJ25-3)="","",INDEX('Final Calculation Sheet'!$AE$4:$AE$40,$BJ25-3)),IF(OR($BI25=1,$BL25=1,$BH25&gt;0),"–",""))</f>
        <v>DR2640100036</v>
      </c>
      <c r="AG26" s="74">
        <f>IF($BJ25&gt;0,IF(INDEX('Final Calculation Sheet'!$AF$4:$AF$40,$BJ25-3)="","",INDEX('Final Calculation Sheet'!$AF$4:$AF$40,$BJ25-3)),IF(OR($BI25=1,$BL25=1,$BH25&gt;0),"–",""))</f>
        <v>1800003309</v>
      </c>
      <c r="AH26" s="70" t="str">
        <f>IF($BJ25&gt;0,IF(INDEX('Final Calculation Sheet'!$AG$4:$AG$40,$BJ25-3)="","",INDEX('Final Calculation Sheet'!$AG$4:$AG$40,$BJ25-3)),IF(OR($BI25=1,$BL25=1,$BH25&gt;0),"–",""))</f>
        <v>27.08.2026</v>
      </c>
      <c r="AI26" s="75" t="str">
        <f>IF($BJ25&gt;0,IF(INDEX('Final Calculation Sheet'!$AD$4:$AD$40,$BJ25-3)="","",IF(INDEX('Final Calculation Sheet'!$AD$4:$AD$40,$BJ25-3)&lt;=5,"SETTLED","OUTSTANDING")),IF(OR($BI25=1,$BL25=1,$BH25&gt;0),IF(IF($BI25=1,SUM('Final Calculation Sheet'!$AD$4:$AD$40),IF($BL25=1,SUM('Final Calculation Sheet'!$AD$4:$AD$40)-SUMIFS('Final Calculation Sheet'!$AD$4:$AD$40,$AZ$5:$AZ$41,10),SUMIFS('Final Calculation Sheet'!$AD$4:$AD$40,$AZ$5:$AZ$41,$BH25)))&lt;=5,"ALL SETTLED","OUTSTANDING"),""))</f>
        <v>SETTLED</v>
      </c>
      <c r="AK26" t="str">
        <f>IF($F$3="Lot No.",'Final Calculation Sheet'!$F$25,IF($F$3="Buyer",'Final Calculation Sheet'!$G$25,IF($F$3="Lot Name",'Final Calculation Sheet'!$B$25,IF($F$3="Bid Sheet",'Final Calculation Sheet'!$D$25,IF($F$3="Unit",'Final Calculation Sheet'!$E$25,'Final Calculation Sheet'!$F$25&amp;" "&amp;'Final Calculation Sheet'!$G$25&amp;" "&amp;'Final Calculation Sheet'!$B$25)))))</f>
        <v>2033 WATAN SCRAP TRADERS Scrap Empty Oil Drum/ Barrel</v>
      </c>
      <c r="AL26">
        <f>AL25+IF($B$3="",0,--(SUMPRODUCT(--($AR$6:$AY$6&lt;&gt;""),--ISNUMBER(SEARCH($AR$6:$AY$6,$AK26)))&gt;0))</f>
        <v>0</v>
      </c>
      <c r="AM26">
        <f>IF(COUNTIF($BM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1</v>
      </c>
      <c r="AZ26">
        <f>IF($B$3="",IF(COUNTIF($A$4:$AI$4,"&lt;&gt;")=0,9,IF($AM26=1,9,10)),IF($AM26=0,10,IF(AND($AR$6&lt;&gt;"",ISNUMBER(SEARCH($AR$6,$AK26))),1,IF(AND($AS$6&lt;&gt;"",ISNUMBER(SEARCH($AS$6,$AK26))),2,IF(AND($AT$6&lt;&gt;"",ISNUMBER(SEARCH($AT$6,$AK26))),3,IF(AND($AU$6&lt;&gt;"",ISNUMBER(SEARCH($AU$6,$AK26))),4,IF(AND($AV$6&lt;&gt;"",ISNUMBER(SEARCH($AV$6,$AK26))),5,IF(AND($AW$6&lt;&gt;"",ISNUMBER(SEARCH($AW$6,$AK26))),6,IF(AND($AX$6&lt;&gt;"",ISNUMBER(SEARCH($AX$6,$AK26))),7,IF(AND($AY$6&lt;&gt;"",ISNUMBER(SEARCH($AY$6,$AK26))),8,0))))))))))</f>
        <v>9</v>
      </c>
      <c r="BA26">
        <f>SUMPRODUCT(($AZ$5:$AZ$41=$AZ26)*($BC$5:$BC$41&lt;$BC26))+1</f>
        <v>22</v>
      </c>
      <c r="BB26">
        <f>IF(INDEX($BF$4:$BF$13,$AZ26)=0,0,INDEX($BE$4:$BE$13,$AZ26)+$BA26-1)</f>
        <v>26</v>
      </c>
      <c r="BC26" t="n">
        <v>25</v>
      </c>
      <c r="BH26">
        <f>IFERROR(MATCH(26,$BF$4:$BF$13,0),0)</f>
        <v>0</v>
      </c>
      <c r="BI26">
        <f>IF(26=$BG$5,1,0)</f>
        <v>0</v>
      </c>
      <c r="BJ26">
        <f>IF(OR($BH26&gt;0,$BI26=1,$BL26=1),0,IFERROR(INDEX($BC$5:$BC$41,MATCH(26,$BB$5:$BB$41,0)),0))</f>
        <v>25</v>
      </c>
      <c r="BK26">
        <f>IF($BJ26&gt;0,IF(INDEX($AZ$5:$AZ$41,MATCH(26,$BB$5:$BB$41,0))=10,1,0),IF($BH26=10,1,0))</f>
        <v>0</v>
      </c>
      <c r="BL26">
        <f>IF(26=$BG$4,1,0)</f>
        <v>0</v>
      </c>
      <c r="BM26">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1</v>
      </c>
      <c r="BN26">
        <f>IF($B$4="",1,--(OR(SUMPRODUCT(--(TRIM(MID(SUBSTITUTE(SUBSTITUTE($B$4,"/",","),",",REPT(" ",99)),(ROW($1:$8)-1)*99+1,99))&lt;&gt;""),--ISNUMBER(SEARCH(TRIM(MID(SUBSTITUTE(SUBSTITUTE($B$4,"/",","),",",REPT(" ",99)),(ROW($1:$8)-1)*99+1,99)),IFERROR(('Final Calculation Sheet'!$F$25)&amp;"",""))))&gt;0,AND(ISNUMBER(SEARCH("blank",$B$4)),NOT(ISNUMBER(SEARCH("nonblank",$B$4))),IFERROR(('Final Calculation Sheet'!$F$25)&amp;"","")=""),AND(OR(ISNUMBER(SEARCH("nonblank",$B$4)),ISNUMBER(SEARCH("&lt;&gt;",$B$4))),IFERROR(('Final Calculation Sheet'!$F$25)&amp;"","")&lt;&gt;""),AND(TRIM($B$4)="",IFERROR(('Final Calculation Sheet'!$F$25)&amp;"","")=""))))</f>
        <v>1</v>
      </c>
      <c r="BO26">
        <f>IF($C$4="",1,--(OR(SUMPRODUCT(--(TRIM(MID(SUBSTITUTE(SUBSTITUTE($C$4,"/",","),",",REPT(" ",99)),(ROW($1:$8)-1)*99+1,99))&lt;&gt;""),--ISNUMBER(SEARCH(TRIM(MID(SUBSTITUTE(SUBSTITUTE($C$4,"/",","),",",REPT(" ",99)),(ROW($1:$8)-1)*99+1,99)),IFERROR(('Final Calculation Sheet'!$G$25)&amp;"",""))))&gt;0,AND(ISNUMBER(SEARCH("blank",$C$4)),NOT(ISNUMBER(SEARCH("nonblank",$C$4))),IFERROR(('Final Calculation Sheet'!$G$25)&amp;"","")=""),AND(OR(ISNUMBER(SEARCH("nonblank",$C$4)),ISNUMBER(SEARCH("&lt;&gt;",$C$4))),IFERROR(('Final Calculation Sheet'!$G$25)&amp;"","")&lt;&gt;""),AND(TRIM($C$4)="",IFERROR(('Final Calculation Sheet'!$G$25)&amp;"","")=""))))</f>
        <v>1</v>
      </c>
      <c r="BP26">
        <f>IF($D$4="",1,--(OR(SUMPRODUCT(--(TRIM(MID(SUBSTITUTE(SUBSTITUTE($D$4,"/",","),",",REPT(" ",99)),(ROW($1:$8)-1)*99+1,99))&lt;&gt;""),--ISNUMBER(SEARCH(TRIM(MID(SUBSTITUTE(SUBSTITUTE($D$4,"/",","),",",REPT(" ",99)),(ROW($1:$8)-1)*99+1,99)),IFERROR(('Final Calculation Sheet'!$B$25)&amp;"",""))))&gt;0,AND(ISNUMBER(SEARCH("blank",$D$4)),NOT(ISNUMBER(SEARCH("nonblank",$D$4))),IFERROR(('Final Calculation Sheet'!$B$25)&amp;"","")=""),AND(OR(ISNUMBER(SEARCH("nonblank",$D$4)),ISNUMBER(SEARCH("&lt;&gt;",$D$4))),IFERROR(('Final Calculation Sheet'!$B$25)&amp;"","")&lt;&gt;""),AND(TRIM($D$4)="",IFERROR(('Final Calculation Sheet'!$B$25)&amp;"","")=""))))</f>
        <v>1</v>
      </c>
      <c r="BQ26">
        <f>IF($E$4="",1,--(OR(SUMPRODUCT(--(TRIM(MID(SUBSTITUTE(SUBSTITUTE($E$4,"/",","),",",REPT(" ",99)),(ROW($1:$8)-1)*99+1,99))&lt;&gt;""),--ISNUMBER(SEARCH(TRIM(MID(SUBSTITUTE(SUBSTITUTE($E$4,"/",","),",",REPT(" ",99)),(ROW($1:$8)-1)*99+1,99)),IFERROR(('Final Calculation Sheet'!$D$25)&amp;"",""))))&gt;0,AND(ISNUMBER(SEARCH("blank",$E$4)),NOT(ISNUMBER(SEARCH("nonblank",$E$4))),IFERROR(('Final Calculation Sheet'!$D$25)&amp;"","")=""),AND(OR(ISNUMBER(SEARCH("nonblank",$E$4)),ISNUMBER(SEARCH("&lt;&gt;",$E$4))),IFERROR(('Final Calculation Sheet'!$D$25)&amp;"","")&lt;&gt;""),AND(TRIM($E$4)="",IFERROR(('Final Calculation Sheet'!$D$25)&amp;"","")=""))))</f>
        <v>1</v>
      </c>
      <c r="BR26">
        <f>IF($F$4="",1,--(OR(SUMPRODUCT(--(TRIM(MID(SUBSTITUTE(SUBSTITUTE($F$4,"/",","),",",REPT(" ",99)),(ROW($1:$8)-1)*99+1,99))&lt;&gt;""),--ISNUMBER(SEARCH(TRIM(MID(SUBSTITUTE(SUBSTITUTE($F$4,"/",","),",",REPT(" ",99)),(ROW($1:$8)-1)*99+1,99)),IFERROR(('Final Calculation Sheet'!$A$25)&amp;"",""))))&gt;0,AND(ISNUMBER(SEARCH("blank",$F$4)),NOT(ISNUMBER(SEARCH("nonblank",$F$4))),IFERROR(('Final Calculation Sheet'!$A$25)&amp;"","")=""),AND(OR(ISNUMBER(SEARCH("nonblank",$F$4)),ISNUMBER(SEARCH("&lt;&gt;",$F$4))),IFERROR(('Final Calculation Sheet'!$A$25)&amp;"","")&lt;&gt;""),AND(TRIM($F$4)="",IFERROR(('Final Calculation Sheet'!$A$25)&amp;"","")=""))))</f>
        <v>1</v>
      </c>
      <c r="BS26">
        <f>IF($G$4="",1,--(OR(SUMPRODUCT(--(TRIM(MID(SUBSTITUTE(SUBSTITUTE($G$4,"/",","),",",REPT(" ",99)),(ROW($1:$8)-1)*99+1,99))&lt;&gt;""),--ISNUMBER(SEARCH(TRIM(MID(SUBSTITUTE(SUBSTITUTE($G$4,"/",","),",",REPT(" ",99)),(ROW($1:$8)-1)*99+1,99)),IFERROR(('Final Calculation Sheet'!$E$25)&amp;"",""))))&gt;0,AND(ISNUMBER(SEARCH("blank",$G$4)),NOT(ISNUMBER(SEARCH("nonblank",$G$4))),IFERROR(('Final Calculation Sheet'!$E$25)&amp;"","")=""),AND(OR(ISNUMBER(SEARCH("nonblank",$G$4)),ISNUMBER(SEARCH("&lt;&gt;",$G$4))),IFERROR(('Final Calculation Sheet'!$E$25)&amp;"","")&lt;&gt;""),AND(TRIM($G$4)="",IFERROR(('Final Calculation Sheet'!$E$25)&amp;"","")=""))))</f>
        <v>1</v>
      </c>
      <c r="BT26">
        <f>IF($H$4="",1,--(OR(SUMPRODUCT(--(TRIM(MID(SUBSTITUTE(SUBSTITUTE($H$4,"/",","),",",REPT(" ",99)),(ROW($1:$8)-1)*99+1,99))&lt;&gt;""),--ISNUMBER(SEARCH(TRIM(MID(SUBSTITUTE(SUBSTITUTE($H$4,"/",","),",",REPT(" ",99)),(ROW($1:$8)-1)*99+1,99)),IFERROR(('Final Calculation Sheet'!$C$25)&amp;"",""))))&gt;0,AND(ISNUMBER(SEARCH("blank",$H$4)),NOT(ISNUMBER(SEARCH("nonblank",$H$4))),IFERROR(('Final Calculation Sheet'!$C$25)&amp;"","")=""),AND(OR(ISNUMBER(SEARCH("nonblank",$H$4)),ISNUMBER(SEARCH("&lt;&gt;",$H$4))),IFERROR(('Final Calculation Sheet'!$C$25)&amp;"","")&lt;&gt;""),AND(TRIM($H$4)="",IFERROR(('Final Calculation Sheet'!$C$25)&amp;"","")=""))))</f>
        <v>1</v>
      </c>
      <c r="BU26">
        <f>IF($I$4="",1,--(OR(SUMPRODUCT(--(TRIM(MID(SUBSTITUTE(SUBSTITUTE($I$4,"/",","),",",REPT(" ",99)),(ROW($1:$8)-1)*99+1,99))&lt;&gt;""),--ISNUMBER(SEARCH(TRIM(MID(SUBSTITUTE(SUBSTITUTE($I$4,"/",","),",",REPT(" ",99)),(ROW($1:$8)-1)*99+1,99)),IFERROR(('Final Calculation Sheet'!$H$25)&amp;"",""))))&gt;0,AND(ISNUMBER(SEARCH("blank",$I$4)),NOT(ISNUMBER(SEARCH("nonblank",$I$4))),IFERROR(('Final Calculation Sheet'!$H$25)&amp;"","")=""),AND(OR(ISNUMBER(SEARCH("nonblank",$I$4)),ISNUMBER(SEARCH("&lt;&gt;",$I$4))),IFERROR(('Final Calculation Sheet'!$H$25)&amp;"","")&lt;&gt;""),AND(TRIM($I$4)="",IFERROR(('Final Calculation Sheet'!$H$25)&amp;"","")=""))))</f>
        <v>1</v>
      </c>
      <c r="BV26">
        <f>IF($J$4="",1,--(OR(SUMPRODUCT(--(TRIM(MID(SUBSTITUTE(SUBSTITUTE($J$4,"/",","),",",REPT(" ",99)),(ROW($1:$8)-1)*99+1,99))&lt;&gt;""),--ISNUMBER(SEARCH(TRIM(MID(SUBSTITUTE(SUBSTITUTE($J$4,"/",","),",",REPT(" ",99)),(ROW($1:$8)-1)*99+1,99)),IFERROR(('Final Calculation Sheet'!$I$25)&amp;"",""))))&gt;0,AND(ISNUMBER(SEARCH("blank",$J$4)),NOT(ISNUMBER(SEARCH("nonblank",$J$4))),IFERROR(('Final Calculation Sheet'!$I$25)&amp;"","")=""),AND(OR(ISNUMBER(SEARCH("nonblank",$J$4)),ISNUMBER(SEARCH("&lt;&gt;",$J$4))),IFERROR(('Final Calculation Sheet'!$I$25)&amp;"","")&lt;&gt;""),AND(TRIM($J$4)="",IFERROR(('Final Calculation Sheet'!$I$25)&amp;"","")=""))))</f>
        <v>1</v>
      </c>
      <c r="BW26">
        <f>IF($K$4="",1,--(OR(SUMPRODUCT(--(TRIM(MID(SUBSTITUTE(SUBSTITUTE($K$4,"/",","),",",REPT(" ",99)),(ROW($1:$8)-1)*99+1,99))&lt;&gt;""),--ISNUMBER(SEARCH(TRIM(MID(SUBSTITUTE(SUBSTITUTE($K$4,"/",","),",",REPT(" ",99)),(ROW($1:$8)-1)*99+1,99)),IFERROR(('Final Calculation Sheet'!$J$25)&amp;"",""))))&gt;0,AND(ISNUMBER(SEARCH("blank",$K$4)),NOT(ISNUMBER(SEARCH("nonblank",$K$4))),IFERROR(('Final Calculation Sheet'!$J$25)&amp;"","")=""),AND(OR(ISNUMBER(SEARCH("nonblank",$K$4)),ISNUMBER(SEARCH("&lt;&gt;",$K$4))),IFERROR(('Final Calculation Sheet'!$J$25)&amp;"","")&lt;&gt;""),AND(TRIM($K$4)="",IFERROR(('Final Calculation Sheet'!$J$25)&amp;"","")=""))))</f>
        <v>1</v>
      </c>
      <c r="BX26">
        <f>IF($L$4="",1,--(OR(SUMPRODUCT(--(TRIM(MID(SUBSTITUTE(SUBSTITUTE($L$4,"/",","),",",REPT(" ",99)),(ROW($1:$8)-1)*99+1,99))&lt;&gt;""),--ISNUMBER(SEARCH(TRIM(MID(SUBSTITUTE(SUBSTITUTE($L$4,"/",","),",",REPT(" ",99)),(ROW($1:$8)-1)*99+1,99)),IFERROR(('Final Calculation Sheet'!$K$25)&amp;"",""))))&gt;0,AND(ISNUMBER(SEARCH("blank",$L$4)),NOT(ISNUMBER(SEARCH("nonblank",$L$4))),IFERROR(('Final Calculation Sheet'!$K$25)&amp;"","")=""),AND(OR(ISNUMBER(SEARCH("nonblank",$L$4)),ISNUMBER(SEARCH("&lt;&gt;",$L$4))),IFERROR(('Final Calculation Sheet'!$K$25)&amp;"","")&lt;&gt;""),AND(TRIM($L$4)="",IFERROR(('Final Calculation Sheet'!$K$25)&amp;"","")=""))))</f>
        <v>1</v>
      </c>
      <c r="BY26">
        <f>IF($M$4="",1,--(OR(SUMPRODUCT(--(TRIM(MID(SUBSTITUTE(SUBSTITUTE($M$4,"/",","),",",REPT(" ",99)),(ROW($1:$8)-1)*99+1,99))&lt;&gt;""),--ISNUMBER(SEARCH(TRIM(MID(SUBSTITUTE(SUBSTITUTE($M$4,"/",","),",",REPT(" ",99)),(ROW($1:$8)-1)*99+1,99)),IFERROR(('Final Calculation Sheet'!$L$25)&amp;"",""))))&gt;0,AND(ISNUMBER(SEARCH("blank",$M$4)),NOT(ISNUMBER(SEARCH("nonblank",$M$4))),IFERROR(('Final Calculation Sheet'!$L$25)&amp;"","")=""),AND(OR(ISNUMBER(SEARCH("nonblank",$M$4)),ISNUMBER(SEARCH("&lt;&gt;",$M$4))),IFERROR(('Final Calculation Sheet'!$L$25)&amp;"","")&lt;&gt;""),AND(TRIM($M$4)="",IFERROR(('Final Calculation Sheet'!$L$25)&amp;"","")=""))))</f>
        <v>1</v>
      </c>
      <c r="BZ26">
        <f>IF($N$4="",1,--(OR(SUMPRODUCT(--(TRIM(MID(SUBSTITUTE(SUBSTITUTE($N$4,"/",","),",",REPT(" ",99)),(ROW($1:$8)-1)*99+1,99))&lt;&gt;""),--ISNUMBER(SEARCH(TRIM(MID(SUBSTITUTE(SUBSTITUTE($N$4,"/",","),",",REPT(" ",99)),(ROW($1:$8)-1)*99+1,99)),IFERROR(('Final Calculation Sheet'!$M$25)&amp;"",""))))&gt;0,AND(ISNUMBER(SEARCH("blank",$N$4)),NOT(ISNUMBER(SEARCH("nonblank",$N$4))),IFERROR(('Final Calculation Sheet'!$M$25)&amp;"","")=""),AND(OR(ISNUMBER(SEARCH("nonblank",$N$4)),ISNUMBER(SEARCH("&lt;&gt;",$N$4))),IFERROR(('Final Calculation Sheet'!$M$25)&amp;"","")&lt;&gt;""),AND(TRIM($N$4)="",IFERROR(('Final Calculation Sheet'!$M$25)&amp;"","")=""))))</f>
        <v>1</v>
      </c>
      <c r="CA26">
        <f>IF($O$4="",1,--(OR(SUMPRODUCT(--(TRIM(MID(SUBSTITUTE(SUBSTITUTE($O$4,"/",","),",",REPT(" ",99)),(ROW($1:$8)-1)*99+1,99))&lt;&gt;""),--ISNUMBER(SEARCH(TRIM(MID(SUBSTITUTE(SUBSTITUTE($O$4,"/",","),",",REPT(" ",99)),(ROW($1:$8)-1)*99+1,99)),IFERROR(('Final Calculation Sheet'!$N$25)&amp;"",""))))&gt;0,AND(ISNUMBER(SEARCH("blank",$O$4)),NOT(ISNUMBER(SEARCH("nonblank",$O$4))),IFERROR(('Final Calculation Sheet'!$N$25)&amp;"","")=""),AND(OR(ISNUMBER(SEARCH("nonblank",$O$4)),ISNUMBER(SEARCH("&lt;&gt;",$O$4))),IFERROR(('Final Calculation Sheet'!$N$25)&amp;"","")&lt;&gt;""),AND(TRIM($O$4)="",IFERROR(('Final Calculation Sheet'!$N$25)&amp;"","")=""))))</f>
        <v>1</v>
      </c>
      <c r="CB26">
        <f>IF($P$4="",1,--(OR(SUMPRODUCT(--(TRIM(MID(SUBSTITUTE(SUBSTITUTE($P$4,"/",","),",",REPT(" ",99)),(ROW($1:$8)-1)*99+1,99))&lt;&gt;""),--ISNUMBER(SEARCH(TRIM(MID(SUBSTITUTE(SUBSTITUTE($P$4,"/",","),",",REPT(" ",99)),(ROW($1:$8)-1)*99+1,99)),IFERROR(('Final Calculation Sheet'!$O$25)&amp;"",""))))&gt;0,AND(ISNUMBER(SEARCH("blank",$P$4)),NOT(ISNUMBER(SEARCH("nonblank",$P$4))),IFERROR(('Final Calculation Sheet'!$O$25)&amp;"","")=""),AND(OR(ISNUMBER(SEARCH("nonblank",$P$4)),ISNUMBER(SEARCH("&lt;&gt;",$P$4))),IFERROR(('Final Calculation Sheet'!$O$25)&amp;"","")&lt;&gt;""),AND(TRIM($P$4)="",IFERROR(('Final Calculation Sheet'!$O$25)&amp;"","")=""))))</f>
        <v>1</v>
      </c>
      <c r="CC26">
        <f>IF($Q$4="",1,--(OR(SUMPRODUCT(--(TRIM(MID(SUBSTITUTE(SUBSTITUTE($Q$4,"/",","),",",REPT(" ",99)),(ROW($1:$8)-1)*99+1,99))&lt;&gt;""),--ISNUMBER(SEARCH(TRIM(MID(SUBSTITUTE(SUBSTITUTE($Q$4,"/",","),",",REPT(" ",99)),(ROW($1:$8)-1)*99+1,99)),IFERROR(('Final Calculation Sheet'!$P$25)&amp;"",""))))&gt;0,AND(ISNUMBER(SEARCH("blank",$Q$4)),NOT(ISNUMBER(SEARCH("nonblank",$Q$4))),IFERROR(('Final Calculation Sheet'!$P$25)&amp;"","")=""),AND(OR(ISNUMBER(SEARCH("nonblank",$Q$4)),ISNUMBER(SEARCH("&lt;&gt;",$Q$4))),IFERROR(('Final Calculation Sheet'!$P$25)&amp;"","")&lt;&gt;""),AND(TRIM($Q$4)="",IFERROR(('Final Calculation Sheet'!$P$25)&amp;"","")=""))))</f>
        <v>1</v>
      </c>
      <c r="CD26">
        <f>IF($R$4="",1,--(OR(SUMPRODUCT(--(TRIM(MID(SUBSTITUTE(SUBSTITUTE($R$4,"/",","),",",REPT(" ",99)),(ROW($1:$8)-1)*99+1,99))&lt;&gt;""),--ISNUMBER(SEARCH(TRIM(MID(SUBSTITUTE(SUBSTITUTE($R$4,"/",","),",",REPT(" ",99)),(ROW($1:$8)-1)*99+1,99)),IFERROR(('Final Calculation Sheet'!$Q$25)&amp;"",""))))&gt;0,AND(ISNUMBER(SEARCH("blank",$R$4)),NOT(ISNUMBER(SEARCH("nonblank",$R$4))),IFERROR(('Final Calculation Sheet'!$Q$25)&amp;"","")=""),AND(OR(ISNUMBER(SEARCH("nonblank",$R$4)),ISNUMBER(SEARCH("&lt;&gt;",$R$4))),IFERROR(('Final Calculation Sheet'!$Q$25)&amp;"","")&lt;&gt;""),AND(TRIM($R$4)="",IFERROR(('Final Calculation Sheet'!$Q$25)&amp;"","")=""))))</f>
        <v>1</v>
      </c>
      <c r="CE26">
        <f>IF($S$4="",1,--(OR(SUMPRODUCT(--(TRIM(MID(SUBSTITUTE(SUBSTITUTE($S$4,"/",","),",",REPT(" ",99)),(ROW($1:$8)-1)*99+1,99))&lt;&gt;""),--ISNUMBER(SEARCH(TRIM(MID(SUBSTITUTE(SUBSTITUTE($S$4,"/",","),",",REPT(" ",99)),(ROW($1:$8)-1)*99+1,99)),IFERROR(('Final Calculation Sheet'!$R$25)&amp;"",""))))&gt;0,AND(ISNUMBER(SEARCH("blank",$S$4)),NOT(ISNUMBER(SEARCH("nonblank",$S$4))),IFERROR(('Final Calculation Sheet'!$R$25)&amp;"","")=""),AND(OR(ISNUMBER(SEARCH("nonblank",$S$4)),ISNUMBER(SEARCH("&lt;&gt;",$S$4))),IFERROR(('Final Calculation Sheet'!$R$25)&amp;"","")&lt;&gt;""),AND(TRIM($S$4)="",IFERROR(('Final Calculation Sheet'!$R$25)&amp;"","")=""))))</f>
        <v>1</v>
      </c>
      <c r="CF26">
        <f>IF($T$4="",1,--(OR(SUMPRODUCT(--(TRIM(MID(SUBSTITUTE(SUBSTITUTE($T$4,"/",","),",",REPT(" ",99)),(ROW($1:$8)-1)*99+1,99))&lt;&gt;""),--ISNUMBER(SEARCH(TRIM(MID(SUBSTITUTE(SUBSTITUTE($T$4,"/",","),",",REPT(" ",99)),(ROW($1:$8)-1)*99+1,99)),IFERROR(('Final Calculation Sheet'!$S$25)&amp;"",""))))&gt;0,AND(ISNUMBER(SEARCH("blank",$T$4)),NOT(ISNUMBER(SEARCH("nonblank",$T$4))),IFERROR(('Final Calculation Sheet'!$S$25)&amp;"","")=""),AND(OR(ISNUMBER(SEARCH("nonblank",$T$4)),ISNUMBER(SEARCH("&lt;&gt;",$T$4))),IFERROR(('Final Calculation Sheet'!$S$25)&amp;"","")&lt;&gt;""),AND(TRIM($T$4)="",IFERROR(('Final Calculation Sheet'!$S$25)&amp;"","")=""))))</f>
        <v>1</v>
      </c>
      <c r="CG26">
        <f>IF($U$4="",1,--(OR(SUMPRODUCT(--(TRIM(MID(SUBSTITUTE(SUBSTITUTE($U$4,"/",","),",",REPT(" ",99)),(ROW($1:$8)-1)*99+1,99))&lt;&gt;""),--ISNUMBER(SEARCH(TRIM(MID(SUBSTITUTE(SUBSTITUTE($U$4,"/",","),",",REPT(" ",99)),(ROW($1:$8)-1)*99+1,99)),IFERROR(('Final Calculation Sheet'!$T$25)&amp;"",""))))&gt;0,AND(ISNUMBER(SEARCH("blank",$U$4)),NOT(ISNUMBER(SEARCH("nonblank",$U$4))),IFERROR(('Final Calculation Sheet'!$T$25)&amp;"","")=""),AND(OR(ISNUMBER(SEARCH("nonblank",$U$4)),ISNUMBER(SEARCH("&lt;&gt;",$U$4))),IFERROR(('Final Calculation Sheet'!$T$25)&amp;"","")&lt;&gt;""),AND(TRIM($U$4)="",IFERROR(('Final Calculation Sheet'!$T$25)&amp;"","")=""))))</f>
        <v>1</v>
      </c>
      <c r="CH26">
        <f>IF($V$4="",1,--(OR(SUMPRODUCT(--(TRIM(MID(SUBSTITUTE(SUBSTITUTE($V$4,"/",","),",",REPT(" ",99)),(ROW($1:$8)-1)*99+1,99))&lt;&gt;""),--ISNUMBER(SEARCH(TRIM(MID(SUBSTITUTE(SUBSTITUTE($V$4,"/",","),",",REPT(" ",99)),(ROW($1:$8)-1)*99+1,99)),IFERROR(('Final Calculation Sheet'!$U$25)&amp;"",""))))&gt;0,AND(ISNUMBER(SEARCH("blank",$V$4)),NOT(ISNUMBER(SEARCH("nonblank",$V$4))),IFERROR(('Final Calculation Sheet'!$U$25)&amp;"","")=""),AND(OR(ISNUMBER(SEARCH("nonblank",$V$4)),ISNUMBER(SEARCH("&lt;&gt;",$V$4))),IFERROR(('Final Calculation Sheet'!$U$25)&amp;"","")&lt;&gt;""),AND(TRIM($V$4)="",IFERROR(('Final Calculation Sheet'!$U$25)&amp;"","")=""))))</f>
        <v>1</v>
      </c>
      <c r="CI26">
        <f>IF($W$4="",1,--(OR(SUMPRODUCT(--(TRIM(MID(SUBSTITUTE(SUBSTITUTE($W$4,"/",","),",",REPT(" ",99)),(ROW($1:$8)-1)*99+1,99))&lt;&gt;""),--ISNUMBER(SEARCH(TRIM(MID(SUBSTITUTE(SUBSTITUTE($W$4,"/",","),",",REPT(" ",99)),(ROW($1:$8)-1)*99+1,99)),IFERROR(('Final Calculation Sheet'!$V$25)&amp;"",""))))&gt;0,AND(ISNUMBER(SEARCH("blank",$W$4)),NOT(ISNUMBER(SEARCH("nonblank",$W$4))),IFERROR(('Final Calculation Sheet'!$V$25)&amp;"","")=""),AND(OR(ISNUMBER(SEARCH("nonblank",$W$4)),ISNUMBER(SEARCH("&lt;&gt;",$W$4))),IFERROR(('Final Calculation Sheet'!$V$25)&amp;"","")&lt;&gt;""),AND(TRIM($W$4)="",IFERROR(('Final Calculation Sheet'!$V$25)&amp;"","")=""))))</f>
        <v>1</v>
      </c>
      <c r="CJ26">
        <f>IF($X$4="",1,--(OR(SUMPRODUCT(--(TRIM(MID(SUBSTITUTE(SUBSTITUTE($X$4,"/",","),",",REPT(" ",99)),(ROW($1:$8)-1)*99+1,99))&lt;&gt;""),--ISNUMBER(SEARCH(TRIM(MID(SUBSTITUTE(SUBSTITUTE($X$4,"/",","),",",REPT(" ",99)),(ROW($1:$8)-1)*99+1,99)),IFERROR(('Final Calculation Sheet'!$W$25)&amp;"",""))))&gt;0,AND(ISNUMBER(SEARCH("blank",$X$4)),NOT(ISNUMBER(SEARCH("nonblank",$X$4))),IFERROR(('Final Calculation Sheet'!$W$25)&amp;"","")=""),AND(OR(ISNUMBER(SEARCH("nonblank",$X$4)),ISNUMBER(SEARCH("&lt;&gt;",$X$4))),IFERROR(('Final Calculation Sheet'!$W$25)&amp;"","")&lt;&gt;""),AND(TRIM($X$4)="",IFERROR(('Final Calculation Sheet'!$W$25)&amp;"","")=""))))</f>
        <v>1</v>
      </c>
      <c r="CK26">
        <f>IF($Y$4="",1,--(OR(SUMPRODUCT(--(TRIM(MID(SUBSTITUTE(SUBSTITUTE($Y$4,"/",","),",",REPT(" ",99)),(ROW($1:$8)-1)*99+1,99))&lt;&gt;""),--ISNUMBER(SEARCH(TRIM(MID(SUBSTITUTE(SUBSTITUTE($Y$4,"/",","),",",REPT(" ",99)),(ROW($1:$8)-1)*99+1,99)),IFERROR(('Final Calculation Sheet'!$X$25)&amp;"",""))))&gt;0,AND(ISNUMBER(SEARCH("blank",$Y$4)),NOT(ISNUMBER(SEARCH("nonblank",$Y$4))),IFERROR(('Final Calculation Sheet'!$X$25)&amp;"","")=""),AND(OR(ISNUMBER(SEARCH("nonblank",$Y$4)),ISNUMBER(SEARCH("&lt;&gt;",$Y$4))),IFERROR(('Final Calculation Sheet'!$X$25)&amp;"","")&lt;&gt;""),AND(TRIM($Y$4)="",IFERROR(('Final Calculation Sheet'!$X$25)&amp;"","")=""))))</f>
        <v>1</v>
      </c>
      <c r="CL26">
        <f>IF($Z$4="",1,--(OR(SUMPRODUCT(--(TRIM(MID(SUBSTITUTE(SUBSTITUTE($Z$4,"/",","),",",REPT(" ",99)),(ROW($1:$8)-1)*99+1,99))&lt;&gt;""),--ISNUMBER(SEARCH(TRIM(MID(SUBSTITUTE(SUBSTITUTE($Z$4,"/",","),",",REPT(" ",99)),(ROW($1:$8)-1)*99+1,99)),IFERROR(('Final Calculation Sheet'!$Y$25)&amp;"",""))))&gt;0,AND(ISNUMBER(SEARCH("blank",$Z$4)),NOT(ISNUMBER(SEARCH("nonblank",$Z$4))),IFERROR(('Final Calculation Sheet'!$Y$25)&amp;"","")=""),AND(OR(ISNUMBER(SEARCH("nonblank",$Z$4)),ISNUMBER(SEARCH("&lt;&gt;",$Z$4))),IFERROR(('Final Calculation Sheet'!$Y$25)&amp;"","")&lt;&gt;""),AND(TRIM($Z$4)="",IFERROR(('Final Calculation Sheet'!$Y$25)&amp;"","")=""))))</f>
        <v>1</v>
      </c>
      <c r="CM26">
        <f>IF($AA$4="",1,--(OR(SUMPRODUCT(--(TRIM(MID(SUBSTITUTE(SUBSTITUTE($AA$4,"/",","),",",REPT(" ",99)),(ROW($1:$8)-1)*99+1,99))&lt;&gt;""),--ISNUMBER(SEARCH(TRIM(MID(SUBSTITUTE(SUBSTITUTE($AA$4,"/",","),",",REPT(" ",99)),(ROW($1:$8)-1)*99+1,99)),IFERROR(('Final Calculation Sheet'!$Z$25)&amp;"",""))))&gt;0,AND(ISNUMBER(SEARCH("blank",$AA$4)),NOT(ISNUMBER(SEARCH("nonblank",$AA$4))),IFERROR(('Final Calculation Sheet'!$Z$25)&amp;"","")=""),AND(OR(ISNUMBER(SEARCH("nonblank",$AA$4)),ISNUMBER(SEARCH("&lt;&gt;",$AA$4))),IFERROR(('Final Calculation Sheet'!$Z$25)&amp;"","")&lt;&gt;""),AND(TRIM($AA$4)="",IFERROR(('Final Calculation Sheet'!$Z$25)&amp;"","")=""))))</f>
        <v>1</v>
      </c>
      <c r="CN26">
        <f>IF($AB$4="",1,--(OR(SUMPRODUCT(--(TRIM(MID(SUBSTITUTE(SUBSTITUTE($AB$4,"/",","),",",REPT(" ",99)),(ROW($1:$8)-1)*99+1,99))&lt;&gt;""),--ISNUMBER(SEARCH(TRIM(MID(SUBSTITUTE(SUBSTITUTE($AB$4,"/",","),",",REPT(" ",99)),(ROW($1:$8)-1)*99+1,99)),IFERROR(('Final Calculation Sheet'!$AA$25)&amp;"",""))))&gt;0,AND(ISNUMBER(SEARCH("blank",$AB$4)),NOT(ISNUMBER(SEARCH("nonblank",$AB$4))),IFERROR(('Final Calculation Sheet'!$AA$25)&amp;"","")=""),AND(OR(ISNUMBER(SEARCH("nonblank",$AB$4)),ISNUMBER(SEARCH("&lt;&gt;",$AB$4))),IFERROR(('Final Calculation Sheet'!$AA$25)&amp;"","")&lt;&gt;""),AND(TRIM($AB$4)="",IFERROR(('Final Calculation Sheet'!$AA$25)&amp;"","")=""))))</f>
        <v>1</v>
      </c>
      <c r="CO26">
        <f>IF($AC$4="",1,--(OR(SUMPRODUCT(--(TRIM(MID(SUBSTITUTE(SUBSTITUTE($AC$4,"/",","),",",REPT(" ",99)),(ROW($1:$8)-1)*99+1,99))&lt;&gt;""),--ISNUMBER(SEARCH(TRIM(MID(SUBSTITUTE(SUBSTITUTE($AC$4,"/",","),",",REPT(" ",99)),(ROW($1:$8)-1)*99+1,99)),IFERROR(('Final Calculation Sheet'!$AB$25)&amp;"",""))))&gt;0,AND(ISNUMBER(SEARCH("blank",$AC$4)),NOT(ISNUMBER(SEARCH("nonblank",$AC$4))),IFERROR(('Final Calculation Sheet'!$AB$25)&amp;"","")=""),AND(OR(ISNUMBER(SEARCH("nonblank",$AC$4)),ISNUMBER(SEARCH("&lt;&gt;",$AC$4))),IFERROR(('Final Calculation Sheet'!$AB$25)&amp;"","")&lt;&gt;""),AND(TRIM($AC$4)="",IFERROR(('Final Calculation Sheet'!$AB$25)&amp;"","")=""))))</f>
        <v>1</v>
      </c>
      <c r="CP26">
        <f>IF($AD$4="",1,--(OR(SUMPRODUCT(--(TRIM(MID(SUBSTITUTE(SUBSTITUTE($AD$4,"/",","),",",REPT(" ",99)),(ROW($1:$8)-1)*99+1,99))&lt;&gt;""),--ISNUMBER(SEARCH(TRIM(MID(SUBSTITUTE(SUBSTITUTE($AD$4,"/",","),",",REPT(" ",99)),(ROW($1:$8)-1)*99+1,99)),IFERROR(('Final Calculation Sheet'!$AC$25)&amp;"",""))))&gt;0,AND(ISNUMBER(SEARCH("blank",$AD$4)),NOT(ISNUMBER(SEARCH("nonblank",$AD$4))),IFERROR(('Final Calculation Sheet'!$AC$25)&amp;"","")=""),AND(OR(ISNUMBER(SEARCH("nonblank",$AD$4)),ISNUMBER(SEARCH("&lt;&gt;",$AD$4))),IFERROR(('Final Calculation Sheet'!$AC$25)&amp;"","")&lt;&gt;""),AND(TRIM($AD$4)="",IFERROR(('Final Calculation Sheet'!$AC$25)&amp;"","")=""))))</f>
        <v>1</v>
      </c>
      <c r="CQ26">
        <f>IF($AE$4="",1,--(OR(SUMPRODUCT(--(TRIM(MID(SUBSTITUTE(SUBSTITUTE($AE$4,"/",","),",",REPT(" ",99)),(ROW($1:$8)-1)*99+1,99))&lt;&gt;""),--ISNUMBER(SEARCH(TRIM(MID(SUBSTITUTE(SUBSTITUTE($AE$4,"/",","),",",REPT(" ",99)),(ROW($1:$8)-1)*99+1,99)),IFERROR(('Final Calculation Sheet'!$AD$25)&amp;"",""))))&gt;0,AND(ISNUMBER(SEARCH("blank",$AE$4)),NOT(ISNUMBER(SEARCH("nonblank",$AE$4))),IFERROR(('Final Calculation Sheet'!$AD$25)&amp;"","")=""),AND(OR(ISNUMBER(SEARCH("nonblank",$AE$4)),ISNUMBER(SEARCH("&lt;&gt;",$AE$4))),IFERROR(('Final Calculation Sheet'!$AD$25)&amp;"","")&lt;&gt;""),AND(TRIM($AE$4)="",IFERROR(('Final Calculation Sheet'!$AD$25)&amp;"","")=""))))</f>
        <v>1</v>
      </c>
      <c r="CR26">
        <f>IF($AF$4="",1,--(OR(SUMPRODUCT(--(TRIM(MID(SUBSTITUTE(SUBSTITUTE($AF$4,"/",","),",",REPT(" ",99)),(ROW($1:$8)-1)*99+1,99))&lt;&gt;""),--ISNUMBER(SEARCH(TRIM(MID(SUBSTITUTE(SUBSTITUTE($AF$4,"/",","),",",REPT(" ",99)),(ROW($1:$8)-1)*99+1,99)),IFERROR(('Final Calculation Sheet'!$AE$25)&amp;"",""))))&gt;0,AND(ISNUMBER(SEARCH("blank",$AF$4)),NOT(ISNUMBER(SEARCH("nonblank",$AF$4))),IFERROR(('Final Calculation Sheet'!$AE$25)&amp;"","")=""),AND(OR(ISNUMBER(SEARCH("nonblank",$AF$4)),ISNUMBER(SEARCH("&lt;&gt;",$AF$4))),IFERROR(('Final Calculation Sheet'!$AE$25)&amp;"","")&lt;&gt;""),AND(TRIM($AF$4)="",IFERROR(('Final Calculation Sheet'!$AE$25)&amp;"","")=""))))</f>
        <v>1</v>
      </c>
      <c r="CS26">
        <f>IF($AG$4="",1,--(OR(SUMPRODUCT(--(TRIM(MID(SUBSTITUTE(SUBSTITUTE($AG$4,"/",","),",",REPT(" ",99)),(ROW($1:$8)-1)*99+1,99))&lt;&gt;""),--ISNUMBER(SEARCH(TRIM(MID(SUBSTITUTE(SUBSTITUTE($AG$4,"/",","),",",REPT(" ",99)),(ROW($1:$8)-1)*99+1,99)),IFERROR(('Final Calculation Sheet'!$AF$25)&amp;"",""))))&gt;0,AND(ISNUMBER(SEARCH("blank",$AG$4)),NOT(ISNUMBER(SEARCH("nonblank",$AG$4))),IFERROR(('Final Calculation Sheet'!$AF$25)&amp;"","")=""),AND(OR(ISNUMBER(SEARCH("nonblank",$AG$4)),ISNUMBER(SEARCH("&lt;&gt;",$AG$4))),IFERROR(('Final Calculation Sheet'!$AF$25)&amp;"","")&lt;&gt;""),AND(TRIM($AG$4)="",IFERROR(('Final Calculation Sheet'!$AF$25)&amp;"","")=""))))</f>
        <v>1</v>
      </c>
      <c r="CT26">
        <f>IF($AH$4="",1,--(OR(SUMPRODUCT(--(TRIM(MID(SUBSTITUTE(SUBSTITUTE($AH$4,"/",","),",",REPT(" ",99)),(ROW($1:$8)-1)*99+1,99))&lt;&gt;""),--ISNUMBER(SEARCH(TRIM(MID(SUBSTITUTE(SUBSTITUTE($AH$4,"/",","),",",REPT(" ",99)),(ROW($1:$8)-1)*99+1,99)),IFERROR(('Final Calculation Sheet'!$AG$25)&amp;"",""))))&gt;0,AND(ISNUMBER(SEARCH("blank",$AH$4)),NOT(ISNUMBER(SEARCH("nonblank",$AH$4))),IFERROR(('Final Calculation Sheet'!$AG$25)&amp;"","")=""),AND(OR(ISNUMBER(SEARCH("nonblank",$AH$4)),ISNUMBER(SEARCH("&lt;&gt;",$AH$4))),IFERROR(('Final Calculation Sheet'!$AG$25)&amp;"","")&lt;&gt;""),AND(TRIM($AH$4)="",IFERROR(('Final Calculation Sheet'!$AG$25)&amp;"","")=""))))</f>
        <v>1</v>
      </c>
      <c r="CU26">
        <f>IF($AI$4="",1,--(OR(SUMPRODUCT(--(TRIM(MID(SUBSTITUTE(SUBSTITUTE($AI$4,"/",","),",",REPT(" ",99)),(ROW($1:$8)-1)*99+1,99))&lt;&gt;""),--ISNUMBER(SEARCH(TRIM(MID(SUBSTITUTE(SUBSTITUTE($AI$4,"/",","),",",REPT(" ",99)),(ROW($1:$8)-1)*99+1,99)),IFERROR((IF('Final Calculation Sheet'!$AD$25&lt;=5,"SETTLED","OUTSTANDING"))&amp;"",""))))&gt;0,AND(ISNUMBER(SEARCH("blank",$AI$4)),NOT(ISNUMBER(SEARCH("nonblank",$AI$4))),IFERROR((IF('Final Calculation Sheet'!$AD$25&lt;=5,"SETTLED","OUTSTANDING"))&amp;"","")=""),AND(OR(ISNUMBER(SEARCH("nonblank",$AI$4)),ISNUMBER(SEARCH("&lt;&gt;",$AI$4))),IFERROR((IF('Final Calculation Sheet'!$AD$25&lt;=5,"SETTLED","OUTSTANDING"))&amp;"","")&lt;&gt;""),AND(TRIM($AI$4)="",IFERROR((IF('Final Calculation Sheet'!$AD$25&lt;=5,"SETTLED","OUTSTANDING"))&amp;"","")=""))))</f>
        <v>1</v>
      </c>
    </row>
    <row r="27" ht="15" customHeight="1" s="137">
      <c r="A27" s="67">
        <f>IF($BJ26&gt;0,INDEX($BA$5:$BA$41,MATCH(26,$BB$5:$BB$41,0)),IF(OR($BI26=1,$BL26=1,$BH26&gt;0),"∑",""))</f>
        <v>22</v>
      </c>
      <c r="B27" s="76">
        <f>IF($BJ26&gt;0,IF(INDEX('Final Calculation Sheet'!$F$4:$F$40,$BJ26-3)="","",INDEX('Final Calculation Sheet'!$F$4:$F$40,$BJ26-3)),"")</f>
        <v>2033</v>
      </c>
      <c r="C27" s="76" t="str">
        <f>IF($BJ26&gt;0,IF(INDEX('Final Calculation Sheet'!$G$4:$G$40,$BJ26-3)="","",INDEX('Final Calculation Sheet'!$G$4:$G$40,$BJ26-3)),IF(OR($BI26=1,$BL26=1,$BH26&gt;0),IF($BI26=1,37,IF($BL26=1,37-INDEX($BD$4:$BD$13,10),INDEX($BD$4:$BD$13,$BH26)))&amp;" lot(s)",""))</f>
        <v>WATAN SCRAP TRADERS</v>
      </c>
      <c r="D27" s="80" t="str">
        <f>IF($BJ26&gt;0,IF(INDEX('Final Calculation Sheet'!$B$4:$B$40,$BJ26-3)="","",INDEX('Final Calculation Sheet'!$B$4:$B$40,$BJ26-3)),IF(OR($BI26=1,$BL26=1,$BH26&gt;0),IF($BI26=1,"GRAND TOTAL  —  matching + remaining",IF($BL26=1,"TOTAL MATCHED  —  every group together",IF($BH26=10,"REMAINING  —  did not match the search",IF($BH26=9,IF(COUNTIF($A$4:$AI$4,"&lt;&gt;")&gt;0,"FILTERED LOTS  —  column fields","ALL LOTS  —  nothing typed in the box"),"GROUP "&amp;$BH26&amp;" TOTAL  —  lots matching  "&amp;INDEX($AR$6:$AY$6,$BH26))))),""))</f>
        <v>Scrap Empty Oil Drum/ Barrel</v>
      </c>
      <c r="E27" s="80">
        <f>IF($BJ26&gt;0,IF(INDEX('Final Calculation Sheet'!$D$4:$D$40,$BJ26-3)="","",INDEX('Final Calculation Sheet'!$D$4:$D$40,$BJ26-3)),IF(OR($BI26=1,$BL26=1,$BH26&gt;0),"–",""))</f>
        <v>21978</v>
      </c>
      <c r="F27" s="80">
        <f>IF($BJ26&gt;0,IF(INDEX('Final Calculation Sheet'!$A$4:$A$40,$BJ26-3)="","",INDEX('Final Calculation Sheet'!$A$4:$A$40,$BJ26-3)),IF(OR($BI26=1,$BL26=1,$BH26&gt;0),IF($BI26=1,SUM('Final Calculation Sheet'!$A$4:$A$40),IF($BL26=1,SUM('Final Calculation Sheet'!$A$4:$A$40)-SUMIFS('Final Calculation Sheet'!$A$4:$A$40,$AZ$5:$AZ$41,10),SUMIFS('Final Calculation Sheet'!$A$4:$A$40,$AZ$5:$AZ$41,$BH26))),""))</f>
        <v>1000</v>
      </c>
      <c r="G27" s="80" t="str">
        <f>IF($BJ26&gt;0,IF(INDEX('Final Calculation Sheet'!$E$4:$E$40,$BJ26-3)="","",INDEX('Final Calculation Sheet'!$E$4:$E$40,$BJ26-3)),IF(OR($BI26=1,$BL26=1,$BH26&gt;0),"–",""))</f>
        <v>NO</v>
      </c>
      <c r="H27" s="70">
        <f>IF($BJ26&gt;0,IF(INDEX('Final Calculation Sheet'!$C$4:$C$40,$BJ26-3)="","",INDEX('Final Calculation Sheet'!$C$4:$C$40,$BJ26-3)),IF(OR($BI26=1,$BL26=1,$BH26&gt;0),"–",""))</f>
        <v>517</v>
      </c>
      <c r="I27" s="70">
        <f>IF($BJ26&gt;0,IF(INDEX('Final Calculation Sheet'!$H$4:$H$40,$BJ26-3)="","",INDEX('Final Calculation Sheet'!$H$4:$H$40,$BJ26-3)),IF(OR($BI26=1,$BL26=1,$BH26&gt;0),IF($BI26=1,SUM('Final Calculation Sheet'!$H$4:$H$40),IF($BL26=1,SUM('Final Calculation Sheet'!$H$4:$H$40)-SUMIFS('Final Calculation Sheet'!$H$4:$H$40,$AZ$5:$AZ$41,10),SUMIFS('Final Calculation Sheet'!$H$4:$H$40,$AZ$5:$AZ$41,$BH26))),""))</f>
        <v>517000</v>
      </c>
      <c r="J27" s="70">
        <f>IF($BJ26&gt;0,IF(INDEX('Final Calculation Sheet'!$I$4:$I$40,$BJ26-3)="","",INDEX('Final Calculation Sheet'!$I$4:$I$40,$BJ26-3)),IF(OR($BI26=1,$BL26=1,$BH26&gt;0),IF($BI26=1,SUM('Final Calculation Sheet'!$I$4:$I$40),IF($BL26=1,SUM('Final Calculation Sheet'!$I$4:$I$40)-SUMIFS('Final Calculation Sheet'!$I$4:$I$40,$AZ$5:$AZ$41,10),SUMIFS('Final Calculation Sheet'!$I$4:$I$40,$AZ$5:$AZ$41,$BH26))),""))</f>
        <v>93060</v>
      </c>
      <c r="K27" s="70">
        <f>IF($BJ26&gt;0,IF(INDEX('Final Calculation Sheet'!$J$4:$J$40,$BJ26-3)="","",INDEX('Final Calculation Sheet'!$J$4:$J$40,$BJ26-3)),IF(OR($BI26=1,$BL26=1,$BH26&gt;0),IF($BI26=1,SUM('Final Calculation Sheet'!$J$4:$J$40),IF($BL26=1,SUM('Final Calculation Sheet'!$J$4:$J$40)-SUMIFS('Final Calculation Sheet'!$J$4:$J$40,$AZ$5:$AZ$41,10),SUMIFS('Final Calculation Sheet'!$J$4:$J$40,$AZ$5:$AZ$41,$BH26))),""))</f>
        <v>610060</v>
      </c>
      <c r="L27" s="70">
        <f>IF($BJ26&gt;0,IF(INDEX('Final Calculation Sheet'!$K$4:$K$40,$BJ26-3)="","",INDEX('Final Calculation Sheet'!$K$4:$K$40,$BJ26-3)),IF(OR($BI26=1,$BL26=1,$BH26&gt;0),IF($BI26=1,SUM('Final Calculation Sheet'!$K$4:$K$40),IF($BL26=1,SUM('Final Calculation Sheet'!$K$4:$K$40)-SUMIFS('Final Calculation Sheet'!$K$4:$K$40,$AZ$5:$AZ$41,10),SUMIFS('Final Calculation Sheet'!$K$4:$K$40,$AZ$5:$AZ$41,$BH26))),""))</f>
        <v>12201</v>
      </c>
      <c r="M27" s="70">
        <f>IF($BJ26&gt;0,IF(INDEX('Final Calculation Sheet'!$L$4:$L$40,$BJ26-3)="","",INDEX('Final Calculation Sheet'!$L$4:$L$40,$BJ26-3)),IF(OR($BI26=1,$BL26=1,$BH26&gt;0),IF($BI26=1,SUM('Final Calculation Sheet'!$L$4:$L$40),IF($BL26=1,SUM('Final Calculation Sheet'!$L$4:$L$40)-SUMIFS('Final Calculation Sheet'!$L$4:$L$40,$AZ$5:$AZ$41,10),SUMIFS('Final Calculation Sheet'!$L$4:$L$40,$AZ$5:$AZ$41,$BH26))),""))</f>
        <v>517</v>
      </c>
      <c r="N27" s="70">
        <f>IF($BJ26&gt;0,IF(INDEX('Final Calculation Sheet'!$M$4:$M$40,$BJ26-3)="","",INDEX('Final Calculation Sheet'!$M$4:$M$40,$BJ26-3)),IF(OR($BI26=1,$BL26=1,$BH26&gt;0),IF($BI26=1,SUM('Final Calculation Sheet'!$M$4:$M$40),IF($BL26=1,SUM('Final Calculation Sheet'!$M$4:$M$40)-SUMIFS('Final Calculation Sheet'!$M$4:$M$40,$AZ$5:$AZ$41,10),SUMIFS('Final Calculation Sheet'!$M$4:$M$40,$AZ$5:$AZ$41,$BH26))),""))</f>
        <v>13726.349999999999</v>
      </c>
      <c r="O27" s="71">
        <f>IF($BJ26&gt;0,IF(INDEX('Final Calculation Sheet'!$N$4:$N$40,$BJ26-3)="","",INDEX('Final Calculation Sheet'!$N$4:$N$40,$BJ26-3)),IF(OR($BI26=1,$BL26=1,$BH26&gt;0),IF($BI26=1,SUM('Final Calculation Sheet'!$N$4:$N$40),IF($BL26=1,SUM('Final Calculation Sheet'!$N$4:$N$40)-SUMIFS('Final Calculation Sheet'!$N$4:$N$40,$AZ$5:$AZ$41,10),SUMIFS('Final Calculation Sheet'!$N$4:$N$40,$AZ$5:$AZ$41,$BH26))),""))</f>
        <v>232.65</v>
      </c>
      <c r="P27" s="70">
        <f>IF($BJ26&gt;0,IF(INDEX('Final Calculation Sheet'!$O$4:$O$40,$BJ26-3)="","",INDEX('Final Calculation Sheet'!$O$4:$O$40,$BJ26-3)),IF(OR($BI26=1,$BL26=1,$BH26&gt;0),IF($BI26=1,SUM('Final Calculation Sheet'!$O$4:$O$40),IF($BL26=1,SUM('Final Calculation Sheet'!$O$4:$O$40)-SUMIFS('Final Calculation Sheet'!$O$4:$O$40,$AZ$5:$AZ$41,10),SUMIFS('Final Calculation Sheet'!$O$4:$O$40,$AZ$5:$AZ$41,$BH26))),""))</f>
        <v>13493.699999999999</v>
      </c>
      <c r="Q27" s="70">
        <f>IF($BJ26&gt;0,IF(INDEX('Final Calculation Sheet'!$P$4:$P$40,$BJ26-3)="","",INDEX('Final Calculation Sheet'!$P$4:$P$40,$BJ26-3)),IF(OR($BI26=1,$BL26=1,$BH26&gt;0),IF($BI26=1,SUM('Final Calculation Sheet'!$P$4:$P$40),IF($BL26=1,SUM('Final Calculation Sheet'!$P$4:$P$40)-SUMIFS('Final Calculation Sheet'!$P$4:$P$40,$AZ$5:$AZ$41,10),SUMIFS('Final Calculation Sheet'!$P$4:$P$40,$AZ$5:$AZ$41,$BH26))),""))</f>
        <v>14011</v>
      </c>
      <c r="R27" s="72">
        <f>IF($BJ26&gt;0,IF(INDEX('Final Calculation Sheet'!$Q$4:$Q$40,$BJ26-3)="","",INDEX('Final Calculation Sheet'!$Q$4:$Q$40,$BJ26-3)),IF(OR($BI26=1,$BL26=1,$BH26&gt;0),"–",""))</f>
        <v>0</v>
      </c>
      <c r="S27" s="70">
        <f>IF($BJ26&gt;0,IF(INDEX('Final Calculation Sheet'!$R$4:$R$40,$BJ26-3)="","",INDEX('Final Calculation Sheet'!$R$4:$R$40,$BJ26-3)),IF(OR($BI26=1,$BL26=1,$BH26&gt;0),IF($BI26=1,SUM('Final Calculation Sheet'!$R$4:$R$40),IF($BL26=1,SUM('Final Calculation Sheet'!$R$4:$R$40)-SUMIFS('Final Calculation Sheet'!$R$4:$R$40,$AZ$5:$AZ$41,10),SUMIFS('Final Calculation Sheet'!$R$4:$R$40,$AZ$5:$AZ$41,$BH26))),""))</f>
        <v>0</v>
      </c>
      <c r="T27" s="70">
        <f>IF($BJ26&gt;0,IF(INDEX('Final Calculation Sheet'!$S$4:$S$40,$BJ26-3)="","",INDEX('Final Calculation Sheet'!$S$4:$S$40,$BJ26-3)),IF(OR($BI26=1,$BL26=1,$BH26&gt;0),IF($BI26=1,SUM('Final Calculation Sheet'!$S$4:$S$40),IF($BL26=1,SUM('Final Calculation Sheet'!$S$4:$S$40)-SUMIFS('Final Calculation Sheet'!$S$4:$S$40,$AZ$5:$AZ$41,10),SUMIFS('Final Calculation Sheet'!$S$4:$S$40,$AZ$5:$AZ$41,$BH26))),""))</f>
        <v>608251</v>
      </c>
      <c r="U27" s="70">
        <f>IF($BJ26&gt;0,IF(INDEX('Final Calculation Sheet'!$T$4:$T$40,$BJ26-3)="","",INDEX('Final Calculation Sheet'!$T$4:$T$40,$BJ26-3)),IF(OR($BI26=1,$BL26=1,$BH26&gt;0),IF($BI26=1,SUM('Final Calculation Sheet'!$T$4:$T$40),IF($BL26=1,SUM('Final Calculation Sheet'!$T$4:$T$40)-SUMIFS('Final Calculation Sheet'!$T$4:$T$40,$AZ$5:$AZ$41,10),SUMIFS('Final Calculation Sheet'!$T$4:$T$40,$AZ$5:$AZ$41,$BH26))),""))</f>
        <v>129250</v>
      </c>
      <c r="V27" s="73">
        <f>IF($BJ26&gt;0,IF(INDEX('Final Calculation Sheet'!$U$4:$U$40,$BJ26-3)="","",INDEX('Final Calculation Sheet'!$U$4:$U$40,$BJ26-3)),IF(OR($BI26=1,$BL26=1,$BH26&gt;0),IF($BI26=1,SUM('Final Calculation Sheet'!$U$4:$U$40),IF($BL26=1,SUM('Final Calculation Sheet'!$U$4:$U$40)-SUMIFS('Final Calculation Sheet'!$U$4:$U$40,$AZ$5:$AZ$41,10),SUMIFS('Final Calculation Sheet'!$U$4:$U$40,$AZ$5:$AZ$41,$BH26))),""))</f>
        <v>129250</v>
      </c>
      <c r="W27" s="70" t="str">
        <f>IF($BJ26&gt;0,IF(INDEX('Final Calculation Sheet'!$V$4:$V$40,$BJ26-3)="","",INDEX('Final Calculation Sheet'!$V$4:$V$40,$BJ26-3)),IF(OR($BI26=1,$BL26=1,$BH26&gt;0),"–",""))</f>
        <v>14.08.2026</v>
      </c>
      <c r="X27" s="70">
        <f>IF($BJ26&gt;0,IF(INDEX('Final Calculation Sheet'!$W$4:$W$40,$BJ26-3)="","",INDEX('Final Calculation Sheet'!$W$4:$W$40,$BJ26-3)),IF(OR($BI26=1,$BL26=1,$BH26&gt;0),IF($BI26=1,SUM('Final Calculation Sheet'!$W$4:$W$40),IF($BL26=1,SUM('Final Calculation Sheet'!$W$4:$W$40)-SUMIFS('Final Calculation Sheet'!$W$4:$W$40,$AZ$5:$AZ$41,10),SUMIFS('Final Calculation Sheet'!$W$4:$W$40,$AZ$5:$AZ$41,$BH26))),""))</f>
        <v>479001</v>
      </c>
      <c r="Y27" s="70">
        <f>IF($BJ26&gt;0,IF(INDEX('Final Calculation Sheet'!$X$4:$X$40,$BJ26-3)="","",INDEX('Final Calculation Sheet'!$X$4:$X$40,$BJ26-3)),IF(OR($BI26=1,$BL26=1,$BH26&gt;0),IF($BI26=1,SUM('Final Calculation Sheet'!$X$4:$X$40),IF($BL26=1,SUM('Final Calculation Sheet'!$X$4:$X$40)-SUMIFS('Final Calculation Sheet'!$X$4:$X$40,$AZ$5:$AZ$41,10),SUMIFS('Final Calculation Sheet'!$X$4:$X$40,$AZ$5:$AZ$41,$BH26))),""))</f>
        <v>479001</v>
      </c>
      <c r="Z27" s="70" t="str">
        <f>IF($BJ26&gt;0,IF(INDEX('Final Calculation Sheet'!$Y$4:$Y$40,$BJ26-3)="","",INDEX('Final Calculation Sheet'!$Y$4:$Y$40,$BJ26-3)),IF(OR($BI26=1,$BL26=1,$BH26&gt;0),"–",""))</f>
        <v>21.08.2026</v>
      </c>
      <c r="AA27" s="70">
        <f>IF($BJ26&gt;0,IF(INDEX('Final Calculation Sheet'!$Z$4:$Z$40,$BJ26-3)="","",INDEX('Final Calculation Sheet'!$Z$4:$Z$40,$BJ26-3)),IF(OR($BI26=1,$BL26=1,$BH26&gt;0),IF($BI26=1,SUM('Final Calculation Sheet'!$Z$4:$Z$40),IF($BL26=1,SUM('Final Calculation Sheet'!$Z$4:$Z$40)-SUMIFS('Final Calculation Sheet'!$Z$4:$Z$40,$AZ$5:$AZ$41,10),SUMIFS('Final Calculation Sheet'!$Z$4:$Z$40,$AZ$5:$AZ$41,$BH26))),""))</f>
        <v>0</v>
      </c>
      <c r="AB27" s="70" t="str">
        <f>IF($BJ26&gt;0,IF(INDEX('Final Calculation Sheet'!$AA$4:$AA$40,$BJ26-3)="","",INDEX('Final Calculation Sheet'!$AA$4:$AA$40,$BJ26-3)),IF(OR($BI26=1,$BL26=1,$BH26&gt;0),IF($BI26=1,SUM('Final Calculation Sheet'!$AA$4:$AA$40),IF($BL26=1,SUM('Final Calculation Sheet'!$AA$4:$AA$40)-SUMIFS('Final Calculation Sheet'!$AA$4:$AA$40,$AZ$5:$AZ$41,10),SUMIFS('Final Calculation Sheet'!$AA$4:$AA$40,$AZ$5:$AZ$41,$BH26))),""))</f>
        <v/>
      </c>
      <c r="AC27" s="70" t="str">
        <f>IF($BJ26&gt;0,IF(INDEX('Final Calculation Sheet'!$AB$4:$AB$40,$BJ26-3)="","",INDEX('Final Calculation Sheet'!$AB$4:$AB$40,$BJ26-3)),IF(OR($BI26=1,$BL26=1,$BH26&gt;0),"–",""))</f>
        <v/>
      </c>
      <c r="AD27" s="70">
        <f>IF($BJ26&gt;0,IF(INDEX('Final Calculation Sheet'!$AC$4:$AC$40,$BJ26-3)="","",INDEX('Final Calculation Sheet'!$AC$4:$AC$40,$BJ26-3)),IF(OR($BI26=1,$BL26=1,$BH26&gt;0),IF($BI26=1,SUM('Final Calculation Sheet'!$AC$4:$AC$40),IF($BL26=1,SUM('Final Calculation Sheet'!$AC$4:$AC$40)-SUMIFS('Final Calculation Sheet'!$AC$4:$AC$40,$AZ$5:$AZ$41,10),SUMIFS('Final Calculation Sheet'!$AC$4:$AC$40,$AZ$5:$AZ$41,$BH26))),""))</f>
        <v>608251</v>
      </c>
      <c r="AE27" s="70">
        <f>IF($BJ26&gt;0,IF(INDEX('Final Calculation Sheet'!$AD$4:$AD$40,$BJ26-3)="","",INDEX('Final Calculation Sheet'!$AD$4:$AD$40,$BJ26-3)),IF(OR($BI26=1,$BL26=1,$BH26&gt;0),IF($BI26=1,SUM('Final Calculation Sheet'!$AD$4:$AD$40),IF($BL26=1,SUM('Final Calculation Sheet'!$AD$4:$AD$40)-SUMIFS('Final Calculation Sheet'!$AD$4:$AD$40,$AZ$5:$AZ$41,10),SUMIFS('Final Calculation Sheet'!$AD$4:$AD$40,$AZ$5:$AZ$41,$BH26))),""))</f>
        <v>0</v>
      </c>
      <c r="AF27" s="70" t="str">
        <f>IF($BJ26&gt;0,IF(INDEX('Final Calculation Sheet'!$AE$4:$AE$40,$BJ26-3)="","",INDEX('Final Calculation Sheet'!$AE$4:$AE$40,$BJ26-3)),IF(OR($BI26=1,$BL26=1,$BH26&gt;0),"–",""))</f>
        <v>DR2640100042</v>
      </c>
      <c r="AG27" s="74">
        <f>IF($BJ26&gt;0,IF(INDEX('Final Calculation Sheet'!$AF$4:$AF$40,$BJ26-3)="","",INDEX('Final Calculation Sheet'!$AF$4:$AF$40,$BJ26-3)),IF(OR($BI26=1,$BL26=1,$BH26&gt;0),"–",""))</f>
        <v>1800003317</v>
      </c>
      <c r="AH27" s="70" t="str">
        <f>IF($BJ26&gt;0,IF(INDEX('Final Calculation Sheet'!$AG$4:$AG$40,$BJ26-3)="","",INDEX('Final Calculation Sheet'!$AG$4:$AG$40,$BJ26-3)),IF(OR($BI26=1,$BL26=1,$BH26&gt;0),"–",""))</f>
        <v>27.08.2026</v>
      </c>
      <c r="AI27" s="75" t="str">
        <f>IF($BJ26&gt;0,IF(INDEX('Final Calculation Sheet'!$AD$4:$AD$40,$BJ26-3)="","",IF(INDEX('Final Calculation Sheet'!$AD$4:$AD$40,$BJ26-3)&lt;=5,"SETTLED","OUTSTANDING")),IF(OR($BI26=1,$BL26=1,$BH26&gt;0),IF(IF($BI26=1,SUM('Final Calculation Sheet'!$AD$4:$AD$40),IF($BL26=1,SUM('Final Calculation Sheet'!$AD$4:$AD$40)-SUMIFS('Final Calculation Sheet'!$AD$4:$AD$40,$AZ$5:$AZ$41,10),SUMIFS('Final Calculation Sheet'!$AD$4:$AD$40,$AZ$5:$AZ$41,$BH26)))&lt;=5,"ALL SETTLED","OUTSTANDING"),""))</f>
        <v>SETTLED</v>
      </c>
      <c r="AK27" t="str">
        <f>IF($F$3="Lot No.",'Final Calculation Sheet'!$F$26,IF($F$3="Buyer",'Final Calculation Sheet'!$G$26,IF($F$3="Lot Name",'Final Calculation Sheet'!$B$26,IF($F$3="Bid Sheet",'Final Calculation Sheet'!$D$26,IF($F$3="Unit",'Final Calculation Sheet'!$E$26,'Final Calculation Sheet'!$F$26&amp;" "&amp;'Final Calculation Sheet'!$G$26&amp;" "&amp;'Final Calculation Sheet'!$B$26)))))</f>
        <v>2035 NATIONAL ENTERPRISES Scrap of 132 KV Wave Trap</v>
      </c>
      <c r="AL27">
        <f>AL26+IF($B$3="",0,--(SUMPRODUCT(--($AR$6:$AY$6&lt;&gt;""),--ISNUMBER(SEARCH($AR$6:$AY$6,$AK27)))&gt;0))</f>
        <v>0</v>
      </c>
      <c r="AM27">
        <f>IF(COUNTIF($BM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1</v>
      </c>
      <c r="AZ27">
        <f>IF($B$3="",IF(COUNTIF($A$4:$AI$4,"&lt;&gt;")=0,9,IF($AM27=1,9,10)),IF($AM27=0,10,IF(AND($AR$6&lt;&gt;"",ISNUMBER(SEARCH($AR$6,$AK27))),1,IF(AND($AS$6&lt;&gt;"",ISNUMBER(SEARCH($AS$6,$AK27))),2,IF(AND($AT$6&lt;&gt;"",ISNUMBER(SEARCH($AT$6,$AK27))),3,IF(AND($AU$6&lt;&gt;"",ISNUMBER(SEARCH($AU$6,$AK27))),4,IF(AND($AV$6&lt;&gt;"",ISNUMBER(SEARCH($AV$6,$AK27))),5,IF(AND($AW$6&lt;&gt;"",ISNUMBER(SEARCH($AW$6,$AK27))),6,IF(AND($AX$6&lt;&gt;"",ISNUMBER(SEARCH($AX$6,$AK27))),7,IF(AND($AY$6&lt;&gt;"",ISNUMBER(SEARCH($AY$6,$AK27))),8,0))))))))))</f>
        <v>9</v>
      </c>
      <c r="BA27">
        <f>SUMPRODUCT(($AZ$5:$AZ$41=$AZ27)*($BC$5:$BC$41&lt;$BC27))+1</f>
        <v>23</v>
      </c>
      <c r="BB27">
        <f>IF(INDEX($BF$4:$BF$13,$AZ27)=0,0,INDEX($BE$4:$BE$13,$AZ27)+$BA27-1)</f>
        <v>27</v>
      </c>
      <c r="BC27" t="n">
        <v>26</v>
      </c>
      <c r="BH27">
        <f>IFERROR(MATCH(27,$BF$4:$BF$13,0),0)</f>
        <v>0</v>
      </c>
      <c r="BI27">
        <f>IF(27=$BG$5,1,0)</f>
        <v>0</v>
      </c>
      <c r="BJ27">
        <f>IF(OR($BH27&gt;0,$BI27=1,$BL27=1),0,IFERROR(INDEX($BC$5:$BC$41,MATCH(27,$BB$5:$BB$41,0)),0))</f>
        <v>26</v>
      </c>
      <c r="BK27">
        <f>IF($BJ27&gt;0,IF(INDEX($AZ$5:$AZ$41,MATCH(27,$BB$5:$BB$41,0))=10,1,0),IF($BH27=10,1,0))</f>
        <v>0</v>
      </c>
      <c r="BL27">
        <f>IF(27=$BG$4,1,0)</f>
        <v>0</v>
      </c>
      <c r="BM27">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1</v>
      </c>
      <c r="BN27">
        <f>IF($B$4="",1,--(OR(SUMPRODUCT(--(TRIM(MID(SUBSTITUTE(SUBSTITUTE($B$4,"/",","),",",REPT(" ",99)),(ROW($1:$8)-1)*99+1,99))&lt;&gt;""),--ISNUMBER(SEARCH(TRIM(MID(SUBSTITUTE(SUBSTITUTE($B$4,"/",","),",",REPT(" ",99)),(ROW($1:$8)-1)*99+1,99)),IFERROR(('Final Calculation Sheet'!$F$26)&amp;"",""))))&gt;0,AND(ISNUMBER(SEARCH("blank",$B$4)),NOT(ISNUMBER(SEARCH("nonblank",$B$4))),IFERROR(('Final Calculation Sheet'!$F$26)&amp;"","")=""),AND(OR(ISNUMBER(SEARCH("nonblank",$B$4)),ISNUMBER(SEARCH("&lt;&gt;",$B$4))),IFERROR(('Final Calculation Sheet'!$F$26)&amp;"","")&lt;&gt;""),AND(TRIM($B$4)="",IFERROR(('Final Calculation Sheet'!$F$26)&amp;"","")=""))))</f>
        <v>1</v>
      </c>
      <c r="BO27">
        <f>IF($C$4="",1,--(OR(SUMPRODUCT(--(TRIM(MID(SUBSTITUTE(SUBSTITUTE($C$4,"/",","),",",REPT(" ",99)),(ROW($1:$8)-1)*99+1,99))&lt;&gt;""),--ISNUMBER(SEARCH(TRIM(MID(SUBSTITUTE(SUBSTITUTE($C$4,"/",","),",",REPT(" ",99)),(ROW($1:$8)-1)*99+1,99)),IFERROR(('Final Calculation Sheet'!$G$26)&amp;"",""))))&gt;0,AND(ISNUMBER(SEARCH("blank",$C$4)),NOT(ISNUMBER(SEARCH("nonblank",$C$4))),IFERROR(('Final Calculation Sheet'!$G$26)&amp;"","")=""),AND(OR(ISNUMBER(SEARCH("nonblank",$C$4)),ISNUMBER(SEARCH("&lt;&gt;",$C$4))),IFERROR(('Final Calculation Sheet'!$G$26)&amp;"","")&lt;&gt;""),AND(TRIM($C$4)="",IFERROR(('Final Calculation Sheet'!$G$26)&amp;"","")=""))))</f>
        <v>1</v>
      </c>
      <c r="BP27">
        <f>IF($D$4="",1,--(OR(SUMPRODUCT(--(TRIM(MID(SUBSTITUTE(SUBSTITUTE($D$4,"/",","),",",REPT(" ",99)),(ROW($1:$8)-1)*99+1,99))&lt;&gt;""),--ISNUMBER(SEARCH(TRIM(MID(SUBSTITUTE(SUBSTITUTE($D$4,"/",","),",",REPT(" ",99)),(ROW($1:$8)-1)*99+1,99)),IFERROR(('Final Calculation Sheet'!$B$26)&amp;"",""))))&gt;0,AND(ISNUMBER(SEARCH("blank",$D$4)),NOT(ISNUMBER(SEARCH("nonblank",$D$4))),IFERROR(('Final Calculation Sheet'!$B$26)&amp;"","")=""),AND(OR(ISNUMBER(SEARCH("nonblank",$D$4)),ISNUMBER(SEARCH("&lt;&gt;",$D$4))),IFERROR(('Final Calculation Sheet'!$B$26)&amp;"","")&lt;&gt;""),AND(TRIM($D$4)="",IFERROR(('Final Calculation Sheet'!$B$26)&amp;"","")=""))))</f>
        <v>1</v>
      </c>
      <c r="BQ27">
        <f>IF($E$4="",1,--(OR(SUMPRODUCT(--(TRIM(MID(SUBSTITUTE(SUBSTITUTE($E$4,"/",","),",",REPT(" ",99)),(ROW($1:$8)-1)*99+1,99))&lt;&gt;""),--ISNUMBER(SEARCH(TRIM(MID(SUBSTITUTE(SUBSTITUTE($E$4,"/",","),",",REPT(" ",99)),(ROW($1:$8)-1)*99+1,99)),IFERROR(('Final Calculation Sheet'!$D$26)&amp;"",""))))&gt;0,AND(ISNUMBER(SEARCH("blank",$E$4)),NOT(ISNUMBER(SEARCH("nonblank",$E$4))),IFERROR(('Final Calculation Sheet'!$D$26)&amp;"","")=""),AND(OR(ISNUMBER(SEARCH("nonblank",$E$4)),ISNUMBER(SEARCH("&lt;&gt;",$E$4))),IFERROR(('Final Calculation Sheet'!$D$26)&amp;"","")&lt;&gt;""),AND(TRIM($E$4)="",IFERROR(('Final Calculation Sheet'!$D$26)&amp;"","")=""))))</f>
        <v>1</v>
      </c>
      <c r="BR27">
        <f>IF($F$4="",1,--(OR(SUMPRODUCT(--(TRIM(MID(SUBSTITUTE(SUBSTITUTE($F$4,"/",","),",",REPT(" ",99)),(ROW($1:$8)-1)*99+1,99))&lt;&gt;""),--ISNUMBER(SEARCH(TRIM(MID(SUBSTITUTE(SUBSTITUTE($F$4,"/",","),",",REPT(" ",99)),(ROW($1:$8)-1)*99+1,99)),IFERROR(('Final Calculation Sheet'!$A$26)&amp;"",""))))&gt;0,AND(ISNUMBER(SEARCH("blank",$F$4)),NOT(ISNUMBER(SEARCH("nonblank",$F$4))),IFERROR(('Final Calculation Sheet'!$A$26)&amp;"","")=""),AND(OR(ISNUMBER(SEARCH("nonblank",$F$4)),ISNUMBER(SEARCH("&lt;&gt;",$F$4))),IFERROR(('Final Calculation Sheet'!$A$26)&amp;"","")&lt;&gt;""),AND(TRIM($F$4)="",IFERROR(('Final Calculation Sheet'!$A$26)&amp;"","")=""))))</f>
        <v>1</v>
      </c>
      <c r="BS27">
        <f>IF($G$4="",1,--(OR(SUMPRODUCT(--(TRIM(MID(SUBSTITUTE(SUBSTITUTE($G$4,"/",","),",",REPT(" ",99)),(ROW($1:$8)-1)*99+1,99))&lt;&gt;""),--ISNUMBER(SEARCH(TRIM(MID(SUBSTITUTE(SUBSTITUTE($G$4,"/",","),",",REPT(" ",99)),(ROW($1:$8)-1)*99+1,99)),IFERROR(('Final Calculation Sheet'!$E$26)&amp;"",""))))&gt;0,AND(ISNUMBER(SEARCH("blank",$G$4)),NOT(ISNUMBER(SEARCH("nonblank",$G$4))),IFERROR(('Final Calculation Sheet'!$E$26)&amp;"","")=""),AND(OR(ISNUMBER(SEARCH("nonblank",$G$4)),ISNUMBER(SEARCH("&lt;&gt;",$G$4))),IFERROR(('Final Calculation Sheet'!$E$26)&amp;"","")&lt;&gt;""),AND(TRIM($G$4)="",IFERROR(('Final Calculation Sheet'!$E$26)&amp;"","")=""))))</f>
        <v>1</v>
      </c>
      <c r="BT27">
        <f>IF($H$4="",1,--(OR(SUMPRODUCT(--(TRIM(MID(SUBSTITUTE(SUBSTITUTE($H$4,"/",","),",",REPT(" ",99)),(ROW($1:$8)-1)*99+1,99))&lt;&gt;""),--ISNUMBER(SEARCH(TRIM(MID(SUBSTITUTE(SUBSTITUTE($H$4,"/",","),",",REPT(" ",99)),(ROW($1:$8)-1)*99+1,99)),IFERROR(('Final Calculation Sheet'!$C$26)&amp;"",""))))&gt;0,AND(ISNUMBER(SEARCH("blank",$H$4)),NOT(ISNUMBER(SEARCH("nonblank",$H$4))),IFERROR(('Final Calculation Sheet'!$C$26)&amp;"","")=""),AND(OR(ISNUMBER(SEARCH("nonblank",$H$4)),ISNUMBER(SEARCH("&lt;&gt;",$H$4))),IFERROR(('Final Calculation Sheet'!$C$26)&amp;"","")&lt;&gt;""),AND(TRIM($H$4)="",IFERROR(('Final Calculation Sheet'!$C$26)&amp;"","")=""))))</f>
        <v>1</v>
      </c>
      <c r="BU27">
        <f>IF($I$4="",1,--(OR(SUMPRODUCT(--(TRIM(MID(SUBSTITUTE(SUBSTITUTE($I$4,"/",","),",",REPT(" ",99)),(ROW($1:$8)-1)*99+1,99))&lt;&gt;""),--ISNUMBER(SEARCH(TRIM(MID(SUBSTITUTE(SUBSTITUTE($I$4,"/",","),",",REPT(" ",99)),(ROW($1:$8)-1)*99+1,99)),IFERROR(('Final Calculation Sheet'!$H$26)&amp;"",""))))&gt;0,AND(ISNUMBER(SEARCH("blank",$I$4)),NOT(ISNUMBER(SEARCH("nonblank",$I$4))),IFERROR(('Final Calculation Sheet'!$H$26)&amp;"","")=""),AND(OR(ISNUMBER(SEARCH("nonblank",$I$4)),ISNUMBER(SEARCH("&lt;&gt;",$I$4))),IFERROR(('Final Calculation Sheet'!$H$26)&amp;"","")&lt;&gt;""),AND(TRIM($I$4)="",IFERROR(('Final Calculation Sheet'!$H$26)&amp;"","")=""))))</f>
        <v>1</v>
      </c>
      <c r="BV27">
        <f>IF($J$4="",1,--(OR(SUMPRODUCT(--(TRIM(MID(SUBSTITUTE(SUBSTITUTE($J$4,"/",","),",",REPT(" ",99)),(ROW($1:$8)-1)*99+1,99))&lt;&gt;""),--ISNUMBER(SEARCH(TRIM(MID(SUBSTITUTE(SUBSTITUTE($J$4,"/",","),",",REPT(" ",99)),(ROW($1:$8)-1)*99+1,99)),IFERROR(('Final Calculation Sheet'!$I$26)&amp;"",""))))&gt;0,AND(ISNUMBER(SEARCH("blank",$J$4)),NOT(ISNUMBER(SEARCH("nonblank",$J$4))),IFERROR(('Final Calculation Sheet'!$I$26)&amp;"","")=""),AND(OR(ISNUMBER(SEARCH("nonblank",$J$4)),ISNUMBER(SEARCH("&lt;&gt;",$J$4))),IFERROR(('Final Calculation Sheet'!$I$26)&amp;"","")&lt;&gt;""),AND(TRIM($J$4)="",IFERROR(('Final Calculation Sheet'!$I$26)&amp;"","")=""))))</f>
        <v>1</v>
      </c>
      <c r="BW27">
        <f>IF($K$4="",1,--(OR(SUMPRODUCT(--(TRIM(MID(SUBSTITUTE(SUBSTITUTE($K$4,"/",","),",",REPT(" ",99)),(ROW($1:$8)-1)*99+1,99))&lt;&gt;""),--ISNUMBER(SEARCH(TRIM(MID(SUBSTITUTE(SUBSTITUTE($K$4,"/",","),",",REPT(" ",99)),(ROW($1:$8)-1)*99+1,99)),IFERROR(('Final Calculation Sheet'!$J$26)&amp;"",""))))&gt;0,AND(ISNUMBER(SEARCH("blank",$K$4)),NOT(ISNUMBER(SEARCH("nonblank",$K$4))),IFERROR(('Final Calculation Sheet'!$J$26)&amp;"","")=""),AND(OR(ISNUMBER(SEARCH("nonblank",$K$4)),ISNUMBER(SEARCH("&lt;&gt;",$K$4))),IFERROR(('Final Calculation Sheet'!$J$26)&amp;"","")&lt;&gt;""),AND(TRIM($K$4)="",IFERROR(('Final Calculation Sheet'!$J$26)&amp;"","")=""))))</f>
        <v>1</v>
      </c>
      <c r="BX27">
        <f>IF($L$4="",1,--(OR(SUMPRODUCT(--(TRIM(MID(SUBSTITUTE(SUBSTITUTE($L$4,"/",","),",",REPT(" ",99)),(ROW($1:$8)-1)*99+1,99))&lt;&gt;""),--ISNUMBER(SEARCH(TRIM(MID(SUBSTITUTE(SUBSTITUTE($L$4,"/",","),",",REPT(" ",99)),(ROW($1:$8)-1)*99+1,99)),IFERROR(('Final Calculation Sheet'!$K$26)&amp;"",""))))&gt;0,AND(ISNUMBER(SEARCH("blank",$L$4)),NOT(ISNUMBER(SEARCH("nonblank",$L$4))),IFERROR(('Final Calculation Sheet'!$K$26)&amp;"","")=""),AND(OR(ISNUMBER(SEARCH("nonblank",$L$4)),ISNUMBER(SEARCH("&lt;&gt;",$L$4))),IFERROR(('Final Calculation Sheet'!$K$26)&amp;"","")&lt;&gt;""),AND(TRIM($L$4)="",IFERROR(('Final Calculation Sheet'!$K$26)&amp;"","")=""))))</f>
        <v>1</v>
      </c>
      <c r="BY27">
        <f>IF($M$4="",1,--(OR(SUMPRODUCT(--(TRIM(MID(SUBSTITUTE(SUBSTITUTE($M$4,"/",","),",",REPT(" ",99)),(ROW($1:$8)-1)*99+1,99))&lt;&gt;""),--ISNUMBER(SEARCH(TRIM(MID(SUBSTITUTE(SUBSTITUTE($M$4,"/",","),",",REPT(" ",99)),(ROW($1:$8)-1)*99+1,99)),IFERROR(('Final Calculation Sheet'!$L$26)&amp;"",""))))&gt;0,AND(ISNUMBER(SEARCH("blank",$M$4)),NOT(ISNUMBER(SEARCH("nonblank",$M$4))),IFERROR(('Final Calculation Sheet'!$L$26)&amp;"","")=""),AND(OR(ISNUMBER(SEARCH("nonblank",$M$4)),ISNUMBER(SEARCH("&lt;&gt;",$M$4))),IFERROR(('Final Calculation Sheet'!$L$26)&amp;"","")&lt;&gt;""),AND(TRIM($M$4)="",IFERROR(('Final Calculation Sheet'!$L$26)&amp;"","")=""))))</f>
        <v>1</v>
      </c>
      <c r="BZ27">
        <f>IF($N$4="",1,--(OR(SUMPRODUCT(--(TRIM(MID(SUBSTITUTE(SUBSTITUTE($N$4,"/",","),",",REPT(" ",99)),(ROW($1:$8)-1)*99+1,99))&lt;&gt;""),--ISNUMBER(SEARCH(TRIM(MID(SUBSTITUTE(SUBSTITUTE($N$4,"/",","),",",REPT(" ",99)),(ROW($1:$8)-1)*99+1,99)),IFERROR(('Final Calculation Sheet'!$M$26)&amp;"",""))))&gt;0,AND(ISNUMBER(SEARCH("blank",$N$4)),NOT(ISNUMBER(SEARCH("nonblank",$N$4))),IFERROR(('Final Calculation Sheet'!$M$26)&amp;"","")=""),AND(OR(ISNUMBER(SEARCH("nonblank",$N$4)),ISNUMBER(SEARCH("&lt;&gt;",$N$4))),IFERROR(('Final Calculation Sheet'!$M$26)&amp;"","")&lt;&gt;""),AND(TRIM($N$4)="",IFERROR(('Final Calculation Sheet'!$M$26)&amp;"","")=""))))</f>
        <v>1</v>
      </c>
      <c r="CA27">
        <f>IF($O$4="",1,--(OR(SUMPRODUCT(--(TRIM(MID(SUBSTITUTE(SUBSTITUTE($O$4,"/",","),",",REPT(" ",99)),(ROW($1:$8)-1)*99+1,99))&lt;&gt;""),--ISNUMBER(SEARCH(TRIM(MID(SUBSTITUTE(SUBSTITUTE($O$4,"/",","),",",REPT(" ",99)),(ROW($1:$8)-1)*99+1,99)),IFERROR(('Final Calculation Sheet'!$N$26)&amp;"",""))))&gt;0,AND(ISNUMBER(SEARCH("blank",$O$4)),NOT(ISNUMBER(SEARCH("nonblank",$O$4))),IFERROR(('Final Calculation Sheet'!$N$26)&amp;"","")=""),AND(OR(ISNUMBER(SEARCH("nonblank",$O$4)),ISNUMBER(SEARCH("&lt;&gt;",$O$4))),IFERROR(('Final Calculation Sheet'!$N$26)&amp;"","")&lt;&gt;""),AND(TRIM($O$4)="",IFERROR(('Final Calculation Sheet'!$N$26)&amp;"","")=""))))</f>
        <v>1</v>
      </c>
      <c r="CB27">
        <f>IF($P$4="",1,--(OR(SUMPRODUCT(--(TRIM(MID(SUBSTITUTE(SUBSTITUTE($P$4,"/",","),",",REPT(" ",99)),(ROW($1:$8)-1)*99+1,99))&lt;&gt;""),--ISNUMBER(SEARCH(TRIM(MID(SUBSTITUTE(SUBSTITUTE($P$4,"/",","),",",REPT(" ",99)),(ROW($1:$8)-1)*99+1,99)),IFERROR(('Final Calculation Sheet'!$O$26)&amp;"",""))))&gt;0,AND(ISNUMBER(SEARCH("blank",$P$4)),NOT(ISNUMBER(SEARCH("nonblank",$P$4))),IFERROR(('Final Calculation Sheet'!$O$26)&amp;"","")=""),AND(OR(ISNUMBER(SEARCH("nonblank",$P$4)),ISNUMBER(SEARCH("&lt;&gt;",$P$4))),IFERROR(('Final Calculation Sheet'!$O$26)&amp;"","")&lt;&gt;""),AND(TRIM($P$4)="",IFERROR(('Final Calculation Sheet'!$O$26)&amp;"","")=""))))</f>
        <v>1</v>
      </c>
      <c r="CC27">
        <f>IF($Q$4="",1,--(OR(SUMPRODUCT(--(TRIM(MID(SUBSTITUTE(SUBSTITUTE($Q$4,"/",","),",",REPT(" ",99)),(ROW($1:$8)-1)*99+1,99))&lt;&gt;""),--ISNUMBER(SEARCH(TRIM(MID(SUBSTITUTE(SUBSTITUTE($Q$4,"/",","),",",REPT(" ",99)),(ROW($1:$8)-1)*99+1,99)),IFERROR(('Final Calculation Sheet'!$P$26)&amp;"",""))))&gt;0,AND(ISNUMBER(SEARCH("blank",$Q$4)),NOT(ISNUMBER(SEARCH("nonblank",$Q$4))),IFERROR(('Final Calculation Sheet'!$P$26)&amp;"","")=""),AND(OR(ISNUMBER(SEARCH("nonblank",$Q$4)),ISNUMBER(SEARCH("&lt;&gt;",$Q$4))),IFERROR(('Final Calculation Sheet'!$P$26)&amp;"","")&lt;&gt;""),AND(TRIM($Q$4)="",IFERROR(('Final Calculation Sheet'!$P$26)&amp;"","")=""))))</f>
        <v>1</v>
      </c>
      <c r="CD27">
        <f>IF($R$4="",1,--(OR(SUMPRODUCT(--(TRIM(MID(SUBSTITUTE(SUBSTITUTE($R$4,"/",","),",",REPT(" ",99)),(ROW($1:$8)-1)*99+1,99))&lt;&gt;""),--ISNUMBER(SEARCH(TRIM(MID(SUBSTITUTE(SUBSTITUTE($R$4,"/",","),",",REPT(" ",99)),(ROW($1:$8)-1)*99+1,99)),IFERROR(('Final Calculation Sheet'!$Q$26)&amp;"",""))))&gt;0,AND(ISNUMBER(SEARCH("blank",$R$4)),NOT(ISNUMBER(SEARCH("nonblank",$R$4))),IFERROR(('Final Calculation Sheet'!$Q$26)&amp;"","")=""),AND(OR(ISNUMBER(SEARCH("nonblank",$R$4)),ISNUMBER(SEARCH("&lt;&gt;",$R$4))),IFERROR(('Final Calculation Sheet'!$Q$26)&amp;"","")&lt;&gt;""),AND(TRIM($R$4)="",IFERROR(('Final Calculation Sheet'!$Q$26)&amp;"","")=""))))</f>
        <v>1</v>
      </c>
      <c r="CE27">
        <f>IF($S$4="",1,--(OR(SUMPRODUCT(--(TRIM(MID(SUBSTITUTE(SUBSTITUTE($S$4,"/",","),",",REPT(" ",99)),(ROW($1:$8)-1)*99+1,99))&lt;&gt;""),--ISNUMBER(SEARCH(TRIM(MID(SUBSTITUTE(SUBSTITUTE($S$4,"/",","),",",REPT(" ",99)),(ROW($1:$8)-1)*99+1,99)),IFERROR(('Final Calculation Sheet'!$R$26)&amp;"",""))))&gt;0,AND(ISNUMBER(SEARCH("blank",$S$4)),NOT(ISNUMBER(SEARCH("nonblank",$S$4))),IFERROR(('Final Calculation Sheet'!$R$26)&amp;"","")=""),AND(OR(ISNUMBER(SEARCH("nonblank",$S$4)),ISNUMBER(SEARCH("&lt;&gt;",$S$4))),IFERROR(('Final Calculation Sheet'!$R$26)&amp;"","")&lt;&gt;""),AND(TRIM($S$4)="",IFERROR(('Final Calculation Sheet'!$R$26)&amp;"","")=""))))</f>
        <v>1</v>
      </c>
      <c r="CF27">
        <f>IF($T$4="",1,--(OR(SUMPRODUCT(--(TRIM(MID(SUBSTITUTE(SUBSTITUTE($T$4,"/",","),",",REPT(" ",99)),(ROW($1:$8)-1)*99+1,99))&lt;&gt;""),--ISNUMBER(SEARCH(TRIM(MID(SUBSTITUTE(SUBSTITUTE($T$4,"/",","),",",REPT(" ",99)),(ROW($1:$8)-1)*99+1,99)),IFERROR(('Final Calculation Sheet'!$S$26)&amp;"",""))))&gt;0,AND(ISNUMBER(SEARCH("blank",$T$4)),NOT(ISNUMBER(SEARCH("nonblank",$T$4))),IFERROR(('Final Calculation Sheet'!$S$26)&amp;"","")=""),AND(OR(ISNUMBER(SEARCH("nonblank",$T$4)),ISNUMBER(SEARCH("&lt;&gt;",$T$4))),IFERROR(('Final Calculation Sheet'!$S$26)&amp;"","")&lt;&gt;""),AND(TRIM($T$4)="",IFERROR(('Final Calculation Sheet'!$S$26)&amp;"","")=""))))</f>
        <v>1</v>
      </c>
      <c r="CG27">
        <f>IF($U$4="",1,--(OR(SUMPRODUCT(--(TRIM(MID(SUBSTITUTE(SUBSTITUTE($U$4,"/",","),",",REPT(" ",99)),(ROW($1:$8)-1)*99+1,99))&lt;&gt;""),--ISNUMBER(SEARCH(TRIM(MID(SUBSTITUTE(SUBSTITUTE($U$4,"/",","),",",REPT(" ",99)),(ROW($1:$8)-1)*99+1,99)),IFERROR(('Final Calculation Sheet'!$T$26)&amp;"",""))))&gt;0,AND(ISNUMBER(SEARCH("blank",$U$4)),NOT(ISNUMBER(SEARCH("nonblank",$U$4))),IFERROR(('Final Calculation Sheet'!$T$26)&amp;"","")=""),AND(OR(ISNUMBER(SEARCH("nonblank",$U$4)),ISNUMBER(SEARCH("&lt;&gt;",$U$4))),IFERROR(('Final Calculation Sheet'!$T$26)&amp;"","")&lt;&gt;""),AND(TRIM($U$4)="",IFERROR(('Final Calculation Sheet'!$T$26)&amp;"","")=""))))</f>
        <v>1</v>
      </c>
      <c r="CH27">
        <f>IF($V$4="",1,--(OR(SUMPRODUCT(--(TRIM(MID(SUBSTITUTE(SUBSTITUTE($V$4,"/",","),",",REPT(" ",99)),(ROW($1:$8)-1)*99+1,99))&lt;&gt;""),--ISNUMBER(SEARCH(TRIM(MID(SUBSTITUTE(SUBSTITUTE($V$4,"/",","),",",REPT(" ",99)),(ROW($1:$8)-1)*99+1,99)),IFERROR(('Final Calculation Sheet'!$U$26)&amp;"",""))))&gt;0,AND(ISNUMBER(SEARCH("blank",$V$4)),NOT(ISNUMBER(SEARCH("nonblank",$V$4))),IFERROR(('Final Calculation Sheet'!$U$26)&amp;"","")=""),AND(OR(ISNUMBER(SEARCH("nonblank",$V$4)),ISNUMBER(SEARCH("&lt;&gt;",$V$4))),IFERROR(('Final Calculation Sheet'!$U$26)&amp;"","")&lt;&gt;""),AND(TRIM($V$4)="",IFERROR(('Final Calculation Sheet'!$U$26)&amp;"","")=""))))</f>
        <v>1</v>
      </c>
      <c r="CI27">
        <f>IF($W$4="",1,--(OR(SUMPRODUCT(--(TRIM(MID(SUBSTITUTE(SUBSTITUTE($W$4,"/",","),",",REPT(" ",99)),(ROW($1:$8)-1)*99+1,99))&lt;&gt;""),--ISNUMBER(SEARCH(TRIM(MID(SUBSTITUTE(SUBSTITUTE($W$4,"/",","),",",REPT(" ",99)),(ROW($1:$8)-1)*99+1,99)),IFERROR(('Final Calculation Sheet'!$V$26)&amp;"",""))))&gt;0,AND(ISNUMBER(SEARCH("blank",$W$4)),NOT(ISNUMBER(SEARCH("nonblank",$W$4))),IFERROR(('Final Calculation Sheet'!$V$26)&amp;"","")=""),AND(OR(ISNUMBER(SEARCH("nonblank",$W$4)),ISNUMBER(SEARCH("&lt;&gt;",$W$4))),IFERROR(('Final Calculation Sheet'!$V$26)&amp;"","")&lt;&gt;""),AND(TRIM($W$4)="",IFERROR(('Final Calculation Sheet'!$V$26)&amp;"","")=""))))</f>
        <v>1</v>
      </c>
      <c r="CJ27">
        <f>IF($X$4="",1,--(OR(SUMPRODUCT(--(TRIM(MID(SUBSTITUTE(SUBSTITUTE($X$4,"/",","),",",REPT(" ",99)),(ROW($1:$8)-1)*99+1,99))&lt;&gt;""),--ISNUMBER(SEARCH(TRIM(MID(SUBSTITUTE(SUBSTITUTE($X$4,"/",","),",",REPT(" ",99)),(ROW($1:$8)-1)*99+1,99)),IFERROR(('Final Calculation Sheet'!$W$26)&amp;"",""))))&gt;0,AND(ISNUMBER(SEARCH("blank",$X$4)),NOT(ISNUMBER(SEARCH("nonblank",$X$4))),IFERROR(('Final Calculation Sheet'!$W$26)&amp;"","")=""),AND(OR(ISNUMBER(SEARCH("nonblank",$X$4)),ISNUMBER(SEARCH("&lt;&gt;",$X$4))),IFERROR(('Final Calculation Sheet'!$W$26)&amp;"","")&lt;&gt;""),AND(TRIM($X$4)="",IFERROR(('Final Calculation Sheet'!$W$26)&amp;"","")=""))))</f>
        <v>1</v>
      </c>
      <c r="CK27">
        <f>IF($Y$4="",1,--(OR(SUMPRODUCT(--(TRIM(MID(SUBSTITUTE(SUBSTITUTE($Y$4,"/",","),",",REPT(" ",99)),(ROW($1:$8)-1)*99+1,99))&lt;&gt;""),--ISNUMBER(SEARCH(TRIM(MID(SUBSTITUTE(SUBSTITUTE($Y$4,"/",","),",",REPT(" ",99)),(ROW($1:$8)-1)*99+1,99)),IFERROR(('Final Calculation Sheet'!$X$26)&amp;"",""))))&gt;0,AND(ISNUMBER(SEARCH("blank",$Y$4)),NOT(ISNUMBER(SEARCH("nonblank",$Y$4))),IFERROR(('Final Calculation Sheet'!$X$26)&amp;"","")=""),AND(OR(ISNUMBER(SEARCH("nonblank",$Y$4)),ISNUMBER(SEARCH("&lt;&gt;",$Y$4))),IFERROR(('Final Calculation Sheet'!$X$26)&amp;"","")&lt;&gt;""),AND(TRIM($Y$4)="",IFERROR(('Final Calculation Sheet'!$X$26)&amp;"","")=""))))</f>
        <v>1</v>
      </c>
      <c r="CL27">
        <f>IF($Z$4="",1,--(OR(SUMPRODUCT(--(TRIM(MID(SUBSTITUTE(SUBSTITUTE($Z$4,"/",","),",",REPT(" ",99)),(ROW($1:$8)-1)*99+1,99))&lt;&gt;""),--ISNUMBER(SEARCH(TRIM(MID(SUBSTITUTE(SUBSTITUTE($Z$4,"/",","),",",REPT(" ",99)),(ROW($1:$8)-1)*99+1,99)),IFERROR(('Final Calculation Sheet'!$Y$26)&amp;"",""))))&gt;0,AND(ISNUMBER(SEARCH("blank",$Z$4)),NOT(ISNUMBER(SEARCH("nonblank",$Z$4))),IFERROR(('Final Calculation Sheet'!$Y$26)&amp;"","")=""),AND(OR(ISNUMBER(SEARCH("nonblank",$Z$4)),ISNUMBER(SEARCH("&lt;&gt;",$Z$4))),IFERROR(('Final Calculation Sheet'!$Y$26)&amp;"","")&lt;&gt;""),AND(TRIM($Z$4)="",IFERROR(('Final Calculation Sheet'!$Y$26)&amp;"","")=""))))</f>
        <v>1</v>
      </c>
      <c r="CM27">
        <f>IF($AA$4="",1,--(OR(SUMPRODUCT(--(TRIM(MID(SUBSTITUTE(SUBSTITUTE($AA$4,"/",","),",",REPT(" ",99)),(ROW($1:$8)-1)*99+1,99))&lt;&gt;""),--ISNUMBER(SEARCH(TRIM(MID(SUBSTITUTE(SUBSTITUTE($AA$4,"/",","),",",REPT(" ",99)),(ROW($1:$8)-1)*99+1,99)),IFERROR(('Final Calculation Sheet'!$Z$26)&amp;"",""))))&gt;0,AND(ISNUMBER(SEARCH("blank",$AA$4)),NOT(ISNUMBER(SEARCH("nonblank",$AA$4))),IFERROR(('Final Calculation Sheet'!$Z$26)&amp;"","")=""),AND(OR(ISNUMBER(SEARCH("nonblank",$AA$4)),ISNUMBER(SEARCH("&lt;&gt;",$AA$4))),IFERROR(('Final Calculation Sheet'!$Z$26)&amp;"","")&lt;&gt;""),AND(TRIM($AA$4)="",IFERROR(('Final Calculation Sheet'!$Z$26)&amp;"","")=""))))</f>
        <v>1</v>
      </c>
      <c r="CN27">
        <f>IF($AB$4="",1,--(OR(SUMPRODUCT(--(TRIM(MID(SUBSTITUTE(SUBSTITUTE($AB$4,"/",","),",",REPT(" ",99)),(ROW($1:$8)-1)*99+1,99))&lt;&gt;""),--ISNUMBER(SEARCH(TRIM(MID(SUBSTITUTE(SUBSTITUTE($AB$4,"/",","),",",REPT(" ",99)),(ROW($1:$8)-1)*99+1,99)),IFERROR(('Final Calculation Sheet'!$AA$26)&amp;"",""))))&gt;0,AND(ISNUMBER(SEARCH("blank",$AB$4)),NOT(ISNUMBER(SEARCH("nonblank",$AB$4))),IFERROR(('Final Calculation Sheet'!$AA$26)&amp;"","")=""),AND(OR(ISNUMBER(SEARCH("nonblank",$AB$4)),ISNUMBER(SEARCH("&lt;&gt;",$AB$4))),IFERROR(('Final Calculation Sheet'!$AA$26)&amp;"","")&lt;&gt;""),AND(TRIM($AB$4)="",IFERROR(('Final Calculation Sheet'!$AA$26)&amp;"","")=""))))</f>
        <v>1</v>
      </c>
      <c r="CO27">
        <f>IF($AC$4="",1,--(OR(SUMPRODUCT(--(TRIM(MID(SUBSTITUTE(SUBSTITUTE($AC$4,"/",","),",",REPT(" ",99)),(ROW($1:$8)-1)*99+1,99))&lt;&gt;""),--ISNUMBER(SEARCH(TRIM(MID(SUBSTITUTE(SUBSTITUTE($AC$4,"/",","),",",REPT(" ",99)),(ROW($1:$8)-1)*99+1,99)),IFERROR(('Final Calculation Sheet'!$AB$26)&amp;"",""))))&gt;0,AND(ISNUMBER(SEARCH("blank",$AC$4)),NOT(ISNUMBER(SEARCH("nonblank",$AC$4))),IFERROR(('Final Calculation Sheet'!$AB$26)&amp;"","")=""),AND(OR(ISNUMBER(SEARCH("nonblank",$AC$4)),ISNUMBER(SEARCH("&lt;&gt;",$AC$4))),IFERROR(('Final Calculation Sheet'!$AB$26)&amp;"","")&lt;&gt;""),AND(TRIM($AC$4)="",IFERROR(('Final Calculation Sheet'!$AB$26)&amp;"","")=""))))</f>
        <v>1</v>
      </c>
      <c r="CP27">
        <f>IF($AD$4="",1,--(OR(SUMPRODUCT(--(TRIM(MID(SUBSTITUTE(SUBSTITUTE($AD$4,"/",","),",",REPT(" ",99)),(ROW($1:$8)-1)*99+1,99))&lt;&gt;""),--ISNUMBER(SEARCH(TRIM(MID(SUBSTITUTE(SUBSTITUTE($AD$4,"/",","),",",REPT(" ",99)),(ROW($1:$8)-1)*99+1,99)),IFERROR(('Final Calculation Sheet'!$AC$26)&amp;"",""))))&gt;0,AND(ISNUMBER(SEARCH("blank",$AD$4)),NOT(ISNUMBER(SEARCH("nonblank",$AD$4))),IFERROR(('Final Calculation Sheet'!$AC$26)&amp;"","")=""),AND(OR(ISNUMBER(SEARCH("nonblank",$AD$4)),ISNUMBER(SEARCH("&lt;&gt;",$AD$4))),IFERROR(('Final Calculation Sheet'!$AC$26)&amp;"","")&lt;&gt;""),AND(TRIM($AD$4)="",IFERROR(('Final Calculation Sheet'!$AC$26)&amp;"","")=""))))</f>
        <v>1</v>
      </c>
      <c r="CQ27">
        <f>IF($AE$4="",1,--(OR(SUMPRODUCT(--(TRIM(MID(SUBSTITUTE(SUBSTITUTE($AE$4,"/",","),",",REPT(" ",99)),(ROW($1:$8)-1)*99+1,99))&lt;&gt;""),--ISNUMBER(SEARCH(TRIM(MID(SUBSTITUTE(SUBSTITUTE($AE$4,"/",","),",",REPT(" ",99)),(ROW($1:$8)-1)*99+1,99)),IFERROR(('Final Calculation Sheet'!$AD$26)&amp;"",""))))&gt;0,AND(ISNUMBER(SEARCH("blank",$AE$4)),NOT(ISNUMBER(SEARCH("nonblank",$AE$4))),IFERROR(('Final Calculation Sheet'!$AD$26)&amp;"","")=""),AND(OR(ISNUMBER(SEARCH("nonblank",$AE$4)),ISNUMBER(SEARCH("&lt;&gt;",$AE$4))),IFERROR(('Final Calculation Sheet'!$AD$26)&amp;"","")&lt;&gt;""),AND(TRIM($AE$4)="",IFERROR(('Final Calculation Sheet'!$AD$26)&amp;"","")=""))))</f>
        <v>1</v>
      </c>
      <c r="CR27">
        <f>IF($AF$4="",1,--(OR(SUMPRODUCT(--(TRIM(MID(SUBSTITUTE(SUBSTITUTE($AF$4,"/",","),",",REPT(" ",99)),(ROW($1:$8)-1)*99+1,99))&lt;&gt;""),--ISNUMBER(SEARCH(TRIM(MID(SUBSTITUTE(SUBSTITUTE($AF$4,"/",","),",",REPT(" ",99)),(ROW($1:$8)-1)*99+1,99)),IFERROR(('Final Calculation Sheet'!$AE$26)&amp;"",""))))&gt;0,AND(ISNUMBER(SEARCH("blank",$AF$4)),NOT(ISNUMBER(SEARCH("nonblank",$AF$4))),IFERROR(('Final Calculation Sheet'!$AE$26)&amp;"","")=""),AND(OR(ISNUMBER(SEARCH("nonblank",$AF$4)),ISNUMBER(SEARCH("&lt;&gt;",$AF$4))),IFERROR(('Final Calculation Sheet'!$AE$26)&amp;"","")&lt;&gt;""),AND(TRIM($AF$4)="",IFERROR(('Final Calculation Sheet'!$AE$26)&amp;"","")=""))))</f>
        <v>1</v>
      </c>
      <c r="CS27">
        <f>IF($AG$4="",1,--(OR(SUMPRODUCT(--(TRIM(MID(SUBSTITUTE(SUBSTITUTE($AG$4,"/",","),",",REPT(" ",99)),(ROW($1:$8)-1)*99+1,99))&lt;&gt;""),--ISNUMBER(SEARCH(TRIM(MID(SUBSTITUTE(SUBSTITUTE($AG$4,"/",","),",",REPT(" ",99)),(ROW($1:$8)-1)*99+1,99)),IFERROR(('Final Calculation Sheet'!$AF$26)&amp;"",""))))&gt;0,AND(ISNUMBER(SEARCH("blank",$AG$4)),NOT(ISNUMBER(SEARCH("nonblank",$AG$4))),IFERROR(('Final Calculation Sheet'!$AF$26)&amp;"","")=""),AND(OR(ISNUMBER(SEARCH("nonblank",$AG$4)),ISNUMBER(SEARCH("&lt;&gt;",$AG$4))),IFERROR(('Final Calculation Sheet'!$AF$26)&amp;"","")&lt;&gt;""),AND(TRIM($AG$4)="",IFERROR(('Final Calculation Sheet'!$AF$26)&amp;"","")=""))))</f>
        <v>1</v>
      </c>
      <c r="CT27">
        <f>IF($AH$4="",1,--(OR(SUMPRODUCT(--(TRIM(MID(SUBSTITUTE(SUBSTITUTE($AH$4,"/",","),",",REPT(" ",99)),(ROW($1:$8)-1)*99+1,99))&lt;&gt;""),--ISNUMBER(SEARCH(TRIM(MID(SUBSTITUTE(SUBSTITUTE($AH$4,"/",","),",",REPT(" ",99)),(ROW($1:$8)-1)*99+1,99)),IFERROR(('Final Calculation Sheet'!$AG$26)&amp;"",""))))&gt;0,AND(ISNUMBER(SEARCH("blank",$AH$4)),NOT(ISNUMBER(SEARCH("nonblank",$AH$4))),IFERROR(('Final Calculation Sheet'!$AG$26)&amp;"","")=""),AND(OR(ISNUMBER(SEARCH("nonblank",$AH$4)),ISNUMBER(SEARCH("&lt;&gt;",$AH$4))),IFERROR(('Final Calculation Sheet'!$AG$26)&amp;"","")&lt;&gt;""),AND(TRIM($AH$4)="",IFERROR(('Final Calculation Sheet'!$AG$26)&amp;"","")=""))))</f>
        <v>1</v>
      </c>
      <c r="CU27">
        <f>IF($AI$4="",1,--(OR(SUMPRODUCT(--(TRIM(MID(SUBSTITUTE(SUBSTITUTE($AI$4,"/",","),",",REPT(" ",99)),(ROW($1:$8)-1)*99+1,99))&lt;&gt;""),--ISNUMBER(SEARCH(TRIM(MID(SUBSTITUTE(SUBSTITUTE($AI$4,"/",","),",",REPT(" ",99)),(ROW($1:$8)-1)*99+1,99)),IFERROR((IF('Final Calculation Sheet'!$AD$26&lt;=5,"SETTLED","OUTSTANDING"))&amp;"",""))))&gt;0,AND(ISNUMBER(SEARCH("blank",$AI$4)),NOT(ISNUMBER(SEARCH("nonblank",$AI$4))),IFERROR((IF('Final Calculation Sheet'!$AD$26&lt;=5,"SETTLED","OUTSTANDING"))&amp;"","")=""),AND(OR(ISNUMBER(SEARCH("nonblank",$AI$4)),ISNUMBER(SEARCH("&lt;&gt;",$AI$4))),IFERROR((IF('Final Calculation Sheet'!$AD$26&lt;=5,"SETTLED","OUTSTANDING"))&amp;"","")&lt;&gt;""),AND(TRIM($AI$4)="",IFERROR((IF('Final Calculation Sheet'!$AD$26&lt;=5,"SETTLED","OUTSTANDING"))&amp;"","")=""))))</f>
        <v>1</v>
      </c>
    </row>
    <row r="28" ht="15" customHeight="1" s="137">
      <c r="A28" s="67">
        <f>IF($BJ27&gt;0,INDEX($BA$5:$BA$41,MATCH(27,$BB$5:$BB$41,0)),IF(OR($BI27=1,$BL27=1,$BH27&gt;0),"∑",""))</f>
        <v>23</v>
      </c>
      <c r="B28" s="76">
        <f>IF($BJ27&gt;0,IF(INDEX('Final Calculation Sheet'!$F$4:$F$40,$BJ27-3)="","",INDEX('Final Calculation Sheet'!$F$4:$F$40,$BJ27-3)),"")</f>
        <v>2035</v>
      </c>
      <c r="C28" s="76" t="str">
        <f>IF($BJ27&gt;0,IF(INDEX('Final Calculation Sheet'!$G$4:$G$40,$BJ27-3)="","",INDEX('Final Calculation Sheet'!$G$4:$G$40,$BJ27-3)),IF(OR($BI27=1,$BL27=1,$BH27&gt;0),IF($BI27=1,37,IF($BL27=1,37-INDEX($BD$4:$BD$13,10),INDEX($BD$4:$BD$13,$BH27)))&amp;" lot(s)",""))</f>
        <v>NATIONAL ENTERPRISES</v>
      </c>
      <c r="D28" s="80" t="str">
        <f>IF($BJ27&gt;0,IF(INDEX('Final Calculation Sheet'!$B$4:$B$40,$BJ27-3)="","",INDEX('Final Calculation Sheet'!$B$4:$B$40,$BJ27-3)),IF(OR($BI27=1,$BL27=1,$BH27&gt;0),IF($BI27=1,"GRAND TOTAL  —  matching + remaining",IF($BL27=1,"TOTAL MATCHED  —  every group together",IF($BH27=10,"REMAINING  —  did not match the search",IF($BH27=9,IF(COUNTIF($A$4:$AI$4,"&lt;&gt;")&gt;0,"FILTERED LOTS  —  column fields","ALL LOTS  —  nothing typed in the box"),"GROUP "&amp;$BH27&amp;" TOTAL  —  lots matching  "&amp;INDEX($AR$6:$AY$6,$BH27))))),""))</f>
        <v>Scrap of 132 KV Wave Trap</v>
      </c>
      <c r="E28" s="80">
        <f>IF($BJ27&gt;0,IF(INDEX('Final Calculation Sheet'!$D$4:$D$40,$BJ27-3)="","",INDEX('Final Calculation Sheet'!$D$4:$D$40,$BJ27-3)),IF(OR($BI27=1,$BL27=1,$BH27&gt;0),"–",""))</f>
        <v>21978</v>
      </c>
      <c r="F28" s="80">
        <f>IF($BJ27&gt;0,IF(INDEX('Final Calculation Sheet'!$A$4:$A$40,$BJ27-3)="","",INDEX('Final Calculation Sheet'!$A$4:$A$40,$BJ27-3)),IF(OR($BI27=1,$BL27=1,$BH27&gt;0),IF($BI27=1,SUM('Final Calculation Sheet'!$A$4:$A$40),IF($BL27=1,SUM('Final Calculation Sheet'!$A$4:$A$40)-SUMIFS('Final Calculation Sheet'!$A$4:$A$40,$AZ$5:$AZ$41,10),SUMIFS('Final Calculation Sheet'!$A$4:$A$40,$AZ$5:$AZ$41,$BH27))),""))</f>
        <v>2</v>
      </c>
      <c r="G28" s="80" t="str">
        <f>IF($BJ27&gt;0,IF(INDEX('Final Calculation Sheet'!$E$4:$E$40,$BJ27-3)="","",INDEX('Final Calculation Sheet'!$E$4:$E$40,$BJ27-3)),IF(OR($BI27=1,$BL27=1,$BH27&gt;0),"–",""))</f>
        <v>NO</v>
      </c>
      <c r="H28" s="70">
        <f>IF($BJ27&gt;0,IF(INDEX('Final Calculation Sheet'!$C$4:$C$40,$BJ27-3)="","",INDEX('Final Calculation Sheet'!$C$4:$C$40,$BJ27-3)),IF(OR($BI27=1,$BL27=1,$BH27&gt;0),"–",""))</f>
        <v>14001</v>
      </c>
      <c r="I28" s="70">
        <f>IF($BJ27&gt;0,IF(INDEX('Final Calculation Sheet'!$H$4:$H$40,$BJ27-3)="","",INDEX('Final Calculation Sheet'!$H$4:$H$40,$BJ27-3)),IF(OR($BI27=1,$BL27=1,$BH27&gt;0),IF($BI27=1,SUM('Final Calculation Sheet'!$H$4:$H$40),IF($BL27=1,SUM('Final Calculation Sheet'!$H$4:$H$40)-SUMIFS('Final Calculation Sheet'!$H$4:$H$40,$AZ$5:$AZ$41,10),SUMIFS('Final Calculation Sheet'!$H$4:$H$40,$AZ$5:$AZ$41,$BH27))),""))</f>
        <v>28002</v>
      </c>
      <c r="J28" s="70">
        <f>IF($BJ27&gt;0,IF(INDEX('Final Calculation Sheet'!$I$4:$I$40,$BJ27-3)="","",INDEX('Final Calculation Sheet'!$I$4:$I$40,$BJ27-3)),IF(OR($BI27=1,$BL27=1,$BH27&gt;0),IF($BI27=1,SUM('Final Calculation Sheet'!$I$4:$I$40),IF($BL27=1,SUM('Final Calculation Sheet'!$I$4:$I$40)-SUMIFS('Final Calculation Sheet'!$I$4:$I$40,$AZ$5:$AZ$41,10),SUMIFS('Final Calculation Sheet'!$I$4:$I$40,$AZ$5:$AZ$41,$BH27))),""))</f>
        <v>5040</v>
      </c>
      <c r="K28" s="70">
        <f>IF($BJ27&gt;0,IF(INDEX('Final Calculation Sheet'!$J$4:$J$40,$BJ27-3)="","",INDEX('Final Calculation Sheet'!$J$4:$J$40,$BJ27-3)),IF(OR($BI27=1,$BL27=1,$BH27&gt;0),IF($BI27=1,SUM('Final Calculation Sheet'!$J$4:$J$40),IF($BL27=1,SUM('Final Calculation Sheet'!$J$4:$J$40)-SUMIFS('Final Calculation Sheet'!$J$4:$J$40,$AZ$5:$AZ$41,10),SUMIFS('Final Calculation Sheet'!$J$4:$J$40,$AZ$5:$AZ$41,$BH27))),""))</f>
        <v>33042</v>
      </c>
      <c r="L28" s="70">
        <f>IF($BJ27&gt;0,IF(INDEX('Final Calculation Sheet'!$K$4:$K$40,$BJ27-3)="","",INDEX('Final Calculation Sheet'!$K$4:$K$40,$BJ27-3)),IF(OR($BI27=1,$BL27=1,$BH27&gt;0),IF($BI27=1,SUM('Final Calculation Sheet'!$K$4:$K$40),IF($BL27=1,SUM('Final Calculation Sheet'!$K$4:$K$40)-SUMIFS('Final Calculation Sheet'!$K$4:$K$40,$AZ$5:$AZ$41,10),SUMIFS('Final Calculation Sheet'!$K$4:$K$40,$AZ$5:$AZ$41,$BH27))),""))</f>
        <v>661</v>
      </c>
      <c r="M28" s="70">
        <f>IF($BJ27&gt;0,IF(INDEX('Final Calculation Sheet'!$L$4:$L$40,$BJ27-3)="","",INDEX('Final Calculation Sheet'!$L$4:$L$40,$BJ27-3)),IF(OR($BI27=1,$BL27=1,$BH27&gt;0),IF($BI27=1,SUM('Final Calculation Sheet'!$L$4:$L$40),IF($BL27=1,SUM('Final Calculation Sheet'!$L$4:$L$40)-SUMIFS('Final Calculation Sheet'!$L$4:$L$40,$AZ$5:$AZ$41,10),SUMIFS('Final Calculation Sheet'!$L$4:$L$40,$AZ$5:$AZ$41,$BH27))),""))</f>
        <v>28.001999999999999</v>
      </c>
      <c r="N28" s="70">
        <f>IF($BJ27&gt;0,IF(INDEX('Final Calculation Sheet'!$M$4:$M$40,$BJ27-3)="","",INDEX('Final Calculation Sheet'!$M$4:$M$40,$BJ27-3)),IF(OR($BI27=1,$BL27=1,$BH27&gt;0),IF($BI27=1,SUM('Final Calculation Sheet'!$M$4:$M$40),IF($BL27=1,SUM('Final Calculation Sheet'!$M$4:$M$40)-SUMIFS('Final Calculation Sheet'!$M$4:$M$40,$AZ$5:$AZ$41,10),SUMIFS('Final Calculation Sheet'!$M$4:$M$40,$AZ$5:$AZ$41,$BH27))),""))</f>
        <v>743.45309999999995</v>
      </c>
      <c r="O28" s="71">
        <f>IF($BJ27&gt;0,IF(INDEX('Final Calculation Sheet'!$N$4:$N$40,$BJ27-3)="","",INDEX('Final Calculation Sheet'!$N$4:$N$40,$BJ27-3)),IF(OR($BI27=1,$BL27=1,$BH27&gt;0),IF($BI27=1,SUM('Final Calculation Sheet'!$N$4:$N$40),IF($BL27=1,SUM('Final Calculation Sheet'!$N$4:$N$40)-SUMIFS('Final Calculation Sheet'!$N$4:$N$40,$AZ$5:$AZ$41,10),SUMIFS('Final Calculation Sheet'!$N$4:$N$40,$AZ$5:$AZ$41,$BH27))),""))</f>
        <v>12.600899999999999</v>
      </c>
      <c r="P28" s="70">
        <f>IF($BJ27&gt;0,IF(INDEX('Final Calculation Sheet'!$O$4:$O$40,$BJ27-3)="","",INDEX('Final Calculation Sheet'!$O$4:$O$40,$BJ27-3)),IF(OR($BI27=1,$BL27=1,$BH27&gt;0),IF($BI27=1,SUM('Final Calculation Sheet'!$O$4:$O$40),IF($BL27=1,SUM('Final Calculation Sheet'!$O$4:$O$40)-SUMIFS('Final Calculation Sheet'!$O$4:$O$40,$AZ$5:$AZ$41,10),SUMIFS('Final Calculation Sheet'!$O$4:$O$40,$AZ$5:$AZ$41,$BH27))),""))</f>
        <v>730.85219999999993</v>
      </c>
      <c r="Q28" s="70">
        <f>IF($BJ27&gt;0,IF(INDEX('Final Calculation Sheet'!$P$4:$P$40,$BJ27-3)="","",INDEX('Final Calculation Sheet'!$P$4:$P$40,$BJ27-3)),IF(OR($BI27=1,$BL27=1,$BH27&gt;0),IF($BI27=1,SUM('Final Calculation Sheet'!$P$4:$P$40),IF($BL27=1,SUM('Final Calculation Sheet'!$P$4:$P$40)-SUMIFS('Final Calculation Sheet'!$P$4:$P$40,$AZ$5:$AZ$41,10),SUMIFS('Final Calculation Sheet'!$P$4:$P$40,$AZ$5:$AZ$41,$BH27))),""))</f>
        <v>759</v>
      </c>
      <c r="R28" s="72">
        <f>IF($BJ27&gt;0,IF(INDEX('Final Calculation Sheet'!$Q$4:$Q$40,$BJ27-3)="","",INDEX('Final Calculation Sheet'!$Q$4:$Q$40,$BJ27-3)),IF(OR($BI27=1,$BL27=1,$BH27&gt;0),"–",""))</f>
        <v>0</v>
      </c>
      <c r="S28" s="70">
        <f>IF($BJ27&gt;0,IF(INDEX('Final Calculation Sheet'!$R$4:$R$40,$BJ27-3)="","",INDEX('Final Calculation Sheet'!$R$4:$R$40,$BJ27-3)),IF(OR($BI27=1,$BL27=1,$BH27&gt;0),IF($BI27=1,SUM('Final Calculation Sheet'!$R$4:$R$40),IF($BL27=1,SUM('Final Calculation Sheet'!$R$4:$R$40)-SUMIFS('Final Calculation Sheet'!$R$4:$R$40,$AZ$5:$AZ$41,10),SUMIFS('Final Calculation Sheet'!$R$4:$R$40,$AZ$5:$AZ$41,$BH27))),""))</f>
        <v>0</v>
      </c>
      <c r="T28" s="70">
        <f>IF($BJ27&gt;0,IF(INDEX('Final Calculation Sheet'!$S$4:$S$40,$BJ27-3)="","",INDEX('Final Calculation Sheet'!$S$4:$S$40,$BJ27-3)),IF(OR($BI27=1,$BL27=1,$BH27&gt;0),IF($BI27=1,SUM('Final Calculation Sheet'!$S$4:$S$40),IF($BL27=1,SUM('Final Calculation Sheet'!$S$4:$S$40)-SUMIFS('Final Calculation Sheet'!$S$4:$S$40,$AZ$5:$AZ$41,10),SUMIFS('Final Calculation Sheet'!$S$4:$S$40,$AZ$5:$AZ$41,$BH27))),""))</f>
        <v>32944</v>
      </c>
      <c r="U28" s="70">
        <f>IF($BJ27&gt;0,IF(INDEX('Final Calculation Sheet'!$T$4:$T$40,$BJ27-3)="","",INDEX('Final Calculation Sheet'!$T$4:$T$40,$BJ27-3)),IF(OR($BI27=1,$BL27=1,$BH27&gt;0),IF($BI27=1,SUM('Final Calculation Sheet'!$T$4:$T$40),IF($BL27=1,SUM('Final Calculation Sheet'!$T$4:$T$40)-SUMIFS('Final Calculation Sheet'!$T$4:$T$40,$AZ$5:$AZ$41,10),SUMIFS('Final Calculation Sheet'!$T$4:$T$40,$AZ$5:$AZ$41,$BH27))),""))</f>
        <v>7001</v>
      </c>
      <c r="V28" s="73">
        <f>IF($BJ27&gt;0,IF(INDEX('Final Calculation Sheet'!$U$4:$U$40,$BJ27-3)="","",INDEX('Final Calculation Sheet'!$U$4:$U$40,$BJ27-3)),IF(OR($BI27=1,$BL27=1,$BH27&gt;0),IF($BI27=1,SUM('Final Calculation Sheet'!$U$4:$U$40),IF($BL27=1,SUM('Final Calculation Sheet'!$U$4:$U$40)-SUMIFS('Final Calculation Sheet'!$U$4:$U$40,$AZ$5:$AZ$41,10),SUMIFS('Final Calculation Sheet'!$U$4:$U$40,$AZ$5:$AZ$41,$BH27))),""))</f>
        <v>7001</v>
      </c>
      <c r="W28" s="70" t="str">
        <f>IF($BJ27&gt;0,IF(INDEX('Final Calculation Sheet'!$V$4:$V$40,$BJ27-3)="","",INDEX('Final Calculation Sheet'!$V$4:$V$40,$BJ27-3)),IF(OR($BI27=1,$BL27=1,$BH27&gt;0),"–",""))</f>
        <v>13.08.2026</v>
      </c>
      <c r="X28" s="70">
        <f>IF($BJ27&gt;0,IF(INDEX('Final Calculation Sheet'!$W$4:$W$40,$BJ27-3)="","",INDEX('Final Calculation Sheet'!$W$4:$W$40,$BJ27-3)),IF(OR($BI27=1,$BL27=1,$BH27&gt;0),IF($BI27=1,SUM('Final Calculation Sheet'!$W$4:$W$40),IF($BL27=1,SUM('Final Calculation Sheet'!$W$4:$W$40)-SUMIFS('Final Calculation Sheet'!$W$4:$W$40,$AZ$5:$AZ$41,10),SUMIFS('Final Calculation Sheet'!$W$4:$W$40,$AZ$5:$AZ$41,$BH27))),""))</f>
        <v>25944</v>
      </c>
      <c r="Y28" s="70">
        <f>IF($BJ27&gt;0,IF(INDEX('Final Calculation Sheet'!$X$4:$X$40,$BJ27-3)="","",INDEX('Final Calculation Sheet'!$X$4:$X$40,$BJ27-3)),IF(OR($BI27=1,$BL27=1,$BH27&gt;0),IF($BI27=1,SUM('Final Calculation Sheet'!$X$4:$X$40),IF($BL27=1,SUM('Final Calculation Sheet'!$X$4:$X$40)-SUMIFS('Final Calculation Sheet'!$X$4:$X$40,$AZ$5:$AZ$41,10),SUMIFS('Final Calculation Sheet'!$X$4:$X$40,$AZ$5:$AZ$41,$BH27))),""))</f>
        <v>25943</v>
      </c>
      <c r="Z28" s="70" t="str">
        <f>IF($BJ27&gt;0,IF(INDEX('Final Calculation Sheet'!$Y$4:$Y$40,$BJ27-3)="","",INDEX('Final Calculation Sheet'!$Y$4:$Y$40,$BJ27-3)),IF(OR($BI27=1,$BL27=1,$BH27&gt;0),"–",""))</f>
        <v>24.08.2026</v>
      </c>
      <c r="AA28" s="70">
        <f>IF($BJ27&gt;0,IF(INDEX('Final Calculation Sheet'!$Z$4:$Z$40,$BJ27-3)="","",INDEX('Final Calculation Sheet'!$Z$4:$Z$40,$BJ27-3)),IF(OR($BI27=1,$BL27=1,$BH27&gt;0),IF($BI27=1,SUM('Final Calculation Sheet'!$Z$4:$Z$40),IF($BL27=1,SUM('Final Calculation Sheet'!$Z$4:$Z$40)-SUMIFS('Final Calculation Sheet'!$Z$4:$Z$40,$AZ$5:$AZ$41,10),SUMIFS('Final Calculation Sheet'!$Z$4:$Z$40,$AZ$5:$AZ$41,$BH27))),""))</f>
        <v>0</v>
      </c>
      <c r="AB28" s="70" t="str">
        <f>IF($BJ27&gt;0,IF(INDEX('Final Calculation Sheet'!$AA$4:$AA$40,$BJ27-3)="","",INDEX('Final Calculation Sheet'!$AA$4:$AA$40,$BJ27-3)),IF(OR($BI27=1,$BL27=1,$BH27&gt;0),IF($BI27=1,SUM('Final Calculation Sheet'!$AA$4:$AA$40),IF($BL27=1,SUM('Final Calculation Sheet'!$AA$4:$AA$40)-SUMIFS('Final Calculation Sheet'!$AA$4:$AA$40,$AZ$5:$AZ$41,10),SUMIFS('Final Calculation Sheet'!$AA$4:$AA$40,$AZ$5:$AZ$41,$BH27))),""))</f>
        <v/>
      </c>
      <c r="AC28" s="70" t="str">
        <f>IF($BJ27&gt;0,IF(INDEX('Final Calculation Sheet'!$AB$4:$AB$40,$BJ27-3)="","",INDEX('Final Calculation Sheet'!$AB$4:$AB$40,$BJ27-3)),IF(OR($BI27=1,$BL27=1,$BH27&gt;0),"–",""))</f>
        <v/>
      </c>
      <c r="AD28" s="70">
        <f>IF($BJ27&gt;0,IF(INDEX('Final Calculation Sheet'!$AC$4:$AC$40,$BJ27-3)="","",INDEX('Final Calculation Sheet'!$AC$4:$AC$40,$BJ27-3)),IF(OR($BI27=1,$BL27=1,$BH27&gt;0),IF($BI27=1,SUM('Final Calculation Sheet'!$AC$4:$AC$40),IF($BL27=1,SUM('Final Calculation Sheet'!$AC$4:$AC$40)-SUMIFS('Final Calculation Sheet'!$AC$4:$AC$40,$AZ$5:$AZ$41,10),SUMIFS('Final Calculation Sheet'!$AC$4:$AC$40,$AZ$5:$AZ$41,$BH27))),""))</f>
        <v>32944</v>
      </c>
      <c r="AE28" s="70">
        <f>IF($BJ27&gt;0,IF(INDEX('Final Calculation Sheet'!$AD$4:$AD$40,$BJ27-3)="","",INDEX('Final Calculation Sheet'!$AD$4:$AD$40,$BJ27-3)),IF(OR($BI27=1,$BL27=1,$BH27&gt;0),IF($BI27=1,SUM('Final Calculation Sheet'!$AD$4:$AD$40),IF($BL27=1,SUM('Final Calculation Sheet'!$AD$4:$AD$40)-SUMIFS('Final Calculation Sheet'!$AD$4:$AD$40,$AZ$5:$AZ$41,10),SUMIFS('Final Calculation Sheet'!$AD$4:$AD$40,$AZ$5:$AZ$41,$BH27))),""))</f>
        <v>0</v>
      </c>
      <c r="AF28" s="70" t="str">
        <f>IF($BJ27&gt;0,IF(INDEX('Final Calculation Sheet'!$AE$4:$AE$40,$BJ27-3)="","",INDEX('Final Calculation Sheet'!$AE$4:$AE$40,$BJ27-3)),IF(OR($BI27=1,$BL27=1,$BH27&gt;0),"–",""))</f>
        <v>DR2640100037</v>
      </c>
      <c r="AG28" s="74">
        <f>IF($BJ27&gt;0,IF(INDEX('Final Calculation Sheet'!$AF$4:$AF$40,$BJ27-3)="","",INDEX('Final Calculation Sheet'!$AF$4:$AF$40,$BJ27-3)),IF(OR($BI27=1,$BL27=1,$BH27&gt;0),"–",""))</f>
        <v>1800003310</v>
      </c>
      <c r="AH28" s="70" t="str">
        <f>IF($BJ27&gt;0,IF(INDEX('Final Calculation Sheet'!$AG$4:$AG$40,$BJ27-3)="","",INDEX('Final Calculation Sheet'!$AG$4:$AG$40,$BJ27-3)),IF(OR($BI27=1,$BL27=1,$BH27&gt;0),"–",""))</f>
        <v>27.08.2026</v>
      </c>
      <c r="AI28" s="75" t="str">
        <f>IF($BJ27&gt;0,IF(INDEX('Final Calculation Sheet'!$AD$4:$AD$40,$BJ27-3)="","",IF(INDEX('Final Calculation Sheet'!$AD$4:$AD$40,$BJ27-3)&lt;=5,"SETTLED","OUTSTANDING")),IF(OR($BI27=1,$BL27=1,$BH27&gt;0),IF(IF($BI27=1,SUM('Final Calculation Sheet'!$AD$4:$AD$40),IF($BL27=1,SUM('Final Calculation Sheet'!$AD$4:$AD$40)-SUMIFS('Final Calculation Sheet'!$AD$4:$AD$40,$AZ$5:$AZ$41,10),SUMIFS('Final Calculation Sheet'!$AD$4:$AD$40,$AZ$5:$AZ$41,$BH27)))&lt;=5,"ALL SETTLED","OUTSTANDING"),""))</f>
        <v>SETTLED</v>
      </c>
      <c r="AK28" t="str">
        <f>IF($F$3="Lot No.",'Final Calculation Sheet'!$F$27,IF($F$3="Buyer",'Final Calculation Sheet'!$G$27,IF($F$3="Lot Name",'Final Calculation Sheet'!$B$27,IF($F$3="Bid Sheet",'Final Calculation Sheet'!$D$27,IF($F$3="Unit",'Final Calculation Sheet'!$E$27,'Final Calculation Sheet'!$F$27&amp;" "&amp;'Final Calculation Sheet'!$G$27&amp;" "&amp;'Final Calculation Sheet'!$B$27)))))</f>
        <v>2036 M I SCRAP TRADERS Mix Scrap (Tower angles &amp; 0.2 ACSR Condutor pieces)</v>
      </c>
      <c r="AL28">
        <f>AL27+IF($B$3="",0,--(SUMPRODUCT(--($AR$6:$AY$6&lt;&gt;""),--ISNUMBER(SEARCH($AR$6:$AY$6,$AK28)))&gt;0))</f>
        <v>0</v>
      </c>
      <c r="AM28">
        <f>IF(COUNTIF($BM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1</v>
      </c>
      <c r="AZ28">
        <f>IF($B$3="",IF(COUNTIF($A$4:$AI$4,"&lt;&gt;")=0,9,IF($AM28=1,9,10)),IF($AM28=0,10,IF(AND($AR$6&lt;&gt;"",ISNUMBER(SEARCH($AR$6,$AK28))),1,IF(AND($AS$6&lt;&gt;"",ISNUMBER(SEARCH($AS$6,$AK28))),2,IF(AND($AT$6&lt;&gt;"",ISNUMBER(SEARCH($AT$6,$AK28))),3,IF(AND($AU$6&lt;&gt;"",ISNUMBER(SEARCH($AU$6,$AK28))),4,IF(AND($AV$6&lt;&gt;"",ISNUMBER(SEARCH($AV$6,$AK28))),5,IF(AND($AW$6&lt;&gt;"",ISNUMBER(SEARCH($AW$6,$AK28))),6,IF(AND($AX$6&lt;&gt;"",ISNUMBER(SEARCH($AX$6,$AK28))),7,IF(AND($AY$6&lt;&gt;"",ISNUMBER(SEARCH($AY$6,$AK28))),8,0))))))))))</f>
        <v>9</v>
      </c>
      <c r="BA28">
        <f>SUMPRODUCT(($AZ$5:$AZ$41=$AZ28)*($BC$5:$BC$41&lt;$BC28))+1</f>
        <v>24</v>
      </c>
      <c r="BB28">
        <f>IF(INDEX($BF$4:$BF$13,$AZ28)=0,0,INDEX($BE$4:$BE$13,$AZ28)+$BA28-1)</f>
        <v>28</v>
      </c>
      <c r="BC28" t="n">
        <v>27</v>
      </c>
      <c r="BH28">
        <f>IFERROR(MATCH(28,$BF$4:$BF$13,0),0)</f>
        <v>0</v>
      </c>
      <c r="BI28">
        <f>IF(28=$BG$5,1,0)</f>
        <v>0</v>
      </c>
      <c r="BJ28">
        <f>IF(OR($BH28&gt;0,$BI28=1,$BL28=1),0,IFERROR(INDEX($BC$5:$BC$41,MATCH(28,$BB$5:$BB$41,0)),0))</f>
        <v>27</v>
      </c>
      <c r="BK28">
        <f>IF($BJ28&gt;0,IF(INDEX($AZ$5:$AZ$41,MATCH(28,$BB$5:$BB$41,0))=10,1,0),IF($BH28=10,1,0))</f>
        <v>0</v>
      </c>
      <c r="BL28">
        <f>IF(28=$BG$4,1,0)</f>
        <v>0</v>
      </c>
      <c r="BM28">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1</v>
      </c>
      <c r="BN28">
        <f>IF($B$4="",1,--(OR(SUMPRODUCT(--(TRIM(MID(SUBSTITUTE(SUBSTITUTE($B$4,"/",","),",",REPT(" ",99)),(ROW($1:$8)-1)*99+1,99))&lt;&gt;""),--ISNUMBER(SEARCH(TRIM(MID(SUBSTITUTE(SUBSTITUTE($B$4,"/",","),",",REPT(" ",99)),(ROW($1:$8)-1)*99+1,99)),IFERROR(('Final Calculation Sheet'!$F$27)&amp;"",""))))&gt;0,AND(ISNUMBER(SEARCH("blank",$B$4)),NOT(ISNUMBER(SEARCH("nonblank",$B$4))),IFERROR(('Final Calculation Sheet'!$F$27)&amp;"","")=""),AND(OR(ISNUMBER(SEARCH("nonblank",$B$4)),ISNUMBER(SEARCH("&lt;&gt;",$B$4))),IFERROR(('Final Calculation Sheet'!$F$27)&amp;"","")&lt;&gt;""),AND(TRIM($B$4)="",IFERROR(('Final Calculation Sheet'!$F$27)&amp;"","")=""))))</f>
        <v>1</v>
      </c>
      <c r="BO28">
        <f>IF($C$4="",1,--(OR(SUMPRODUCT(--(TRIM(MID(SUBSTITUTE(SUBSTITUTE($C$4,"/",","),",",REPT(" ",99)),(ROW($1:$8)-1)*99+1,99))&lt;&gt;""),--ISNUMBER(SEARCH(TRIM(MID(SUBSTITUTE(SUBSTITUTE($C$4,"/",","),",",REPT(" ",99)),(ROW($1:$8)-1)*99+1,99)),IFERROR(('Final Calculation Sheet'!$G$27)&amp;"",""))))&gt;0,AND(ISNUMBER(SEARCH("blank",$C$4)),NOT(ISNUMBER(SEARCH("nonblank",$C$4))),IFERROR(('Final Calculation Sheet'!$G$27)&amp;"","")=""),AND(OR(ISNUMBER(SEARCH("nonblank",$C$4)),ISNUMBER(SEARCH("&lt;&gt;",$C$4))),IFERROR(('Final Calculation Sheet'!$G$27)&amp;"","")&lt;&gt;""),AND(TRIM($C$4)="",IFERROR(('Final Calculation Sheet'!$G$27)&amp;"","")=""))))</f>
        <v>1</v>
      </c>
      <c r="BP28">
        <f>IF($D$4="",1,--(OR(SUMPRODUCT(--(TRIM(MID(SUBSTITUTE(SUBSTITUTE($D$4,"/",","),",",REPT(" ",99)),(ROW($1:$8)-1)*99+1,99))&lt;&gt;""),--ISNUMBER(SEARCH(TRIM(MID(SUBSTITUTE(SUBSTITUTE($D$4,"/",","),",",REPT(" ",99)),(ROW($1:$8)-1)*99+1,99)),IFERROR(('Final Calculation Sheet'!$B$27)&amp;"",""))))&gt;0,AND(ISNUMBER(SEARCH("blank",$D$4)),NOT(ISNUMBER(SEARCH("nonblank",$D$4))),IFERROR(('Final Calculation Sheet'!$B$27)&amp;"","")=""),AND(OR(ISNUMBER(SEARCH("nonblank",$D$4)),ISNUMBER(SEARCH("&lt;&gt;",$D$4))),IFERROR(('Final Calculation Sheet'!$B$27)&amp;"","")&lt;&gt;""),AND(TRIM($D$4)="",IFERROR(('Final Calculation Sheet'!$B$27)&amp;"","")=""))))</f>
        <v>1</v>
      </c>
      <c r="BQ28">
        <f>IF($E$4="",1,--(OR(SUMPRODUCT(--(TRIM(MID(SUBSTITUTE(SUBSTITUTE($E$4,"/",","),",",REPT(" ",99)),(ROW($1:$8)-1)*99+1,99))&lt;&gt;""),--ISNUMBER(SEARCH(TRIM(MID(SUBSTITUTE(SUBSTITUTE($E$4,"/",","),",",REPT(" ",99)),(ROW($1:$8)-1)*99+1,99)),IFERROR(('Final Calculation Sheet'!$D$27)&amp;"",""))))&gt;0,AND(ISNUMBER(SEARCH("blank",$E$4)),NOT(ISNUMBER(SEARCH("nonblank",$E$4))),IFERROR(('Final Calculation Sheet'!$D$27)&amp;"","")=""),AND(OR(ISNUMBER(SEARCH("nonblank",$E$4)),ISNUMBER(SEARCH("&lt;&gt;",$E$4))),IFERROR(('Final Calculation Sheet'!$D$27)&amp;"","")&lt;&gt;""),AND(TRIM($E$4)="",IFERROR(('Final Calculation Sheet'!$D$27)&amp;"","")=""))))</f>
        <v>1</v>
      </c>
      <c r="BR28">
        <f>IF($F$4="",1,--(OR(SUMPRODUCT(--(TRIM(MID(SUBSTITUTE(SUBSTITUTE($F$4,"/",","),",",REPT(" ",99)),(ROW($1:$8)-1)*99+1,99))&lt;&gt;""),--ISNUMBER(SEARCH(TRIM(MID(SUBSTITUTE(SUBSTITUTE($F$4,"/",","),",",REPT(" ",99)),(ROW($1:$8)-1)*99+1,99)),IFERROR(('Final Calculation Sheet'!$A$27)&amp;"",""))))&gt;0,AND(ISNUMBER(SEARCH("blank",$F$4)),NOT(ISNUMBER(SEARCH("nonblank",$F$4))),IFERROR(('Final Calculation Sheet'!$A$27)&amp;"","")=""),AND(OR(ISNUMBER(SEARCH("nonblank",$F$4)),ISNUMBER(SEARCH("&lt;&gt;",$F$4))),IFERROR(('Final Calculation Sheet'!$A$27)&amp;"","")&lt;&gt;""),AND(TRIM($F$4)="",IFERROR(('Final Calculation Sheet'!$A$27)&amp;"","")=""))))</f>
        <v>1</v>
      </c>
      <c r="BS28">
        <f>IF($G$4="",1,--(OR(SUMPRODUCT(--(TRIM(MID(SUBSTITUTE(SUBSTITUTE($G$4,"/",","),",",REPT(" ",99)),(ROW($1:$8)-1)*99+1,99))&lt;&gt;""),--ISNUMBER(SEARCH(TRIM(MID(SUBSTITUTE(SUBSTITUTE($G$4,"/",","),",",REPT(" ",99)),(ROW($1:$8)-1)*99+1,99)),IFERROR(('Final Calculation Sheet'!$E$27)&amp;"",""))))&gt;0,AND(ISNUMBER(SEARCH("blank",$G$4)),NOT(ISNUMBER(SEARCH("nonblank",$G$4))),IFERROR(('Final Calculation Sheet'!$E$27)&amp;"","")=""),AND(OR(ISNUMBER(SEARCH("nonblank",$G$4)),ISNUMBER(SEARCH("&lt;&gt;",$G$4))),IFERROR(('Final Calculation Sheet'!$E$27)&amp;"","")&lt;&gt;""),AND(TRIM($G$4)="",IFERROR(('Final Calculation Sheet'!$E$27)&amp;"","")=""))))</f>
        <v>1</v>
      </c>
      <c r="BT28">
        <f>IF($H$4="",1,--(OR(SUMPRODUCT(--(TRIM(MID(SUBSTITUTE(SUBSTITUTE($H$4,"/",","),",",REPT(" ",99)),(ROW($1:$8)-1)*99+1,99))&lt;&gt;""),--ISNUMBER(SEARCH(TRIM(MID(SUBSTITUTE(SUBSTITUTE($H$4,"/",","),",",REPT(" ",99)),(ROW($1:$8)-1)*99+1,99)),IFERROR(('Final Calculation Sheet'!$C$27)&amp;"",""))))&gt;0,AND(ISNUMBER(SEARCH("blank",$H$4)),NOT(ISNUMBER(SEARCH("nonblank",$H$4))),IFERROR(('Final Calculation Sheet'!$C$27)&amp;"","")=""),AND(OR(ISNUMBER(SEARCH("nonblank",$H$4)),ISNUMBER(SEARCH("&lt;&gt;",$H$4))),IFERROR(('Final Calculation Sheet'!$C$27)&amp;"","")&lt;&gt;""),AND(TRIM($H$4)="",IFERROR(('Final Calculation Sheet'!$C$27)&amp;"","")=""))))</f>
        <v>1</v>
      </c>
      <c r="BU28">
        <f>IF($I$4="",1,--(OR(SUMPRODUCT(--(TRIM(MID(SUBSTITUTE(SUBSTITUTE($I$4,"/",","),",",REPT(" ",99)),(ROW($1:$8)-1)*99+1,99))&lt;&gt;""),--ISNUMBER(SEARCH(TRIM(MID(SUBSTITUTE(SUBSTITUTE($I$4,"/",","),",",REPT(" ",99)),(ROW($1:$8)-1)*99+1,99)),IFERROR(('Final Calculation Sheet'!$H$27)&amp;"",""))))&gt;0,AND(ISNUMBER(SEARCH("blank",$I$4)),NOT(ISNUMBER(SEARCH("nonblank",$I$4))),IFERROR(('Final Calculation Sheet'!$H$27)&amp;"","")=""),AND(OR(ISNUMBER(SEARCH("nonblank",$I$4)),ISNUMBER(SEARCH("&lt;&gt;",$I$4))),IFERROR(('Final Calculation Sheet'!$H$27)&amp;"","")&lt;&gt;""),AND(TRIM($I$4)="",IFERROR(('Final Calculation Sheet'!$H$27)&amp;"","")=""))))</f>
        <v>1</v>
      </c>
      <c r="BV28">
        <f>IF($J$4="",1,--(OR(SUMPRODUCT(--(TRIM(MID(SUBSTITUTE(SUBSTITUTE($J$4,"/",","),",",REPT(" ",99)),(ROW($1:$8)-1)*99+1,99))&lt;&gt;""),--ISNUMBER(SEARCH(TRIM(MID(SUBSTITUTE(SUBSTITUTE($J$4,"/",","),",",REPT(" ",99)),(ROW($1:$8)-1)*99+1,99)),IFERROR(('Final Calculation Sheet'!$I$27)&amp;"",""))))&gt;0,AND(ISNUMBER(SEARCH("blank",$J$4)),NOT(ISNUMBER(SEARCH("nonblank",$J$4))),IFERROR(('Final Calculation Sheet'!$I$27)&amp;"","")=""),AND(OR(ISNUMBER(SEARCH("nonblank",$J$4)),ISNUMBER(SEARCH("&lt;&gt;",$J$4))),IFERROR(('Final Calculation Sheet'!$I$27)&amp;"","")&lt;&gt;""),AND(TRIM($J$4)="",IFERROR(('Final Calculation Sheet'!$I$27)&amp;"","")=""))))</f>
        <v>1</v>
      </c>
      <c r="BW28">
        <f>IF($K$4="",1,--(OR(SUMPRODUCT(--(TRIM(MID(SUBSTITUTE(SUBSTITUTE($K$4,"/",","),",",REPT(" ",99)),(ROW($1:$8)-1)*99+1,99))&lt;&gt;""),--ISNUMBER(SEARCH(TRIM(MID(SUBSTITUTE(SUBSTITUTE($K$4,"/",","),",",REPT(" ",99)),(ROW($1:$8)-1)*99+1,99)),IFERROR(('Final Calculation Sheet'!$J$27)&amp;"",""))))&gt;0,AND(ISNUMBER(SEARCH("blank",$K$4)),NOT(ISNUMBER(SEARCH("nonblank",$K$4))),IFERROR(('Final Calculation Sheet'!$J$27)&amp;"","")=""),AND(OR(ISNUMBER(SEARCH("nonblank",$K$4)),ISNUMBER(SEARCH("&lt;&gt;",$K$4))),IFERROR(('Final Calculation Sheet'!$J$27)&amp;"","")&lt;&gt;""),AND(TRIM($K$4)="",IFERROR(('Final Calculation Sheet'!$J$27)&amp;"","")=""))))</f>
        <v>1</v>
      </c>
      <c r="BX28">
        <f>IF($L$4="",1,--(OR(SUMPRODUCT(--(TRIM(MID(SUBSTITUTE(SUBSTITUTE($L$4,"/",","),",",REPT(" ",99)),(ROW($1:$8)-1)*99+1,99))&lt;&gt;""),--ISNUMBER(SEARCH(TRIM(MID(SUBSTITUTE(SUBSTITUTE($L$4,"/",","),",",REPT(" ",99)),(ROW($1:$8)-1)*99+1,99)),IFERROR(('Final Calculation Sheet'!$K$27)&amp;"",""))))&gt;0,AND(ISNUMBER(SEARCH("blank",$L$4)),NOT(ISNUMBER(SEARCH("nonblank",$L$4))),IFERROR(('Final Calculation Sheet'!$K$27)&amp;"","")=""),AND(OR(ISNUMBER(SEARCH("nonblank",$L$4)),ISNUMBER(SEARCH("&lt;&gt;",$L$4))),IFERROR(('Final Calculation Sheet'!$K$27)&amp;"","")&lt;&gt;""),AND(TRIM($L$4)="",IFERROR(('Final Calculation Sheet'!$K$27)&amp;"","")=""))))</f>
        <v>1</v>
      </c>
      <c r="BY28">
        <f>IF($M$4="",1,--(OR(SUMPRODUCT(--(TRIM(MID(SUBSTITUTE(SUBSTITUTE($M$4,"/",","),",",REPT(" ",99)),(ROW($1:$8)-1)*99+1,99))&lt;&gt;""),--ISNUMBER(SEARCH(TRIM(MID(SUBSTITUTE(SUBSTITUTE($M$4,"/",","),",",REPT(" ",99)),(ROW($1:$8)-1)*99+1,99)),IFERROR(('Final Calculation Sheet'!$L$27)&amp;"",""))))&gt;0,AND(ISNUMBER(SEARCH("blank",$M$4)),NOT(ISNUMBER(SEARCH("nonblank",$M$4))),IFERROR(('Final Calculation Sheet'!$L$27)&amp;"","")=""),AND(OR(ISNUMBER(SEARCH("nonblank",$M$4)),ISNUMBER(SEARCH("&lt;&gt;",$M$4))),IFERROR(('Final Calculation Sheet'!$L$27)&amp;"","")&lt;&gt;""),AND(TRIM($M$4)="",IFERROR(('Final Calculation Sheet'!$L$27)&amp;"","")=""))))</f>
        <v>1</v>
      </c>
      <c r="BZ28">
        <f>IF($N$4="",1,--(OR(SUMPRODUCT(--(TRIM(MID(SUBSTITUTE(SUBSTITUTE($N$4,"/",","),",",REPT(" ",99)),(ROW($1:$8)-1)*99+1,99))&lt;&gt;""),--ISNUMBER(SEARCH(TRIM(MID(SUBSTITUTE(SUBSTITUTE($N$4,"/",","),",",REPT(" ",99)),(ROW($1:$8)-1)*99+1,99)),IFERROR(('Final Calculation Sheet'!$M$27)&amp;"",""))))&gt;0,AND(ISNUMBER(SEARCH("blank",$N$4)),NOT(ISNUMBER(SEARCH("nonblank",$N$4))),IFERROR(('Final Calculation Sheet'!$M$27)&amp;"","")=""),AND(OR(ISNUMBER(SEARCH("nonblank",$N$4)),ISNUMBER(SEARCH("&lt;&gt;",$N$4))),IFERROR(('Final Calculation Sheet'!$M$27)&amp;"","")&lt;&gt;""),AND(TRIM($N$4)="",IFERROR(('Final Calculation Sheet'!$M$27)&amp;"","")=""))))</f>
        <v>1</v>
      </c>
      <c r="CA28">
        <f>IF($O$4="",1,--(OR(SUMPRODUCT(--(TRIM(MID(SUBSTITUTE(SUBSTITUTE($O$4,"/",","),",",REPT(" ",99)),(ROW($1:$8)-1)*99+1,99))&lt;&gt;""),--ISNUMBER(SEARCH(TRIM(MID(SUBSTITUTE(SUBSTITUTE($O$4,"/",","),",",REPT(" ",99)),(ROW($1:$8)-1)*99+1,99)),IFERROR(('Final Calculation Sheet'!$N$27)&amp;"",""))))&gt;0,AND(ISNUMBER(SEARCH("blank",$O$4)),NOT(ISNUMBER(SEARCH("nonblank",$O$4))),IFERROR(('Final Calculation Sheet'!$N$27)&amp;"","")=""),AND(OR(ISNUMBER(SEARCH("nonblank",$O$4)),ISNUMBER(SEARCH("&lt;&gt;",$O$4))),IFERROR(('Final Calculation Sheet'!$N$27)&amp;"","")&lt;&gt;""),AND(TRIM($O$4)="",IFERROR(('Final Calculation Sheet'!$N$27)&amp;"","")=""))))</f>
        <v>1</v>
      </c>
      <c r="CB28">
        <f>IF($P$4="",1,--(OR(SUMPRODUCT(--(TRIM(MID(SUBSTITUTE(SUBSTITUTE($P$4,"/",","),",",REPT(" ",99)),(ROW($1:$8)-1)*99+1,99))&lt;&gt;""),--ISNUMBER(SEARCH(TRIM(MID(SUBSTITUTE(SUBSTITUTE($P$4,"/",","),",",REPT(" ",99)),(ROW($1:$8)-1)*99+1,99)),IFERROR(('Final Calculation Sheet'!$O$27)&amp;"",""))))&gt;0,AND(ISNUMBER(SEARCH("blank",$P$4)),NOT(ISNUMBER(SEARCH("nonblank",$P$4))),IFERROR(('Final Calculation Sheet'!$O$27)&amp;"","")=""),AND(OR(ISNUMBER(SEARCH("nonblank",$P$4)),ISNUMBER(SEARCH("&lt;&gt;",$P$4))),IFERROR(('Final Calculation Sheet'!$O$27)&amp;"","")&lt;&gt;""),AND(TRIM($P$4)="",IFERROR(('Final Calculation Sheet'!$O$27)&amp;"","")=""))))</f>
        <v>1</v>
      </c>
      <c r="CC28">
        <f>IF($Q$4="",1,--(OR(SUMPRODUCT(--(TRIM(MID(SUBSTITUTE(SUBSTITUTE($Q$4,"/",","),",",REPT(" ",99)),(ROW($1:$8)-1)*99+1,99))&lt;&gt;""),--ISNUMBER(SEARCH(TRIM(MID(SUBSTITUTE(SUBSTITUTE($Q$4,"/",","),",",REPT(" ",99)),(ROW($1:$8)-1)*99+1,99)),IFERROR(('Final Calculation Sheet'!$P$27)&amp;"",""))))&gt;0,AND(ISNUMBER(SEARCH("blank",$Q$4)),NOT(ISNUMBER(SEARCH("nonblank",$Q$4))),IFERROR(('Final Calculation Sheet'!$P$27)&amp;"","")=""),AND(OR(ISNUMBER(SEARCH("nonblank",$Q$4)),ISNUMBER(SEARCH("&lt;&gt;",$Q$4))),IFERROR(('Final Calculation Sheet'!$P$27)&amp;"","")&lt;&gt;""),AND(TRIM($Q$4)="",IFERROR(('Final Calculation Sheet'!$P$27)&amp;"","")=""))))</f>
        <v>1</v>
      </c>
      <c r="CD28">
        <f>IF($R$4="",1,--(OR(SUMPRODUCT(--(TRIM(MID(SUBSTITUTE(SUBSTITUTE($R$4,"/",","),",",REPT(" ",99)),(ROW($1:$8)-1)*99+1,99))&lt;&gt;""),--ISNUMBER(SEARCH(TRIM(MID(SUBSTITUTE(SUBSTITUTE($R$4,"/",","),",",REPT(" ",99)),(ROW($1:$8)-1)*99+1,99)),IFERROR(('Final Calculation Sheet'!$Q$27)&amp;"",""))))&gt;0,AND(ISNUMBER(SEARCH("blank",$R$4)),NOT(ISNUMBER(SEARCH("nonblank",$R$4))),IFERROR(('Final Calculation Sheet'!$Q$27)&amp;"","")=""),AND(OR(ISNUMBER(SEARCH("nonblank",$R$4)),ISNUMBER(SEARCH("&lt;&gt;",$R$4))),IFERROR(('Final Calculation Sheet'!$Q$27)&amp;"","")&lt;&gt;""),AND(TRIM($R$4)="",IFERROR(('Final Calculation Sheet'!$Q$27)&amp;"","")=""))))</f>
        <v>1</v>
      </c>
      <c r="CE28">
        <f>IF($S$4="",1,--(OR(SUMPRODUCT(--(TRIM(MID(SUBSTITUTE(SUBSTITUTE($S$4,"/",","),",",REPT(" ",99)),(ROW($1:$8)-1)*99+1,99))&lt;&gt;""),--ISNUMBER(SEARCH(TRIM(MID(SUBSTITUTE(SUBSTITUTE($S$4,"/",","),",",REPT(" ",99)),(ROW($1:$8)-1)*99+1,99)),IFERROR(('Final Calculation Sheet'!$R$27)&amp;"",""))))&gt;0,AND(ISNUMBER(SEARCH("blank",$S$4)),NOT(ISNUMBER(SEARCH("nonblank",$S$4))),IFERROR(('Final Calculation Sheet'!$R$27)&amp;"","")=""),AND(OR(ISNUMBER(SEARCH("nonblank",$S$4)),ISNUMBER(SEARCH("&lt;&gt;",$S$4))),IFERROR(('Final Calculation Sheet'!$R$27)&amp;"","")&lt;&gt;""),AND(TRIM($S$4)="",IFERROR(('Final Calculation Sheet'!$R$27)&amp;"","")=""))))</f>
        <v>1</v>
      </c>
      <c r="CF28">
        <f>IF($T$4="",1,--(OR(SUMPRODUCT(--(TRIM(MID(SUBSTITUTE(SUBSTITUTE($T$4,"/",","),",",REPT(" ",99)),(ROW($1:$8)-1)*99+1,99))&lt;&gt;""),--ISNUMBER(SEARCH(TRIM(MID(SUBSTITUTE(SUBSTITUTE($T$4,"/",","),",",REPT(" ",99)),(ROW($1:$8)-1)*99+1,99)),IFERROR(('Final Calculation Sheet'!$S$27)&amp;"",""))))&gt;0,AND(ISNUMBER(SEARCH("blank",$T$4)),NOT(ISNUMBER(SEARCH("nonblank",$T$4))),IFERROR(('Final Calculation Sheet'!$S$27)&amp;"","")=""),AND(OR(ISNUMBER(SEARCH("nonblank",$T$4)),ISNUMBER(SEARCH("&lt;&gt;",$T$4))),IFERROR(('Final Calculation Sheet'!$S$27)&amp;"","")&lt;&gt;""),AND(TRIM($T$4)="",IFERROR(('Final Calculation Sheet'!$S$27)&amp;"","")=""))))</f>
        <v>1</v>
      </c>
      <c r="CG28">
        <f>IF($U$4="",1,--(OR(SUMPRODUCT(--(TRIM(MID(SUBSTITUTE(SUBSTITUTE($U$4,"/",","),",",REPT(" ",99)),(ROW($1:$8)-1)*99+1,99))&lt;&gt;""),--ISNUMBER(SEARCH(TRIM(MID(SUBSTITUTE(SUBSTITUTE($U$4,"/",","),",",REPT(" ",99)),(ROW($1:$8)-1)*99+1,99)),IFERROR(('Final Calculation Sheet'!$T$27)&amp;"",""))))&gt;0,AND(ISNUMBER(SEARCH("blank",$U$4)),NOT(ISNUMBER(SEARCH("nonblank",$U$4))),IFERROR(('Final Calculation Sheet'!$T$27)&amp;"","")=""),AND(OR(ISNUMBER(SEARCH("nonblank",$U$4)),ISNUMBER(SEARCH("&lt;&gt;",$U$4))),IFERROR(('Final Calculation Sheet'!$T$27)&amp;"","")&lt;&gt;""),AND(TRIM($U$4)="",IFERROR(('Final Calculation Sheet'!$T$27)&amp;"","")=""))))</f>
        <v>1</v>
      </c>
      <c r="CH28">
        <f>IF($V$4="",1,--(OR(SUMPRODUCT(--(TRIM(MID(SUBSTITUTE(SUBSTITUTE($V$4,"/",","),",",REPT(" ",99)),(ROW($1:$8)-1)*99+1,99))&lt;&gt;""),--ISNUMBER(SEARCH(TRIM(MID(SUBSTITUTE(SUBSTITUTE($V$4,"/",","),",",REPT(" ",99)),(ROW($1:$8)-1)*99+1,99)),IFERROR(('Final Calculation Sheet'!$U$27)&amp;"",""))))&gt;0,AND(ISNUMBER(SEARCH("blank",$V$4)),NOT(ISNUMBER(SEARCH("nonblank",$V$4))),IFERROR(('Final Calculation Sheet'!$U$27)&amp;"","")=""),AND(OR(ISNUMBER(SEARCH("nonblank",$V$4)),ISNUMBER(SEARCH("&lt;&gt;",$V$4))),IFERROR(('Final Calculation Sheet'!$U$27)&amp;"","")&lt;&gt;""),AND(TRIM($V$4)="",IFERROR(('Final Calculation Sheet'!$U$27)&amp;"","")=""))))</f>
        <v>1</v>
      </c>
      <c r="CI28">
        <f>IF($W$4="",1,--(OR(SUMPRODUCT(--(TRIM(MID(SUBSTITUTE(SUBSTITUTE($W$4,"/",","),",",REPT(" ",99)),(ROW($1:$8)-1)*99+1,99))&lt;&gt;""),--ISNUMBER(SEARCH(TRIM(MID(SUBSTITUTE(SUBSTITUTE($W$4,"/",","),",",REPT(" ",99)),(ROW($1:$8)-1)*99+1,99)),IFERROR(('Final Calculation Sheet'!$V$27)&amp;"",""))))&gt;0,AND(ISNUMBER(SEARCH("blank",$W$4)),NOT(ISNUMBER(SEARCH("nonblank",$W$4))),IFERROR(('Final Calculation Sheet'!$V$27)&amp;"","")=""),AND(OR(ISNUMBER(SEARCH("nonblank",$W$4)),ISNUMBER(SEARCH("&lt;&gt;",$W$4))),IFERROR(('Final Calculation Sheet'!$V$27)&amp;"","")&lt;&gt;""),AND(TRIM($W$4)="",IFERROR(('Final Calculation Sheet'!$V$27)&amp;"","")=""))))</f>
        <v>1</v>
      </c>
      <c r="CJ28">
        <f>IF($X$4="",1,--(OR(SUMPRODUCT(--(TRIM(MID(SUBSTITUTE(SUBSTITUTE($X$4,"/",","),",",REPT(" ",99)),(ROW($1:$8)-1)*99+1,99))&lt;&gt;""),--ISNUMBER(SEARCH(TRIM(MID(SUBSTITUTE(SUBSTITUTE($X$4,"/",","),",",REPT(" ",99)),(ROW($1:$8)-1)*99+1,99)),IFERROR(('Final Calculation Sheet'!$W$27)&amp;"",""))))&gt;0,AND(ISNUMBER(SEARCH("blank",$X$4)),NOT(ISNUMBER(SEARCH("nonblank",$X$4))),IFERROR(('Final Calculation Sheet'!$W$27)&amp;"","")=""),AND(OR(ISNUMBER(SEARCH("nonblank",$X$4)),ISNUMBER(SEARCH("&lt;&gt;",$X$4))),IFERROR(('Final Calculation Sheet'!$W$27)&amp;"","")&lt;&gt;""),AND(TRIM($X$4)="",IFERROR(('Final Calculation Sheet'!$W$27)&amp;"","")=""))))</f>
        <v>1</v>
      </c>
      <c r="CK28">
        <f>IF($Y$4="",1,--(OR(SUMPRODUCT(--(TRIM(MID(SUBSTITUTE(SUBSTITUTE($Y$4,"/",","),",",REPT(" ",99)),(ROW($1:$8)-1)*99+1,99))&lt;&gt;""),--ISNUMBER(SEARCH(TRIM(MID(SUBSTITUTE(SUBSTITUTE($Y$4,"/",","),",",REPT(" ",99)),(ROW($1:$8)-1)*99+1,99)),IFERROR(('Final Calculation Sheet'!$X$27)&amp;"",""))))&gt;0,AND(ISNUMBER(SEARCH("blank",$Y$4)),NOT(ISNUMBER(SEARCH("nonblank",$Y$4))),IFERROR(('Final Calculation Sheet'!$X$27)&amp;"","")=""),AND(OR(ISNUMBER(SEARCH("nonblank",$Y$4)),ISNUMBER(SEARCH("&lt;&gt;",$Y$4))),IFERROR(('Final Calculation Sheet'!$X$27)&amp;"","")&lt;&gt;""),AND(TRIM($Y$4)="",IFERROR(('Final Calculation Sheet'!$X$27)&amp;"","")=""))))</f>
        <v>1</v>
      </c>
      <c r="CL28">
        <f>IF($Z$4="",1,--(OR(SUMPRODUCT(--(TRIM(MID(SUBSTITUTE(SUBSTITUTE($Z$4,"/",","),",",REPT(" ",99)),(ROW($1:$8)-1)*99+1,99))&lt;&gt;""),--ISNUMBER(SEARCH(TRIM(MID(SUBSTITUTE(SUBSTITUTE($Z$4,"/",","),",",REPT(" ",99)),(ROW($1:$8)-1)*99+1,99)),IFERROR(('Final Calculation Sheet'!$Y$27)&amp;"",""))))&gt;0,AND(ISNUMBER(SEARCH("blank",$Z$4)),NOT(ISNUMBER(SEARCH("nonblank",$Z$4))),IFERROR(('Final Calculation Sheet'!$Y$27)&amp;"","")=""),AND(OR(ISNUMBER(SEARCH("nonblank",$Z$4)),ISNUMBER(SEARCH("&lt;&gt;",$Z$4))),IFERROR(('Final Calculation Sheet'!$Y$27)&amp;"","")&lt;&gt;""),AND(TRIM($Z$4)="",IFERROR(('Final Calculation Sheet'!$Y$27)&amp;"","")=""))))</f>
        <v>1</v>
      </c>
      <c r="CM28">
        <f>IF($AA$4="",1,--(OR(SUMPRODUCT(--(TRIM(MID(SUBSTITUTE(SUBSTITUTE($AA$4,"/",","),",",REPT(" ",99)),(ROW($1:$8)-1)*99+1,99))&lt;&gt;""),--ISNUMBER(SEARCH(TRIM(MID(SUBSTITUTE(SUBSTITUTE($AA$4,"/",","),",",REPT(" ",99)),(ROW($1:$8)-1)*99+1,99)),IFERROR(('Final Calculation Sheet'!$Z$27)&amp;"",""))))&gt;0,AND(ISNUMBER(SEARCH("blank",$AA$4)),NOT(ISNUMBER(SEARCH("nonblank",$AA$4))),IFERROR(('Final Calculation Sheet'!$Z$27)&amp;"","")=""),AND(OR(ISNUMBER(SEARCH("nonblank",$AA$4)),ISNUMBER(SEARCH("&lt;&gt;",$AA$4))),IFERROR(('Final Calculation Sheet'!$Z$27)&amp;"","")&lt;&gt;""),AND(TRIM($AA$4)="",IFERROR(('Final Calculation Sheet'!$Z$27)&amp;"","")=""))))</f>
        <v>1</v>
      </c>
      <c r="CN28">
        <f>IF($AB$4="",1,--(OR(SUMPRODUCT(--(TRIM(MID(SUBSTITUTE(SUBSTITUTE($AB$4,"/",","),",",REPT(" ",99)),(ROW($1:$8)-1)*99+1,99))&lt;&gt;""),--ISNUMBER(SEARCH(TRIM(MID(SUBSTITUTE(SUBSTITUTE($AB$4,"/",","),",",REPT(" ",99)),(ROW($1:$8)-1)*99+1,99)),IFERROR(('Final Calculation Sheet'!$AA$27)&amp;"",""))))&gt;0,AND(ISNUMBER(SEARCH("blank",$AB$4)),NOT(ISNUMBER(SEARCH("nonblank",$AB$4))),IFERROR(('Final Calculation Sheet'!$AA$27)&amp;"","")=""),AND(OR(ISNUMBER(SEARCH("nonblank",$AB$4)),ISNUMBER(SEARCH("&lt;&gt;",$AB$4))),IFERROR(('Final Calculation Sheet'!$AA$27)&amp;"","")&lt;&gt;""),AND(TRIM($AB$4)="",IFERROR(('Final Calculation Sheet'!$AA$27)&amp;"","")=""))))</f>
        <v>1</v>
      </c>
      <c r="CO28">
        <f>IF($AC$4="",1,--(OR(SUMPRODUCT(--(TRIM(MID(SUBSTITUTE(SUBSTITUTE($AC$4,"/",","),",",REPT(" ",99)),(ROW($1:$8)-1)*99+1,99))&lt;&gt;""),--ISNUMBER(SEARCH(TRIM(MID(SUBSTITUTE(SUBSTITUTE($AC$4,"/",","),",",REPT(" ",99)),(ROW($1:$8)-1)*99+1,99)),IFERROR(('Final Calculation Sheet'!$AB$27)&amp;"",""))))&gt;0,AND(ISNUMBER(SEARCH("blank",$AC$4)),NOT(ISNUMBER(SEARCH("nonblank",$AC$4))),IFERROR(('Final Calculation Sheet'!$AB$27)&amp;"","")=""),AND(OR(ISNUMBER(SEARCH("nonblank",$AC$4)),ISNUMBER(SEARCH("&lt;&gt;",$AC$4))),IFERROR(('Final Calculation Sheet'!$AB$27)&amp;"","")&lt;&gt;""),AND(TRIM($AC$4)="",IFERROR(('Final Calculation Sheet'!$AB$27)&amp;"","")=""))))</f>
        <v>1</v>
      </c>
      <c r="CP28">
        <f>IF($AD$4="",1,--(OR(SUMPRODUCT(--(TRIM(MID(SUBSTITUTE(SUBSTITUTE($AD$4,"/",","),",",REPT(" ",99)),(ROW($1:$8)-1)*99+1,99))&lt;&gt;""),--ISNUMBER(SEARCH(TRIM(MID(SUBSTITUTE(SUBSTITUTE($AD$4,"/",","),",",REPT(" ",99)),(ROW($1:$8)-1)*99+1,99)),IFERROR(('Final Calculation Sheet'!$AC$27)&amp;"",""))))&gt;0,AND(ISNUMBER(SEARCH("blank",$AD$4)),NOT(ISNUMBER(SEARCH("nonblank",$AD$4))),IFERROR(('Final Calculation Sheet'!$AC$27)&amp;"","")=""),AND(OR(ISNUMBER(SEARCH("nonblank",$AD$4)),ISNUMBER(SEARCH("&lt;&gt;",$AD$4))),IFERROR(('Final Calculation Sheet'!$AC$27)&amp;"","")&lt;&gt;""),AND(TRIM($AD$4)="",IFERROR(('Final Calculation Sheet'!$AC$27)&amp;"","")=""))))</f>
        <v>1</v>
      </c>
      <c r="CQ28">
        <f>IF($AE$4="",1,--(OR(SUMPRODUCT(--(TRIM(MID(SUBSTITUTE(SUBSTITUTE($AE$4,"/",","),",",REPT(" ",99)),(ROW($1:$8)-1)*99+1,99))&lt;&gt;""),--ISNUMBER(SEARCH(TRIM(MID(SUBSTITUTE(SUBSTITUTE($AE$4,"/",","),",",REPT(" ",99)),(ROW($1:$8)-1)*99+1,99)),IFERROR(('Final Calculation Sheet'!$AD$27)&amp;"",""))))&gt;0,AND(ISNUMBER(SEARCH("blank",$AE$4)),NOT(ISNUMBER(SEARCH("nonblank",$AE$4))),IFERROR(('Final Calculation Sheet'!$AD$27)&amp;"","")=""),AND(OR(ISNUMBER(SEARCH("nonblank",$AE$4)),ISNUMBER(SEARCH("&lt;&gt;",$AE$4))),IFERROR(('Final Calculation Sheet'!$AD$27)&amp;"","")&lt;&gt;""),AND(TRIM($AE$4)="",IFERROR(('Final Calculation Sheet'!$AD$27)&amp;"","")=""))))</f>
        <v>1</v>
      </c>
      <c r="CR28">
        <f>IF($AF$4="",1,--(OR(SUMPRODUCT(--(TRIM(MID(SUBSTITUTE(SUBSTITUTE($AF$4,"/",","),",",REPT(" ",99)),(ROW($1:$8)-1)*99+1,99))&lt;&gt;""),--ISNUMBER(SEARCH(TRIM(MID(SUBSTITUTE(SUBSTITUTE($AF$4,"/",","),",",REPT(" ",99)),(ROW($1:$8)-1)*99+1,99)),IFERROR(('Final Calculation Sheet'!$AE$27)&amp;"",""))))&gt;0,AND(ISNUMBER(SEARCH("blank",$AF$4)),NOT(ISNUMBER(SEARCH("nonblank",$AF$4))),IFERROR(('Final Calculation Sheet'!$AE$27)&amp;"","")=""),AND(OR(ISNUMBER(SEARCH("nonblank",$AF$4)),ISNUMBER(SEARCH("&lt;&gt;",$AF$4))),IFERROR(('Final Calculation Sheet'!$AE$27)&amp;"","")&lt;&gt;""),AND(TRIM($AF$4)="",IFERROR(('Final Calculation Sheet'!$AE$27)&amp;"","")=""))))</f>
        <v>1</v>
      </c>
      <c r="CS28">
        <f>IF($AG$4="",1,--(OR(SUMPRODUCT(--(TRIM(MID(SUBSTITUTE(SUBSTITUTE($AG$4,"/",","),",",REPT(" ",99)),(ROW($1:$8)-1)*99+1,99))&lt;&gt;""),--ISNUMBER(SEARCH(TRIM(MID(SUBSTITUTE(SUBSTITUTE($AG$4,"/",","),",",REPT(" ",99)),(ROW($1:$8)-1)*99+1,99)),IFERROR(('Final Calculation Sheet'!$AF$27)&amp;"",""))))&gt;0,AND(ISNUMBER(SEARCH("blank",$AG$4)),NOT(ISNUMBER(SEARCH("nonblank",$AG$4))),IFERROR(('Final Calculation Sheet'!$AF$27)&amp;"","")=""),AND(OR(ISNUMBER(SEARCH("nonblank",$AG$4)),ISNUMBER(SEARCH("&lt;&gt;",$AG$4))),IFERROR(('Final Calculation Sheet'!$AF$27)&amp;"","")&lt;&gt;""),AND(TRIM($AG$4)="",IFERROR(('Final Calculation Sheet'!$AF$27)&amp;"","")=""))))</f>
        <v>1</v>
      </c>
      <c r="CT28">
        <f>IF($AH$4="",1,--(OR(SUMPRODUCT(--(TRIM(MID(SUBSTITUTE(SUBSTITUTE($AH$4,"/",","),",",REPT(" ",99)),(ROW($1:$8)-1)*99+1,99))&lt;&gt;""),--ISNUMBER(SEARCH(TRIM(MID(SUBSTITUTE(SUBSTITUTE($AH$4,"/",","),",",REPT(" ",99)),(ROW($1:$8)-1)*99+1,99)),IFERROR(('Final Calculation Sheet'!$AG$27)&amp;"",""))))&gt;0,AND(ISNUMBER(SEARCH("blank",$AH$4)),NOT(ISNUMBER(SEARCH("nonblank",$AH$4))),IFERROR(('Final Calculation Sheet'!$AG$27)&amp;"","")=""),AND(OR(ISNUMBER(SEARCH("nonblank",$AH$4)),ISNUMBER(SEARCH("&lt;&gt;",$AH$4))),IFERROR(('Final Calculation Sheet'!$AG$27)&amp;"","")&lt;&gt;""),AND(TRIM($AH$4)="",IFERROR(('Final Calculation Sheet'!$AG$27)&amp;"","")=""))))</f>
        <v>1</v>
      </c>
      <c r="CU28">
        <f>IF($AI$4="",1,--(OR(SUMPRODUCT(--(TRIM(MID(SUBSTITUTE(SUBSTITUTE($AI$4,"/",","),",",REPT(" ",99)),(ROW($1:$8)-1)*99+1,99))&lt;&gt;""),--ISNUMBER(SEARCH(TRIM(MID(SUBSTITUTE(SUBSTITUTE($AI$4,"/",","),",",REPT(" ",99)),(ROW($1:$8)-1)*99+1,99)),IFERROR((IF('Final Calculation Sheet'!$AD$27&lt;=5,"SETTLED","OUTSTANDING"))&amp;"",""))))&gt;0,AND(ISNUMBER(SEARCH("blank",$AI$4)),NOT(ISNUMBER(SEARCH("nonblank",$AI$4))),IFERROR((IF('Final Calculation Sheet'!$AD$27&lt;=5,"SETTLED","OUTSTANDING"))&amp;"","")=""),AND(OR(ISNUMBER(SEARCH("nonblank",$AI$4)),ISNUMBER(SEARCH("&lt;&gt;",$AI$4))),IFERROR((IF('Final Calculation Sheet'!$AD$27&lt;=5,"SETTLED","OUTSTANDING"))&amp;"","")&lt;&gt;""),AND(TRIM($AI$4)="",IFERROR((IF('Final Calculation Sheet'!$AD$27&lt;=5,"SETTLED","OUTSTANDING"))&amp;"","")=""))))</f>
        <v>1</v>
      </c>
    </row>
    <row r="29" ht="15" customHeight="1" s="137">
      <c r="A29" s="67">
        <f>IF($BJ28&gt;0,INDEX($BA$5:$BA$41,MATCH(28,$BB$5:$BB$41,0)),IF(OR($BI28=1,$BL28=1,$BH28&gt;0),"∑",""))</f>
        <v>24</v>
      </c>
      <c r="B29" s="76">
        <f>IF($BJ28&gt;0,IF(INDEX('Final Calculation Sheet'!$F$4:$F$40,$BJ28-3)="","",INDEX('Final Calculation Sheet'!$F$4:$F$40,$BJ28-3)),"")</f>
        <v>2036</v>
      </c>
      <c r="C29" s="76" t="str">
        <f>IF($BJ28&gt;0,IF(INDEX('Final Calculation Sheet'!$G$4:$G$40,$BJ28-3)="","",INDEX('Final Calculation Sheet'!$G$4:$G$40,$BJ28-3)),IF(OR($BI28=1,$BL28=1,$BH28&gt;0),IF($BI28=1,37,IF($BL28=1,37-INDEX($BD$4:$BD$13,10),INDEX($BD$4:$BD$13,$BH28)))&amp;" lot(s)",""))</f>
        <v>M I SCRAP TRADERS</v>
      </c>
      <c r="D29" s="80" t="str">
        <f>IF($BJ28&gt;0,IF(INDEX('Final Calculation Sheet'!$B$4:$B$40,$BJ28-3)="","",INDEX('Final Calculation Sheet'!$B$4:$B$40,$BJ28-3)),IF(OR($BI28=1,$BL28=1,$BH28&gt;0),IF($BI28=1,"GRAND TOTAL  —  matching + remaining",IF($BL28=1,"TOTAL MATCHED  —  every group together",IF($BH28=10,"REMAINING  —  did not match the search",IF($BH28=9,IF(COUNTIF($A$4:$AI$4,"&lt;&gt;")&gt;0,"FILTERED LOTS  —  column fields","ALL LOTS  —  nothing typed in the box"),"GROUP "&amp;$BH28&amp;" TOTAL  —  lots matching  "&amp;INDEX($AR$6:$AY$6,$BH28))))),""))</f>
        <v>Mix Scrap (Tower angles &amp; 0.2 ACSR Condutor pieces)</v>
      </c>
      <c r="E29" s="80">
        <f>IF($BJ28&gt;0,IF(INDEX('Final Calculation Sheet'!$D$4:$D$40,$BJ28-3)="","",INDEX('Final Calculation Sheet'!$D$4:$D$40,$BJ28-3)),IF(OR($BI28=1,$BL28=1,$BH28&gt;0),"–",""))</f>
        <v>21978</v>
      </c>
      <c r="F29" s="80">
        <f>IF($BJ28&gt;0,IF(INDEX('Final Calculation Sheet'!$A$4:$A$40,$BJ28-3)="","",INDEX('Final Calculation Sheet'!$A$4:$A$40,$BJ28-3)),IF(OR($BI28=1,$BL28=1,$BH28&gt;0),IF($BI28=1,SUM('Final Calculation Sheet'!$A$4:$A$40),IF($BL28=1,SUM('Final Calculation Sheet'!$A$4:$A$40)-SUMIFS('Final Calculation Sheet'!$A$4:$A$40,$AZ$5:$AZ$41,10),SUMIFS('Final Calculation Sheet'!$A$4:$A$40,$AZ$5:$AZ$41,$BH28))),""))</f>
        <v>8.1999999999999993</v>
      </c>
      <c r="G29" s="80" t="str">
        <f>IF($BJ28&gt;0,IF(INDEX('Final Calculation Sheet'!$E$4:$E$40,$BJ28-3)="","",INDEX('Final Calculation Sheet'!$E$4:$E$40,$BJ28-3)),IF(OR($BI28=1,$BL28=1,$BH28&gt;0),"–",""))</f>
        <v>MT</v>
      </c>
      <c r="H29" s="70">
        <f>IF($BJ28&gt;0,IF(INDEX('Final Calculation Sheet'!$C$4:$C$40,$BJ28-3)="","",INDEX('Final Calculation Sheet'!$C$4:$C$40,$BJ28-3)),IF(OR($BI28=1,$BL28=1,$BH28&gt;0),"–",""))</f>
        <v>67000</v>
      </c>
      <c r="I29" s="70">
        <f>IF($BJ28&gt;0,IF(INDEX('Final Calculation Sheet'!$H$4:$H$40,$BJ28-3)="","",INDEX('Final Calculation Sheet'!$H$4:$H$40,$BJ28-3)),IF(OR($BI28=1,$BL28=1,$BH28&gt;0),IF($BI28=1,SUM('Final Calculation Sheet'!$H$4:$H$40),IF($BL28=1,SUM('Final Calculation Sheet'!$H$4:$H$40)-SUMIFS('Final Calculation Sheet'!$H$4:$H$40,$AZ$5:$AZ$41,10),SUMIFS('Final Calculation Sheet'!$H$4:$H$40,$AZ$5:$AZ$41,$BH28))),""))</f>
        <v>549400</v>
      </c>
      <c r="J29" s="70">
        <f>IF($BJ28&gt;0,IF(INDEX('Final Calculation Sheet'!$I$4:$I$40,$BJ28-3)="","",INDEX('Final Calculation Sheet'!$I$4:$I$40,$BJ28-3)),IF(OR($BI28=1,$BL28=1,$BH28&gt;0),IF($BI28=1,SUM('Final Calculation Sheet'!$I$4:$I$40),IF($BL28=1,SUM('Final Calculation Sheet'!$I$4:$I$40)-SUMIFS('Final Calculation Sheet'!$I$4:$I$40,$AZ$5:$AZ$41,10),SUMIFS('Final Calculation Sheet'!$I$4:$I$40,$AZ$5:$AZ$41,$BH28))),""))</f>
        <v>98892</v>
      </c>
      <c r="K29" s="70">
        <f>IF($BJ28&gt;0,IF(INDEX('Final Calculation Sheet'!$J$4:$J$40,$BJ28-3)="","",INDEX('Final Calculation Sheet'!$J$4:$J$40,$BJ28-3)),IF(OR($BI28=1,$BL28=1,$BH28&gt;0),IF($BI28=1,SUM('Final Calculation Sheet'!$J$4:$J$40),IF($BL28=1,SUM('Final Calculation Sheet'!$J$4:$J$40)-SUMIFS('Final Calculation Sheet'!$J$4:$J$40,$AZ$5:$AZ$41,10),SUMIFS('Final Calculation Sheet'!$J$4:$J$40,$AZ$5:$AZ$41,$BH28))),""))</f>
        <v>648292</v>
      </c>
      <c r="L29" s="70">
        <f>IF($BJ28&gt;0,IF(INDEX('Final Calculation Sheet'!$K$4:$K$40,$BJ28-3)="","",INDEX('Final Calculation Sheet'!$K$4:$K$40,$BJ28-3)),IF(OR($BI28=1,$BL28=1,$BH28&gt;0),IF($BI28=1,SUM('Final Calculation Sheet'!$K$4:$K$40),IF($BL28=1,SUM('Final Calculation Sheet'!$K$4:$K$40)-SUMIFS('Final Calculation Sheet'!$K$4:$K$40,$AZ$5:$AZ$41,10),SUMIFS('Final Calculation Sheet'!$K$4:$K$40,$AZ$5:$AZ$41,$BH28))),""))</f>
        <v>12966</v>
      </c>
      <c r="M29" s="70">
        <f>IF($BJ28&gt;0,IF(INDEX('Final Calculation Sheet'!$L$4:$L$40,$BJ28-3)="","",INDEX('Final Calculation Sheet'!$L$4:$L$40,$BJ28-3)),IF(OR($BI28=1,$BL28=1,$BH28&gt;0),IF($BI28=1,SUM('Final Calculation Sheet'!$L$4:$L$40),IF($BL28=1,SUM('Final Calculation Sheet'!$L$4:$L$40)-SUMIFS('Final Calculation Sheet'!$L$4:$L$40,$AZ$5:$AZ$41,10),SUMIFS('Final Calculation Sheet'!$L$4:$L$40,$AZ$5:$AZ$41,$BH28))),""))</f>
        <v>549.4</v>
      </c>
      <c r="N29" s="70">
        <f>IF($BJ28&gt;0,IF(INDEX('Final Calculation Sheet'!$M$4:$M$40,$BJ28-3)="","",INDEX('Final Calculation Sheet'!$M$4:$M$40,$BJ28-3)),IF(OR($BI28=1,$BL28=1,$BH28&gt;0),IF($BI28=1,SUM('Final Calculation Sheet'!$M$4:$M$40),IF($BL28=1,SUM('Final Calculation Sheet'!$M$4:$M$40)-SUMIFS('Final Calculation Sheet'!$M$4:$M$40,$AZ$5:$AZ$41,10),SUMIFS('Final Calculation Sheet'!$M$4:$M$40,$AZ$5:$AZ$41,$BH28))),""))</f>
        <v>14586.57</v>
      </c>
      <c r="O29" s="71">
        <f>IF($BJ28&gt;0,IF(INDEX('Final Calculation Sheet'!$N$4:$N$40,$BJ28-3)="","",INDEX('Final Calculation Sheet'!$N$4:$N$40,$BJ28-3)),IF(OR($BI28=1,$BL28=1,$BH28&gt;0),IF($BI28=1,SUM('Final Calculation Sheet'!$N$4:$N$40),IF($BL28=1,SUM('Final Calculation Sheet'!$N$4:$N$40)-SUMIFS('Final Calculation Sheet'!$N$4:$N$40,$AZ$5:$AZ$41,10),SUMIFS('Final Calculation Sheet'!$N$4:$N$40,$AZ$5:$AZ$41,$BH28))),""))</f>
        <v>247.23000000000002</v>
      </c>
      <c r="P29" s="70">
        <f>IF($BJ28&gt;0,IF(INDEX('Final Calculation Sheet'!$O$4:$O$40,$BJ28-3)="","",INDEX('Final Calculation Sheet'!$O$4:$O$40,$BJ28-3)),IF(OR($BI28=1,$BL28=1,$BH28&gt;0),IF($BI28=1,SUM('Final Calculation Sheet'!$O$4:$O$40),IF($BL28=1,SUM('Final Calculation Sheet'!$O$4:$O$40)-SUMIFS('Final Calculation Sheet'!$O$4:$O$40,$AZ$5:$AZ$41,10),SUMIFS('Final Calculation Sheet'!$O$4:$O$40,$AZ$5:$AZ$41,$BH28))),""))</f>
        <v>14339.34</v>
      </c>
      <c r="Q29" s="70">
        <f>IF($BJ28&gt;0,IF(INDEX('Final Calculation Sheet'!$P$4:$P$40,$BJ28-3)="","",INDEX('Final Calculation Sheet'!$P$4:$P$40,$BJ28-3)),IF(OR($BI28=1,$BL28=1,$BH28&gt;0),IF($BI28=1,SUM('Final Calculation Sheet'!$P$4:$P$40),IF($BL28=1,SUM('Final Calculation Sheet'!$P$4:$P$40)-SUMIFS('Final Calculation Sheet'!$P$4:$P$40,$AZ$5:$AZ$41,10),SUMIFS('Final Calculation Sheet'!$P$4:$P$40,$AZ$5:$AZ$41,$BH28))),""))</f>
        <v>14889</v>
      </c>
      <c r="R29" s="72">
        <f>IF($BJ28&gt;0,IF(INDEX('Final Calculation Sheet'!$Q$4:$Q$40,$BJ28-3)="","",INDEX('Final Calculation Sheet'!$Q$4:$Q$40,$BJ28-3)),IF(OR($BI28=1,$BL28=1,$BH28&gt;0),"–",""))</f>
        <v>0.02</v>
      </c>
      <c r="S29" s="70">
        <f>IF($BJ28&gt;0,IF(INDEX('Final Calculation Sheet'!$R$4:$R$40,$BJ28-3)="","",INDEX('Final Calculation Sheet'!$R$4:$R$40,$BJ28-3)),IF(OR($BI28=1,$BL28=1,$BH28&gt;0),IF($BI28=1,SUM('Final Calculation Sheet'!$R$4:$R$40),IF($BL28=1,SUM('Final Calculation Sheet'!$R$4:$R$40)-SUMIFS('Final Calculation Sheet'!$R$4:$R$40,$AZ$5:$AZ$41,10),SUMIFS('Final Calculation Sheet'!$R$4:$R$40,$AZ$5:$AZ$41,$BH28))),""))</f>
        <v>10988</v>
      </c>
      <c r="T29" s="70">
        <f>IF($BJ28&gt;0,IF(INDEX('Final Calculation Sheet'!$S$4:$S$40,$BJ28-3)="","",INDEX('Final Calculation Sheet'!$S$4:$S$40,$BJ28-3)),IF(OR($BI28=1,$BL28=1,$BH28&gt;0),IF($BI28=1,SUM('Final Calculation Sheet'!$S$4:$S$40),IF($BL28=1,SUM('Final Calculation Sheet'!$S$4:$S$40)-SUMIFS('Final Calculation Sheet'!$S$4:$S$40,$AZ$5:$AZ$41,10),SUMIFS('Final Calculation Sheet'!$S$4:$S$40,$AZ$5:$AZ$41,$BH28))),""))</f>
        <v>635381</v>
      </c>
      <c r="U29" s="70">
        <f>IF($BJ28&gt;0,IF(INDEX('Final Calculation Sheet'!$T$4:$T$40,$BJ28-3)="","",INDEX('Final Calculation Sheet'!$T$4:$T$40,$BJ28-3)),IF(OR($BI28=1,$BL28=1,$BH28&gt;0),IF($BI28=1,SUM('Final Calculation Sheet'!$T$4:$T$40),IF($BL28=1,SUM('Final Calculation Sheet'!$T$4:$T$40)-SUMIFS('Final Calculation Sheet'!$T$4:$T$40,$AZ$5:$AZ$41,10),SUMIFS('Final Calculation Sheet'!$T$4:$T$40,$AZ$5:$AZ$41,$BH28))),""))</f>
        <v>137350</v>
      </c>
      <c r="V29" s="73">
        <f>IF($BJ28&gt;0,IF(INDEX('Final Calculation Sheet'!$U$4:$U$40,$BJ28-3)="","",INDEX('Final Calculation Sheet'!$U$4:$U$40,$BJ28-3)),IF(OR($BI28=1,$BL28=1,$BH28&gt;0),IF($BI28=1,SUM('Final Calculation Sheet'!$U$4:$U$40),IF($BL28=1,SUM('Final Calculation Sheet'!$U$4:$U$40)-SUMIFS('Final Calculation Sheet'!$U$4:$U$40,$AZ$5:$AZ$41,10),SUMIFS('Final Calculation Sheet'!$U$4:$U$40,$AZ$5:$AZ$41,$BH28))),""))</f>
        <v>137350</v>
      </c>
      <c r="W29" s="70" t="str">
        <f>IF($BJ28&gt;0,IF(INDEX('Final Calculation Sheet'!$V$4:$V$40,$BJ28-3)="","",INDEX('Final Calculation Sheet'!$V$4:$V$40,$BJ28-3)),IF(OR($BI28=1,$BL28=1,$BH28&gt;0),"–",""))</f>
        <v>14.08.2026</v>
      </c>
      <c r="X29" s="70">
        <f>IF($BJ28&gt;0,IF(INDEX('Final Calculation Sheet'!$W$4:$W$40,$BJ28-3)="","",INDEX('Final Calculation Sheet'!$W$4:$W$40,$BJ28-3)),IF(OR($BI28=1,$BL28=1,$BH28&gt;0),IF($BI28=1,SUM('Final Calculation Sheet'!$W$4:$W$40),IF($BL28=1,SUM('Final Calculation Sheet'!$W$4:$W$40)-SUMIFS('Final Calculation Sheet'!$W$4:$W$40,$AZ$5:$AZ$41,10),SUMIFS('Final Calculation Sheet'!$W$4:$W$40,$AZ$5:$AZ$41,$BH28))),""))</f>
        <v>498031</v>
      </c>
      <c r="Y29" s="70" t="str">
        <f>IF($BJ28&gt;0,IF(INDEX('Final Calculation Sheet'!$X$4:$X$40,$BJ28-3)="","",INDEX('Final Calculation Sheet'!$X$4:$X$40,$BJ28-3)),IF(OR($BI28=1,$BL28=1,$BH28&gt;0),IF($BI28=1,SUM('Final Calculation Sheet'!$X$4:$X$40),IF($BL28=1,SUM('Final Calculation Sheet'!$X$4:$X$40)-SUMIFS('Final Calculation Sheet'!$X$4:$X$40,$AZ$5:$AZ$41,10),SUMIFS('Final Calculation Sheet'!$X$4:$X$40,$AZ$5:$AZ$41,$BH28))),""))</f>
        <v/>
      </c>
      <c r="Z29" s="70">
        <f>IF($BJ28&gt;0,IF(INDEX('Final Calculation Sheet'!$Y$4:$Y$40,$BJ28-3)="","",INDEX('Final Calculation Sheet'!$Y$4:$Y$40,$BJ28-3)),IF(OR($BI28=1,$BL28=1,$BH28&gt;0),"–",""))</f>
        <v>0</v>
      </c>
      <c r="AA29" s="70">
        <f>IF($BJ28&gt;0,IF(INDEX('Final Calculation Sheet'!$Z$4:$Z$40,$BJ28-3)="","",INDEX('Final Calculation Sheet'!$Z$4:$Z$40,$BJ28-3)),IF(OR($BI28=1,$BL28=1,$BH28&gt;0),IF($BI28=1,SUM('Final Calculation Sheet'!$Z$4:$Z$40),IF($BL28=1,SUM('Final Calculation Sheet'!$Z$4:$Z$40)-SUMIFS('Final Calculation Sheet'!$Z$4:$Z$40,$AZ$5:$AZ$41,10),SUMIFS('Final Calculation Sheet'!$Z$4:$Z$40,$AZ$5:$AZ$41,$BH28))),""))</f>
        <v>19448.760000000002</v>
      </c>
      <c r="AB29" s="70" t="str">
        <f>IF($BJ28&gt;0,IF(INDEX('Final Calculation Sheet'!$AA$4:$AA$40,$BJ28-3)="","",INDEX('Final Calculation Sheet'!$AA$4:$AA$40,$BJ28-3)),IF(OR($BI28=1,$BL28=1,$BH28&gt;0),IF($BI28=1,SUM('Final Calculation Sheet'!$AA$4:$AA$40),IF($BL28=1,SUM('Final Calculation Sheet'!$AA$4:$AA$40)-SUMIFS('Final Calculation Sheet'!$AA$4:$AA$40,$AZ$5:$AZ$41,10),SUMIFS('Final Calculation Sheet'!$AA$4:$AA$40,$AZ$5:$AZ$41,$BH28))),""))</f>
        <v/>
      </c>
      <c r="AC29" s="70" t="str">
        <f>IF($BJ28&gt;0,IF(INDEX('Final Calculation Sheet'!$AB$4:$AB$40,$BJ28-3)="","",INDEX('Final Calculation Sheet'!$AB$4:$AB$40,$BJ28-3)),IF(OR($BI28=1,$BL28=1,$BH28&gt;0),"–",""))</f>
        <v/>
      </c>
      <c r="AD29" s="70">
        <f>IF($BJ28&gt;0,IF(INDEX('Final Calculation Sheet'!$AC$4:$AC$40,$BJ28-3)="","",INDEX('Final Calculation Sheet'!$AC$4:$AC$40,$BJ28-3)),IF(OR($BI28=1,$BL28=1,$BH28&gt;0),IF($BI28=1,SUM('Final Calculation Sheet'!$AC$4:$AC$40),IF($BL28=1,SUM('Final Calculation Sheet'!$AC$4:$AC$40)-SUMIFS('Final Calculation Sheet'!$AC$4:$AC$40,$AZ$5:$AZ$41,10),SUMIFS('Final Calculation Sheet'!$AC$4:$AC$40,$AZ$5:$AZ$41,$BH28))),""))</f>
        <v>137350</v>
      </c>
      <c r="AE29" s="70">
        <f>IF($BJ28&gt;0,IF(INDEX('Final Calculation Sheet'!$AD$4:$AD$40,$BJ28-3)="","",INDEX('Final Calculation Sheet'!$AD$4:$AD$40,$BJ28-3)),IF(OR($BI28=1,$BL28=1,$BH28&gt;0),IF($BI28=1,SUM('Final Calculation Sheet'!$AD$4:$AD$40),IF($BL28=1,SUM('Final Calculation Sheet'!$AD$4:$AD$40)-SUMIFS('Final Calculation Sheet'!$AD$4:$AD$40,$AZ$5:$AZ$41,10),SUMIFS('Final Calculation Sheet'!$AD$4:$AD$40,$AZ$5:$AZ$41,$BH28))),""))</f>
        <v>498031</v>
      </c>
      <c r="AF29" s="70" t="str">
        <f>IF($BJ28&gt;0,IF(INDEX('Final Calculation Sheet'!$AE$4:$AE$40,$BJ28-3)="","",INDEX('Final Calculation Sheet'!$AE$4:$AE$40,$BJ28-3)),IF(OR($BI28=1,$BL28=1,$BH28&gt;0),"–",""))</f>
        <v/>
      </c>
      <c r="AG29" s="74" t="str">
        <f>IF($BJ28&gt;0,IF(INDEX('Final Calculation Sheet'!$AF$4:$AF$40,$BJ28-3)="","",INDEX('Final Calculation Sheet'!$AF$4:$AF$40,$BJ28-3)),IF(OR($BI28=1,$BL28=1,$BH28&gt;0),"–",""))</f>
        <v/>
      </c>
      <c r="AH29" s="70" t="str">
        <f>IF($BJ28&gt;0,IF(INDEX('Final Calculation Sheet'!$AG$4:$AG$40,$BJ28-3)="","",INDEX('Final Calculation Sheet'!$AG$4:$AG$40,$BJ28-3)),IF(OR($BI28=1,$BL28=1,$BH28&gt;0),"–",""))</f>
        <v/>
      </c>
      <c r="AI29" s="75" t="str">
        <f>IF($BJ28&gt;0,IF(INDEX('Final Calculation Sheet'!$AD$4:$AD$40,$BJ28-3)="","",IF(INDEX('Final Calculation Sheet'!$AD$4:$AD$40,$BJ28-3)&lt;=5,"SETTLED","OUTSTANDING")),IF(OR($BI28=1,$BL28=1,$BH28&gt;0),IF(IF($BI28=1,SUM('Final Calculation Sheet'!$AD$4:$AD$40),IF($BL28=1,SUM('Final Calculation Sheet'!$AD$4:$AD$40)-SUMIFS('Final Calculation Sheet'!$AD$4:$AD$40,$AZ$5:$AZ$41,10),SUMIFS('Final Calculation Sheet'!$AD$4:$AD$40,$AZ$5:$AZ$41,$BH28)))&lt;=5,"ALL SETTLED","OUTSTANDING"),""))</f>
        <v>OUTSTANDING</v>
      </c>
      <c r="AK29" t="str">
        <f>IF($F$3="Lot No.",'Final Calculation Sheet'!$F$28,IF($F$3="Buyer",'Final Calculation Sheet'!$G$28,IF($F$3="Lot Name",'Final Calculation Sheet'!$B$28,IF($F$3="Bid Sheet",'Final Calculation Sheet'!$D$28,IF($F$3="Unit",'Final Calculation Sheet'!$E$28,'Final Calculation Sheet'!$F$28&amp;" "&amp;'Final Calculation Sheet'!$G$28&amp;" "&amp;'Final Calculation Sheet'!$B$28)))))</f>
        <v>2037 WATAN SCRAP TRADERS Scrap of empty oil Barrels</v>
      </c>
      <c r="AL29">
        <f>AL28+IF($B$3="",0,--(SUMPRODUCT(--($AR$6:$AY$6&lt;&gt;""),--ISNUMBER(SEARCH($AR$6:$AY$6,$AK29)))&gt;0))</f>
        <v>0</v>
      </c>
      <c r="AM29">
        <f>IF(COUNTIF($BM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1</v>
      </c>
      <c r="AZ29">
        <f>IF($B$3="",IF(COUNTIF($A$4:$AI$4,"&lt;&gt;")=0,9,IF($AM29=1,9,10)),IF($AM29=0,10,IF(AND($AR$6&lt;&gt;"",ISNUMBER(SEARCH($AR$6,$AK29))),1,IF(AND($AS$6&lt;&gt;"",ISNUMBER(SEARCH($AS$6,$AK29))),2,IF(AND($AT$6&lt;&gt;"",ISNUMBER(SEARCH($AT$6,$AK29))),3,IF(AND($AU$6&lt;&gt;"",ISNUMBER(SEARCH($AU$6,$AK29))),4,IF(AND($AV$6&lt;&gt;"",ISNUMBER(SEARCH($AV$6,$AK29))),5,IF(AND($AW$6&lt;&gt;"",ISNUMBER(SEARCH($AW$6,$AK29))),6,IF(AND($AX$6&lt;&gt;"",ISNUMBER(SEARCH($AX$6,$AK29))),7,IF(AND($AY$6&lt;&gt;"",ISNUMBER(SEARCH($AY$6,$AK29))),8,0))))))))))</f>
        <v>9</v>
      </c>
      <c r="BA29">
        <f>SUMPRODUCT(($AZ$5:$AZ$41=$AZ29)*($BC$5:$BC$41&lt;$BC29))+1</f>
        <v>25</v>
      </c>
      <c r="BB29">
        <f>IF(INDEX($BF$4:$BF$13,$AZ29)=0,0,INDEX($BE$4:$BE$13,$AZ29)+$BA29-1)</f>
        <v>29</v>
      </c>
      <c r="BC29" t="n">
        <v>28</v>
      </c>
      <c r="BH29">
        <f>IFERROR(MATCH(29,$BF$4:$BF$13,0),0)</f>
        <v>0</v>
      </c>
      <c r="BI29">
        <f>IF(29=$BG$5,1,0)</f>
        <v>0</v>
      </c>
      <c r="BJ29">
        <f>IF(OR($BH29&gt;0,$BI29=1,$BL29=1),0,IFERROR(INDEX($BC$5:$BC$41,MATCH(29,$BB$5:$BB$41,0)),0))</f>
        <v>28</v>
      </c>
      <c r="BK29">
        <f>IF($BJ29&gt;0,IF(INDEX($AZ$5:$AZ$41,MATCH(29,$BB$5:$BB$41,0))=10,1,0),IF($BH29=10,1,0))</f>
        <v>0</v>
      </c>
      <c r="BL29">
        <f>IF(29=$BG$4,1,0)</f>
        <v>0</v>
      </c>
      <c r="BM29">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1</v>
      </c>
      <c r="BN29">
        <f>IF($B$4="",1,--(OR(SUMPRODUCT(--(TRIM(MID(SUBSTITUTE(SUBSTITUTE($B$4,"/",","),",",REPT(" ",99)),(ROW($1:$8)-1)*99+1,99))&lt;&gt;""),--ISNUMBER(SEARCH(TRIM(MID(SUBSTITUTE(SUBSTITUTE($B$4,"/",","),",",REPT(" ",99)),(ROW($1:$8)-1)*99+1,99)),IFERROR(('Final Calculation Sheet'!$F$28)&amp;"",""))))&gt;0,AND(ISNUMBER(SEARCH("blank",$B$4)),NOT(ISNUMBER(SEARCH("nonblank",$B$4))),IFERROR(('Final Calculation Sheet'!$F$28)&amp;"","")=""),AND(OR(ISNUMBER(SEARCH("nonblank",$B$4)),ISNUMBER(SEARCH("&lt;&gt;",$B$4))),IFERROR(('Final Calculation Sheet'!$F$28)&amp;"","")&lt;&gt;""),AND(TRIM($B$4)="",IFERROR(('Final Calculation Sheet'!$F$28)&amp;"","")=""))))</f>
        <v>1</v>
      </c>
      <c r="BO29">
        <f>IF($C$4="",1,--(OR(SUMPRODUCT(--(TRIM(MID(SUBSTITUTE(SUBSTITUTE($C$4,"/",","),",",REPT(" ",99)),(ROW($1:$8)-1)*99+1,99))&lt;&gt;""),--ISNUMBER(SEARCH(TRIM(MID(SUBSTITUTE(SUBSTITUTE($C$4,"/",","),",",REPT(" ",99)),(ROW($1:$8)-1)*99+1,99)),IFERROR(('Final Calculation Sheet'!$G$28)&amp;"",""))))&gt;0,AND(ISNUMBER(SEARCH("blank",$C$4)),NOT(ISNUMBER(SEARCH("nonblank",$C$4))),IFERROR(('Final Calculation Sheet'!$G$28)&amp;"","")=""),AND(OR(ISNUMBER(SEARCH("nonblank",$C$4)),ISNUMBER(SEARCH("&lt;&gt;",$C$4))),IFERROR(('Final Calculation Sheet'!$G$28)&amp;"","")&lt;&gt;""),AND(TRIM($C$4)="",IFERROR(('Final Calculation Sheet'!$G$28)&amp;"","")=""))))</f>
        <v>1</v>
      </c>
      <c r="BP29">
        <f>IF($D$4="",1,--(OR(SUMPRODUCT(--(TRIM(MID(SUBSTITUTE(SUBSTITUTE($D$4,"/",","),",",REPT(" ",99)),(ROW($1:$8)-1)*99+1,99))&lt;&gt;""),--ISNUMBER(SEARCH(TRIM(MID(SUBSTITUTE(SUBSTITUTE($D$4,"/",","),",",REPT(" ",99)),(ROW($1:$8)-1)*99+1,99)),IFERROR(('Final Calculation Sheet'!$B$28)&amp;"",""))))&gt;0,AND(ISNUMBER(SEARCH("blank",$D$4)),NOT(ISNUMBER(SEARCH("nonblank",$D$4))),IFERROR(('Final Calculation Sheet'!$B$28)&amp;"","")=""),AND(OR(ISNUMBER(SEARCH("nonblank",$D$4)),ISNUMBER(SEARCH("&lt;&gt;",$D$4))),IFERROR(('Final Calculation Sheet'!$B$28)&amp;"","")&lt;&gt;""),AND(TRIM($D$4)="",IFERROR(('Final Calculation Sheet'!$B$28)&amp;"","")=""))))</f>
        <v>1</v>
      </c>
      <c r="BQ29">
        <f>IF($E$4="",1,--(OR(SUMPRODUCT(--(TRIM(MID(SUBSTITUTE(SUBSTITUTE($E$4,"/",","),",",REPT(" ",99)),(ROW($1:$8)-1)*99+1,99))&lt;&gt;""),--ISNUMBER(SEARCH(TRIM(MID(SUBSTITUTE(SUBSTITUTE($E$4,"/",","),",",REPT(" ",99)),(ROW($1:$8)-1)*99+1,99)),IFERROR(('Final Calculation Sheet'!$D$28)&amp;"",""))))&gt;0,AND(ISNUMBER(SEARCH("blank",$E$4)),NOT(ISNUMBER(SEARCH("nonblank",$E$4))),IFERROR(('Final Calculation Sheet'!$D$28)&amp;"","")=""),AND(OR(ISNUMBER(SEARCH("nonblank",$E$4)),ISNUMBER(SEARCH("&lt;&gt;",$E$4))),IFERROR(('Final Calculation Sheet'!$D$28)&amp;"","")&lt;&gt;""),AND(TRIM($E$4)="",IFERROR(('Final Calculation Sheet'!$D$28)&amp;"","")=""))))</f>
        <v>1</v>
      </c>
      <c r="BR29">
        <f>IF($F$4="",1,--(OR(SUMPRODUCT(--(TRIM(MID(SUBSTITUTE(SUBSTITUTE($F$4,"/",","),",",REPT(" ",99)),(ROW($1:$8)-1)*99+1,99))&lt;&gt;""),--ISNUMBER(SEARCH(TRIM(MID(SUBSTITUTE(SUBSTITUTE($F$4,"/",","),",",REPT(" ",99)),(ROW($1:$8)-1)*99+1,99)),IFERROR(('Final Calculation Sheet'!$A$28)&amp;"",""))))&gt;0,AND(ISNUMBER(SEARCH("blank",$F$4)),NOT(ISNUMBER(SEARCH("nonblank",$F$4))),IFERROR(('Final Calculation Sheet'!$A$28)&amp;"","")=""),AND(OR(ISNUMBER(SEARCH("nonblank",$F$4)),ISNUMBER(SEARCH("&lt;&gt;",$F$4))),IFERROR(('Final Calculation Sheet'!$A$28)&amp;"","")&lt;&gt;""),AND(TRIM($F$4)="",IFERROR(('Final Calculation Sheet'!$A$28)&amp;"","")=""))))</f>
        <v>1</v>
      </c>
      <c r="BS29">
        <f>IF($G$4="",1,--(OR(SUMPRODUCT(--(TRIM(MID(SUBSTITUTE(SUBSTITUTE($G$4,"/",","),",",REPT(" ",99)),(ROW($1:$8)-1)*99+1,99))&lt;&gt;""),--ISNUMBER(SEARCH(TRIM(MID(SUBSTITUTE(SUBSTITUTE($G$4,"/",","),",",REPT(" ",99)),(ROW($1:$8)-1)*99+1,99)),IFERROR(('Final Calculation Sheet'!$E$28)&amp;"",""))))&gt;0,AND(ISNUMBER(SEARCH("blank",$G$4)),NOT(ISNUMBER(SEARCH("nonblank",$G$4))),IFERROR(('Final Calculation Sheet'!$E$28)&amp;"","")=""),AND(OR(ISNUMBER(SEARCH("nonblank",$G$4)),ISNUMBER(SEARCH("&lt;&gt;",$G$4))),IFERROR(('Final Calculation Sheet'!$E$28)&amp;"","")&lt;&gt;""),AND(TRIM($G$4)="",IFERROR(('Final Calculation Sheet'!$E$28)&amp;"","")=""))))</f>
        <v>1</v>
      </c>
      <c r="BT29">
        <f>IF($H$4="",1,--(OR(SUMPRODUCT(--(TRIM(MID(SUBSTITUTE(SUBSTITUTE($H$4,"/",","),",",REPT(" ",99)),(ROW($1:$8)-1)*99+1,99))&lt;&gt;""),--ISNUMBER(SEARCH(TRIM(MID(SUBSTITUTE(SUBSTITUTE($H$4,"/",","),",",REPT(" ",99)),(ROW($1:$8)-1)*99+1,99)),IFERROR(('Final Calculation Sheet'!$C$28)&amp;"",""))))&gt;0,AND(ISNUMBER(SEARCH("blank",$H$4)),NOT(ISNUMBER(SEARCH("nonblank",$H$4))),IFERROR(('Final Calculation Sheet'!$C$28)&amp;"","")=""),AND(OR(ISNUMBER(SEARCH("nonblank",$H$4)),ISNUMBER(SEARCH("&lt;&gt;",$H$4))),IFERROR(('Final Calculation Sheet'!$C$28)&amp;"","")&lt;&gt;""),AND(TRIM($H$4)="",IFERROR(('Final Calculation Sheet'!$C$28)&amp;"","")=""))))</f>
        <v>1</v>
      </c>
      <c r="BU29">
        <f>IF($I$4="",1,--(OR(SUMPRODUCT(--(TRIM(MID(SUBSTITUTE(SUBSTITUTE($I$4,"/",","),",",REPT(" ",99)),(ROW($1:$8)-1)*99+1,99))&lt;&gt;""),--ISNUMBER(SEARCH(TRIM(MID(SUBSTITUTE(SUBSTITUTE($I$4,"/",","),",",REPT(" ",99)),(ROW($1:$8)-1)*99+1,99)),IFERROR(('Final Calculation Sheet'!$H$28)&amp;"",""))))&gt;0,AND(ISNUMBER(SEARCH("blank",$I$4)),NOT(ISNUMBER(SEARCH("nonblank",$I$4))),IFERROR(('Final Calculation Sheet'!$H$28)&amp;"","")=""),AND(OR(ISNUMBER(SEARCH("nonblank",$I$4)),ISNUMBER(SEARCH("&lt;&gt;",$I$4))),IFERROR(('Final Calculation Sheet'!$H$28)&amp;"","")&lt;&gt;""),AND(TRIM($I$4)="",IFERROR(('Final Calculation Sheet'!$H$28)&amp;"","")=""))))</f>
        <v>1</v>
      </c>
      <c r="BV29">
        <f>IF($J$4="",1,--(OR(SUMPRODUCT(--(TRIM(MID(SUBSTITUTE(SUBSTITUTE($J$4,"/",","),",",REPT(" ",99)),(ROW($1:$8)-1)*99+1,99))&lt;&gt;""),--ISNUMBER(SEARCH(TRIM(MID(SUBSTITUTE(SUBSTITUTE($J$4,"/",","),",",REPT(" ",99)),(ROW($1:$8)-1)*99+1,99)),IFERROR(('Final Calculation Sheet'!$I$28)&amp;"",""))))&gt;0,AND(ISNUMBER(SEARCH("blank",$J$4)),NOT(ISNUMBER(SEARCH("nonblank",$J$4))),IFERROR(('Final Calculation Sheet'!$I$28)&amp;"","")=""),AND(OR(ISNUMBER(SEARCH("nonblank",$J$4)),ISNUMBER(SEARCH("&lt;&gt;",$J$4))),IFERROR(('Final Calculation Sheet'!$I$28)&amp;"","")&lt;&gt;""),AND(TRIM($J$4)="",IFERROR(('Final Calculation Sheet'!$I$28)&amp;"","")=""))))</f>
        <v>1</v>
      </c>
      <c r="BW29">
        <f>IF($K$4="",1,--(OR(SUMPRODUCT(--(TRIM(MID(SUBSTITUTE(SUBSTITUTE($K$4,"/",","),",",REPT(" ",99)),(ROW($1:$8)-1)*99+1,99))&lt;&gt;""),--ISNUMBER(SEARCH(TRIM(MID(SUBSTITUTE(SUBSTITUTE($K$4,"/",","),",",REPT(" ",99)),(ROW($1:$8)-1)*99+1,99)),IFERROR(('Final Calculation Sheet'!$J$28)&amp;"",""))))&gt;0,AND(ISNUMBER(SEARCH("blank",$K$4)),NOT(ISNUMBER(SEARCH("nonblank",$K$4))),IFERROR(('Final Calculation Sheet'!$J$28)&amp;"","")=""),AND(OR(ISNUMBER(SEARCH("nonblank",$K$4)),ISNUMBER(SEARCH("&lt;&gt;",$K$4))),IFERROR(('Final Calculation Sheet'!$J$28)&amp;"","")&lt;&gt;""),AND(TRIM($K$4)="",IFERROR(('Final Calculation Sheet'!$J$28)&amp;"","")=""))))</f>
        <v>1</v>
      </c>
      <c r="BX29">
        <f>IF($L$4="",1,--(OR(SUMPRODUCT(--(TRIM(MID(SUBSTITUTE(SUBSTITUTE($L$4,"/",","),",",REPT(" ",99)),(ROW($1:$8)-1)*99+1,99))&lt;&gt;""),--ISNUMBER(SEARCH(TRIM(MID(SUBSTITUTE(SUBSTITUTE($L$4,"/",","),",",REPT(" ",99)),(ROW($1:$8)-1)*99+1,99)),IFERROR(('Final Calculation Sheet'!$K$28)&amp;"",""))))&gt;0,AND(ISNUMBER(SEARCH("blank",$L$4)),NOT(ISNUMBER(SEARCH("nonblank",$L$4))),IFERROR(('Final Calculation Sheet'!$K$28)&amp;"","")=""),AND(OR(ISNUMBER(SEARCH("nonblank",$L$4)),ISNUMBER(SEARCH("&lt;&gt;",$L$4))),IFERROR(('Final Calculation Sheet'!$K$28)&amp;"","")&lt;&gt;""),AND(TRIM($L$4)="",IFERROR(('Final Calculation Sheet'!$K$28)&amp;"","")=""))))</f>
        <v>1</v>
      </c>
      <c r="BY29">
        <f>IF($M$4="",1,--(OR(SUMPRODUCT(--(TRIM(MID(SUBSTITUTE(SUBSTITUTE($M$4,"/",","),",",REPT(" ",99)),(ROW($1:$8)-1)*99+1,99))&lt;&gt;""),--ISNUMBER(SEARCH(TRIM(MID(SUBSTITUTE(SUBSTITUTE($M$4,"/",","),",",REPT(" ",99)),(ROW($1:$8)-1)*99+1,99)),IFERROR(('Final Calculation Sheet'!$L$28)&amp;"",""))))&gt;0,AND(ISNUMBER(SEARCH("blank",$M$4)),NOT(ISNUMBER(SEARCH("nonblank",$M$4))),IFERROR(('Final Calculation Sheet'!$L$28)&amp;"","")=""),AND(OR(ISNUMBER(SEARCH("nonblank",$M$4)),ISNUMBER(SEARCH("&lt;&gt;",$M$4))),IFERROR(('Final Calculation Sheet'!$L$28)&amp;"","")&lt;&gt;""),AND(TRIM($M$4)="",IFERROR(('Final Calculation Sheet'!$L$28)&amp;"","")=""))))</f>
        <v>1</v>
      </c>
      <c r="BZ29">
        <f>IF($N$4="",1,--(OR(SUMPRODUCT(--(TRIM(MID(SUBSTITUTE(SUBSTITUTE($N$4,"/",","),",",REPT(" ",99)),(ROW($1:$8)-1)*99+1,99))&lt;&gt;""),--ISNUMBER(SEARCH(TRIM(MID(SUBSTITUTE(SUBSTITUTE($N$4,"/",","),",",REPT(" ",99)),(ROW($1:$8)-1)*99+1,99)),IFERROR(('Final Calculation Sheet'!$M$28)&amp;"",""))))&gt;0,AND(ISNUMBER(SEARCH("blank",$N$4)),NOT(ISNUMBER(SEARCH("nonblank",$N$4))),IFERROR(('Final Calculation Sheet'!$M$28)&amp;"","")=""),AND(OR(ISNUMBER(SEARCH("nonblank",$N$4)),ISNUMBER(SEARCH("&lt;&gt;",$N$4))),IFERROR(('Final Calculation Sheet'!$M$28)&amp;"","")&lt;&gt;""),AND(TRIM($N$4)="",IFERROR(('Final Calculation Sheet'!$M$28)&amp;"","")=""))))</f>
        <v>1</v>
      </c>
      <c r="CA29">
        <f>IF($O$4="",1,--(OR(SUMPRODUCT(--(TRIM(MID(SUBSTITUTE(SUBSTITUTE($O$4,"/",","),",",REPT(" ",99)),(ROW($1:$8)-1)*99+1,99))&lt;&gt;""),--ISNUMBER(SEARCH(TRIM(MID(SUBSTITUTE(SUBSTITUTE($O$4,"/",","),",",REPT(" ",99)),(ROW($1:$8)-1)*99+1,99)),IFERROR(('Final Calculation Sheet'!$N$28)&amp;"",""))))&gt;0,AND(ISNUMBER(SEARCH("blank",$O$4)),NOT(ISNUMBER(SEARCH("nonblank",$O$4))),IFERROR(('Final Calculation Sheet'!$N$28)&amp;"","")=""),AND(OR(ISNUMBER(SEARCH("nonblank",$O$4)),ISNUMBER(SEARCH("&lt;&gt;",$O$4))),IFERROR(('Final Calculation Sheet'!$N$28)&amp;"","")&lt;&gt;""),AND(TRIM($O$4)="",IFERROR(('Final Calculation Sheet'!$N$28)&amp;"","")=""))))</f>
        <v>1</v>
      </c>
      <c r="CB29">
        <f>IF($P$4="",1,--(OR(SUMPRODUCT(--(TRIM(MID(SUBSTITUTE(SUBSTITUTE($P$4,"/",","),",",REPT(" ",99)),(ROW($1:$8)-1)*99+1,99))&lt;&gt;""),--ISNUMBER(SEARCH(TRIM(MID(SUBSTITUTE(SUBSTITUTE($P$4,"/",","),",",REPT(" ",99)),(ROW($1:$8)-1)*99+1,99)),IFERROR(('Final Calculation Sheet'!$O$28)&amp;"",""))))&gt;0,AND(ISNUMBER(SEARCH("blank",$P$4)),NOT(ISNUMBER(SEARCH("nonblank",$P$4))),IFERROR(('Final Calculation Sheet'!$O$28)&amp;"","")=""),AND(OR(ISNUMBER(SEARCH("nonblank",$P$4)),ISNUMBER(SEARCH("&lt;&gt;",$P$4))),IFERROR(('Final Calculation Sheet'!$O$28)&amp;"","")&lt;&gt;""),AND(TRIM($P$4)="",IFERROR(('Final Calculation Sheet'!$O$28)&amp;"","")=""))))</f>
        <v>1</v>
      </c>
      <c r="CC29">
        <f>IF($Q$4="",1,--(OR(SUMPRODUCT(--(TRIM(MID(SUBSTITUTE(SUBSTITUTE($Q$4,"/",","),",",REPT(" ",99)),(ROW($1:$8)-1)*99+1,99))&lt;&gt;""),--ISNUMBER(SEARCH(TRIM(MID(SUBSTITUTE(SUBSTITUTE($Q$4,"/",","),",",REPT(" ",99)),(ROW($1:$8)-1)*99+1,99)),IFERROR(('Final Calculation Sheet'!$P$28)&amp;"",""))))&gt;0,AND(ISNUMBER(SEARCH("blank",$Q$4)),NOT(ISNUMBER(SEARCH("nonblank",$Q$4))),IFERROR(('Final Calculation Sheet'!$P$28)&amp;"","")=""),AND(OR(ISNUMBER(SEARCH("nonblank",$Q$4)),ISNUMBER(SEARCH("&lt;&gt;",$Q$4))),IFERROR(('Final Calculation Sheet'!$P$28)&amp;"","")&lt;&gt;""),AND(TRIM($Q$4)="",IFERROR(('Final Calculation Sheet'!$P$28)&amp;"","")=""))))</f>
        <v>1</v>
      </c>
      <c r="CD29">
        <f>IF($R$4="",1,--(OR(SUMPRODUCT(--(TRIM(MID(SUBSTITUTE(SUBSTITUTE($R$4,"/",","),",",REPT(" ",99)),(ROW($1:$8)-1)*99+1,99))&lt;&gt;""),--ISNUMBER(SEARCH(TRIM(MID(SUBSTITUTE(SUBSTITUTE($R$4,"/",","),",",REPT(" ",99)),(ROW($1:$8)-1)*99+1,99)),IFERROR(('Final Calculation Sheet'!$Q$28)&amp;"",""))))&gt;0,AND(ISNUMBER(SEARCH("blank",$R$4)),NOT(ISNUMBER(SEARCH("nonblank",$R$4))),IFERROR(('Final Calculation Sheet'!$Q$28)&amp;"","")=""),AND(OR(ISNUMBER(SEARCH("nonblank",$R$4)),ISNUMBER(SEARCH("&lt;&gt;",$R$4))),IFERROR(('Final Calculation Sheet'!$Q$28)&amp;"","")&lt;&gt;""),AND(TRIM($R$4)="",IFERROR(('Final Calculation Sheet'!$Q$28)&amp;"","")=""))))</f>
        <v>1</v>
      </c>
      <c r="CE29">
        <f>IF($S$4="",1,--(OR(SUMPRODUCT(--(TRIM(MID(SUBSTITUTE(SUBSTITUTE($S$4,"/",","),",",REPT(" ",99)),(ROW($1:$8)-1)*99+1,99))&lt;&gt;""),--ISNUMBER(SEARCH(TRIM(MID(SUBSTITUTE(SUBSTITUTE($S$4,"/",","),",",REPT(" ",99)),(ROW($1:$8)-1)*99+1,99)),IFERROR(('Final Calculation Sheet'!$R$28)&amp;"",""))))&gt;0,AND(ISNUMBER(SEARCH("blank",$S$4)),NOT(ISNUMBER(SEARCH("nonblank",$S$4))),IFERROR(('Final Calculation Sheet'!$R$28)&amp;"","")=""),AND(OR(ISNUMBER(SEARCH("nonblank",$S$4)),ISNUMBER(SEARCH("&lt;&gt;",$S$4))),IFERROR(('Final Calculation Sheet'!$R$28)&amp;"","")&lt;&gt;""),AND(TRIM($S$4)="",IFERROR(('Final Calculation Sheet'!$R$28)&amp;"","")=""))))</f>
        <v>1</v>
      </c>
      <c r="CF29">
        <f>IF($T$4="",1,--(OR(SUMPRODUCT(--(TRIM(MID(SUBSTITUTE(SUBSTITUTE($T$4,"/",","),",",REPT(" ",99)),(ROW($1:$8)-1)*99+1,99))&lt;&gt;""),--ISNUMBER(SEARCH(TRIM(MID(SUBSTITUTE(SUBSTITUTE($T$4,"/",","),",",REPT(" ",99)),(ROW($1:$8)-1)*99+1,99)),IFERROR(('Final Calculation Sheet'!$S$28)&amp;"",""))))&gt;0,AND(ISNUMBER(SEARCH("blank",$T$4)),NOT(ISNUMBER(SEARCH("nonblank",$T$4))),IFERROR(('Final Calculation Sheet'!$S$28)&amp;"","")=""),AND(OR(ISNUMBER(SEARCH("nonblank",$T$4)),ISNUMBER(SEARCH("&lt;&gt;",$T$4))),IFERROR(('Final Calculation Sheet'!$S$28)&amp;"","")&lt;&gt;""),AND(TRIM($T$4)="",IFERROR(('Final Calculation Sheet'!$S$28)&amp;"","")=""))))</f>
        <v>1</v>
      </c>
      <c r="CG29">
        <f>IF($U$4="",1,--(OR(SUMPRODUCT(--(TRIM(MID(SUBSTITUTE(SUBSTITUTE($U$4,"/",","),",",REPT(" ",99)),(ROW($1:$8)-1)*99+1,99))&lt;&gt;""),--ISNUMBER(SEARCH(TRIM(MID(SUBSTITUTE(SUBSTITUTE($U$4,"/",","),",",REPT(" ",99)),(ROW($1:$8)-1)*99+1,99)),IFERROR(('Final Calculation Sheet'!$T$28)&amp;"",""))))&gt;0,AND(ISNUMBER(SEARCH("blank",$U$4)),NOT(ISNUMBER(SEARCH("nonblank",$U$4))),IFERROR(('Final Calculation Sheet'!$T$28)&amp;"","")=""),AND(OR(ISNUMBER(SEARCH("nonblank",$U$4)),ISNUMBER(SEARCH("&lt;&gt;",$U$4))),IFERROR(('Final Calculation Sheet'!$T$28)&amp;"","")&lt;&gt;""),AND(TRIM($U$4)="",IFERROR(('Final Calculation Sheet'!$T$28)&amp;"","")=""))))</f>
        <v>1</v>
      </c>
      <c r="CH29">
        <f>IF($V$4="",1,--(OR(SUMPRODUCT(--(TRIM(MID(SUBSTITUTE(SUBSTITUTE($V$4,"/",","),",",REPT(" ",99)),(ROW($1:$8)-1)*99+1,99))&lt;&gt;""),--ISNUMBER(SEARCH(TRIM(MID(SUBSTITUTE(SUBSTITUTE($V$4,"/",","),",",REPT(" ",99)),(ROW($1:$8)-1)*99+1,99)),IFERROR(('Final Calculation Sheet'!$U$28)&amp;"",""))))&gt;0,AND(ISNUMBER(SEARCH("blank",$V$4)),NOT(ISNUMBER(SEARCH("nonblank",$V$4))),IFERROR(('Final Calculation Sheet'!$U$28)&amp;"","")=""),AND(OR(ISNUMBER(SEARCH("nonblank",$V$4)),ISNUMBER(SEARCH("&lt;&gt;",$V$4))),IFERROR(('Final Calculation Sheet'!$U$28)&amp;"","")&lt;&gt;""),AND(TRIM($V$4)="",IFERROR(('Final Calculation Sheet'!$U$28)&amp;"","")=""))))</f>
        <v>1</v>
      </c>
      <c r="CI29">
        <f>IF($W$4="",1,--(OR(SUMPRODUCT(--(TRIM(MID(SUBSTITUTE(SUBSTITUTE($W$4,"/",","),",",REPT(" ",99)),(ROW($1:$8)-1)*99+1,99))&lt;&gt;""),--ISNUMBER(SEARCH(TRIM(MID(SUBSTITUTE(SUBSTITUTE($W$4,"/",","),",",REPT(" ",99)),(ROW($1:$8)-1)*99+1,99)),IFERROR(('Final Calculation Sheet'!$V$28)&amp;"",""))))&gt;0,AND(ISNUMBER(SEARCH("blank",$W$4)),NOT(ISNUMBER(SEARCH("nonblank",$W$4))),IFERROR(('Final Calculation Sheet'!$V$28)&amp;"","")=""),AND(OR(ISNUMBER(SEARCH("nonblank",$W$4)),ISNUMBER(SEARCH("&lt;&gt;",$W$4))),IFERROR(('Final Calculation Sheet'!$V$28)&amp;"","")&lt;&gt;""),AND(TRIM($W$4)="",IFERROR(('Final Calculation Sheet'!$V$28)&amp;"","")=""))))</f>
        <v>1</v>
      </c>
      <c r="CJ29">
        <f>IF($X$4="",1,--(OR(SUMPRODUCT(--(TRIM(MID(SUBSTITUTE(SUBSTITUTE($X$4,"/",","),",",REPT(" ",99)),(ROW($1:$8)-1)*99+1,99))&lt;&gt;""),--ISNUMBER(SEARCH(TRIM(MID(SUBSTITUTE(SUBSTITUTE($X$4,"/",","),",",REPT(" ",99)),(ROW($1:$8)-1)*99+1,99)),IFERROR(('Final Calculation Sheet'!$W$28)&amp;"",""))))&gt;0,AND(ISNUMBER(SEARCH("blank",$X$4)),NOT(ISNUMBER(SEARCH("nonblank",$X$4))),IFERROR(('Final Calculation Sheet'!$W$28)&amp;"","")=""),AND(OR(ISNUMBER(SEARCH("nonblank",$X$4)),ISNUMBER(SEARCH("&lt;&gt;",$X$4))),IFERROR(('Final Calculation Sheet'!$W$28)&amp;"","")&lt;&gt;""),AND(TRIM($X$4)="",IFERROR(('Final Calculation Sheet'!$W$28)&amp;"","")=""))))</f>
        <v>1</v>
      </c>
      <c r="CK29">
        <f>IF($Y$4="",1,--(OR(SUMPRODUCT(--(TRIM(MID(SUBSTITUTE(SUBSTITUTE($Y$4,"/",","),",",REPT(" ",99)),(ROW($1:$8)-1)*99+1,99))&lt;&gt;""),--ISNUMBER(SEARCH(TRIM(MID(SUBSTITUTE(SUBSTITUTE($Y$4,"/",","),",",REPT(" ",99)),(ROW($1:$8)-1)*99+1,99)),IFERROR(('Final Calculation Sheet'!$X$28)&amp;"",""))))&gt;0,AND(ISNUMBER(SEARCH("blank",$Y$4)),NOT(ISNUMBER(SEARCH("nonblank",$Y$4))),IFERROR(('Final Calculation Sheet'!$X$28)&amp;"","")=""),AND(OR(ISNUMBER(SEARCH("nonblank",$Y$4)),ISNUMBER(SEARCH("&lt;&gt;",$Y$4))),IFERROR(('Final Calculation Sheet'!$X$28)&amp;"","")&lt;&gt;""),AND(TRIM($Y$4)="",IFERROR(('Final Calculation Sheet'!$X$28)&amp;"","")=""))))</f>
        <v>1</v>
      </c>
      <c r="CL29">
        <f>IF($Z$4="",1,--(OR(SUMPRODUCT(--(TRIM(MID(SUBSTITUTE(SUBSTITUTE($Z$4,"/",","),",",REPT(" ",99)),(ROW($1:$8)-1)*99+1,99))&lt;&gt;""),--ISNUMBER(SEARCH(TRIM(MID(SUBSTITUTE(SUBSTITUTE($Z$4,"/",","),",",REPT(" ",99)),(ROW($1:$8)-1)*99+1,99)),IFERROR(('Final Calculation Sheet'!$Y$28)&amp;"",""))))&gt;0,AND(ISNUMBER(SEARCH("blank",$Z$4)),NOT(ISNUMBER(SEARCH("nonblank",$Z$4))),IFERROR(('Final Calculation Sheet'!$Y$28)&amp;"","")=""),AND(OR(ISNUMBER(SEARCH("nonblank",$Z$4)),ISNUMBER(SEARCH("&lt;&gt;",$Z$4))),IFERROR(('Final Calculation Sheet'!$Y$28)&amp;"","")&lt;&gt;""),AND(TRIM($Z$4)="",IFERROR(('Final Calculation Sheet'!$Y$28)&amp;"","")=""))))</f>
        <v>1</v>
      </c>
      <c r="CM29">
        <f>IF($AA$4="",1,--(OR(SUMPRODUCT(--(TRIM(MID(SUBSTITUTE(SUBSTITUTE($AA$4,"/",","),",",REPT(" ",99)),(ROW($1:$8)-1)*99+1,99))&lt;&gt;""),--ISNUMBER(SEARCH(TRIM(MID(SUBSTITUTE(SUBSTITUTE($AA$4,"/",","),",",REPT(" ",99)),(ROW($1:$8)-1)*99+1,99)),IFERROR(('Final Calculation Sheet'!$Z$28)&amp;"",""))))&gt;0,AND(ISNUMBER(SEARCH("blank",$AA$4)),NOT(ISNUMBER(SEARCH("nonblank",$AA$4))),IFERROR(('Final Calculation Sheet'!$Z$28)&amp;"","")=""),AND(OR(ISNUMBER(SEARCH("nonblank",$AA$4)),ISNUMBER(SEARCH("&lt;&gt;",$AA$4))),IFERROR(('Final Calculation Sheet'!$Z$28)&amp;"","")&lt;&gt;""),AND(TRIM($AA$4)="",IFERROR(('Final Calculation Sheet'!$Z$28)&amp;"","")=""))))</f>
        <v>1</v>
      </c>
      <c r="CN29">
        <f>IF($AB$4="",1,--(OR(SUMPRODUCT(--(TRIM(MID(SUBSTITUTE(SUBSTITUTE($AB$4,"/",","),",",REPT(" ",99)),(ROW($1:$8)-1)*99+1,99))&lt;&gt;""),--ISNUMBER(SEARCH(TRIM(MID(SUBSTITUTE(SUBSTITUTE($AB$4,"/",","),",",REPT(" ",99)),(ROW($1:$8)-1)*99+1,99)),IFERROR(('Final Calculation Sheet'!$AA$28)&amp;"",""))))&gt;0,AND(ISNUMBER(SEARCH("blank",$AB$4)),NOT(ISNUMBER(SEARCH("nonblank",$AB$4))),IFERROR(('Final Calculation Sheet'!$AA$28)&amp;"","")=""),AND(OR(ISNUMBER(SEARCH("nonblank",$AB$4)),ISNUMBER(SEARCH("&lt;&gt;",$AB$4))),IFERROR(('Final Calculation Sheet'!$AA$28)&amp;"","")&lt;&gt;""),AND(TRIM($AB$4)="",IFERROR(('Final Calculation Sheet'!$AA$28)&amp;"","")=""))))</f>
        <v>1</v>
      </c>
      <c r="CO29">
        <f>IF($AC$4="",1,--(OR(SUMPRODUCT(--(TRIM(MID(SUBSTITUTE(SUBSTITUTE($AC$4,"/",","),",",REPT(" ",99)),(ROW($1:$8)-1)*99+1,99))&lt;&gt;""),--ISNUMBER(SEARCH(TRIM(MID(SUBSTITUTE(SUBSTITUTE($AC$4,"/",","),",",REPT(" ",99)),(ROW($1:$8)-1)*99+1,99)),IFERROR(('Final Calculation Sheet'!$AB$28)&amp;"",""))))&gt;0,AND(ISNUMBER(SEARCH("blank",$AC$4)),NOT(ISNUMBER(SEARCH("nonblank",$AC$4))),IFERROR(('Final Calculation Sheet'!$AB$28)&amp;"","")=""),AND(OR(ISNUMBER(SEARCH("nonblank",$AC$4)),ISNUMBER(SEARCH("&lt;&gt;",$AC$4))),IFERROR(('Final Calculation Sheet'!$AB$28)&amp;"","")&lt;&gt;""),AND(TRIM($AC$4)="",IFERROR(('Final Calculation Sheet'!$AB$28)&amp;"","")=""))))</f>
        <v>1</v>
      </c>
      <c r="CP29">
        <f>IF($AD$4="",1,--(OR(SUMPRODUCT(--(TRIM(MID(SUBSTITUTE(SUBSTITUTE($AD$4,"/",","),",",REPT(" ",99)),(ROW($1:$8)-1)*99+1,99))&lt;&gt;""),--ISNUMBER(SEARCH(TRIM(MID(SUBSTITUTE(SUBSTITUTE($AD$4,"/",","),",",REPT(" ",99)),(ROW($1:$8)-1)*99+1,99)),IFERROR(('Final Calculation Sheet'!$AC$28)&amp;"",""))))&gt;0,AND(ISNUMBER(SEARCH("blank",$AD$4)),NOT(ISNUMBER(SEARCH("nonblank",$AD$4))),IFERROR(('Final Calculation Sheet'!$AC$28)&amp;"","")=""),AND(OR(ISNUMBER(SEARCH("nonblank",$AD$4)),ISNUMBER(SEARCH("&lt;&gt;",$AD$4))),IFERROR(('Final Calculation Sheet'!$AC$28)&amp;"","")&lt;&gt;""),AND(TRIM($AD$4)="",IFERROR(('Final Calculation Sheet'!$AC$28)&amp;"","")=""))))</f>
        <v>1</v>
      </c>
      <c r="CQ29">
        <f>IF($AE$4="",1,--(OR(SUMPRODUCT(--(TRIM(MID(SUBSTITUTE(SUBSTITUTE($AE$4,"/",","),",",REPT(" ",99)),(ROW($1:$8)-1)*99+1,99))&lt;&gt;""),--ISNUMBER(SEARCH(TRIM(MID(SUBSTITUTE(SUBSTITUTE($AE$4,"/",","),",",REPT(" ",99)),(ROW($1:$8)-1)*99+1,99)),IFERROR(('Final Calculation Sheet'!$AD$28)&amp;"",""))))&gt;0,AND(ISNUMBER(SEARCH("blank",$AE$4)),NOT(ISNUMBER(SEARCH("nonblank",$AE$4))),IFERROR(('Final Calculation Sheet'!$AD$28)&amp;"","")=""),AND(OR(ISNUMBER(SEARCH("nonblank",$AE$4)),ISNUMBER(SEARCH("&lt;&gt;",$AE$4))),IFERROR(('Final Calculation Sheet'!$AD$28)&amp;"","")&lt;&gt;""),AND(TRIM($AE$4)="",IFERROR(('Final Calculation Sheet'!$AD$28)&amp;"","")=""))))</f>
        <v>1</v>
      </c>
      <c r="CR29">
        <f>IF($AF$4="",1,--(OR(SUMPRODUCT(--(TRIM(MID(SUBSTITUTE(SUBSTITUTE($AF$4,"/",","),",",REPT(" ",99)),(ROW($1:$8)-1)*99+1,99))&lt;&gt;""),--ISNUMBER(SEARCH(TRIM(MID(SUBSTITUTE(SUBSTITUTE($AF$4,"/",","),",",REPT(" ",99)),(ROW($1:$8)-1)*99+1,99)),IFERROR(('Final Calculation Sheet'!$AE$28)&amp;"",""))))&gt;0,AND(ISNUMBER(SEARCH("blank",$AF$4)),NOT(ISNUMBER(SEARCH("nonblank",$AF$4))),IFERROR(('Final Calculation Sheet'!$AE$28)&amp;"","")=""),AND(OR(ISNUMBER(SEARCH("nonblank",$AF$4)),ISNUMBER(SEARCH("&lt;&gt;",$AF$4))),IFERROR(('Final Calculation Sheet'!$AE$28)&amp;"","")&lt;&gt;""),AND(TRIM($AF$4)="",IFERROR(('Final Calculation Sheet'!$AE$28)&amp;"","")=""))))</f>
        <v>1</v>
      </c>
      <c r="CS29">
        <f>IF($AG$4="",1,--(OR(SUMPRODUCT(--(TRIM(MID(SUBSTITUTE(SUBSTITUTE($AG$4,"/",","),",",REPT(" ",99)),(ROW($1:$8)-1)*99+1,99))&lt;&gt;""),--ISNUMBER(SEARCH(TRIM(MID(SUBSTITUTE(SUBSTITUTE($AG$4,"/",","),",",REPT(" ",99)),(ROW($1:$8)-1)*99+1,99)),IFERROR(('Final Calculation Sheet'!$AF$28)&amp;"",""))))&gt;0,AND(ISNUMBER(SEARCH("blank",$AG$4)),NOT(ISNUMBER(SEARCH("nonblank",$AG$4))),IFERROR(('Final Calculation Sheet'!$AF$28)&amp;"","")=""),AND(OR(ISNUMBER(SEARCH("nonblank",$AG$4)),ISNUMBER(SEARCH("&lt;&gt;",$AG$4))),IFERROR(('Final Calculation Sheet'!$AF$28)&amp;"","")&lt;&gt;""),AND(TRIM($AG$4)="",IFERROR(('Final Calculation Sheet'!$AF$28)&amp;"","")=""))))</f>
        <v>1</v>
      </c>
      <c r="CT29">
        <f>IF($AH$4="",1,--(OR(SUMPRODUCT(--(TRIM(MID(SUBSTITUTE(SUBSTITUTE($AH$4,"/",","),",",REPT(" ",99)),(ROW($1:$8)-1)*99+1,99))&lt;&gt;""),--ISNUMBER(SEARCH(TRIM(MID(SUBSTITUTE(SUBSTITUTE($AH$4,"/",","),",",REPT(" ",99)),(ROW($1:$8)-1)*99+1,99)),IFERROR(('Final Calculation Sheet'!$AG$28)&amp;"",""))))&gt;0,AND(ISNUMBER(SEARCH("blank",$AH$4)),NOT(ISNUMBER(SEARCH("nonblank",$AH$4))),IFERROR(('Final Calculation Sheet'!$AG$28)&amp;"","")=""),AND(OR(ISNUMBER(SEARCH("nonblank",$AH$4)),ISNUMBER(SEARCH("&lt;&gt;",$AH$4))),IFERROR(('Final Calculation Sheet'!$AG$28)&amp;"","")&lt;&gt;""),AND(TRIM($AH$4)="",IFERROR(('Final Calculation Sheet'!$AG$28)&amp;"","")=""))))</f>
        <v>1</v>
      </c>
      <c r="CU29">
        <f>IF($AI$4="",1,--(OR(SUMPRODUCT(--(TRIM(MID(SUBSTITUTE(SUBSTITUTE($AI$4,"/",","),",",REPT(" ",99)),(ROW($1:$8)-1)*99+1,99))&lt;&gt;""),--ISNUMBER(SEARCH(TRIM(MID(SUBSTITUTE(SUBSTITUTE($AI$4,"/",","),",",REPT(" ",99)),(ROW($1:$8)-1)*99+1,99)),IFERROR((IF('Final Calculation Sheet'!$AD$28&lt;=5,"SETTLED","OUTSTANDING"))&amp;"",""))))&gt;0,AND(ISNUMBER(SEARCH("blank",$AI$4)),NOT(ISNUMBER(SEARCH("nonblank",$AI$4))),IFERROR((IF('Final Calculation Sheet'!$AD$28&lt;=5,"SETTLED","OUTSTANDING"))&amp;"","")=""),AND(OR(ISNUMBER(SEARCH("nonblank",$AI$4)),ISNUMBER(SEARCH("&lt;&gt;",$AI$4))),IFERROR((IF('Final Calculation Sheet'!$AD$28&lt;=5,"SETTLED","OUTSTANDING"))&amp;"","")&lt;&gt;""),AND(TRIM($AI$4)="",IFERROR((IF('Final Calculation Sheet'!$AD$28&lt;=5,"SETTLED","OUTSTANDING"))&amp;"","")=""))))</f>
        <v>1</v>
      </c>
    </row>
    <row r="30" ht="15" customHeight="1" s="137">
      <c r="A30" s="67">
        <f>IF($BJ29&gt;0,INDEX($BA$5:$BA$41,MATCH(29,$BB$5:$BB$41,0)),IF(OR($BI29=1,$BL29=1,$BH29&gt;0),"∑",""))</f>
        <v>25</v>
      </c>
      <c r="B30" s="76">
        <f>IF($BJ29&gt;0,IF(INDEX('Final Calculation Sheet'!$F$4:$F$40,$BJ29-3)="","",INDEX('Final Calculation Sheet'!$F$4:$F$40,$BJ29-3)),"")</f>
        <v>2037</v>
      </c>
      <c r="C30" s="76" t="str">
        <f>IF($BJ29&gt;0,IF(INDEX('Final Calculation Sheet'!$G$4:$G$40,$BJ29-3)="","",INDEX('Final Calculation Sheet'!$G$4:$G$40,$BJ29-3)),IF(OR($BI29=1,$BL29=1,$BH29&gt;0),IF($BI29=1,37,IF($BL29=1,37-INDEX($BD$4:$BD$13,10),INDEX($BD$4:$BD$13,$BH29)))&amp;" lot(s)",""))</f>
        <v>WATAN SCRAP TRADERS</v>
      </c>
      <c r="D30" s="80" t="str">
        <f>IF($BJ29&gt;0,IF(INDEX('Final Calculation Sheet'!$B$4:$B$40,$BJ29-3)="","",INDEX('Final Calculation Sheet'!$B$4:$B$40,$BJ29-3)),IF(OR($BI29=1,$BL29=1,$BH29&gt;0),IF($BI29=1,"GRAND TOTAL  —  matching + remaining",IF($BL29=1,"TOTAL MATCHED  —  every group together",IF($BH29=10,"REMAINING  —  did not match the search",IF($BH29=9,IF(COUNTIF($A$4:$AI$4,"&lt;&gt;")&gt;0,"FILTERED LOTS  —  column fields","ALL LOTS  —  nothing typed in the box"),"GROUP "&amp;$BH29&amp;" TOTAL  —  lots matching  "&amp;INDEX($AR$6:$AY$6,$BH29))))),""))</f>
        <v>Scrap of empty oil Barrels</v>
      </c>
      <c r="E30" s="80">
        <f>IF($BJ29&gt;0,IF(INDEX('Final Calculation Sheet'!$D$4:$D$40,$BJ29-3)="","",INDEX('Final Calculation Sheet'!$D$4:$D$40,$BJ29-3)),IF(OR($BI29=1,$BL29=1,$BH29&gt;0),"–",""))</f>
        <v>21978</v>
      </c>
      <c r="F30" s="80">
        <f>IF($BJ29&gt;0,IF(INDEX('Final Calculation Sheet'!$A$4:$A$40,$BJ29-3)="","",INDEX('Final Calculation Sheet'!$A$4:$A$40,$BJ29-3)),IF(OR($BI29=1,$BL29=1,$BH29&gt;0),IF($BI29=1,SUM('Final Calculation Sheet'!$A$4:$A$40),IF($BL29=1,SUM('Final Calculation Sheet'!$A$4:$A$40)-SUMIFS('Final Calculation Sheet'!$A$4:$A$40,$AZ$5:$AZ$41,10),SUMIFS('Final Calculation Sheet'!$A$4:$A$40,$AZ$5:$AZ$41,$BH29))),""))</f>
        <v>50</v>
      </c>
      <c r="G30" s="80" t="str">
        <f>IF($BJ29&gt;0,IF(INDEX('Final Calculation Sheet'!$E$4:$E$40,$BJ29-3)="","",INDEX('Final Calculation Sheet'!$E$4:$E$40,$BJ29-3)),IF(OR($BI29=1,$BL29=1,$BH29&gt;0),"–",""))</f>
        <v>NO</v>
      </c>
      <c r="H30" s="70">
        <f>IF($BJ29&gt;0,IF(INDEX('Final Calculation Sheet'!$C$4:$C$40,$BJ29-3)="","",INDEX('Final Calculation Sheet'!$C$4:$C$40,$BJ29-3)),IF(OR($BI29=1,$BL29=1,$BH29&gt;0),"–",""))</f>
        <v>531</v>
      </c>
      <c r="I30" s="70">
        <f>IF($BJ29&gt;0,IF(INDEX('Final Calculation Sheet'!$H$4:$H$40,$BJ29-3)="","",INDEX('Final Calculation Sheet'!$H$4:$H$40,$BJ29-3)),IF(OR($BI29=1,$BL29=1,$BH29&gt;0),IF($BI29=1,SUM('Final Calculation Sheet'!$H$4:$H$40),IF($BL29=1,SUM('Final Calculation Sheet'!$H$4:$H$40)-SUMIFS('Final Calculation Sheet'!$H$4:$H$40,$AZ$5:$AZ$41,10),SUMIFS('Final Calculation Sheet'!$H$4:$H$40,$AZ$5:$AZ$41,$BH29))),""))</f>
        <v>26550</v>
      </c>
      <c r="J30" s="70">
        <f>IF($BJ29&gt;0,IF(INDEX('Final Calculation Sheet'!$I$4:$I$40,$BJ29-3)="","",INDEX('Final Calculation Sheet'!$I$4:$I$40,$BJ29-3)),IF(OR($BI29=1,$BL29=1,$BH29&gt;0),IF($BI29=1,SUM('Final Calculation Sheet'!$I$4:$I$40),IF($BL29=1,SUM('Final Calculation Sheet'!$I$4:$I$40)-SUMIFS('Final Calculation Sheet'!$I$4:$I$40,$AZ$5:$AZ$41,10),SUMIFS('Final Calculation Sheet'!$I$4:$I$40,$AZ$5:$AZ$41,$BH29))),""))</f>
        <v>4779</v>
      </c>
      <c r="K30" s="70">
        <f>IF($BJ29&gt;0,IF(INDEX('Final Calculation Sheet'!$J$4:$J$40,$BJ29-3)="","",INDEX('Final Calculation Sheet'!$J$4:$J$40,$BJ29-3)),IF(OR($BI29=1,$BL29=1,$BH29&gt;0),IF($BI29=1,SUM('Final Calculation Sheet'!$J$4:$J$40),IF($BL29=1,SUM('Final Calculation Sheet'!$J$4:$J$40)-SUMIFS('Final Calculation Sheet'!$J$4:$J$40,$AZ$5:$AZ$41,10),SUMIFS('Final Calculation Sheet'!$J$4:$J$40,$AZ$5:$AZ$41,$BH29))),""))</f>
        <v>31329</v>
      </c>
      <c r="L30" s="70">
        <f>IF($BJ29&gt;0,IF(INDEX('Final Calculation Sheet'!$K$4:$K$40,$BJ29-3)="","",INDEX('Final Calculation Sheet'!$K$4:$K$40,$BJ29-3)),IF(OR($BI29=1,$BL29=1,$BH29&gt;0),IF($BI29=1,SUM('Final Calculation Sheet'!$K$4:$K$40),IF($BL29=1,SUM('Final Calculation Sheet'!$K$4:$K$40)-SUMIFS('Final Calculation Sheet'!$K$4:$K$40,$AZ$5:$AZ$41,10),SUMIFS('Final Calculation Sheet'!$K$4:$K$40,$AZ$5:$AZ$41,$BH29))),""))</f>
        <v>627</v>
      </c>
      <c r="M30" s="70">
        <f>IF($BJ29&gt;0,IF(INDEX('Final Calculation Sheet'!$L$4:$L$40,$BJ29-3)="","",INDEX('Final Calculation Sheet'!$L$4:$L$40,$BJ29-3)),IF(OR($BI29=1,$BL29=1,$BH29&gt;0),IF($BI29=1,SUM('Final Calculation Sheet'!$L$4:$L$40),IF($BL29=1,SUM('Final Calculation Sheet'!$L$4:$L$40)-SUMIFS('Final Calculation Sheet'!$L$4:$L$40,$AZ$5:$AZ$41,10),SUMIFS('Final Calculation Sheet'!$L$4:$L$40,$AZ$5:$AZ$41,$BH29))),""))</f>
        <v>26.55</v>
      </c>
      <c r="N30" s="70">
        <f>IF($BJ29&gt;0,IF(INDEX('Final Calculation Sheet'!$M$4:$M$40,$BJ29-3)="","",INDEX('Final Calculation Sheet'!$M$4:$M$40,$BJ29-3)),IF(OR($BI29=1,$BL29=1,$BH29&gt;0),IF($BI29=1,SUM('Final Calculation Sheet'!$M$4:$M$40),IF($BL29=1,SUM('Final Calculation Sheet'!$M$4:$M$40)-SUMIFS('Final Calculation Sheet'!$M$4:$M$40,$AZ$5:$AZ$41,10),SUMIFS('Final Calculation Sheet'!$M$4:$M$40,$AZ$5:$AZ$41,$BH29))),""))</f>
        <v>704.90249999999992</v>
      </c>
      <c r="O30" s="71">
        <f>IF($BJ29&gt;0,IF(INDEX('Final Calculation Sheet'!$N$4:$N$40,$BJ29-3)="","",INDEX('Final Calculation Sheet'!$N$4:$N$40,$BJ29-3)),IF(OR($BI29=1,$BL29=1,$BH29&gt;0),IF($BI29=1,SUM('Final Calculation Sheet'!$N$4:$N$40),IF($BL29=1,SUM('Final Calculation Sheet'!$N$4:$N$40)-SUMIFS('Final Calculation Sheet'!$N$4:$N$40,$AZ$5:$AZ$41,10),SUMIFS('Final Calculation Sheet'!$N$4:$N$40,$AZ$5:$AZ$41,$BH29))),""))</f>
        <v>11.9475</v>
      </c>
      <c r="P30" s="70">
        <f>IF($BJ29&gt;0,IF(INDEX('Final Calculation Sheet'!$O$4:$O$40,$BJ29-3)="","",INDEX('Final Calculation Sheet'!$O$4:$O$40,$BJ29-3)),IF(OR($BI29=1,$BL29=1,$BH29&gt;0),IF($BI29=1,SUM('Final Calculation Sheet'!$O$4:$O$40),IF($BL29=1,SUM('Final Calculation Sheet'!$O$4:$O$40)-SUMIFS('Final Calculation Sheet'!$O$4:$O$40,$AZ$5:$AZ$41,10),SUMIFS('Final Calculation Sheet'!$O$4:$O$40,$AZ$5:$AZ$41,$BH29))),""))</f>
        <v>692.95499999999993</v>
      </c>
      <c r="Q30" s="70">
        <f>IF($BJ29&gt;0,IF(INDEX('Final Calculation Sheet'!$P$4:$P$40,$BJ29-3)="","",INDEX('Final Calculation Sheet'!$P$4:$P$40,$BJ29-3)),IF(OR($BI29=1,$BL29=1,$BH29&gt;0),IF($BI29=1,SUM('Final Calculation Sheet'!$P$4:$P$40),IF($BL29=1,SUM('Final Calculation Sheet'!$P$4:$P$40)-SUMIFS('Final Calculation Sheet'!$P$4:$P$40,$AZ$5:$AZ$41,10),SUMIFS('Final Calculation Sheet'!$P$4:$P$40,$AZ$5:$AZ$41,$BH29))),""))</f>
        <v>720</v>
      </c>
      <c r="R30" s="72">
        <f>IF($BJ29&gt;0,IF(INDEX('Final Calculation Sheet'!$Q$4:$Q$40,$BJ29-3)="","",INDEX('Final Calculation Sheet'!$Q$4:$Q$40,$BJ29-3)),IF(OR($BI29=1,$BL29=1,$BH29&gt;0),"–",""))</f>
        <v>0</v>
      </c>
      <c r="S30" s="70">
        <f>IF($BJ29&gt;0,IF(INDEX('Final Calculation Sheet'!$R$4:$R$40,$BJ29-3)="","",INDEX('Final Calculation Sheet'!$R$4:$R$40,$BJ29-3)),IF(OR($BI29=1,$BL29=1,$BH29&gt;0),IF($BI29=1,SUM('Final Calculation Sheet'!$R$4:$R$40),IF($BL29=1,SUM('Final Calculation Sheet'!$R$4:$R$40)-SUMIFS('Final Calculation Sheet'!$R$4:$R$40,$AZ$5:$AZ$41,10),SUMIFS('Final Calculation Sheet'!$R$4:$R$40,$AZ$5:$AZ$41,$BH29))),""))</f>
        <v>0</v>
      </c>
      <c r="T30" s="70">
        <f>IF($BJ29&gt;0,IF(INDEX('Final Calculation Sheet'!$S$4:$S$40,$BJ29-3)="","",INDEX('Final Calculation Sheet'!$S$4:$S$40,$BJ29-3)),IF(OR($BI29=1,$BL29=1,$BH29&gt;0),IF($BI29=1,SUM('Final Calculation Sheet'!$S$4:$S$40),IF($BL29=1,SUM('Final Calculation Sheet'!$S$4:$S$40)-SUMIFS('Final Calculation Sheet'!$S$4:$S$40,$AZ$5:$AZ$41,10),SUMIFS('Final Calculation Sheet'!$S$4:$S$40,$AZ$5:$AZ$41,$BH29))),""))</f>
        <v>31236</v>
      </c>
      <c r="U30" s="70">
        <f>IF($BJ29&gt;0,IF(INDEX('Final Calculation Sheet'!$T$4:$T$40,$BJ29-3)="","",INDEX('Final Calculation Sheet'!$T$4:$T$40,$BJ29-3)),IF(OR($BI29=1,$BL29=1,$BH29&gt;0),IF($BI29=1,SUM('Final Calculation Sheet'!$T$4:$T$40),IF($BL29=1,SUM('Final Calculation Sheet'!$T$4:$T$40)-SUMIFS('Final Calculation Sheet'!$T$4:$T$40,$AZ$5:$AZ$41,10),SUMIFS('Final Calculation Sheet'!$T$4:$T$40,$AZ$5:$AZ$41,$BH29))),""))</f>
        <v>6638</v>
      </c>
      <c r="V30" s="73">
        <f>IF($BJ29&gt;0,IF(INDEX('Final Calculation Sheet'!$U$4:$U$40,$BJ29-3)="","",INDEX('Final Calculation Sheet'!$U$4:$U$40,$BJ29-3)),IF(OR($BI29=1,$BL29=1,$BH29&gt;0),IF($BI29=1,SUM('Final Calculation Sheet'!$U$4:$U$40),IF($BL29=1,SUM('Final Calculation Sheet'!$U$4:$U$40)-SUMIFS('Final Calculation Sheet'!$U$4:$U$40,$AZ$5:$AZ$41,10),SUMIFS('Final Calculation Sheet'!$U$4:$U$40,$AZ$5:$AZ$41,$BH29))),""))</f>
        <v>6638</v>
      </c>
      <c r="W30" s="70" t="str">
        <f>IF($BJ29&gt;0,IF(INDEX('Final Calculation Sheet'!$V$4:$V$40,$BJ29-3)="","",INDEX('Final Calculation Sheet'!$V$4:$V$40,$BJ29-3)),IF(OR($BI29=1,$BL29=1,$BH29&gt;0),"–",""))</f>
        <v>14.08.2026</v>
      </c>
      <c r="X30" s="70">
        <f>IF($BJ29&gt;0,IF(INDEX('Final Calculation Sheet'!$W$4:$W$40,$BJ29-3)="","",INDEX('Final Calculation Sheet'!$W$4:$W$40,$BJ29-3)),IF(OR($BI29=1,$BL29=1,$BH29&gt;0),IF($BI29=1,SUM('Final Calculation Sheet'!$W$4:$W$40),IF($BL29=1,SUM('Final Calculation Sheet'!$W$4:$W$40)-SUMIFS('Final Calculation Sheet'!$W$4:$W$40,$AZ$5:$AZ$41,10),SUMIFS('Final Calculation Sheet'!$W$4:$W$40,$AZ$5:$AZ$41,$BH29))),""))</f>
        <v>24599</v>
      </c>
      <c r="Y30" s="70">
        <f>IF($BJ29&gt;0,IF(INDEX('Final Calculation Sheet'!$X$4:$X$40,$BJ29-3)="","",INDEX('Final Calculation Sheet'!$X$4:$X$40,$BJ29-3)),IF(OR($BI29=1,$BL29=1,$BH29&gt;0),IF($BI29=1,SUM('Final Calculation Sheet'!$X$4:$X$40),IF($BL29=1,SUM('Final Calculation Sheet'!$X$4:$X$40)-SUMIFS('Final Calculation Sheet'!$X$4:$X$40,$AZ$5:$AZ$41,10),SUMIFS('Final Calculation Sheet'!$X$4:$X$40,$AZ$5:$AZ$41,$BH29))),""))</f>
        <v>24598</v>
      </c>
      <c r="Z30" s="70" t="str">
        <f>IF($BJ29&gt;0,IF(INDEX('Final Calculation Sheet'!$Y$4:$Y$40,$BJ29-3)="","",INDEX('Final Calculation Sheet'!$Y$4:$Y$40,$BJ29-3)),IF(OR($BI29=1,$BL29=1,$BH29&gt;0),"–",""))</f>
        <v>21.08.2026</v>
      </c>
      <c r="AA30" s="70">
        <f>IF($BJ29&gt;0,IF(INDEX('Final Calculation Sheet'!$Z$4:$Z$40,$BJ29-3)="","",INDEX('Final Calculation Sheet'!$Z$4:$Z$40,$BJ29-3)),IF(OR($BI29=1,$BL29=1,$BH29&gt;0),IF($BI29=1,SUM('Final Calculation Sheet'!$Z$4:$Z$40),IF($BL29=1,SUM('Final Calculation Sheet'!$Z$4:$Z$40)-SUMIFS('Final Calculation Sheet'!$Z$4:$Z$40,$AZ$5:$AZ$41,10),SUMIFS('Final Calculation Sheet'!$Z$4:$Z$40,$AZ$5:$AZ$41,$BH29))),""))</f>
        <v>0</v>
      </c>
      <c r="AB30" s="70" t="str">
        <f>IF($BJ29&gt;0,IF(INDEX('Final Calculation Sheet'!$AA$4:$AA$40,$BJ29-3)="","",INDEX('Final Calculation Sheet'!$AA$4:$AA$40,$BJ29-3)),IF(OR($BI29=1,$BL29=1,$BH29&gt;0),IF($BI29=1,SUM('Final Calculation Sheet'!$AA$4:$AA$40),IF($BL29=1,SUM('Final Calculation Sheet'!$AA$4:$AA$40)-SUMIFS('Final Calculation Sheet'!$AA$4:$AA$40,$AZ$5:$AZ$41,10),SUMIFS('Final Calculation Sheet'!$AA$4:$AA$40,$AZ$5:$AZ$41,$BH29))),""))</f>
        <v/>
      </c>
      <c r="AC30" s="70" t="str">
        <f>IF($BJ29&gt;0,IF(INDEX('Final Calculation Sheet'!$AB$4:$AB$40,$BJ29-3)="","",INDEX('Final Calculation Sheet'!$AB$4:$AB$40,$BJ29-3)),IF(OR($BI29=1,$BL29=1,$BH29&gt;0),"–",""))</f>
        <v/>
      </c>
      <c r="AD30" s="70">
        <f>IF($BJ29&gt;0,IF(INDEX('Final Calculation Sheet'!$AC$4:$AC$40,$BJ29-3)="","",INDEX('Final Calculation Sheet'!$AC$4:$AC$40,$BJ29-3)),IF(OR($BI29=1,$BL29=1,$BH29&gt;0),IF($BI29=1,SUM('Final Calculation Sheet'!$AC$4:$AC$40),IF($BL29=1,SUM('Final Calculation Sheet'!$AC$4:$AC$40)-SUMIFS('Final Calculation Sheet'!$AC$4:$AC$40,$AZ$5:$AZ$41,10),SUMIFS('Final Calculation Sheet'!$AC$4:$AC$40,$AZ$5:$AZ$41,$BH29))),""))</f>
        <v>31236</v>
      </c>
      <c r="AE30" s="70">
        <f>IF($BJ29&gt;0,IF(INDEX('Final Calculation Sheet'!$AD$4:$AD$40,$BJ29-3)="","",INDEX('Final Calculation Sheet'!$AD$4:$AD$40,$BJ29-3)),IF(OR($BI29=1,$BL29=1,$BH29&gt;0),IF($BI29=1,SUM('Final Calculation Sheet'!$AD$4:$AD$40),IF($BL29=1,SUM('Final Calculation Sheet'!$AD$4:$AD$40)-SUMIFS('Final Calculation Sheet'!$AD$4:$AD$40,$AZ$5:$AZ$41,10),SUMIFS('Final Calculation Sheet'!$AD$4:$AD$40,$AZ$5:$AZ$41,$BH29))),""))</f>
        <v>0</v>
      </c>
      <c r="AF30" s="70" t="str">
        <f>IF($BJ29&gt;0,IF(INDEX('Final Calculation Sheet'!$AE$4:$AE$40,$BJ29-3)="","",INDEX('Final Calculation Sheet'!$AE$4:$AE$40,$BJ29-3)),IF(OR($BI29=1,$BL29=1,$BH29&gt;0),"–",""))</f>
        <v>DR2640100043</v>
      </c>
      <c r="AG30" s="74">
        <f>IF($BJ29&gt;0,IF(INDEX('Final Calculation Sheet'!$AF$4:$AF$40,$BJ29-3)="","",INDEX('Final Calculation Sheet'!$AF$4:$AF$40,$BJ29-3)),IF(OR($BI29=1,$BL29=1,$BH29&gt;0),"–",""))</f>
        <v>1800003318</v>
      </c>
      <c r="AH30" s="70" t="str">
        <f>IF($BJ29&gt;0,IF(INDEX('Final Calculation Sheet'!$AG$4:$AG$40,$BJ29-3)="","",INDEX('Final Calculation Sheet'!$AG$4:$AG$40,$BJ29-3)),IF(OR($BI29=1,$BL29=1,$BH29&gt;0),"–",""))</f>
        <v>27.08.2026</v>
      </c>
      <c r="AI30" s="75" t="str">
        <f>IF($BJ29&gt;0,IF(INDEX('Final Calculation Sheet'!$AD$4:$AD$40,$BJ29-3)="","",IF(INDEX('Final Calculation Sheet'!$AD$4:$AD$40,$BJ29-3)&lt;=5,"SETTLED","OUTSTANDING")),IF(OR($BI29=1,$BL29=1,$BH29&gt;0),IF(IF($BI29=1,SUM('Final Calculation Sheet'!$AD$4:$AD$40),IF($BL29=1,SUM('Final Calculation Sheet'!$AD$4:$AD$40)-SUMIFS('Final Calculation Sheet'!$AD$4:$AD$40,$AZ$5:$AZ$41,10),SUMIFS('Final Calculation Sheet'!$AD$4:$AD$40,$AZ$5:$AZ$41,$BH29)))&lt;=5,"ALL SETTLED","OUTSTANDING"),""))</f>
        <v>SETTLED</v>
      </c>
      <c r="AK30" t="str">
        <f>IF($F$3="Lot No.",'Final Calculation Sheet'!$F$29,IF($F$3="Buyer",'Final Calculation Sheet'!$G$29,IF($F$3="Lot Name",'Final Calculation Sheet'!$B$29,IF($F$3="Bid Sheet",'Final Calculation Sheet'!$D$29,IF($F$3="Unit",'Final Calculation Sheet'!$E$29,'Final Calculation Sheet'!$F$29&amp;" "&amp;'Final Calculation Sheet'!$G$29&amp;" "&amp;'Final Calculation Sheet'!$B$29)))))</f>
        <v>2040 STERLING ENTERPRISES Scrap of 33 KV CT</v>
      </c>
      <c r="AL30">
        <f>AL29+IF($B$3="",0,--(SUMPRODUCT(--($AR$6:$AY$6&lt;&gt;""),--ISNUMBER(SEARCH($AR$6:$AY$6,$AK30)))&gt;0))</f>
        <v>0</v>
      </c>
      <c r="AM30">
        <f>IF(COUNTIF($BM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1</v>
      </c>
      <c r="AZ30">
        <f>IF($B$3="",IF(COUNTIF($A$4:$AI$4,"&lt;&gt;")=0,9,IF($AM30=1,9,10)),IF($AM30=0,10,IF(AND($AR$6&lt;&gt;"",ISNUMBER(SEARCH($AR$6,$AK30))),1,IF(AND($AS$6&lt;&gt;"",ISNUMBER(SEARCH($AS$6,$AK30))),2,IF(AND($AT$6&lt;&gt;"",ISNUMBER(SEARCH($AT$6,$AK30))),3,IF(AND($AU$6&lt;&gt;"",ISNUMBER(SEARCH($AU$6,$AK30))),4,IF(AND($AV$6&lt;&gt;"",ISNUMBER(SEARCH($AV$6,$AK30))),5,IF(AND($AW$6&lt;&gt;"",ISNUMBER(SEARCH($AW$6,$AK30))),6,IF(AND($AX$6&lt;&gt;"",ISNUMBER(SEARCH($AX$6,$AK30))),7,IF(AND($AY$6&lt;&gt;"",ISNUMBER(SEARCH($AY$6,$AK30))),8,0))))))))))</f>
        <v>9</v>
      </c>
      <c r="BA30">
        <f>SUMPRODUCT(($AZ$5:$AZ$41=$AZ30)*($BC$5:$BC$41&lt;$BC30))+1</f>
        <v>26</v>
      </c>
      <c r="BB30">
        <f>IF(INDEX($BF$4:$BF$13,$AZ30)=0,0,INDEX($BE$4:$BE$13,$AZ30)+$BA30-1)</f>
        <v>30</v>
      </c>
      <c r="BC30" t="n">
        <v>29</v>
      </c>
      <c r="BH30">
        <f>IFERROR(MATCH(30,$BF$4:$BF$13,0),0)</f>
        <v>0</v>
      </c>
      <c r="BI30">
        <f>IF(30=$BG$5,1,0)</f>
        <v>0</v>
      </c>
      <c r="BJ30">
        <f>IF(OR($BH30&gt;0,$BI30=1,$BL30=1),0,IFERROR(INDEX($BC$5:$BC$41,MATCH(30,$BB$5:$BB$41,0)),0))</f>
        <v>29</v>
      </c>
      <c r="BK30">
        <f>IF($BJ30&gt;0,IF(INDEX($AZ$5:$AZ$41,MATCH(30,$BB$5:$BB$41,0))=10,1,0),IF($BH30=10,1,0))</f>
        <v>0</v>
      </c>
      <c r="BL30">
        <f>IF(30=$BG$4,1,0)</f>
        <v>0</v>
      </c>
      <c r="BM30">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1</v>
      </c>
      <c r="BN30">
        <f>IF($B$4="",1,--(OR(SUMPRODUCT(--(TRIM(MID(SUBSTITUTE(SUBSTITUTE($B$4,"/",","),",",REPT(" ",99)),(ROW($1:$8)-1)*99+1,99))&lt;&gt;""),--ISNUMBER(SEARCH(TRIM(MID(SUBSTITUTE(SUBSTITUTE($B$4,"/",","),",",REPT(" ",99)),(ROW($1:$8)-1)*99+1,99)),IFERROR(('Final Calculation Sheet'!$F$29)&amp;"",""))))&gt;0,AND(ISNUMBER(SEARCH("blank",$B$4)),NOT(ISNUMBER(SEARCH("nonblank",$B$4))),IFERROR(('Final Calculation Sheet'!$F$29)&amp;"","")=""),AND(OR(ISNUMBER(SEARCH("nonblank",$B$4)),ISNUMBER(SEARCH("&lt;&gt;",$B$4))),IFERROR(('Final Calculation Sheet'!$F$29)&amp;"","")&lt;&gt;""),AND(TRIM($B$4)="",IFERROR(('Final Calculation Sheet'!$F$29)&amp;"","")=""))))</f>
        <v>1</v>
      </c>
      <c r="BO30">
        <f>IF($C$4="",1,--(OR(SUMPRODUCT(--(TRIM(MID(SUBSTITUTE(SUBSTITUTE($C$4,"/",","),",",REPT(" ",99)),(ROW($1:$8)-1)*99+1,99))&lt;&gt;""),--ISNUMBER(SEARCH(TRIM(MID(SUBSTITUTE(SUBSTITUTE($C$4,"/",","),",",REPT(" ",99)),(ROW($1:$8)-1)*99+1,99)),IFERROR(('Final Calculation Sheet'!$G$29)&amp;"",""))))&gt;0,AND(ISNUMBER(SEARCH("blank",$C$4)),NOT(ISNUMBER(SEARCH("nonblank",$C$4))),IFERROR(('Final Calculation Sheet'!$G$29)&amp;"","")=""),AND(OR(ISNUMBER(SEARCH("nonblank",$C$4)),ISNUMBER(SEARCH("&lt;&gt;",$C$4))),IFERROR(('Final Calculation Sheet'!$G$29)&amp;"","")&lt;&gt;""),AND(TRIM($C$4)="",IFERROR(('Final Calculation Sheet'!$G$29)&amp;"","")=""))))</f>
        <v>1</v>
      </c>
      <c r="BP30">
        <f>IF($D$4="",1,--(OR(SUMPRODUCT(--(TRIM(MID(SUBSTITUTE(SUBSTITUTE($D$4,"/",","),",",REPT(" ",99)),(ROW($1:$8)-1)*99+1,99))&lt;&gt;""),--ISNUMBER(SEARCH(TRIM(MID(SUBSTITUTE(SUBSTITUTE($D$4,"/",","),",",REPT(" ",99)),(ROW($1:$8)-1)*99+1,99)),IFERROR(('Final Calculation Sheet'!$B$29)&amp;"",""))))&gt;0,AND(ISNUMBER(SEARCH("blank",$D$4)),NOT(ISNUMBER(SEARCH("nonblank",$D$4))),IFERROR(('Final Calculation Sheet'!$B$29)&amp;"","")=""),AND(OR(ISNUMBER(SEARCH("nonblank",$D$4)),ISNUMBER(SEARCH("&lt;&gt;",$D$4))),IFERROR(('Final Calculation Sheet'!$B$29)&amp;"","")&lt;&gt;""),AND(TRIM($D$4)="",IFERROR(('Final Calculation Sheet'!$B$29)&amp;"","")=""))))</f>
        <v>1</v>
      </c>
      <c r="BQ30">
        <f>IF($E$4="",1,--(OR(SUMPRODUCT(--(TRIM(MID(SUBSTITUTE(SUBSTITUTE($E$4,"/",","),",",REPT(" ",99)),(ROW($1:$8)-1)*99+1,99))&lt;&gt;""),--ISNUMBER(SEARCH(TRIM(MID(SUBSTITUTE(SUBSTITUTE($E$4,"/",","),",",REPT(" ",99)),(ROW($1:$8)-1)*99+1,99)),IFERROR(('Final Calculation Sheet'!$D$29)&amp;"",""))))&gt;0,AND(ISNUMBER(SEARCH("blank",$E$4)),NOT(ISNUMBER(SEARCH("nonblank",$E$4))),IFERROR(('Final Calculation Sheet'!$D$29)&amp;"","")=""),AND(OR(ISNUMBER(SEARCH("nonblank",$E$4)),ISNUMBER(SEARCH("&lt;&gt;",$E$4))),IFERROR(('Final Calculation Sheet'!$D$29)&amp;"","")&lt;&gt;""),AND(TRIM($E$4)="",IFERROR(('Final Calculation Sheet'!$D$29)&amp;"","")=""))))</f>
        <v>1</v>
      </c>
      <c r="BR30">
        <f>IF($F$4="",1,--(OR(SUMPRODUCT(--(TRIM(MID(SUBSTITUTE(SUBSTITUTE($F$4,"/",","),",",REPT(" ",99)),(ROW($1:$8)-1)*99+1,99))&lt;&gt;""),--ISNUMBER(SEARCH(TRIM(MID(SUBSTITUTE(SUBSTITUTE($F$4,"/",","),",",REPT(" ",99)),(ROW($1:$8)-1)*99+1,99)),IFERROR(('Final Calculation Sheet'!$A$29)&amp;"",""))))&gt;0,AND(ISNUMBER(SEARCH("blank",$F$4)),NOT(ISNUMBER(SEARCH("nonblank",$F$4))),IFERROR(('Final Calculation Sheet'!$A$29)&amp;"","")=""),AND(OR(ISNUMBER(SEARCH("nonblank",$F$4)),ISNUMBER(SEARCH("&lt;&gt;",$F$4))),IFERROR(('Final Calculation Sheet'!$A$29)&amp;"","")&lt;&gt;""),AND(TRIM($F$4)="",IFERROR(('Final Calculation Sheet'!$A$29)&amp;"","")=""))))</f>
        <v>1</v>
      </c>
      <c r="BS30">
        <f>IF($G$4="",1,--(OR(SUMPRODUCT(--(TRIM(MID(SUBSTITUTE(SUBSTITUTE($G$4,"/",","),",",REPT(" ",99)),(ROW($1:$8)-1)*99+1,99))&lt;&gt;""),--ISNUMBER(SEARCH(TRIM(MID(SUBSTITUTE(SUBSTITUTE($G$4,"/",","),",",REPT(" ",99)),(ROW($1:$8)-1)*99+1,99)),IFERROR(('Final Calculation Sheet'!$E$29)&amp;"",""))))&gt;0,AND(ISNUMBER(SEARCH("blank",$G$4)),NOT(ISNUMBER(SEARCH("nonblank",$G$4))),IFERROR(('Final Calculation Sheet'!$E$29)&amp;"","")=""),AND(OR(ISNUMBER(SEARCH("nonblank",$G$4)),ISNUMBER(SEARCH("&lt;&gt;",$G$4))),IFERROR(('Final Calculation Sheet'!$E$29)&amp;"","")&lt;&gt;""),AND(TRIM($G$4)="",IFERROR(('Final Calculation Sheet'!$E$29)&amp;"","")=""))))</f>
        <v>1</v>
      </c>
      <c r="BT30">
        <f>IF($H$4="",1,--(OR(SUMPRODUCT(--(TRIM(MID(SUBSTITUTE(SUBSTITUTE($H$4,"/",","),",",REPT(" ",99)),(ROW($1:$8)-1)*99+1,99))&lt;&gt;""),--ISNUMBER(SEARCH(TRIM(MID(SUBSTITUTE(SUBSTITUTE($H$4,"/",","),",",REPT(" ",99)),(ROW($1:$8)-1)*99+1,99)),IFERROR(('Final Calculation Sheet'!$C$29)&amp;"",""))))&gt;0,AND(ISNUMBER(SEARCH("blank",$H$4)),NOT(ISNUMBER(SEARCH("nonblank",$H$4))),IFERROR(('Final Calculation Sheet'!$C$29)&amp;"","")=""),AND(OR(ISNUMBER(SEARCH("nonblank",$H$4)),ISNUMBER(SEARCH("&lt;&gt;",$H$4))),IFERROR(('Final Calculation Sheet'!$C$29)&amp;"","")&lt;&gt;""),AND(TRIM($H$4)="",IFERROR(('Final Calculation Sheet'!$C$29)&amp;"","")=""))))</f>
        <v>1</v>
      </c>
      <c r="BU30">
        <f>IF($I$4="",1,--(OR(SUMPRODUCT(--(TRIM(MID(SUBSTITUTE(SUBSTITUTE($I$4,"/",","),",",REPT(" ",99)),(ROW($1:$8)-1)*99+1,99))&lt;&gt;""),--ISNUMBER(SEARCH(TRIM(MID(SUBSTITUTE(SUBSTITUTE($I$4,"/",","),",",REPT(" ",99)),(ROW($1:$8)-1)*99+1,99)),IFERROR(('Final Calculation Sheet'!$H$29)&amp;"",""))))&gt;0,AND(ISNUMBER(SEARCH("blank",$I$4)),NOT(ISNUMBER(SEARCH("nonblank",$I$4))),IFERROR(('Final Calculation Sheet'!$H$29)&amp;"","")=""),AND(OR(ISNUMBER(SEARCH("nonblank",$I$4)),ISNUMBER(SEARCH("&lt;&gt;",$I$4))),IFERROR(('Final Calculation Sheet'!$H$29)&amp;"","")&lt;&gt;""),AND(TRIM($I$4)="",IFERROR(('Final Calculation Sheet'!$H$29)&amp;"","")=""))))</f>
        <v>1</v>
      </c>
      <c r="BV30">
        <f>IF($J$4="",1,--(OR(SUMPRODUCT(--(TRIM(MID(SUBSTITUTE(SUBSTITUTE($J$4,"/",","),",",REPT(" ",99)),(ROW($1:$8)-1)*99+1,99))&lt;&gt;""),--ISNUMBER(SEARCH(TRIM(MID(SUBSTITUTE(SUBSTITUTE($J$4,"/",","),",",REPT(" ",99)),(ROW($1:$8)-1)*99+1,99)),IFERROR(('Final Calculation Sheet'!$I$29)&amp;"",""))))&gt;0,AND(ISNUMBER(SEARCH("blank",$J$4)),NOT(ISNUMBER(SEARCH("nonblank",$J$4))),IFERROR(('Final Calculation Sheet'!$I$29)&amp;"","")=""),AND(OR(ISNUMBER(SEARCH("nonblank",$J$4)),ISNUMBER(SEARCH("&lt;&gt;",$J$4))),IFERROR(('Final Calculation Sheet'!$I$29)&amp;"","")&lt;&gt;""),AND(TRIM($J$4)="",IFERROR(('Final Calculation Sheet'!$I$29)&amp;"","")=""))))</f>
        <v>1</v>
      </c>
      <c r="BW30">
        <f>IF($K$4="",1,--(OR(SUMPRODUCT(--(TRIM(MID(SUBSTITUTE(SUBSTITUTE($K$4,"/",","),",",REPT(" ",99)),(ROW($1:$8)-1)*99+1,99))&lt;&gt;""),--ISNUMBER(SEARCH(TRIM(MID(SUBSTITUTE(SUBSTITUTE($K$4,"/",","),",",REPT(" ",99)),(ROW($1:$8)-1)*99+1,99)),IFERROR(('Final Calculation Sheet'!$J$29)&amp;"",""))))&gt;0,AND(ISNUMBER(SEARCH("blank",$K$4)),NOT(ISNUMBER(SEARCH("nonblank",$K$4))),IFERROR(('Final Calculation Sheet'!$J$29)&amp;"","")=""),AND(OR(ISNUMBER(SEARCH("nonblank",$K$4)),ISNUMBER(SEARCH("&lt;&gt;",$K$4))),IFERROR(('Final Calculation Sheet'!$J$29)&amp;"","")&lt;&gt;""),AND(TRIM($K$4)="",IFERROR(('Final Calculation Sheet'!$J$29)&amp;"","")=""))))</f>
        <v>1</v>
      </c>
      <c r="BX30">
        <f>IF($L$4="",1,--(OR(SUMPRODUCT(--(TRIM(MID(SUBSTITUTE(SUBSTITUTE($L$4,"/",","),",",REPT(" ",99)),(ROW($1:$8)-1)*99+1,99))&lt;&gt;""),--ISNUMBER(SEARCH(TRIM(MID(SUBSTITUTE(SUBSTITUTE($L$4,"/",","),",",REPT(" ",99)),(ROW($1:$8)-1)*99+1,99)),IFERROR(('Final Calculation Sheet'!$K$29)&amp;"",""))))&gt;0,AND(ISNUMBER(SEARCH("blank",$L$4)),NOT(ISNUMBER(SEARCH("nonblank",$L$4))),IFERROR(('Final Calculation Sheet'!$K$29)&amp;"","")=""),AND(OR(ISNUMBER(SEARCH("nonblank",$L$4)),ISNUMBER(SEARCH("&lt;&gt;",$L$4))),IFERROR(('Final Calculation Sheet'!$K$29)&amp;"","")&lt;&gt;""),AND(TRIM($L$4)="",IFERROR(('Final Calculation Sheet'!$K$29)&amp;"","")=""))))</f>
        <v>1</v>
      </c>
      <c r="BY30">
        <f>IF($M$4="",1,--(OR(SUMPRODUCT(--(TRIM(MID(SUBSTITUTE(SUBSTITUTE($M$4,"/",","),",",REPT(" ",99)),(ROW($1:$8)-1)*99+1,99))&lt;&gt;""),--ISNUMBER(SEARCH(TRIM(MID(SUBSTITUTE(SUBSTITUTE($M$4,"/",","),",",REPT(" ",99)),(ROW($1:$8)-1)*99+1,99)),IFERROR(('Final Calculation Sheet'!$L$29)&amp;"",""))))&gt;0,AND(ISNUMBER(SEARCH("blank",$M$4)),NOT(ISNUMBER(SEARCH("nonblank",$M$4))),IFERROR(('Final Calculation Sheet'!$L$29)&amp;"","")=""),AND(OR(ISNUMBER(SEARCH("nonblank",$M$4)),ISNUMBER(SEARCH("&lt;&gt;",$M$4))),IFERROR(('Final Calculation Sheet'!$L$29)&amp;"","")&lt;&gt;""),AND(TRIM($M$4)="",IFERROR(('Final Calculation Sheet'!$L$29)&amp;"","")=""))))</f>
        <v>1</v>
      </c>
      <c r="BZ30">
        <f>IF($N$4="",1,--(OR(SUMPRODUCT(--(TRIM(MID(SUBSTITUTE(SUBSTITUTE($N$4,"/",","),",",REPT(" ",99)),(ROW($1:$8)-1)*99+1,99))&lt;&gt;""),--ISNUMBER(SEARCH(TRIM(MID(SUBSTITUTE(SUBSTITUTE($N$4,"/",","),",",REPT(" ",99)),(ROW($1:$8)-1)*99+1,99)),IFERROR(('Final Calculation Sheet'!$M$29)&amp;"",""))))&gt;0,AND(ISNUMBER(SEARCH("blank",$N$4)),NOT(ISNUMBER(SEARCH("nonblank",$N$4))),IFERROR(('Final Calculation Sheet'!$M$29)&amp;"","")=""),AND(OR(ISNUMBER(SEARCH("nonblank",$N$4)),ISNUMBER(SEARCH("&lt;&gt;",$N$4))),IFERROR(('Final Calculation Sheet'!$M$29)&amp;"","")&lt;&gt;""),AND(TRIM($N$4)="",IFERROR(('Final Calculation Sheet'!$M$29)&amp;"","")=""))))</f>
        <v>1</v>
      </c>
      <c r="CA30">
        <f>IF($O$4="",1,--(OR(SUMPRODUCT(--(TRIM(MID(SUBSTITUTE(SUBSTITUTE($O$4,"/",","),",",REPT(" ",99)),(ROW($1:$8)-1)*99+1,99))&lt;&gt;""),--ISNUMBER(SEARCH(TRIM(MID(SUBSTITUTE(SUBSTITUTE($O$4,"/",","),",",REPT(" ",99)),(ROW($1:$8)-1)*99+1,99)),IFERROR(('Final Calculation Sheet'!$N$29)&amp;"",""))))&gt;0,AND(ISNUMBER(SEARCH("blank",$O$4)),NOT(ISNUMBER(SEARCH("nonblank",$O$4))),IFERROR(('Final Calculation Sheet'!$N$29)&amp;"","")=""),AND(OR(ISNUMBER(SEARCH("nonblank",$O$4)),ISNUMBER(SEARCH("&lt;&gt;",$O$4))),IFERROR(('Final Calculation Sheet'!$N$29)&amp;"","")&lt;&gt;""),AND(TRIM($O$4)="",IFERROR(('Final Calculation Sheet'!$N$29)&amp;"","")=""))))</f>
        <v>1</v>
      </c>
      <c r="CB30">
        <f>IF($P$4="",1,--(OR(SUMPRODUCT(--(TRIM(MID(SUBSTITUTE(SUBSTITUTE($P$4,"/",","),",",REPT(" ",99)),(ROW($1:$8)-1)*99+1,99))&lt;&gt;""),--ISNUMBER(SEARCH(TRIM(MID(SUBSTITUTE(SUBSTITUTE($P$4,"/",","),",",REPT(" ",99)),(ROW($1:$8)-1)*99+1,99)),IFERROR(('Final Calculation Sheet'!$O$29)&amp;"",""))))&gt;0,AND(ISNUMBER(SEARCH("blank",$P$4)),NOT(ISNUMBER(SEARCH("nonblank",$P$4))),IFERROR(('Final Calculation Sheet'!$O$29)&amp;"","")=""),AND(OR(ISNUMBER(SEARCH("nonblank",$P$4)),ISNUMBER(SEARCH("&lt;&gt;",$P$4))),IFERROR(('Final Calculation Sheet'!$O$29)&amp;"","")&lt;&gt;""),AND(TRIM($P$4)="",IFERROR(('Final Calculation Sheet'!$O$29)&amp;"","")=""))))</f>
        <v>1</v>
      </c>
      <c r="CC30">
        <f>IF($Q$4="",1,--(OR(SUMPRODUCT(--(TRIM(MID(SUBSTITUTE(SUBSTITUTE($Q$4,"/",","),",",REPT(" ",99)),(ROW($1:$8)-1)*99+1,99))&lt;&gt;""),--ISNUMBER(SEARCH(TRIM(MID(SUBSTITUTE(SUBSTITUTE($Q$4,"/",","),",",REPT(" ",99)),(ROW($1:$8)-1)*99+1,99)),IFERROR(('Final Calculation Sheet'!$P$29)&amp;"",""))))&gt;0,AND(ISNUMBER(SEARCH("blank",$Q$4)),NOT(ISNUMBER(SEARCH("nonblank",$Q$4))),IFERROR(('Final Calculation Sheet'!$P$29)&amp;"","")=""),AND(OR(ISNUMBER(SEARCH("nonblank",$Q$4)),ISNUMBER(SEARCH("&lt;&gt;",$Q$4))),IFERROR(('Final Calculation Sheet'!$P$29)&amp;"","")&lt;&gt;""),AND(TRIM($Q$4)="",IFERROR(('Final Calculation Sheet'!$P$29)&amp;"","")=""))))</f>
        <v>1</v>
      </c>
      <c r="CD30">
        <f>IF($R$4="",1,--(OR(SUMPRODUCT(--(TRIM(MID(SUBSTITUTE(SUBSTITUTE($R$4,"/",","),",",REPT(" ",99)),(ROW($1:$8)-1)*99+1,99))&lt;&gt;""),--ISNUMBER(SEARCH(TRIM(MID(SUBSTITUTE(SUBSTITUTE($R$4,"/",","),",",REPT(" ",99)),(ROW($1:$8)-1)*99+1,99)),IFERROR(('Final Calculation Sheet'!$Q$29)&amp;"",""))))&gt;0,AND(ISNUMBER(SEARCH("blank",$R$4)),NOT(ISNUMBER(SEARCH("nonblank",$R$4))),IFERROR(('Final Calculation Sheet'!$Q$29)&amp;"","")=""),AND(OR(ISNUMBER(SEARCH("nonblank",$R$4)),ISNUMBER(SEARCH("&lt;&gt;",$R$4))),IFERROR(('Final Calculation Sheet'!$Q$29)&amp;"","")&lt;&gt;""),AND(TRIM($R$4)="",IFERROR(('Final Calculation Sheet'!$Q$29)&amp;"","")=""))))</f>
        <v>1</v>
      </c>
      <c r="CE30">
        <f>IF($S$4="",1,--(OR(SUMPRODUCT(--(TRIM(MID(SUBSTITUTE(SUBSTITUTE($S$4,"/",","),",",REPT(" ",99)),(ROW($1:$8)-1)*99+1,99))&lt;&gt;""),--ISNUMBER(SEARCH(TRIM(MID(SUBSTITUTE(SUBSTITUTE($S$4,"/",","),",",REPT(" ",99)),(ROW($1:$8)-1)*99+1,99)),IFERROR(('Final Calculation Sheet'!$R$29)&amp;"",""))))&gt;0,AND(ISNUMBER(SEARCH("blank",$S$4)),NOT(ISNUMBER(SEARCH("nonblank",$S$4))),IFERROR(('Final Calculation Sheet'!$R$29)&amp;"","")=""),AND(OR(ISNUMBER(SEARCH("nonblank",$S$4)),ISNUMBER(SEARCH("&lt;&gt;",$S$4))),IFERROR(('Final Calculation Sheet'!$R$29)&amp;"","")&lt;&gt;""),AND(TRIM($S$4)="",IFERROR(('Final Calculation Sheet'!$R$29)&amp;"","")=""))))</f>
        <v>1</v>
      </c>
      <c r="CF30">
        <f>IF($T$4="",1,--(OR(SUMPRODUCT(--(TRIM(MID(SUBSTITUTE(SUBSTITUTE($T$4,"/",","),",",REPT(" ",99)),(ROW($1:$8)-1)*99+1,99))&lt;&gt;""),--ISNUMBER(SEARCH(TRIM(MID(SUBSTITUTE(SUBSTITUTE($T$4,"/",","),",",REPT(" ",99)),(ROW($1:$8)-1)*99+1,99)),IFERROR(('Final Calculation Sheet'!$S$29)&amp;"",""))))&gt;0,AND(ISNUMBER(SEARCH("blank",$T$4)),NOT(ISNUMBER(SEARCH("nonblank",$T$4))),IFERROR(('Final Calculation Sheet'!$S$29)&amp;"","")=""),AND(OR(ISNUMBER(SEARCH("nonblank",$T$4)),ISNUMBER(SEARCH("&lt;&gt;",$T$4))),IFERROR(('Final Calculation Sheet'!$S$29)&amp;"","")&lt;&gt;""),AND(TRIM($T$4)="",IFERROR(('Final Calculation Sheet'!$S$29)&amp;"","")=""))))</f>
        <v>1</v>
      </c>
      <c r="CG30">
        <f>IF($U$4="",1,--(OR(SUMPRODUCT(--(TRIM(MID(SUBSTITUTE(SUBSTITUTE($U$4,"/",","),",",REPT(" ",99)),(ROW($1:$8)-1)*99+1,99))&lt;&gt;""),--ISNUMBER(SEARCH(TRIM(MID(SUBSTITUTE(SUBSTITUTE($U$4,"/",","),",",REPT(" ",99)),(ROW($1:$8)-1)*99+1,99)),IFERROR(('Final Calculation Sheet'!$T$29)&amp;"",""))))&gt;0,AND(ISNUMBER(SEARCH("blank",$U$4)),NOT(ISNUMBER(SEARCH("nonblank",$U$4))),IFERROR(('Final Calculation Sheet'!$T$29)&amp;"","")=""),AND(OR(ISNUMBER(SEARCH("nonblank",$U$4)),ISNUMBER(SEARCH("&lt;&gt;",$U$4))),IFERROR(('Final Calculation Sheet'!$T$29)&amp;"","")&lt;&gt;""),AND(TRIM($U$4)="",IFERROR(('Final Calculation Sheet'!$T$29)&amp;"","")=""))))</f>
        <v>1</v>
      </c>
      <c r="CH30">
        <f>IF($V$4="",1,--(OR(SUMPRODUCT(--(TRIM(MID(SUBSTITUTE(SUBSTITUTE($V$4,"/",","),",",REPT(" ",99)),(ROW($1:$8)-1)*99+1,99))&lt;&gt;""),--ISNUMBER(SEARCH(TRIM(MID(SUBSTITUTE(SUBSTITUTE($V$4,"/",","),",",REPT(" ",99)),(ROW($1:$8)-1)*99+1,99)),IFERROR(('Final Calculation Sheet'!$U$29)&amp;"",""))))&gt;0,AND(ISNUMBER(SEARCH("blank",$V$4)),NOT(ISNUMBER(SEARCH("nonblank",$V$4))),IFERROR(('Final Calculation Sheet'!$U$29)&amp;"","")=""),AND(OR(ISNUMBER(SEARCH("nonblank",$V$4)),ISNUMBER(SEARCH("&lt;&gt;",$V$4))),IFERROR(('Final Calculation Sheet'!$U$29)&amp;"","")&lt;&gt;""),AND(TRIM($V$4)="",IFERROR(('Final Calculation Sheet'!$U$29)&amp;"","")=""))))</f>
        <v>1</v>
      </c>
      <c r="CI30">
        <f>IF($W$4="",1,--(OR(SUMPRODUCT(--(TRIM(MID(SUBSTITUTE(SUBSTITUTE($W$4,"/",","),",",REPT(" ",99)),(ROW($1:$8)-1)*99+1,99))&lt;&gt;""),--ISNUMBER(SEARCH(TRIM(MID(SUBSTITUTE(SUBSTITUTE($W$4,"/",","),",",REPT(" ",99)),(ROW($1:$8)-1)*99+1,99)),IFERROR(('Final Calculation Sheet'!$V$29)&amp;"",""))))&gt;0,AND(ISNUMBER(SEARCH("blank",$W$4)),NOT(ISNUMBER(SEARCH("nonblank",$W$4))),IFERROR(('Final Calculation Sheet'!$V$29)&amp;"","")=""),AND(OR(ISNUMBER(SEARCH("nonblank",$W$4)),ISNUMBER(SEARCH("&lt;&gt;",$W$4))),IFERROR(('Final Calculation Sheet'!$V$29)&amp;"","")&lt;&gt;""),AND(TRIM($W$4)="",IFERROR(('Final Calculation Sheet'!$V$29)&amp;"","")=""))))</f>
        <v>1</v>
      </c>
      <c r="CJ30">
        <f>IF($X$4="",1,--(OR(SUMPRODUCT(--(TRIM(MID(SUBSTITUTE(SUBSTITUTE($X$4,"/",","),",",REPT(" ",99)),(ROW($1:$8)-1)*99+1,99))&lt;&gt;""),--ISNUMBER(SEARCH(TRIM(MID(SUBSTITUTE(SUBSTITUTE($X$4,"/",","),",",REPT(" ",99)),(ROW($1:$8)-1)*99+1,99)),IFERROR(('Final Calculation Sheet'!$W$29)&amp;"",""))))&gt;0,AND(ISNUMBER(SEARCH("blank",$X$4)),NOT(ISNUMBER(SEARCH("nonblank",$X$4))),IFERROR(('Final Calculation Sheet'!$W$29)&amp;"","")=""),AND(OR(ISNUMBER(SEARCH("nonblank",$X$4)),ISNUMBER(SEARCH("&lt;&gt;",$X$4))),IFERROR(('Final Calculation Sheet'!$W$29)&amp;"","")&lt;&gt;""),AND(TRIM($X$4)="",IFERROR(('Final Calculation Sheet'!$W$29)&amp;"","")=""))))</f>
        <v>1</v>
      </c>
      <c r="CK30">
        <f>IF($Y$4="",1,--(OR(SUMPRODUCT(--(TRIM(MID(SUBSTITUTE(SUBSTITUTE($Y$4,"/",","),",",REPT(" ",99)),(ROW($1:$8)-1)*99+1,99))&lt;&gt;""),--ISNUMBER(SEARCH(TRIM(MID(SUBSTITUTE(SUBSTITUTE($Y$4,"/",","),",",REPT(" ",99)),(ROW($1:$8)-1)*99+1,99)),IFERROR(('Final Calculation Sheet'!$X$29)&amp;"",""))))&gt;0,AND(ISNUMBER(SEARCH("blank",$Y$4)),NOT(ISNUMBER(SEARCH("nonblank",$Y$4))),IFERROR(('Final Calculation Sheet'!$X$29)&amp;"","")=""),AND(OR(ISNUMBER(SEARCH("nonblank",$Y$4)),ISNUMBER(SEARCH("&lt;&gt;",$Y$4))),IFERROR(('Final Calculation Sheet'!$X$29)&amp;"","")&lt;&gt;""),AND(TRIM($Y$4)="",IFERROR(('Final Calculation Sheet'!$X$29)&amp;"","")=""))))</f>
        <v>1</v>
      </c>
      <c r="CL30">
        <f>IF($Z$4="",1,--(OR(SUMPRODUCT(--(TRIM(MID(SUBSTITUTE(SUBSTITUTE($Z$4,"/",","),",",REPT(" ",99)),(ROW($1:$8)-1)*99+1,99))&lt;&gt;""),--ISNUMBER(SEARCH(TRIM(MID(SUBSTITUTE(SUBSTITUTE($Z$4,"/",","),",",REPT(" ",99)),(ROW($1:$8)-1)*99+1,99)),IFERROR(('Final Calculation Sheet'!$Y$29)&amp;"",""))))&gt;0,AND(ISNUMBER(SEARCH("blank",$Z$4)),NOT(ISNUMBER(SEARCH("nonblank",$Z$4))),IFERROR(('Final Calculation Sheet'!$Y$29)&amp;"","")=""),AND(OR(ISNUMBER(SEARCH("nonblank",$Z$4)),ISNUMBER(SEARCH("&lt;&gt;",$Z$4))),IFERROR(('Final Calculation Sheet'!$Y$29)&amp;"","")&lt;&gt;""),AND(TRIM($Z$4)="",IFERROR(('Final Calculation Sheet'!$Y$29)&amp;"","")=""))))</f>
        <v>1</v>
      </c>
      <c r="CM30">
        <f>IF($AA$4="",1,--(OR(SUMPRODUCT(--(TRIM(MID(SUBSTITUTE(SUBSTITUTE($AA$4,"/",","),",",REPT(" ",99)),(ROW($1:$8)-1)*99+1,99))&lt;&gt;""),--ISNUMBER(SEARCH(TRIM(MID(SUBSTITUTE(SUBSTITUTE($AA$4,"/",","),",",REPT(" ",99)),(ROW($1:$8)-1)*99+1,99)),IFERROR(('Final Calculation Sheet'!$Z$29)&amp;"",""))))&gt;0,AND(ISNUMBER(SEARCH("blank",$AA$4)),NOT(ISNUMBER(SEARCH("nonblank",$AA$4))),IFERROR(('Final Calculation Sheet'!$Z$29)&amp;"","")=""),AND(OR(ISNUMBER(SEARCH("nonblank",$AA$4)),ISNUMBER(SEARCH("&lt;&gt;",$AA$4))),IFERROR(('Final Calculation Sheet'!$Z$29)&amp;"","")&lt;&gt;""),AND(TRIM($AA$4)="",IFERROR(('Final Calculation Sheet'!$Z$29)&amp;"","")=""))))</f>
        <v>1</v>
      </c>
      <c r="CN30">
        <f>IF($AB$4="",1,--(OR(SUMPRODUCT(--(TRIM(MID(SUBSTITUTE(SUBSTITUTE($AB$4,"/",","),",",REPT(" ",99)),(ROW($1:$8)-1)*99+1,99))&lt;&gt;""),--ISNUMBER(SEARCH(TRIM(MID(SUBSTITUTE(SUBSTITUTE($AB$4,"/",","),",",REPT(" ",99)),(ROW($1:$8)-1)*99+1,99)),IFERROR(('Final Calculation Sheet'!$AA$29)&amp;"",""))))&gt;0,AND(ISNUMBER(SEARCH("blank",$AB$4)),NOT(ISNUMBER(SEARCH("nonblank",$AB$4))),IFERROR(('Final Calculation Sheet'!$AA$29)&amp;"","")=""),AND(OR(ISNUMBER(SEARCH("nonblank",$AB$4)),ISNUMBER(SEARCH("&lt;&gt;",$AB$4))),IFERROR(('Final Calculation Sheet'!$AA$29)&amp;"","")&lt;&gt;""),AND(TRIM($AB$4)="",IFERROR(('Final Calculation Sheet'!$AA$29)&amp;"","")=""))))</f>
        <v>1</v>
      </c>
      <c r="CO30">
        <f>IF($AC$4="",1,--(OR(SUMPRODUCT(--(TRIM(MID(SUBSTITUTE(SUBSTITUTE($AC$4,"/",","),",",REPT(" ",99)),(ROW($1:$8)-1)*99+1,99))&lt;&gt;""),--ISNUMBER(SEARCH(TRIM(MID(SUBSTITUTE(SUBSTITUTE($AC$4,"/",","),",",REPT(" ",99)),(ROW($1:$8)-1)*99+1,99)),IFERROR(('Final Calculation Sheet'!$AB$29)&amp;"",""))))&gt;0,AND(ISNUMBER(SEARCH("blank",$AC$4)),NOT(ISNUMBER(SEARCH("nonblank",$AC$4))),IFERROR(('Final Calculation Sheet'!$AB$29)&amp;"","")=""),AND(OR(ISNUMBER(SEARCH("nonblank",$AC$4)),ISNUMBER(SEARCH("&lt;&gt;",$AC$4))),IFERROR(('Final Calculation Sheet'!$AB$29)&amp;"","")&lt;&gt;""),AND(TRIM($AC$4)="",IFERROR(('Final Calculation Sheet'!$AB$29)&amp;"","")=""))))</f>
        <v>1</v>
      </c>
      <c r="CP30">
        <f>IF($AD$4="",1,--(OR(SUMPRODUCT(--(TRIM(MID(SUBSTITUTE(SUBSTITUTE($AD$4,"/",","),",",REPT(" ",99)),(ROW($1:$8)-1)*99+1,99))&lt;&gt;""),--ISNUMBER(SEARCH(TRIM(MID(SUBSTITUTE(SUBSTITUTE($AD$4,"/",","),",",REPT(" ",99)),(ROW($1:$8)-1)*99+1,99)),IFERROR(('Final Calculation Sheet'!$AC$29)&amp;"",""))))&gt;0,AND(ISNUMBER(SEARCH("blank",$AD$4)),NOT(ISNUMBER(SEARCH("nonblank",$AD$4))),IFERROR(('Final Calculation Sheet'!$AC$29)&amp;"","")=""),AND(OR(ISNUMBER(SEARCH("nonblank",$AD$4)),ISNUMBER(SEARCH("&lt;&gt;",$AD$4))),IFERROR(('Final Calculation Sheet'!$AC$29)&amp;"","")&lt;&gt;""),AND(TRIM($AD$4)="",IFERROR(('Final Calculation Sheet'!$AC$29)&amp;"","")=""))))</f>
        <v>1</v>
      </c>
      <c r="CQ30">
        <f>IF($AE$4="",1,--(OR(SUMPRODUCT(--(TRIM(MID(SUBSTITUTE(SUBSTITUTE($AE$4,"/",","),",",REPT(" ",99)),(ROW($1:$8)-1)*99+1,99))&lt;&gt;""),--ISNUMBER(SEARCH(TRIM(MID(SUBSTITUTE(SUBSTITUTE($AE$4,"/",","),",",REPT(" ",99)),(ROW($1:$8)-1)*99+1,99)),IFERROR(('Final Calculation Sheet'!$AD$29)&amp;"",""))))&gt;0,AND(ISNUMBER(SEARCH("blank",$AE$4)),NOT(ISNUMBER(SEARCH("nonblank",$AE$4))),IFERROR(('Final Calculation Sheet'!$AD$29)&amp;"","")=""),AND(OR(ISNUMBER(SEARCH("nonblank",$AE$4)),ISNUMBER(SEARCH("&lt;&gt;",$AE$4))),IFERROR(('Final Calculation Sheet'!$AD$29)&amp;"","")&lt;&gt;""),AND(TRIM($AE$4)="",IFERROR(('Final Calculation Sheet'!$AD$29)&amp;"","")=""))))</f>
        <v>1</v>
      </c>
      <c r="CR30">
        <f>IF($AF$4="",1,--(OR(SUMPRODUCT(--(TRIM(MID(SUBSTITUTE(SUBSTITUTE($AF$4,"/",","),",",REPT(" ",99)),(ROW($1:$8)-1)*99+1,99))&lt;&gt;""),--ISNUMBER(SEARCH(TRIM(MID(SUBSTITUTE(SUBSTITUTE($AF$4,"/",","),",",REPT(" ",99)),(ROW($1:$8)-1)*99+1,99)),IFERROR(('Final Calculation Sheet'!$AE$29)&amp;"",""))))&gt;0,AND(ISNUMBER(SEARCH("blank",$AF$4)),NOT(ISNUMBER(SEARCH("nonblank",$AF$4))),IFERROR(('Final Calculation Sheet'!$AE$29)&amp;"","")=""),AND(OR(ISNUMBER(SEARCH("nonblank",$AF$4)),ISNUMBER(SEARCH("&lt;&gt;",$AF$4))),IFERROR(('Final Calculation Sheet'!$AE$29)&amp;"","")&lt;&gt;""),AND(TRIM($AF$4)="",IFERROR(('Final Calculation Sheet'!$AE$29)&amp;"","")=""))))</f>
        <v>1</v>
      </c>
      <c r="CS30">
        <f>IF($AG$4="",1,--(OR(SUMPRODUCT(--(TRIM(MID(SUBSTITUTE(SUBSTITUTE($AG$4,"/",","),",",REPT(" ",99)),(ROW($1:$8)-1)*99+1,99))&lt;&gt;""),--ISNUMBER(SEARCH(TRIM(MID(SUBSTITUTE(SUBSTITUTE($AG$4,"/",","),",",REPT(" ",99)),(ROW($1:$8)-1)*99+1,99)),IFERROR(('Final Calculation Sheet'!$AF$29)&amp;"",""))))&gt;0,AND(ISNUMBER(SEARCH("blank",$AG$4)),NOT(ISNUMBER(SEARCH("nonblank",$AG$4))),IFERROR(('Final Calculation Sheet'!$AF$29)&amp;"","")=""),AND(OR(ISNUMBER(SEARCH("nonblank",$AG$4)),ISNUMBER(SEARCH("&lt;&gt;",$AG$4))),IFERROR(('Final Calculation Sheet'!$AF$29)&amp;"","")&lt;&gt;""),AND(TRIM($AG$4)="",IFERROR(('Final Calculation Sheet'!$AF$29)&amp;"","")=""))))</f>
        <v>1</v>
      </c>
      <c r="CT30">
        <f>IF($AH$4="",1,--(OR(SUMPRODUCT(--(TRIM(MID(SUBSTITUTE(SUBSTITUTE($AH$4,"/",","),",",REPT(" ",99)),(ROW($1:$8)-1)*99+1,99))&lt;&gt;""),--ISNUMBER(SEARCH(TRIM(MID(SUBSTITUTE(SUBSTITUTE($AH$4,"/",","),",",REPT(" ",99)),(ROW($1:$8)-1)*99+1,99)),IFERROR(('Final Calculation Sheet'!$AG$29)&amp;"",""))))&gt;0,AND(ISNUMBER(SEARCH("blank",$AH$4)),NOT(ISNUMBER(SEARCH("nonblank",$AH$4))),IFERROR(('Final Calculation Sheet'!$AG$29)&amp;"","")=""),AND(OR(ISNUMBER(SEARCH("nonblank",$AH$4)),ISNUMBER(SEARCH("&lt;&gt;",$AH$4))),IFERROR(('Final Calculation Sheet'!$AG$29)&amp;"","")&lt;&gt;""),AND(TRIM($AH$4)="",IFERROR(('Final Calculation Sheet'!$AG$29)&amp;"","")=""))))</f>
        <v>1</v>
      </c>
      <c r="CU30">
        <f>IF($AI$4="",1,--(OR(SUMPRODUCT(--(TRIM(MID(SUBSTITUTE(SUBSTITUTE($AI$4,"/",","),",",REPT(" ",99)),(ROW($1:$8)-1)*99+1,99))&lt;&gt;""),--ISNUMBER(SEARCH(TRIM(MID(SUBSTITUTE(SUBSTITUTE($AI$4,"/",","),",",REPT(" ",99)),(ROW($1:$8)-1)*99+1,99)),IFERROR((IF('Final Calculation Sheet'!$AD$29&lt;=5,"SETTLED","OUTSTANDING"))&amp;"",""))))&gt;0,AND(ISNUMBER(SEARCH("blank",$AI$4)),NOT(ISNUMBER(SEARCH("nonblank",$AI$4))),IFERROR((IF('Final Calculation Sheet'!$AD$29&lt;=5,"SETTLED","OUTSTANDING"))&amp;"","")=""),AND(OR(ISNUMBER(SEARCH("nonblank",$AI$4)),ISNUMBER(SEARCH("&lt;&gt;",$AI$4))),IFERROR((IF('Final Calculation Sheet'!$AD$29&lt;=5,"SETTLED","OUTSTANDING"))&amp;"","")&lt;&gt;""),AND(TRIM($AI$4)="",IFERROR((IF('Final Calculation Sheet'!$AD$29&lt;=5,"SETTLED","OUTSTANDING"))&amp;"","")=""))))</f>
        <v>1</v>
      </c>
    </row>
    <row r="31" ht="15" customHeight="1" s="137">
      <c r="A31" s="67">
        <f>IF($BJ30&gt;0,INDEX($BA$5:$BA$41,MATCH(30,$BB$5:$BB$41,0)),IF(OR($BI30=1,$BL30=1,$BH30&gt;0),"∑",""))</f>
        <v>26</v>
      </c>
      <c r="B31" s="76">
        <f>IF($BJ30&gt;0,IF(INDEX('Final Calculation Sheet'!$F$4:$F$40,$BJ30-3)="","",INDEX('Final Calculation Sheet'!$F$4:$F$40,$BJ30-3)),"")</f>
        <v>2040</v>
      </c>
      <c r="C31" s="76" t="str">
        <f>IF($BJ30&gt;0,IF(INDEX('Final Calculation Sheet'!$G$4:$G$40,$BJ30-3)="","",INDEX('Final Calculation Sheet'!$G$4:$G$40,$BJ30-3)),IF(OR($BI30=1,$BL30=1,$BH30&gt;0),IF($BI30=1,37,IF($BL30=1,37-INDEX($BD$4:$BD$13,10),INDEX($BD$4:$BD$13,$BH30)))&amp;" lot(s)",""))</f>
        <v>STERLING ENTERPRISES</v>
      </c>
      <c r="D31" s="80" t="str">
        <f>IF($BJ30&gt;0,IF(INDEX('Final Calculation Sheet'!$B$4:$B$40,$BJ30-3)="","",INDEX('Final Calculation Sheet'!$B$4:$B$40,$BJ30-3)),IF(OR($BI30=1,$BL30=1,$BH30&gt;0),IF($BI30=1,"GRAND TOTAL  —  matching + remaining",IF($BL30=1,"TOTAL MATCHED  —  every group together",IF($BH30=10,"REMAINING  —  did not match the search",IF($BH30=9,IF(COUNTIF($A$4:$AI$4,"&lt;&gt;")&gt;0,"FILTERED LOTS  —  column fields","ALL LOTS  —  nothing typed in the box"),"GROUP "&amp;$BH30&amp;" TOTAL  —  lots matching  "&amp;INDEX($AR$6:$AY$6,$BH30))))),""))</f>
        <v>Scrap of 33 KV CT</v>
      </c>
      <c r="E31" s="80">
        <f>IF($BJ30&gt;0,IF(INDEX('Final Calculation Sheet'!$D$4:$D$40,$BJ30-3)="","",INDEX('Final Calculation Sheet'!$D$4:$D$40,$BJ30-3)),IF(OR($BI30=1,$BL30=1,$BH30&gt;0),"–",""))</f>
        <v>21978</v>
      </c>
      <c r="F31" s="80">
        <f>IF($BJ30&gt;0,IF(INDEX('Final Calculation Sheet'!$A$4:$A$40,$BJ30-3)="","",INDEX('Final Calculation Sheet'!$A$4:$A$40,$BJ30-3)),IF(OR($BI30=1,$BL30=1,$BH30&gt;0),IF($BI30=1,SUM('Final Calculation Sheet'!$A$4:$A$40),IF($BL30=1,SUM('Final Calculation Sheet'!$A$4:$A$40)-SUMIFS('Final Calculation Sheet'!$A$4:$A$40,$AZ$5:$AZ$41,10),SUMIFS('Final Calculation Sheet'!$A$4:$A$40,$AZ$5:$AZ$41,$BH30))),""))</f>
        <v>3</v>
      </c>
      <c r="G31" s="80" t="str">
        <f>IF($BJ30&gt;0,IF(INDEX('Final Calculation Sheet'!$E$4:$E$40,$BJ30-3)="","",INDEX('Final Calculation Sheet'!$E$4:$E$40,$BJ30-3)),IF(OR($BI30=1,$BL30=1,$BH30&gt;0),"–",""))</f>
        <v>NO</v>
      </c>
      <c r="H31" s="70">
        <f>IF($BJ30&gt;0,IF(INDEX('Final Calculation Sheet'!$C$4:$C$40,$BJ30-3)="","",INDEX('Final Calculation Sheet'!$C$4:$C$40,$BJ30-3)),IF(OR($BI30=1,$BL30=1,$BH30&gt;0),"–",""))</f>
        <v>90002</v>
      </c>
      <c r="I31" s="70">
        <f>IF($BJ30&gt;0,IF(INDEX('Final Calculation Sheet'!$H$4:$H$40,$BJ30-3)="","",INDEX('Final Calculation Sheet'!$H$4:$H$40,$BJ30-3)),IF(OR($BI30=1,$BL30=1,$BH30&gt;0),IF($BI30=1,SUM('Final Calculation Sheet'!$H$4:$H$40),IF($BL30=1,SUM('Final Calculation Sheet'!$H$4:$H$40)-SUMIFS('Final Calculation Sheet'!$H$4:$H$40,$AZ$5:$AZ$41,10),SUMIFS('Final Calculation Sheet'!$H$4:$H$40,$AZ$5:$AZ$41,$BH30))),""))</f>
        <v>270006</v>
      </c>
      <c r="J31" s="70">
        <f>IF($BJ30&gt;0,IF(INDEX('Final Calculation Sheet'!$I$4:$I$40,$BJ30-3)="","",INDEX('Final Calculation Sheet'!$I$4:$I$40,$BJ30-3)),IF(OR($BI30=1,$BL30=1,$BH30&gt;0),IF($BI30=1,SUM('Final Calculation Sheet'!$I$4:$I$40),IF($BL30=1,SUM('Final Calculation Sheet'!$I$4:$I$40)-SUMIFS('Final Calculation Sheet'!$I$4:$I$40,$AZ$5:$AZ$41,10),SUMIFS('Final Calculation Sheet'!$I$4:$I$40,$AZ$5:$AZ$41,$BH30))),""))</f>
        <v>48601</v>
      </c>
      <c r="K31" s="70">
        <f>IF($BJ30&gt;0,IF(INDEX('Final Calculation Sheet'!$J$4:$J$40,$BJ30-3)="","",INDEX('Final Calculation Sheet'!$J$4:$J$40,$BJ30-3)),IF(OR($BI30=1,$BL30=1,$BH30&gt;0),IF($BI30=1,SUM('Final Calculation Sheet'!$J$4:$J$40),IF($BL30=1,SUM('Final Calculation Sheet'!$J$4:$J$40)-SUMIFS('Final Calculation Sheet'!$J$4:$J$40,$AZ$5:$AZ$41,10),SUMIFS('Final Calculation Sheet'!$J$4:$J$40,$AZ$5:$AZ$41,$BH30))),""))</f>
        <v>318607</v>
      </c>
      <c r="L31" s="70">
        <f>IF($BJ30&gt;0,IF(INDEX('Final Calculation Sheet'!$K$4:$K$40,$BJ30-3)="","",INDEX('Final Calculation Sheet'!$K$4:$K$40,$BJ30-3)),IF(OR($BI30=1,$BL30=1,$BH30&gt;0),IF($BI30=1,SUM('Final Calculation Sheet'!$K$4:$K$40),IF($BL30=1,SUM('Final Calculation Sheet'!$K$4:$K$40)-SUMIFS('Final Calculation Sheet'!$K$4:$K$40,$AZ$5:$AZ$41,10),SUMIFS('Final Calculation Sheet'!$K$4:$K$40,$AZ$5:$AZ$41,$BH30))),""))</f>
        <v>6372</v>
      </c>
      <c r="M31" s="70">
        <f>IF($BJ30&gt;0,IF(INDEX('Final Calculation Sheet'!$L$4:$L$40,$BJ30-3)="","",INDEX('Final Calculation Sheet'!$L$4:$L$40,$BJ30-3)),IF(OR($BI30=1,$BL30=1,$BH30&gt;0),IF($BI30=1,SUM('Final Calculation Sheet'!$L$4:$L$40),IF($BL30=1,SUM('Final Calculation Sheet'!$L$4:$L$40)-SUMIFS('Final Calculation Sheet'!$L$4:$L$40,$AZ$5:$AZ$41,10),SUMIFS('Final Calculation Sheet'!$L$4:$L$40,$AZ$5:$AZ$41,$BH30))),""))</f>
        <v>270.00600000000003</v>
      </c>
      <c r="N31" s="70">
        <f>IF($BJ30&gt;0,IF(INDEX('Final Calculation Sheet'!$M$4:$M$40,$BJ30-3)="","",INDEX('Final Calculation Sheet'!$M$4:$M$40,$BJ30-3)),IF(OR($BI30=1,$BL30=1,$BH30&gt;0),IF($BI30=1,SUM('Final Calculation Sheet'!$M$4:$M$40),IF($BL30=1,SUM('Final Calculation Sheet'!$M$4:$M$40)-SUMIFS('Final Calculation Sheet'!$M$4:$M$40,$AZ$5:$AZ$41,10),SUMIFS('Final Calculation Sheet'!$M$4:$M$40,$AZ$5:$AZ$41,$BH30))),""))</f>
        <v>7168.6593000000003</v>
      </c>
      <c r="O31" s="71">
        <f>IF($BJ30&gt;0,IF(INDEX('Final Calculation Sheet'!$N$4:$N$40,$BJ30-3)="","",INDEX('Final Calculation Sheet'!$N$4:$N$40,$BJ30-3)),IF(OR($BI30=1,$BL30=1,$BH30&gt;0),IF($BI30=1,SUM('Final Calculation Sheet'!$N$4:$N$40),IF($BL30=1,SUM('Final Calculation Sheet'!$N$4:$N$40)-SUMIFS('Final Calculation Sheet'!$N$4:$N$40,$AZ$5:$AZ$41,10),SUMIFS('Final Calculation Sheet'!$N$4:$N$40,$AZ$5:$AZ$41,$BH30))),""))</f>
        <v>121.5027</v>
      </c>
      <c r="P31" s="70">
        <f>IF($BJ30&gt;0,IF(INDEX('Final Calculation Sheet'!$O$4:$O$40,$BJ30-3)="","",INDEX('Final Calculation Sheet'!$O$4:$O$40,$BJ30-3)),IF(OR($BI30=1,$BL30=1,$BH30&gt;0),IF($BI30=1,SUM('Final Calculation Sheet'!$O$4:$O$40),IF($BL30=1,SUM('Final Calculation Sheet'!$O$4:$O$40)-SUMIFS('Final Calculation Sheet'!$O$4:$O$40,$AZ$5:$AZ$41,10),SUMIFS('Final Calculation Sheet'!$O$4:$O$40,$AZ$5:$AZ$41,$BH30))),""))</f>
        <v>7047.1566000000003</v>
      </c>
      <c r="Q31" s="70">
        <f>IF($BJ30&gt;0,IF(INDEX('Final Calculation Sheet'!$P$4:$P$40,$BJ30-3)="","",INDEX('Final Calculation Sheet'!$P$4:$P$40,$BJ30-3)),IF(OR($BI30=1,$BL30=1,$BH30&gt;0),IF($BI30=1,SUM('Final Calculation Sheet'!$P$4:$P$40),IF($BL30=1,SUM('Final Calculation Sheet'!$P$4:$P$40)-SUMIFS('Final Calculation Sheet'!$P$4:$P$40,$AZ$5:$AZ$41,10),SUMIFS('Final Calculation Sheet'!$P$4:$P$40,$AZ$5:$AZ$41,$BH30))),""))</f>
        <v>7317</v>
      </c>
      <c r="R31" s="72">
        <f>IF($BJ30&gt;0,IF(INDEX('Final Calculation Sheet'!$Q$4:$Q$40,$BJ30-3)="","",INDEX('Final Calculation Sheet'!$Q$4:$Q$40,$BJ30-3)),IF(OR($BI30=1,$BL30=1,$BH30&gt;0),"–",""))</f>
        <v>0</v>
      </c>
      <c r="S31" s="70">
        <f>IF($BJ30&gt;0,IF(INDEX('Final Calculation Sheet'!$R$4:$R$40,$BJ30-3)="","",INDEX('Final Calculation Sheet'!$R$4:$R$40,$BJ30-3)),IF(OR($BI30=1,$BL30=1,$BH30&gt;0),IF($BI30=1,SUM('Final Calculation Sheet'!$R$4:$R$40),IF($BL30=1,SUM('Final Calculation Sheet'!$R$4:$R$40)-SUMIFS('Final Calculation Sheet'!$R$4:$R$40,$AZ$5:$AZ$41,10),SUMIFS('Final Calculation Sheet'!$R$4:$R$40,$AZ$5:$AZ$41,$BH30))),""))</f>
        <v>0</v>
      </c>
      <c r="T31" s="70">
        <f>IF($BJ30&gt;0,IF(INDEX('Final Calculation Sheet'!$S$4:$S$40,$BJ30-3)="","",INDEX('Final Calculation Sheet'!$S$4:$S$40,$BJ30-3)),IF(OR($BI30=1,$BL30=1,$BH30&gt;0),IF($BI30=1,SUM('Final Calculation Sheet'!$S$4:$S$40),IF($BL30=1,SUM('Final Calculation Sheet'!$S$4:$S$40)-SUMIFS('Final Calculation Sheet'!$S$4:$S$40,$AZ$5:$AZ$41,10),SUMIFS('Final Calculation Sheet'!$S$4:$S$40,$AZ$5:$AZ$41,$BH30))),""))</f>
        <v>317662</v>
      </c>
      <c r="U31" s="70">
        <f>IF($BJ30&gt;0,IF(INDEX('Final Calculation Sheet'!$T$4:$T$40,$BJ30-3)="","",INDEX('Final Calculation Sheet'!$T$4:$T$40,$BJ30-3)),IF(OR($BI30=1,$BL30=1,$BH30&gt;0),IF($BI30=1,SUM('Final Calculation Sheet'!$T$4:$T$40),IF($BL30=1,SUM('Final Calculation Sheet'!$T$4:$T$40)-SUMIFS('Final Calculation Sheet'!$T$4:$T$40,$AZ$5:$AZ$41,10),SUMIFS('Final Calculation Sheet'!$T$4:$T$40,$AZ$5:$AZ$41,$BH30))),""))</f>
        <v>67502</v>
      </c>
      <c r="V31" s="73">
        <f>IF($BJ30&gt;0,IF(INDEX('Final Calculation Sheet'!$U$4:$U$40,$BJ30-3)="","",INDEX('Final Calculation Sheet'!$U$4:$U$40,$BJ30-3)),IF(OR($BI30=1,$BL30=1,$BH30&gt;0),IF($BI30=1,SUM('Final Calculation Sheet'!$U$4:$U$40),IF($BL30=1,SUM('Final Calculation Sheet'!$U$4:$U$40)-SUMIFS('Final Calculation Sheet'!$U$4:$U$40,$AZ$5:$AZ$41,10),SUMIFS('Final Calculation Sheet'!$U$4:$U$40,$AZ$5:$AZ$41,$BH30))),""))</f>
        <v>67502</v>
      </c>
      <c r="W31" s="70" t="str">
        <f>IF($BJ30&gt;0,IF(INDEX('Final Calculation Sheet'!$V$4:$V$40,$BJ30-3)="","",INDEX('Final Calculation Sheet'!$V$4:$V$40,$BJ30-3)),IF(OR($BI30=1,$BL30=1,$BH30&gt;0),"–",""))</f>
        <v>11.08.2026</v>
      </c>
      <c r="X31" s="70">
        <f>IF($BJ30&gt;0,IF(INDEX('Final Calculation Sheet'!$W$4:$W$40,$BJ30-3)="","",INDEX('Final Calculation Sheet'!$W$4:$W$40,$BJ30-3)),IF(OR($BI30=1,$BL30=1,$BH30&gt;0),IF($BI30=1,SUM('Final Calculation Sheet'!$W$4:$W$40),IF($BL30=1,SUM('Final Calculation Sheet'!$W$4:$W$40)-SUMIFS('Final Calculation Sheet'!$W$4:$W$40,$AZ$5:$AZ$41,10),SUMIFS('Final Calculation Sheet'!$W$4:$W$40,$AZ$5:$AZ$41,$BH30))),""))</f>
        <v>250161</v>
      </c>
      <c r="Y31" s="70" t="str">
        <f>IF($BJ30&gt;0,IF(INDEX('Final Calculation Sheet'!$X$4:$X$40,$BJ30-3)="","",INDEX('Final Calculation Sheet'!$X$4:$X$40,$BJ30-3)),IF(OR($BI30=1,$BL30=1,$BH30&gt;0),IF($BI30=1,SUM('Final Calculation Sheet'!$X$4:$X$40),IF($BL30=1,SUM('Final Calculation Sheet'!$X$4:$X$40)-SUMIFS('Final Calculation Sheet'!$X$4:$X$40,$AZ$5:$AZ$41,10),SUMIFS('Final Calculation Sheet'!$X$4:$X$40,$AZ$5:$AZ$41,$BH30))),""))</f>
        <v/>
      </c>
      <c r="Z31" s="70">
        <f>IF($BJ30&gt;0,IF(INDEX('Final Calculation Sheet'!$Y$4:$Y$40,$BJ30-3)="","",INDEX('Final Calculation Sheet'!$Y$4:$Y$40,$BJ30-3)),IF(OR($BI30=1,$BL30=1,$BH30&gt;0),"–",""))</f>
        <v>0</v>
      </c>
      <c r="AA31" s="70">
        <f>IF($BJ30&gt;0,IF(INDEX('Final Calculation Sheet'!$Z$4:$Z$40,$BJ30-3)="","",INDEX('Final Calculation Sheet'!$Z$4:$Z$40,$BJ30-3)),IF(OR($BI30=1,$BL30=1,$BH30&gt;0),IF($BI30=1,SUM('Final Calculation Sheet'!$Z$4:$Z$40),IF($BL30=1,SUM('Final Calculation Sheet'!$Z$4:$Z$40)-SUMIFS('Final Calculation Sheet'!$Z$4:$Z$40,$AZ$5:$AZ$41,10),SUMIFS('Final Calculation Sheet'!$Z$4:$Z$40,$AZ$5:$AZ$41,$BH30))),""))</f>
        <v>9558.2124000000003</v>
      </c>
      <c r="AB31" s="70" t="str">
        <f>IF($BJ30&gt;0,IF(INDEX('Final Calculation Sheet'!$AA$4:$AA$40,$BJ30-3)="","",INDEX('Final Calculation Sheet'!$AA$4:$AA$40,$BJ30-3)),IF(OR($BI30=1,$BL30=1,$BH30&gt;0),IF($BI30=1,SUM('Final Calculation Sheet'!$AA$4:$AA$40),IF($BL30=1,SUM('Final Calculation Sheet'!$AA$4:$AA$40)-SUMIFS('Final Calculation Sheet'!$AA$4:$AA$40,$AZ$5:$AZ$41,10),SUMIFS('Final Calculation Sheet'!$AA$4:$AA$40,$AZ$5:$AZ$41,$BH30))),""))</f>
        <v/>
      </c>
      <c r="AC31" s="70" t="str">
        <f>IF($BJ30&gt;0,IF(INDEX('Final Calculation Sheet'!$AB$4:$AB$40,$BJ30-3)="","",INDEX('Final Calculation Sheet'!$AB$4:$AB$40,$BJ30-3)),IF(OR($BI30=1,$BL30=1,$BH30&gt;0),"–",""))</f>
        <v/>
      </c>
      <c r="AD31" s="70">
        <f>IF($BJ30&gt;0,IF(INDEX('Final Calculation Sheet'!$AC$4:$AC$40,$BJ30-3)="","",INDEX('Final Calculation Sheet'!$AC$4:$AC$40,$BJ30-3)),IF(OR($BI30=1,$BL30=1,$BH30&gt;0),IF($BI30=1,SUM('Final Calculation Sheet'!$AC$4:$AC$40),IF($BL30=1,SUM('Final Calculation Sheet'!$AC$4:$AC$40)-SUMIFS('Final Calculation Sheet'!$AC$4:$AC$40,$AZ$5:$AZ$41,10),SUMIFS('Final Calculation Sheet'!$AC$4:$AC$40,$AZ$5:$AZ$41,$BH30))),""))</f>
        <v>67502</v>
      </c>
      <c r="AE31" s="70">
        <f>IF($BJ30&gt;0,IF(INDEX('Final Calculation Sheet'!$AD$4:$AD$40,$BJ30-3)="","",INDEX('Final Calculation Sheet'!$AD$4:$AD$40,$BJ30-3)),IF(OR($BI30=1,$BL30=1,$BH30&gt;0),IF($BI30=1,SUM('Final Calculation Sheet'!$AD$4:$AD$40),IF($BL30=1,SUM('Final Calculation Sheet'!$AD$4:$AD$40)-SUMIFS('Final Calculation Sheet'!$AD$4:$AD$40,$AZ$5:$AZ$41,10),SUMIFS('Final Calculation Sheet'!$AD$4:$AD$40,$AZ$5:$AZ$41,$BH30))),""))</f>
        <v>250160</v>
      </c>
      <c r="AF31" s="70" t="str">
        <f>IF($BJ30&gt;0,IF(INDEX('Final Calculation Sheet'!$AE$4:$AE$40,$BJ30-3)="","",INDEX('Final Calculation Sheet'!$AE$4:$AE$40,$BJ30-3)),IF(OR($BI30=1,$BL30=1,$BH30&gt;0),"–",""))</f>
        <v/>
      </c>
      <c r="AG31" s="74" t="str">
        <f>IF($BJ30&gt;0,IF(INDEX('Final Calculation Sheet'!$AF$4:$AF$40,$BJ30-3)="","",INDEX('Final Calculation Sheet'!$AF$4:$AF$40,$BJ30-3)),IF(OR($BI30=1,$BL30=1,$BH30&gt;0),"–",""))</f>
        <v/>
      </c>
      <c r="AH31" s="70" t="str">
        <f>IF($BJ30&gt;0,IF(INDEX('Final Calculation Sheet'!$AG$4:$AG$40,$BJ30-3)="","",INDEX('Final Calculation Sheet'!$AG$4:$AG$40,$BJ30-3)),IF(OR($BI30=1,$BL30=1,$BH30&gt;0),"–",""))</f>
        <v/>
      </c>
      <c r="AI31" s="75" t="str">
        <f>IF($BJ30&gt;0,IF(INDEX('Final Calculation Sheet'!$AD$4:$AD$40,$BJ30-3)="","",IF(INDEX('Final Calculation Sheet'!$AD$4:$AD$40,$BJ30-3)&lt;=5,"SETTLED","OUTSTANDING")),IF(OR($BI30=1,$BL30=1,$BH30&gt;0),IF(IF($BI30=1,SUM('Final Calculation Sheet'!$AD$4:$AD$40),IF($BL30=1,SUM('Final Calculation Sheet'!$AD$4:$AD$40)-SUMIFS('Final Calculation Sheet'!$AD$4:$AD$40,$AZ$5:$AZ$41,10),SUMIFS('Final Calculation Sheet'!$AD$4:$AD$40,$AZ$5:$AZ$41,$BH30)))&lt;=5,"ALL SETTLED","OUTSTANDING"),""))</f>
        <v>OUTSTANDING</v>
      </c>
      <c r="AK31" t="str">
        <f>IF($F$3="Lot No.",'Final Calculation Sheet'!$F$30,IF($F$3="Buyer",'Final Calculation Sheet'!$G$30,IF($F$3="Lot Name",'Final Calculation Sheet'!$B$30,IF($F$3="Bid Sheet",'Final Calculation Sheet'!$D$30,IF($F$3="Unit",'Final Calculation Sheet'!$E$30,'Final Calculation Sheet'!$F$30&amp;" "&amp;'Final Calculation Sheet'!$G$30&amp;" "&amp;'Final Calculation Sheet'!$B$30)))))</f>
        <v>2043 NATIONAL ENTERPRISES Scrap of 132 KV CT</v>
      </c>
      <c r="AL31">
        <f>AL30+IF($B$3="",0,--(SUMPRODUCT(--($AR$6:$AY$6&lt;&gt;""),--ISNUMBER(SEARCH($AR$6:$AY$6,$AK31)))&gt;0))</f>
        <v>0</v>
      </c>
      <c r="AM31">
        <f>IF(COUNTIF($BM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1</v>
      </c>
      <c r="AZ31">
        <f>IF($B$3="",IF(COUNTIF($A$4:$AI$4,"&lt;&gt;")=0,9,IF($AM31=1,9,10)),IF($AM31=0,10,IF(AND($AR$6&lt;&gt;"",ISNUMBER(SEARCH($AR$6,$AK31))),1,IF(AND($AS$6&lt;&gt;"",ISNUMBER(SEARCH($AS$6,$AK31))),2,IF(AND($AT$6&lt;&gt;"",ISNUMBER(SEARCH($AT$6,$AK31))),3,IF(AND($AU$6&lt;&gt;"",ISNUMBER(SEARCH($AU$6,$AK31))),4,IF(AND($AV$6&lt;&gt;"",ISNUMBER(SEARCH($AV$6,$AK31))),5,IF(AND($AW$6&lt;&gt;"",ISNUMBER(SEARCH($AW$6,$AK31))),6,IF(AND($AX$6&lt;&gt;"",ISNUMBER(SEARCH($AX$6,$AK31))),7,IF(AND($AY$6&lt;&gt;"",ISNUMBER(SEARCH($AY$6,$AK31))),8,0))))))))))</f>
        <v>9</v>
      </c>
      <c r="BA31">
        <f>SUMPRODUCT(($AZ$5:$AZ$41=$AZ31)*($BC$5:$BC$41&lt;$BC31))+1</f>
        <v>27</v>
      </c>
      <c r="BB31">
        <f>IF(INDEX($BF$4:$BF$13,$AZ31)=0,0,INDEX($BE$4:$BE$13,$AZ31)+$BA31-1)</f>
        <v>31</v>
      </c>
      <c r="BC31" t="n">
        <v>30</v>
      </c>
      <c r="BH31">
        <f>IFERROR(MATCH(31,$BF$4:$BF$13,0),0)</f>
        <v>0</v>
      </c>
      <c r="BI31">
        <f>IF(31=$BG$5,1,0)</f>
        <v>0</v>
      </c>
      <c r="BJ31">
        <f>IF(OR($BH31&gt;0,$BI31=1,$BL31=1),0,IFERROR(INDEX($BC$5:$BC$41,MATCH(31,$BB$5:$BB$41,0)),0))</f>
        <v>30</v>
      </c>
      <c r="BK31">
        <f>IF($BJ31&gt;0,IF(INDEX($AZ$5:$AZ$41,MATCH(31,$BB$5:$BB$41,0))=10,1,0),IF($BH31=10,1,0))</f>
        <v>0</v>
      </c>
      <c r="BL31">
        <f>IF(31=$BG$4,1,0)</f>
        <v>0</v>
      </c>
      <c r="BM31">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1</v>
      </c>
      <c r="BN31">
        <f>IF($B$4="",1,--(OR(SUMPRODUCT(--(TRIM(MID(SUBSTITUTE(SUBSTITUTE($B$4,"/",","),",",REPT(" ",99)),(ROW($1:$8)-1)*99+1,99))&lt;&gt;""),--ISNUMBER(SEARCH(TRIM(MID(SUBSTITUTE(SUBSTITUTE($B$4,"/",","),",",REPT(" ",99)),(ROW($1:$8)-1)*99+1,99)),IFERROR(('Final Calculation Sheet'!$F$30)&amp;"",""))))&gt;0,AND(ISNUMBER(SEARCH("blank",$B$4)),NOT(ISNUMBER(SEARCH("nonblank",$B$4))),IFERROR(('Final Calculation Sheet'!$F$30)&amp;"","")=""),AND(OR(ISNUMBER(SEARCH("nonblank",$B$4)),ISNUMBER(SEARCH("&lt;&gt;",$B$4))),IFERROR(('Final Calculation Sheet'!$F$30)&amp;"","")&lt;&gt;""),AND(TRIM($B$4)="",IFERROR(('Final Calculation Sheet'!$F$30)&amp;"","")=""))))</f>
        <v>1</v>
      </c>
      <c r="BO31">
        <f>IF($C$4="",1,--(OR(SUMPRODUCT(--(TRIM(MID(SUBSTITUTE(SUBSTITUTE($C$4,"/",","),",",REPT(" ",99)),(ROW($1:$8)-1)*99+1,99))&lt;&gt;""),--ISNUMBER(SEARCH(TRIM(MID(SUBSTITUTE(SUBSTITUTE($C$4,"/",","),",",REPT(" ",99)),(ROW($1:$8)-1)*99+1,99)),IFERROR(('Final Calculation Sheet'!$G$30)&amp;"",""))))&gt;0,AND(ISNUMBER(SEARCH("blank",$C$4)),NOT(ISNUMBER(SEARCH("nonblank",$C$4))),IFERROR(('Final Calculation Sheet'!$G$30)&amp;"","")=""),AND(OR(ISNUMBER(SEARCH("nonblank",$C$4)),ISNUMBER(SEARCH("&lt;&gt;",$C$4))),IFERROR(('Final Calculation Sheet'!$G$30)&amp;"","")&lt;&gt;""),AND(TRIM($C$4)="",IFERROR(('Final Calculation Sheet'!$G$30)&amp;"","")=""))))</f>
        <v>1</v>
      </c>
      <c r="BP31">
        <f>IF($D$4="",1,--(OR(SUMPRODUCT(--(TRIM(MID(SUBSTITUTE(SUBSTITUTE($D$4,"/",","),",",REPT(" ",99)),(ROW($1:$8)-1)*99+1,99))&lt;&gt;""),--ISNUMBER(SEARCH(TRIM(MID(SUBSTITUTE(SUBSTITUTE($D$4,"/",","),",",REPT(" ",99)),(ROW($1:$8)-1)*99+1,99)),IFERROR(('Final Calculation Sheet'!$B$30)&amp;"",""))))&gt;0,AND(ISNUMBER(SEARCH("blank",$D$4)),NOT(ISNUMBER(SEARCH("nonblank",$D$4))),IFERROR(('Final Calculation Sheet'!$B$30)&amp;"","")=""),AND(OR(ISNUMBER(SEARCH("nonblank",$D$4)),ISNUMBER(SEARCH("&lt;&gt;",$D$4))),IFERROR(('Final Calculation Sheet'!$B$30)&amp;"","")&lt;&gt;""),AND(TRIM($D$4)="",IFERROR(('Final Calculation Sheet'!$B$30)&amp;"","")=""))))</f>
        <v>1</v>
      </c>
      <c r="BQ31">
        <f>IF($E$4="",1,--(OR(SUMPRODUCT(--(TRIM(MID(SUBSTITUTE(SUBSTITUTE($E$4,"/",","),",",REPT(" ",99)),(ROW($1:$8)-1)*99+1,99))&lt;&gt;""),--ISNUMBER(SEARCH(TRIM(MID(SUBSTITUTE(SUBSTITUTE($E$4,"/",","),",",REPT(" ",99)),(ROW($1:$8)-1)*99+1,99)),IFERROR(('Final Calculation Sheet'!$D$30)&amp;"",""))))&gt;0,AND(ISNUMBER(SEARCH("blank",$E$4)),NOT(ISNUMBER(SEARCH("nonblank",$E$4))),IFERROR(('Final Calculation Sheet'!$D$30)&amp;"","")=""),AND(OR(ISNUMBER(SEARCH("nonblank",$E$4)),ISNUMBER(SEARCH("&lt;&gt;",$E$4))),IFERROR(('Final Calculation Sheet'!$D$30)&amp;"","")&lt;&gt;""),AND(TRIM($E$4)="",IFERROR(('Final Calculation Sheet'!$D$30)&amp;"","")=""))))</f>
        <v>1</v>
      </c>
      <c r="BR31">
        <f>IF($F$4="",1,--(OR(SUMPRODUCT(--(TRIM(MID(SUBSTITUTE(SUBSTITUTE($F$4,"/",","),",",REPT(" ",99)),(ROW($1:$8)-1)*99+1,99))&lt;&gt;""),--ISNUMBER(SEARCH(TRIM(MID(SUBSTITUTE(SUBSTITUTE($F$4,"/",","),",",REPT(" ",99)),(ROW($1:$8)-1)*99+1,99)),IFERROR(('Final Calculation Sheet'!$A$30)&amp;"",""))))&gt;0,AND(ISNUMBER(SEARCH("blank",$F$4)),NOT(ISNUMBER(SEARCH("nonblank",$F$4))),IFERROR(('Final Calculation Sheet'!$A$30)&amp;"","")=""),AND(OR(ISNUMBER(SEARCH("nonblank",$F$4)),ISNUMBER(SEARCH("&lt;&gt;",$F$4))),IFERROR(('Final Calculation Sheet'!$A$30)&amp;"","")&lt;&gt;""),AND(TRIM($F$4)="",IFERROR(('Final Calculation Sheet'!$A$30)&amp;"","")=""))))</f>
        <v>1</v>
      </c>
      <c r="BS31">
        <f>IF($G$4="",1,--(OR(SUMPRODUCT(--(TRIM(MID(SUBSTITUTE(SUBSTITUTE($G$4,"/",","),",",REPT(" ",99)),(ROW($1:$8)-1)*99+1,99))&lt;&gt;""),--ISNUMBER(SEARCH(TRIM(MID(SUBSTITUTE(SUBSTITUTE($G$4,"/",","),",",REPT(" ",99)),(ROW($1:$8)-1)*99+1,99)),IFERROR(('Final Calculation Sheet'!$E$30)&amp;"",""))))&gt;0,AND(ISNUMBER(SEARCH("blank",$G$4)),NOT(ISNUMBER(SEARCH("nonblank",$G$4))),IFERROR(('Final Calculation Sheet'!$E$30)&amp;"","")=""),AND(OR(ISNUMBER(SEARCH("nonblank",$G$4)),ISNUMBER(SEARCH("&lt;&gt;",$G$4))),IFERROR(('Final Calculation Sheet'!$E$30)&amp;"","")&lt;&gt;""),AND(TRIM($G$4)="",IFERROR(('Final Calculation Sheet'!$E$30)&amp;"","")=""))))</f>
        <v>1</v>
      </c>
      <c r="BT31">
        <f>IF($H$4="",1,--(OR(SUMPRODUCT(--(TRIM(MID(SUBSTITUTE(SUBSTITUTE($H$4,"/",","),",",REPT(" ",99)),(ROW($1:$8)-1)*99+1,99))&lt;&gt;""),--ISNUMBER(SEARCH(TRIM(MID(SUBSTITUTE(SUBSTITUTE($H$4,"/",","),",",REPT(" ",99)),(ROW($1:$8)-1)*99+1,99)),IFERROR(('Final Calculation Sheet'!$C$30)&amp;"",""))))&gt;0,AND(ISNUMBER(SEARCH("blank",$H$4)),NOT(ISNUMBER(SEARCH("nonblank",$H$4))),IFERROR(('Final Calculation Sheet'!$C$30)&amp;"","")=""),AND(OR(ISNUMBER(SEARCH("nonblank",$H$4)),ISNUMBER(SEARCH("&lt;&gt;",$H$4))),IFERROR(('Final Calculation Sheet'!$C$30)&amp;"","")&lt;&gt;""),AND(TRIM($H$4)="",IFERROR(('Final Calculation Sheet'!$C$30)&amp;"","")=""))))</f>
        <v>1</v>
      </c>
      <c r="BU31">
        <f>IF($I$4="",1,--(OR(SUMPRODUCT(--(TRIM(MID(SUBSTITUTE(SUBSTITUTE($I$4,"/",","),",",REPT(" ",99)),(ROW($1:$8)-1)*99+1,99))&lt;&gt;""),--ISNUMBER(SEARCH(TRIM(MID(SUBSTITUTE(SUBSTITUTE($I$4,"/",","),",",REPT(" ",99)),(ROW($1:$8)-1)*99+1,99)),IFERROR(('Final Calculation Sheet'!$H$30)&amp;"",""))))&gt;0,AND(ISNUMBER(SEARCH("blank",$I$4)),NOT(ISNUMBER(SEARCH("nonblank",$I$4))),IFERROR(('Final Calculation Sheet'!$H$30)&amp;"","")=""),AND(OR(ISNUMBER(SEARCH("nonblank",$I$4)),ISNUMBER(SEARCH("&lt;&gt;",$I$4))),IFERROR(('Final Calculation Sheet'!$H$30)&amp;"","")&lt;&gt;""),AND(TRIM($I$4)="",IFERROR(('Final Calculation Sheet'!$H$30)&amp;"","")=""))))</f>
        <v>1</v>
      </c>
      <c r="BV31">
        <f>IF($J$4="",1,--(OR(SUMPRODUCT(--(TRIM(MID(SUBSTITUTE(SUBSTITUTE($J$4,"/",","),",",REPT(" ",99)),(ROW($1:$8)-1)*99+1,99))&lt;&gt;""),--ISNUMBER(SEARCH(TRIM(MID(SUBSTITUTE(SUBSTITUTE($J$4,"/",","),",",REPT(" ",99)),(ROW($1:$8)-1)*99+1,99)),IFERROR(('Final Calculation Sheet'!$I$30)&amp;"",""))))&gt;0,AND(ISNUMBER(SEARCH("blank",$J$4)),NOT(ISNUMBER(SEARCH("nonblank",$J$4))),IFERROR(('Final Calculation Sheet'!$I$30)&amp;"","")=""),AND(OR(ISNUMBER(SEARCH("nonblank",$J$4)),ISNUMBER(SEARCH("&lt;&gt;",$J$4))),IFERROR(('Final Calculation Sheet'!$I$30)&amp;"","")&lt;&gt;""),AND(TRIM($J$4)="",IFERROR(('Final Calculation Sheet'!$I$30)&amp;"","")=""))))</f>
        <v>1</v>
      </c>
      <c r="BW31">
        <f>IF($K$4="",1,--(OR(SUMPRODUCT(--(TRIM(MID(SUBSTITUTE(SUBSTITUTE($K$4,"/",","),",",REPT(" ",99)),(ROW($1:$8)-1)*99+1,99))&lt;&gt;""),--ISNUMBER(SEARCH(TRIM(MID(SUBSTITUTE(SUBSTITUTE($K$4,"/",","),",",REPT(" ",99)),(ROW($1:$8)-1)*99+1,99)),IFERROR(('Final Calculation Sheet'!$J$30)&amp;"",""))))&gt;0,AND(ISNUMBER(SEARCH("blank",$K$4)),NOT(ISNUMBER(SEARCH("nonblank",$K$4))),IFERROR(('Final Calculation Sheet'!$J$30)&amp;"","")=""),AND(OR(ISNUMBER(SEARCH("nonblank",$K$4)),ISNUMBER(SEARCH("&lt;&gt;",$K$4))),IFERROR(('Final Calculation Sheet'!$J$30)&amp;"","")&lt;&gt;""),AND(TRIM($K$4)="",IFERROR(('Final Calculation Sheet'!$J$30)&amp;"","")=""))))</f>
        <v>1</v>
      </c>
      <c r="BX31">
        <f>IF($L$4="",1,--(OR(SUMPRODUCT(--(TRIM(MID(SUBSTITUTE(SUBSTITUTE($L$4,"/",","),",",REPT(" ",99)),(ROW($1:$8)-1)*99+1,99))&lt;&gt;""),--ISNUMBER(SEARCH(TRIM(MID(SUBSTITUTE(SUBSTITUTE($L$4,"/",","),",",REPT(" ",99)),(ROW($1:$8)-1)*99+1,99)),IFERROR(('Final Calculation Sheet'!$K$30)&amp;"",""))))&gt;0,AND(ISNUMBER(SEARCH("blank",$L$4)),NOT(ISNUMBER(SEARCH("nonblank",$L$4))),IFERROR(('Final Calculation Sheet'!$K$30)&amp;"","")=""),AND(OR(ISNUMBER(SEARCH("nonblank",$L$4)),ISNUMBER(SEARCH("&lt;&gt;",$L$4))),IFERROR(('Final Calculation Sheet'!$K$30)&amp;"","")&lt;&gt;""),AND(TRIM($L$4)="",IFERROR(('Final Calculation Sheet'!$K$30)&amp;"","")=""))))</f>
        <v>1</v>
      </c>
      <c r="BY31">
        <f>IF($M$4="",1,--(OR(SUMPRODUCT(--(TRIM(MID(SUBSTITUTE(SUBSTITUTE($M$4,"/",","),",",REPT(" ",99)),(ROW($1:$8)-1)*99+1,99))&lt;&gt;""),--ISNUMBER(SEARCH(TRIM(MID(SUBSTITUTE(SUBSTITUTE($M$4,"/",","),",",REPT(" ",99)),(ROW($1:$8)-1)*99+1,99)),IFERROR(('Final Calculation Sheet'!$L$30)&amp;"",""))))&gt;0,AND(ISNUMBER(SEARCH("blank",$M$4)),NOT(ISNUMBER(SEARCH("nonblank",$M$4))),IFERROR(('Final Calculation Sheet'!$L$30)&amp;"","")=""),AND(OR(ISNUMBER(SEARCH("nonblank",$M$4)),ISNUMBER(SEARCH("&lt;&gt;",$M$4))),IFERROR(('Final Calculation Sheet'!$L$30)&amp;"","")&lt;&gt;""),AND(TRIM($M$4)="",IFERROR(('Final Calculation Sheet'!$L$30)&amp;"","")=""))))</f>
        <v>1</v>
      </c>
      <c r="BZ31">
        <f>IF($N$4="",1,--(OR(SUMPRODUCT(--(TRIM(MID(SUBSTITUTE(SUBSTITUTE($N$4,"/",","),",",REPT(" ",99)),(ROW($1:$8)-1)*99+1,99))&lt;&gt;""),--ISNUMBER(SEARCH(TRIM(MID(SUBSTITUTE(SUBSTITUTE($N$4,"/",","),",",REPT(" ",99)),(ROW($1:$8)-1)*99+1,99)),IFERROR(('Final Calculation Sheet'!$M$30)&amp;"",""))))&gt;0,AND(ISNUMBER(SEARCH("blank",$N$4)),NOT(ISNUMBER(SEARCH("nonblank",$N$4))),IFERROR(('Final Calculation Sheet'!$M$30)&amp;"","")=""),AND(OR(ISNUMBER(SEARCH("nonblank",$N$4)),ISNUMBER(SEARCH("&lt;&gt;",$N$4))),IFERROR(('Final Calculation Sheet'!$M$30)&amp;"","")&lt;&gt;""),AND(TRIM($N$4)="",IFERROR(('Final Calculation Sheet'!$M$30)&amp;"","")=""))))</f>
        <v>1</v>
      </c>
      <c r="CA31">
        <f>IF($O$4="",1,--(OR(SUMPRODUCT(--(TRIM(MID(SUBSTITUTE(SUBSTITUTE($O$4,"/",","),",",REPT(" ",99)),(ROW($1:$8)-1)*99+1,99))&lt;&gt;""),--ISNUMBER(SEARCH(TRIM(MID(SUBSTITUTE(SUBSTITUTE($O$4,"/",","),",",REPT(" ",99)),(ROW($1:$8)-1)*99+1,99)),IFERROR(('Final Calculation Sheet'!$N$30)&amp;"",""))))&gt;0,AND(ISNUMBER(SEARCH("blank",$O$4)),NOT(ISNUMBER(SEARCH("nonblank",$O$4))),IFERROR(('Final Calculation Sheet'!$N$30)&amp;"","")=""),AND(OR(ISNUMBER(SEARCH("nonblank",$O$4)),ISNUMBER(SEARCH("&lt;&gt;",$O$4))),IFERROR(('Final Calculation Sheet'!$N$30)&amp;"","")&lt;&gt;""),AND(TRIM($O$4)="",IFERROR(('Final Calculation Sheet'!$N$30)&amp;"","")=""))))</f>
        <v>1</v>
      </c>
      <c r="CB31">
        <f>IF($P$4="",1,--(OR(SUMPRODUCT(--(TRIM(MID(SUBSTITUTE(SUBSTITUTE($P$4,"/",","),",",REPT(" ",99)),(ROW($1:$8)-1)*99+1,99))&lt;&gt;""),--ISNUMBER(SEARCH(TRIM(MID(SUBSTITUTE(SUBSTITUTE($P$4,"/",","),",",REPT(" ",99)),(ROW($1:$8)-1)*99+1,99)),IFERROR(('Final Calculation Sheet'!$O$30)&amp;"",""))))&gt;0,AND(ISNUMBER(SEARCH("blank",$P$4)),NOT(ISNUMBER(SEARCH("nonblank",$P$4))),IFERROR(('Final Calculation Sheet'!$O$30)&amp;"","")=""),AND(OR(ISNUMBER(SEARCH("nonblank",$P$4)),ISNUMBER(SEARCH("&lt;&gt;",$P$4))),IFERROR(('Final Calculation Sheet'!$O$30)&amp;"","")&lt;&gt;""),AND(TRIM($P$4)="",IFERROR(('Final Calculation Sheet'!$O$30)&amp;"","")=""))))</f>
        <v>1</v>
      </c>
      <c r="CC31">
        <f>IF($Q$4="",1,--(OR(SUMPRODUCT(--(TRIM(MID(SUBSTITUTE(SUBSTITUTE($Q$4,"/",","),",",REPT(" ",99)),(ROW($1:$8)-1)*99+1,99))&lt;&gt;""),--ISNUMBER(SEARCH(TRIM(MID(SUBSTITUTE(SUBSTITUTE($Q$4,"/",","),",",REPT(" ",99)),(ROW($1:$8)-1)*99+1,99)),IFERROR(('Final Calculation Sheet'!$P$30)&amp;"",""))))&gt;0,AND(ISNUMBER(SEARCH("blank",$Q$4)),NOT(ISNUMBER(SEARCH("nonblank",$Q$4))),IFERROR(('Final Calculation Sheet'!$P$30)&amp;"","")=""),AND(OR(ISNUMBER(SEARCH("nonblank",$Q$4)),ISNUMBER(SEARCH("&lt;&gt;",$Q$4))),IFERROR(('Final Calculation Sheet'!$P$30)&amp;"","")&lt;&gt;""),AND(TRIM($Q$4)="",IFERROR(('Final Calculation Sheet'!$P$30)&amp;"","")=""))))</f>
        <v>1</v>
      </c>
      <c r="CD31">
        <f>IF($R$4="",1,--(OR(SUMPRODUCT(--(TRIM(MID(SUBSTITUTE(SUBSTITUTE($R$4,"/",","),",",REPT(" ",99)),(ROW($1:$8)-1)*99+1,99))&lt;&gt;""),--ISNUMBER(SEARCH(TRIM(MID(SUBSTITUTE(SUBSTITUTE($R$4,"/",","),",",REPT(" ",99)),(ROW($1:$8)-1)*99+1,99)),IFERROR(('Final Calculation Sheet'!$Q$30)&amp;"",""))))&gt;0,AND(ISNUMBER(SEARCH("blank",$R$4)),NOT(ISNUMBER(SEARCH("nonblank",$R$4))),IFERROR(('Final Calculation Sheet'!$Q$30)&amp;"","")=""),AND(OR(ISNUMBER(SEARCH("nonblank",$R$4)),ISNUMBER(SEARCH("&lt;&gt;",$R$4))),IFERROR(('Final Calculation Sheet'!$Q$30)&amp;"","")&lt;&gt;""),AND(TRIM($R$4)="",IFERROR(('Final Calculation Sheet'!$Q$30)&amp;"","")=""))))</f>
        <v>1</v>
      </c>
      <c r="CE31">
        <f>IF($S$4="",1,--(OR(SUMPRODUCT(--(TRIM(MID(SUBSTITUTE(SUBSTITUTE($S$4,"/",","),",",REPT(" ",99)),(ROW($1:$8)-1)*99+1,99))&lt;&gt;""),--ISNUMBER(SEARCH(TRIM(MID(SUBSTITUTE(SUBSTITUTE($S$4,"/",","),",",REPT(" ",99)),(ROW($1:$8)-1)*99+1,99)),IFERROR(('Final Calculation Sheet'!$R$30)&amp;"",""))))&gt;0,AND(ISNUMBER(SEARCH("blank",$S$4)),NOT(ISNUMBER(SEARCH("nonblank",$S$4))),IFERROR(('Final Calculation Sheet'!$R$30)&amp;"","")=""),AND(OR(ISNUMBER(SEARCH("nonblank",$S$4)),ISNUMBER(SEARCH("&lt;&gt;",$S$4))),IFERROR(('Final Calculation Sheet'!$R$30)&amp;"","")&lt;&gt;""),AND(TRIM($S$4)="",IFERROR(('Final Calculation Sheet'!$R$30)&amp;"","")=""))))</f>
        <v>1</v>
      </c>
      <c r="CF31">
        <f>IF($T$4="",1,--(OR(SUMPRODUCT(--(TRIM(MID(SUBSTITUTE(SUBSTITUTE($T$4,"/",","),",",REPT(" ",99)),(ROW($1:$8)-1)*99+1,99))&lt;&gt;""),--ISNUMBER(SEARCH(TRIM(MID(SUBSTITUTE(SUBSTITUTE($T$4,"/",","),",",REPT(" ",99)),(ROW($1:$8)-1)*99+1,99)),IFERROR(('Final Calculation Sheet'!$S$30)&amp;"",""))))&gt;0,AND(ISNUMBER(SEARCH("blank",$T$4)),NOT(ISNUMBER(SEARCH("nonblank",$T$4))),IFERROR(('Final Calculation Sheet'!$S$30)&amp;"","")=""),AND(OR(ISNUMBER(SEARCH("nonblank",$T$4)),ISNUMBER(SEARCH("&lt;&gt;",$T$4))),IFERROR(('Final Calculation Sheet'!$S$30)&amp;"","")&lt;&gt;""),AND(TRIM($T$4)="",IFERROR(('Final Calculation Sheet'!$S$30)&amp;"","")=""))))</f>
        <v>1</v>
      </c>
      <c r="CG31">
        <f>IF($U$4="",1,--(OR(SUMPRODUCT(--(TRIM(MID(SUBSTITUTE(SUBSTITUTE($U$4,"/",","),",",REPT(" ",99)),(ROW($1:$8)-1)*99+1,99))&lt;&gt;""),--ISNUMBER(SEARCH(TRIM(MID(SUBSTITUTE(SUBSTITUTE($U$4,"/",","),",",REPT(" ",99)),(ROW($1:$8)-1)*99+1,99)),IFERROR(('Final Calculation Sheet'!$T$30)&amp;"",""))))&gt;0,AND(ISNUMBER(SEARCH("blank",$U$4)),NOT(ISNUMBER(SEARCH("nonblank",$U$4))),IFERROR(('Final Calculation Sheet'!$T$30)&amp;"","")=""),AND(OR(ISNUMBER(SEARCH("nonblank",$U$4)),ISNUMBER(SEARCH("&lt;&gt;",$U$4))),IFERROR(('Final Calculation Sheet'!$T$30)&amp;"","")&lt;&gt;""),AND(TRIM($U$4)="",IFERROR(('Final Calculation Sheet'!$T$30)&amp;"","")=""))))</f>
        <v>1</v>
      </c>
      <c r="CH31">
        <f>IF($V$4="",1,--(OR(SUMPRODUCT(--(TRIM(MID(SUBSTITUTE(SUBSTITUTE($V$4,"/",","),",",REPT(" ",99)),(ROW($1:$8)-1)*99+1,99))&lt;&gt;""),--ISNUMBER(SEARCH(TRIM(MID(SUBSTITUTE(SUBSTITUTE($V$4,"/",","),",",REPT(" ",99)),(ROW($1:$8)-1)*99+1,99)),IFERROR(('Final Calculation Sheet'!$U$30)&amp;"",""))))&gt;0,AND(ISNUMBER(SEARCH("blank",$V$4)),NOT(ISNUMBER(SEARCH("nonblank",$V$4))),IFERROR(('Final Calculation Sheet'!$U$30)&amp;"","")=""),AND(OR(ISNUMBER(SEARCH("nonblank",$V$4)),ISNUMBER(SEARCH("&lt;&gt;",$V$4))),IFERROR(('Final Calculation Sheet'!$U$30)&amp;"","")&lt;&gt;""),AND(TRIM($V$4)="",IFERROR(('Final Calculation Sheet'!$U$30)&amp;"","")=""))))</f>
        <v>1</v>
      </c>
      <c r="CI31">
        <f>IF($W$4="",1,--(OR(SUMPRODUCT(--(TRIM(MID(SUBSTITUTE(SUBSTITUTE($W$4,"/",","),",",REPT(" ",99)),(ROW($1:$8)-1)*99+1,99))&lt;&gt;""),--ISNUMBER(SEARCH(TRIM(MID(SUBSTITUTE(SUBSTITUTE($W$4,"/",","),",",REPT(" ",99)),(ROW($1:$8)-1)*99+1,99)),IFERROR(('Final Calculation Sheet'!$V$30)&amp;"",""))))&gt;0,AND(ISNUMBER(SEARCH("blank",$W$4)),NOT(ISNUMBER(SEARCH("nonblank",$W$4))),IFERROR(('Final Calculation Sheet'!$V$30)&amp;"","")=""),AND(OR(ISNUMBER(SEARCH("nonblank",$W$4)),ISNUMBER(SEARCH("&lt;&gt;",$W$4))),IFERROR(('Final Calculation Sheet'!$V$30)&amp;"","")&lt;&gt;""),AND(TRIM($W$4)="",IFERROR(('Final Calculation Sheet'!$V$30)&amp;"","")=""))))</f>
        <v>1</v>
      </c>
      <c r="CJ31">
        <f>IF($X$4="",1,--(OR(SUMPRODUCT(--(TRIM(MID(SUBSTITUTE(SUBSTITUTE($X$4,"/",","),",",REPT(" ",99)),(ROW($1:$8)-1)*99+1,99))&lt;&gt;""),--ISNUMBER(SEARCH(TRIM(MID(SUBSTITUTE(SUBSTITUTE($X$4,"/",","),",",REPT(" ",99)),(ROW($1:$8)-1)*99+1,99)),IFERROR(('Final Calculation Sheet'!$W$30)&amp;"",""))))&gt;0,AND(ISNUMBER(SEARCH("blank",$X$4)),NOT(ISNUMBER(SEARCH("nonblank",$X$4))),IFERROR(('Final Calculation Sheet'!$W$30)&amp;"","")=""),AND(OR(ISNUMBER(SEARCH("nonblank",$X$4)),ISNUMBER(SEARCH("&lt;&gt;",$X$4))),IFERROR(('Final Calculation Sheet'!$W$30)&amp;"","")&lt;&gt;""),AND(TRIM($X$4)="",IFERROR(('Final Calculation Sheet'!$W$30)&amp;"","")=""))))</f>
        <v>1</v>
      </c>
      <c r="CK31">
        <f>IF($Y$4="",1,--(OR(SUMPRODUCT(--(TRIM(MID(SUBSTITUTE(SUBSTITUTE($Y$4,"/",","),",",REPT(" ",99)),(ROW($1:$8)-1)*99+1,99))&lt;&gt;""),--ISNUMBER(SEARCH(TRIM(MID(SUBSTITUTE(SUBSTITUTE($Y$4,"/",","),",",REPT(" ",99)),(ROW($1:$8)-1)*99+1,99)),IFERROR(('Final Calculation Sheet'!$X$30)&amp;"",""))))&gt;0,AND(ISNUMBER(SEARCH("blank",$Y$4)),NOT(ISNUMBER(SEARCH("nonblank",$Y$4))),IFERROR(('Final Calculation Sheet'!$X$30)&amp;"","")=""),AND(OR(ISNUMBER(SEARCH("nonblank",$Y$4)),ISNUMBER(SEARCH("&lt;&gt;",$Y$4))),IFERROR(('Final Calculation Sheet'!$X$30)&amp;"","")&lt;&gt;""),AND(TRIM($Y$4)="",IFERROR(('Final Calculation Sheet'!$X$30)&amp;"","")=""))))</f>
        <v>1</v>
      </c>
      <c r="CL31">
        <f>IF($Z$4="",1,--(OR(SUMPRODUCT(--(TRIM(MID(SUBSTITUTE(SUBSTITUTE($Z$4,"/",","),",",REPT(" ",99)),(ROW($1:$8)-1)*99+1,99))&lt;&gt;""),--ISNUMBER(SEARCH(TRIM(MID(SUBSTITUTE(SUBSTITUTE($Z$4,"/",","),",",REPT(" ",99)),(ROW($1:$8)-1)*99+1,99)),IFERROR(('Final Calculation Sheet'!$Y$30)&amp;"",""))))&gt;0,AND(ISNUMBER(SEARCH("blank",$Z$4)),NOT(ISNUMBER(SEARCH("nonblank",$Z$4))),IFERROR(('Final Calculation Sheet'!$Y$30)&amp;"","")=""),AND(OR(ISNUMBER(SEARCH("nonblank",$Z$4)),ISNUMBER(SEARCH("&lt;&gt;",$Z$4))),IFERROR(('Final Calculation Sheet'!$Y$30)&amp;"","")&lt;&gt;""),AND(TRIM($Z$4)="",IFERROR(('Final Calculation Sheet'!$Y$30)&amp;"","")=""))))</f>
        <v>1</v>
      </c>
      <c r="CM31">
        <f>IF($AA$4="",1,--(OR(SUMPRODUCT(--(TRIM(MID(SUBSTITUTE(SUBSTITUTE($AA$4,"/",","),",",REPT(" ",99)),(ROW($1:$8)-1)*99+1,99))&lt;&gt;""),--ISNUMBER(SEARCH(TRIM(MID(SUBSTITUTE(SUBSTITUTE($AA$4,"/",","),",",REPT(" ",99)),(ROW($1:$8)-1)*99+1,99)),IFERROR(('Final Calculation Sheet'!$Z$30)&amp;"",""))))&gt;0,AND(ISNUMBER(SEARCH("blank",$AA$4)),NOT(ISNUMBER(SEARCH("nonblank",$AA$4))),IFERROR(('Final Calculation Sheet'!$Z$30)&amp;"","")=""),AND(OR(ISNUMBER(SEARCH("nonblank",$AA$4)),ISNUMBER(SEARCH("&lt;&gt;",$AA$4))),IFERROR(('Final Calculation Sheet'!$Z$30)&amp;"","")&lt;&gt;""),AND(TRIM($AA$4)="",IFERROR(('Final Calculation Sheet'!$Z$30)&amp;"","")=""))))</f>
        <v>1</v>
      </c>
      <c r="CN31">
        <f>IF($AB$4="",1,--(OR(SUMPRODUCT(--(TRIM(MID(SUBSTITUTE(SUBSTITUTE($AB$4,"/",","),",",REPT(" ",99)),(ROW($1:$8)-1)*99+1,99))&lt;&gt;""),--ISNUMBER(SEARCH(TRIM(MID(SUBSTITUTE(SUBSTITUTE($AB$4,"/",","),",",REPT(" ",99)),(ROW($1:$8)-1)*99+1,99)),IFERROR(('Final Calculation Sheet'!$AA$30)&amp;"",""))))&gt;0,AND(ISNUMBER(SEARCH("blank",$AB$4)),NOT(ISNUMBER(SEARCH("nonblank",$AB$4))),IFERROR(('Final Calculation Sheet'!$AA$30)&amp;"","")=""),AND(OR(ISNUMBER(SEARCH("nonblank",$AB$4)),ISNUMBER(SEARCH("&lt;&gt;",$AB$4))),IFERROR(('Final Calculation Sheet'!$AA$30)&amp;"","")&lt;&gt;""),AND(TRIM($AB$4)="",IFERROR(('Final Calculation Sheet'!$AA$30)&amp;"","")=""))))</f>
        <v>1</v>
      </c>
      <c r="CO31">
        <f>IF($AC$4="",1,--(OR(SUMPRODUCT(--(TRIM(MID(SUBSTITUTE(SUBSTITUTE($AC$4,"/",","),",",REPT(" ",99)),(ROW($1:$8)-1)*99+1,99))&lt;&gt;""),--ISNUMBER(SEARCH(TRIM(MID(SUBSTITUTE(SUBSTITUTE($AC$4,"/",","),",",REPT(" ",99)),(ROW($1:$8)-1)*99+1,99)),IFERROR(('Final Calculation Sheet'!$AB$30)&amp;"",""))))&gt;0,AND(ISNUMBER(SEARCH("blank",$AC$4)),NOT(ISNUMBER(SEARCH("nonblank",$AC$4))),IFERROR(('Final Calculation Sheet'!$AB$30)&amp;"","")=""),AND(OR(ISNUMBER(SEARCH("nonblank",$AC$4)),ISNUMBER(SEARCH("&lt;&gt;",$AC$4))),IFERROR(('Final Calculation Sheet'!$AB$30)&amp;"","")&lt;&gt;""),AND(TRIM($AC$4)="",IFERROR(('Final Calculation Sheet'!$AB$30)&amp;"","")=""))))</f>
        <v>1</v>
      </c>
      <c r="CP31">
        <f>IF($AD$4="",1,--(OR(SUMPRODUCT(--(TRIM(MID(SUBSTITUTE(SUBSTITUTE($AD$4,"/",","),",",REPT(" ",99)),(ROW($1:$8)-1)*99+1,99))&lt;&gt;""),--ISNUMBER(SEARCH(TRIM(MID(SUBSTITUTE(SUBSTITUTE($AD$4,"/",","),",",REPT(" ",99)),(ROW($1:$8)-1)*99+1,99)),IFERROR(('Final Calculation Sheet'!$AC$30)&amp;"",""))))&gt;0,AND(ISNUMBER(SEARCH("blank",$AD$4)),NOT(ISNUMBER(SEARCH("nonblank",$AD$4))),IFERROR(('Final Calculation Sheet'!$AC$30)&amp;"","")=""),AND(OR(ISNUMBER(SEARCH("nonblank",$AD$4)),ISNUMBER(SEARCH("&lt;&gt;",$AD$4))),IFERROR(('Final Calculation Sheet'!$AC$30)&amp;"","")&lt;&gt;""),AND(TRIM($AD$4)="",IFERROR(('Final Calculation Sheet'!$AC$30)&amp;"","")=""))))</f>
        <v>1</v>
      </c>
      <c r="CQ31">
        <f>IF($AE$4="",1,--(OR(SUMPRODUCT(--(TRIM(MID(SUBSTITUTE(SUBSTITUTE($AE$4,"/",","),",",REPT(" ",99)),(ROW($1:$8)-1)*99+1,99))&lt;&gt;""),--ISNUMBER(SEARCH(TRIM(MID(SUBSTITUTE(SUBSTITUTE($AE$4,"/",","),",",REPT(" ",99)),(ROW($1:$8)-1)*99+1,99)),IFERROR(('Final Calculation Sheet'!$AD$30)&amp;"",""))))&gt;0,AND(ISNUMBER(SEARCH("blank",$AE$4)),NOT(ISNUMBER(SEARCH("nonblank",$AE$4))),IFERROR(('Final Calculation Sheet'!$AD$30)&amp;"","")=""),AND(OR(ISNUMBER(SEARCH("nonblank",$AE$4)),ISNUMBER(SEARCH("&lt;&gt;",$AE$4))),IFERROR(('Final Calculation Sheet'!$AD$30)&amp;"","")&lt;&gt;""),AND(TRIM($AE$4)="",IFERROR(('Final Calculation Sheet'!$AD$30)&amp;"","")=""))))</f>
        <v>1</v>
      </c>
      <c r="CR31">
        <f>IF($AF$4="",1,--(OR(SUMPRODUCT(--(TRIM(MID(SUBSTITUTE(SUBSTITUTE($AF$4,"/",","),",",REPT(" ",99)),(ROW($1:$8)-1)*99+1,99))&lt;&gt;""),--ISNUMBER(SEARCH(TRIM(MID(SUBSTITUTE(SUBSTITUTE($AF$4,"/",","),",",REPT(" ",99)),(ROW($1:$8)-1)*99+1,99)),IFERROR(('Final Calculation Sheet'!$AE$30)&amp;"",""))))&gt;0,AND(ISNUMBER(SEARCH("blank",$AF$4)),NOT(ISNUMBER(SEARCH("nonblank",$AF$4))),IFERROR(('Final Calculation Sheet'!$AE$30)&amp;"","")=""),AND(OR(ISNUMBER(SEARCH("nonblank",$AF$4)),ISNUMBER(SEARCH("&lt;&gt;",$AF$4))),IFERROR(('Final Calculation Sheet'!$AE$30)&amp;"","")&lt;&gt;""),AND(TRIM($AF$4)="",IFERROR(('Final Calculation Sheet'!$AE$30)&amp;"","")=""))))</f>
        <v>1</v>
      </c>
      <c r="CS31">
        <f>IF($AG$4="",1,--(OR(SUMPRODUCT(--(TRIM(MID(SUBSTITUTE(SUBSTITUTE($AG$4,"/",","),",",REPT(" ",99)),(ROW($1:$8)-1)*99+1,99))&lt;&gt;""),--ISNUMBER(SEARCH(TRIM(MID(SUBSTITUTE(SUBSTITUTE($AG$4,"/",","),",",REPT(" ",99)),(ROW($1:$8)-1)*99+1,99)),IFERROR(('Final Calculation Sheet'!$AF$30)&amp;"",""))))&gt;0,AND(ISNUMBER(SEARCH("blank",$AG$4)),NOT(ISNUMBER(SEARCH("nonblank",$AG$4))),IFERROR(('Final Calculation Sheet'!$AF$30)&amp;"","")=""),AND(OR(ISNUMBER(SEARCH("nonblank",$AG$4)),ISNUMBER(SEARCH("&lt;&gt;",$AG$4))),IFERROR(('Final Calculation Sheet'!$AF$30)&amp;"","")&lt;&gt;""),AND(TRIM($AG$4)="",IFERROR(('Final Calculation Sheet'!$AF$30)&amp;"","")=""))))</f>
        <v>1</v>
      </c>
      <c r="CT31">
        <f>IF($AH$4="",1,--(OR(SUMPRODUCT(--(TRIM(MID(SUBSTITUTE(SUBSTITUTE($AH$4,"/",","),",",REPT(" ",99)),(ROW($1:$8)-1)*99+1,99))&lt;&gt;""),--ISNUMBER(SEARCH(TRIM(MID(SUBSTITUTE(SUBSTITUTE($AH$4,"/",","),",",REPT(" ",99)),(ROW($1:$8)-1)*99+1,99)),IFERROR(('Final Calculation Sheet'!$AG$30)&amp;"",""))))&gt;0,AND(ISNUMBER(SEARCH("blank",$AH$4)),NOT(ISNUMBER(SEARCH("nonblank",$AH$4))),IFERROR(('Final Calculation Sheet'!$AG$30)&amp;"","")=""),AND(OR(ISNUMBER(SEARCH("nonblank",$AH$4)),ISNUMBER(SEARCH("&lt;&gt;",$AH$4))),IFERROR(('Final Calculation Sheet'!$AG$30)&amp;"","")&lt;&gt;""),AND(TRIM($AH$4)="",IFERROR(('Final Calculation Sheet'!$AG$30)&amp;"","")=""))))</f>
        <v>1</v>
      </c>
      <c r="CU31">
        <f>IF($AI$4="",1,--(OR(SUMPRODUCT(--(TRIM(MID(SUBSTITUTE(SUBSTITUTE($AI$4,"/",","),",",REPT(" ",99)),(ROW($1:$8)-1)*99+1,99))&lt;&gt;""),--ISNUMBER(SEARCH(TRIM(MID(SUBSTITUTE(SUBSTITUTE($AI$4,"/",","),",",REPT(" ",99)),(ROW($1:$8)-1)*99+1,99)),IFERROR((IF('Final Calculation Sheet'!$AD$30&lt;=5,"SETTLED","OUTSTANDING"))&amp;"",""))))&gt;0,AND(ISNUMBER(SEARCH("blank",$AI$4)),NOT(ISNUMBER(SEARCH("nonblank",$AI$4))),IFERROR((IF('Final Calculation Sheet'!$AD$30&lt;=5,"SETTLED","OUTSTANDING"))&amp;"","")=""),AND(OR(ISNUMBER(SEARCH("nonblank",$AI$4)),ISNUMBER(SEARCH("&lt;&gt;",$AI$4))),IFERROR((IF('Final Calculation Sheet'!$AD$30&lt;=5,"SETTLED","OUTSTANDING"))&amp;"","")&lt;&gt;""),AND(TRIM($AI$4)="",IFERROR((IF('Final Calculation Sheet'!$AD$30&lt;=5,"SETTLED","OUTSTANDING"))&amp;"","")=""))))</f>
        <v>1</v>
      </c>
    </row>
    <row r="32" ht="15" customHeight="1" s="137">
      <c r="A32" s="67">
        <f>IF($BJ31&gt;0,INDEX($BA$5:$BA$41,MATCH(31,$BB$5:$BB$41,0)),IF(OR($BI31=1,$BL31=1,$BH31&gt;0),"∑",""))</f>
        <v>27</v>
      </c>
      <c r="B32" s="76">
        <f>IF($BJ31&gt;0,IF(INDEX('Final Calculation Sheet'!$F$4:$F$40,$BJ31-3)="","",INDEX('Final Calculation Sheet'!$F$4:$F$40,$BJ31-3)),"")</f>
        <v>2043</v>
      </c>
      <c r="C32" s="76" t="str">
        <f>IF($BJ31&gt;0,IF(INDEX('Final Calculation Sheet'!$G$4:$G$40,$BJ31-3)="","",INDEX('Final Calculation Sheet'!$G$4:$G$40,$BJ31-3)),IF(OR($BI31=1,$BL31=1,$BH31&gt;0),IF($BI31=1,37,IF($BL31=1,37-INDEX($BD$4:$BD$13,10),INDEX($BD$4:$BD$13,$BH31)))&amp;" lot(s)",""))</f>
        <v>NATIONAL ENTERPRISES</v>
      </c>
      <c r="D32" s="80" t="str">
        <f>IF($BJ31&gt;0,IF(INDEX('Final Calculation Sheet'!$B$4:$B$40,$BJ31-3)="","",INDEX('Final Calculation Sheet'!$B$4:$B$40,$BJ31-3)),IF(OR($BI31=1,$BL31=1,$BH31&gt;0),IF($BI31=1,"GRAND TOTAL  —  matching + remaining",IF($BL31=1,"TOTAL MATCHED  —  every group together",IF($BH31=10,"REMAINING  —  did not match the search",IF($BH31=9,IF(COUNTIF($A$4:$AI$4,"&lt;&gt;")&gt;0,"FILTERED LOTS  —  column fields","ALL LOTS  —  nothing typed in the box"),"GROUP "&amp;$BH31&amp;" TOTAL  —  lots matching  "&amp;INDEX($AR$6:$AY$6,$BH31))))),""))</f>
        <v>Scrap of 132 KV CT</v>
      </c>
      <c r="E32" s="80">
        <f>IF($BJ31&gt;0,IF(INDEX('Final Calculation Sheet'!$D$4:$D$40,$BJ31-3)="","",INDEX('Final Calculation Sheet'!$D$4:$D$40,$BJ31-3)),IF(OR($BI31=1,$BL31=1,$BH31&gt;0),"–",""))</f>
        <v>21979</v>
      </c>
      <c r="F32" s="80">
        <f>IF($BJ31&gt;0,IF(INDEX('Final Calculation Sheet'!$A$4:$A$40,$BJ31-3)="","",INDEX('Final Calculation Sheet'!$A$4:$A$40,$BJ31-3)),IF(OR($BI31=1,$BL31=1,$BH31&gt;0),IF($BI31=1,SUM('Final Calculation Sheet'!$A$4:$A$40),IF($BL31=1,SUM('Final Calculation Sheet'!$A$4:$A$40)-SUMIFS('Final Calculation Sheet'!$A$4:$A$40,$AZ$5:$AZ$41,10),SUMIFS('Final Calculation Sheet'!$A$4:$A$40,$AZ$5:$AZ$41,$BH31))),""))</f>
        <v>5</v>
      </c>
      <c r="G32" s="80" t="str">
        <f>IF($BJ31&gt;0,IF(INDEX('Final Calculation Sheet'!$E$4:$E$40,$BJ31-3)="","",INDEX('Final Calculation Sheet'!$E$4:$E$40,$BJ31-3)),IF(OR($BI31=1,$BL31=1,$BH31&gt;0),"–",""))</f>
        <v>NO</v>
      </c>
      <c r="H32" s="70">
        <f>IF($BJ31&gt;0,IF(INDEX('Final Calculation Sheet'!$C$4:$C$40,$BJ31-3)="","",INDEX('Final Calculation Sheet'!$C$4:$C$40,$BJ31-3)),IF(OR($BI31=1,$BL31=1,$BH31&gt;0),"–",""))</f>
        <v>80000</v>
      </c>
      <c r="I32" s="70">
        <f>IF($BJ31&gt;0,IF(INDEX('Final Calculation Sheet'!$H$4:$H$40,$BJ31-3)="","",INDEX('Final Calculation Sheet'!$H$4:$H$40,$BJ31-3)),IF(OR($BI31=1,$BL31=1,$BH31&gt;0),IF($BI31=1,SUM('Final Calculation Sheet'!$H$4:$H$40),IF($BL31=1,SUM('Final Calculation Sheet'!$H$4:$H$40)-SUMIFS('Final Calculation Sheet'!$H$4:$H$40,$AZ$5:$AZ$41,10),SUMIFS('Final Calculation Sheet'!$H$4:$H$40,$AZ$5:$AZ$41,$BH31))),""))</f>
        <v>400000</v>
      </c>
      <c r="J32" s="70">
        <f>IF($BJ31&gt;0,IF(INDEX('Final Calculation Sheet'!$I$4:$I$40,$BJ31-3)="","",INDEX('Final Calculation Sheet'!$I$4:$I$40,$BJ31-3)),IF(OR($BI31=1,$BL31=1,$BH31&gt;0),IF($BI31=1,SUM('Final Calculation Sheet'!$I$4:$I$40),IF($BL31=1,SUM('Final Calculation Sheet'!$I$4:$I$40)-SUMIFS('Final Calculation Sheet'!$I$4:$I$40,$AZ$5:$AZ$41,10),SUMIFS('Final Calculation Sheet'!$I$4:$I$40,$AZ$5:$AZ$41,$BH31))),""))</f>
        <v>72000</v>
      </c>
      <c r="K32" s="70">
        <f>IF($BJ31&gt;0,IF(INDEX('Final Calculation Sheet'!$J$4:$J$40,$BJ31-3)="","",INDEX('Final Calculation Sheet'!$J$4:$J$40,$BJ31-3)),IF(OR($BI31=1,$BL31=1,$BH31&gt;0),IF($BI31=1,SUM('Final Calculation Sheet'!$J$4:$J$40),IF($BL31=1,SUM('Final Calculation Sheet'!$J$4:$J$40)-SUMIFS('Final Calculation Sheet'!$J$4:$J$40,$AZ$5:$AZ$41,10),SUMIFS('Final Calculation Sheet'!$J$4:$J$40,$AZ$5:$AZ$41,$BH31))),""))</f>
        <v>472000</v>
      </c>
      <c r="L32" s="70">
        <f>IF($BJ31&gt;0,IF(INDEX('Final Calculation Sheet'!$K$4:$K$40,$BJ31-3)="","",INDEX('Final Calculation Sheet'!$K$4:$K$40,$BJ31-3)),IF(OR($BI31=1,$BL31=1,$BH31&gt;0),IF($BI31=1,SUM('Final Calculation Sheet'!$K$4:$K$40),IF($BL31=1,SUM('Final Calculation Sheet'!$K$4:$K$40)-SUMIFS('Final Calculation Sheet'!$K$4:$K$40,$AZ$5:$AZ$41,10),SUMIFS('Final Calculation Sheet'!$K$4:$K$40,$AZ$5:$AZ$41,$BH31))),""))</f>
        <v>9440</v>
      </c>
      <c r="M32" s="70">
        <f>IF($BJ31&gt;0,IF(INDEX('Final Calculation Sheet'!$L$4:$L$40,$BJ31-3)="","",INDEX('Final Calculation Sheet'!$L$4:$L$40,$BJ31-3)),IF(OR($BI31=1,$BL31=1,$BH31&gt;0),IF($BI31=1,SUM('Final Calculation Sheet'!$L$4:$L$40),IF($BL31=1,SUM('Final Calculation Sheet'!$L$4:$L$40)-SUMIFS('Final Calculation Sheet'!$L$4:$L$40,$AZ$5:$AZ$41,10),SUMIFS('Final Calculation Sheet'!$L$4:$L$40,$AZ$5:$AZ$41,$BH31))),""))</f>
        <v>400</v>
      </c>
      <c r="N32" s="70">
        <f>IF($BJ31&gt;0,IF(INDEX('Final Calculation Sheet'!$M$4:$M$40,$BJ31-3)="","",INDEX('Final Calculation Sheet'!$M$4:$M$40,$BJ31-3)),IF(OR($BI31=1,$BL31=1,$BH31&gt;0),IF($BI31=1,SUM('Final Calculation Sheet'!$M$4:$M$40),IF($BL31=1,SUM('Final Calculation Sheet'!$M$4:$M$40)-SUMIFS('Final Calculation Sheet'!$M$4:$M$40,$AZ$5:$AZ$41,10),SUMIFS('Final Calculation Sheet'!$M$4:$M$40,$AZ$5:$AZ$41,$BH31))),""))</f>
        <v>10620</v>
      </c>
      <c r="O32" s="71">
        <f>IF($BJ31&gt;0,IF(INDEX('Final Calculation Sheet'!$N$4:$N$40,$BJ31-3)="","",INDEX('Final Calculation Sheet'!$N$4:$N$40,$BJ31-3)),IF(OR($BI31=1,$BL31=1,$BH31&gt;0),IF($BI31=1,SUM('Final Calculation Sheet'!$N$4:$N$40),IF($BL31=1,SUM('Final Calculation Sheet'!$N$4:$N$40)-SUMIFS('Final Calculation Sheet'!$N$4:$N$40,$AZ$5:$AZ$41,10),SUMIFS('Final Calculation Sheet'!$N$4:$N$40,$AZ$5:$AZ$41,$BH31))),""))</f>
        <v>180</v>
      </c>
      <c r="P32" s="70">
        <f>IF($BJ31&gt;0,IF(INDEX('Final Calculation Sheet'!$O$4:$O$40,$BJ31-3)="","",INDEX('Final Calculation Sheet'!$O$4:$O$40,$BJ31-3)),IF(OR($BI31=1,$BL31=1,$BH31&gt;0),IF($BI31=1,SUM('Final Calculation Sheet'!$O$4:$O$40),IF($BL31=1,SUM('Final Calculation Sheet'!$O$4:$O$40)-SUMIFS('Final Calculation Sheet'!$O$4:$O$40,$AZ$5:$AZ$41,10),SUMIFS('Final Calculation Sheet'!$O$4:$O$40,$AZ$5:$AZ$41,$BH31))),""))</f>
        <v>10440</v>
      </c>
      <c r="Q32" s="70">
        <f>IF($BJ31&gt;0,IF(INDEX('Final Calculation Sheet'!$P$4:$P$40,$BJ31-3)="","",INDEX('Final Calculation Sheet'!$P$4:$P$40,$BJ31-3)),IF(OR($BI31=1,$BL31=1,$BH31&gt;0),IF($BI31=1,SUM('Final Calculation Sheet'!$P$4:$P$40),IF($BL31=1,SUM('Final Calculation Sheet'!$P$4:$P$40)-SUMIFS('Final Calculation Sheet'!$P$4:$P$40,$AZ$5:$AZ$41,10),SUMIFS('Final Calculation Sheet'!$P$4:$P$40,$AZ$5:$AZ$41,$BH31))),""))</f>
        <v>10840</v>
      </c>
      <c r="R32" s="72">
        <f>IF($BJ31&gt;0,IF(INDEX('Final Calculation Sheet'!$Q$4:$Q$40,$BJ31-3)="","",INDEX('Final Calculation Sheet'!$Q$4:$Q$40,$BJ31-3)),IF(OR($BI31=1,$BL31=1,$BH31&gt;0),"–",""))</f>
        <v>0</v>
      </c>
      <c r="S32" s="70">
        <f>IF($BJ31&gt;0,IF(INDEX('Final Calculation Sheet'!$R$4:$R$40,$BJ31-3)="","",INDEX('Final Calculation Sheet'!$R$4:$R$40,$BJ31-3)),IF(OR($BI31=1,$BL31=1,$BH31&gt;0),IF($BI31=1,SUM('Final Calculation Sheet'!$R$4:$R$40),IF($BL31=1,SUM('Final Calculation Sheet'!$R$4:$R$40)-SUMIFS('Final Calculation Sheet'!$R$4:$R$40,$AZ$5:$AZ$41,10),SUMIFS('Final Calculation Sheet'!$R$4:$R$40,$AZ$5:$AZ$41,$BH31))),""))</f>
        <v>0</v>
      </c>
      <c r="T32" s="70">
        <f>IF($BJ31&gt;0,IF(INDEX('Final Calculation Sheet'!$S$4:$S$40,$BJ31-3)="","",INDEX('Final Calculation Sheet'!$S$4:$S$40,$BJ31-3)),IF(OR($BI31=1,$BL31=1,$BH31&gt;0),IF($BI31=1,SUM('Final Calculation Sheet'!$S$4:$S$40),IF($BL31=1,SUM('Final Calculation Sheet'!$S$4:$S$40)-SUMIFS('Final Calculation Sheet'!$S$4:$S$40,$AZ$5:$AZ$41,10),SUMIFS('Final Calculation Sheet'!$S$4:$S$40,$AZ$5:$AZ$41,$BH31))),""))</f>
        <v>470600</v>
      </c>
      <c r="U32" s="70">
        <f>IF($BJ31&gt;0,IF(INDEX('Final Calculation Sheet'!$T$4:$T$40,$BJ31-3)="","",INDEX('Final Calculation Sheet'!$T$4:$T$40,$BJ31-3)),IF(OR($BI31=1,$BL31=1,$BH31&gt;0),IF($BI31=1,SUM('Final Calculation Sheet'!$T$4:$T$40),IF($BL31=1,SUM('Final Calculation Sheet'!$T$4:$T$40)-SUMIFS('Final Calculation Sheet'!$T$4:$T$40,$AZ$5:$AZ$41,10),SUMIFS('Final Calculation Sheet'!$T$4:$T$40,$AZ$5:$AZ$41,$BH31))),""))</f>
        <v>100000</v>
      </c>
      <c r="V32" s="73">
        <f>IF($BJ31&gt;0,IF(INDEX('Final Calculation Sheet'!$U$4:$U$40,$BJ31-3)="","",INDEX('Final Calculation Sheet'!$U$4:$U$40,$BJ31-3)),IF(OR($BI31=1,$BL31=1,$BH31&gt;0),IF($BI31=1,SUM('Final Calculation Sheet'!$U$4:$U$40),IF($BL31=1,SUM('Final Calculation Sheet'!$U$4:$U$40)-SUMIFS('Final Calculation Sheet'!$U$4:$U$40,$AZ$5:$AZ$41,10),SUMIFS('Final Calculation Sheet'!$U$4:$U$40,$AZ$5:$AZ$41,$BH31))),""))</f>
        <v>100000</v>
      </c>
      <c r="W32" s="70" t="str">
        <f>IF($BJ31&gt;0,IF(INDEX('Final Calculation Sheet'!$V$4:$V$40,$BJ31-3)="","",INDEX('Final Calculation Sheet'!$V$4:$V$40,$BJ31-3)),IF(OR($BI31=1,$BL31=1,$BH31&gt;0),"–",""))</f>
        <v>13.08.2026</v>
      </c>
      <c r="X32" s="70">
        <f>IF($BJ31&gt;0,IF(INDEX('Final Calculation Sheet'!$W$4:$W$40,$BJ31-3)="","",INDEX('Final Calculation Sheet'!$W$4:$W$40,$BJ31-3)),IF(OR($BI31=1,$BL31=1,$BH31&gt;0),IF($BI31=1,SUM('Final Calculation Sheet'!$W$4:$W$40),IF($BL31=1,SUM('Final Calculation Sheet'!$W$4:$W$40)-SUMIFS('Final Calculation Sheet'!$W$4:$W$40,$AZ$5:$AZ$41,10),SUMIFS('Final Calculation Sheet'!$W$4:$W$40,$AZ$5:$AZ$41,$BH31))),""))</f>
        <v>370600</v>
      </c>
      <c r="Y32" s="70">
        <f>IF($BJ31&gt;0,IF(INDEX('Final Calculation Sheet'!$X$4:$X$40,$BJ31-3)="","",INDEX('Final Calculation Sheet'!$X$4:$X$40,$BJ31-3)),IF(OR($BI31=1,$BL31=1,$BH31&gt;0),IF($BI31=1,SUM('Final Calculation Sheet'!$X$4:$X$40),IF($BL31=1,SUM('Final Calculation Sheet'!$X$4:$X$40)-SUMIFS('Final Calculation Sheet'!$X$4:$X$40,$AZ$5:$AZ$41,10),SUMIFS('Final Calculation Sheet'!$X$4:$X$40,$AZ$5:$AZ$41,$BH31))),""))</f>
        <v>370600</v>
      </c>
      <c r="Z32" s="70" t="str">
        <f>IF($BJ31&gt;0,IF(INDEX('Final Calculation Sheet'!$Y$4:$Y$40,$BJ31-3)="","",INDEX('Final Calculation Sheet'!$Y$4:$Y$40,$BJ31-3)),IF(OR($BI31=1,$BL31=1,$BH31&gt;0),"–",""))</f>
        <v>24.08.2026</v>
      </c>
      <c r="AA32" s="70">
        <f>IF($BJ31&gt;0,IF(INDEX('Final Calculation Sheet'!$Z$4:$Z$40,$BJ31-3)="","",INDEX('Final Calculation Sheet'!$Z$4:$Z$40,$BJ31-3)),IF(OR($BI31=1,$BL31=1,$BH31&gt;0),IF($BI31=1,SUM('Final Calculation Sheet'!$Z$4:$Z$40),IF($BL31=1,SUM('Final Calculation Sheet'!$Z$4:$Z$40)-SUMIFS('Final Calculation Sheet'!$Z$4:$Z$40,$AZ$5:$AZ$41,10),SUMIFS('Final Calculation Sheet'!$Z$4:$Z$40,$AZ$5:$AZ$41,$BH31))),""))</f>
        <v>0</v>
      </c>
      <c r="AB32" s="70" t="str">
        <f>IF($BJ31&gt;0,IF(INDEX('Final Calculation Sheet'!$AA$4:$AA$40,$BJ31-3)="","",INDEX('Final Calculation Sheet'!$AA$4:$AA$40,$BJ31-3)),IF(OR($BI31=1,$BL31=1,$BH31&gt;0),IF($BI31=1,SUM('Final Calculation Sheet'!$AA$4:$AA$40),IF($BL31=1,SUM('Final Calculation Sheet'!$AA$4:$AA$40)-SUMIFS('Final Calculation Sheet'!$AA$4:$AA$40,$AZ$5:$AZ$41,10),SUMIFS('Final Calculation Sheet'!$AA$4:$AA$40,$AZ$5:$AZ$41,$BH31))),""))</f>
        <v/>
      </c>
      <c r="AC32" s="70" t="str">
        <f>IF($BJ31&gt;0,IF(INDEX('Final Calculation Sheet'!$AB$4:$AB$40,$BJ31-3)="","",INDEX('Final Calculation Sheet'!$AB$4:$AB$40,$BJ31-3)),IF(OR($BI31=1,$BL31=1,$BH31&gt;0),"–",""))</f>
        <v/>
      </c>
      <c r="AD32" s="70">
        <f>IF($BJ31&gt;0,IF(INDEX('Final Calculation Sheet'!$AC$4:$AC$40,$BJ31-3)="","",INDEX('Final Calculation Sheet'!$AC$4:$AC$40,$BJ31-3)),IF(OR($BI31=1,$BL31=1,$BH31&gt;0),IF($BI31=1,SUM('Final Calculation Sheet'!$AC$4:$AC$40),IF($BL31=1,SUM('Final Calculation Sheet'!$AC$4:$AC$40)-SUMIFS('Final Calculation Sheet'!$AC$4:$AC$40,$AZ$5:$AZ$41,10),SUMIFS('Final Calculation Sheet'!$AC$4:$AC$40,$AZ$5:$AZ$41,$BH31))),""))</f>
        <v>470600</v>
      </c>
      <c r="AE32" s="70">
        <f>IF($BJ31&gt;0,IF(INDEX('Final Calculation Sheet'!$AD$4:$AD$40,$BJ31-3)="","",INDEX('Final Calculation Sheet'!$AD$4:$AD$40,$BJ31-3)),IF(OR($BI31=1,$BL31=1,$BH31&gt;0),IF($BI31=1,SUM('Final Calculation Sheet'!$AD$4:$AD$40),IF($BL31=1,SUM('Final Calculation Sheet'!$AD$4:$AD$40)-SUMIFS('Final Calculation Sheet'!$AD$4:$AD$40,$AZ$5:$AZ$41,10),SUMIFS('Final Calculation Sheet'!$AD$4:$AD$40,$AZ$5:$AZ$41,$BH31))),""))</f>
        <v>0</v>
      </c>
      <c r="AF32" s="70" t="str">
        <f>IF($BJ31&gt;0,IF(INDEX('Final Calculation Sheet'!$AE$4:$AE$40,$BJ31-3)="","",INDEX('Final Calculation Sheet'!$AE$4:$AE$40,$BJ31-3)),IF(OR($BI31=1,$BL31=1,$BH31&gt;0),"–",""))</f>
        <v>DR2640100038</v>
      </c>
      <c r="AG32" s="74">
        <f>IF($BJ31&gt;0,IF(INDEX('Final Calculation Sheet'!$AF$4:$AF$40,$BJ31-3)="","",INDEX('Final Calculation Sheet'!$AF$4:$AF$40,$BJ31-3)),IF(OR($BI31=1,$BL31=1,$BH31&gt;0),"–",""))</f>
        <v>1800003311</v>
      </c>
      <c r="AH32" s="70" t="str">
        <f>IF($BJ31&gt;0,IF(INDEX('Final Calculation Sheet'!$AG$4:$AG$40,$BJ31-3)="","",INDEX('Final Calculation Sheet'!$AG$4:$AG$40,$BJ31-3)),IF(OR($BI31=1,$BL31=1,$BH31&gt;0),"–",""))</f>
        <v>27.08.2026</v>
      </c>
      <c r="AI32" s="75" t="str">
        <f>IF($BJ31&gt;0,IF(INDEX('Final Calculation Sheet'!$AD$4:$AD$40,$BJ31-3)="","",IF(INDEX('Final Calculation Sheet'!$AD$4:$AD$40,$BJ31-3)&lt;=5,"SETTLED","OUTSTANDING")),IF(OR($BI31=1,$BL31=1,$BH31&gt;0),IF(IF($BI31=1,SUM('Final Calculation Sheet'!$AD$4:$AD$40),IF($BL31=1,SUM('Final Calculation Sheet'!$AD$4:$AD$40)-SUMIFS('Final Calculation Sheet'!$AD$4:$AD$40,$AZ$5:$AZ$41,10),SUMIFS('Final Calculation Sheet'!$AD$4:$AD$40,$AZ$5:$AZ$41,$BH31)))&lt;=5,"ALL SETTLED","OUTSTANDING"),""))</f>
        <v>SETTLED</v>
      </c>
      <c r="AK32" t="str">
        <f>IF($F$3="Lot No.",'Final Calculation Sheet'!$F$31,IF($F$3="Buyer",'Final Calculation Sheet'!$G$31,IF($F$3="Lot Name",'Final Calculation Sheet'!$B$31,IF($F$3="Bid Sheet",'Final Calculation Sheet'!$D$31,IF($F$3="Unit",'Final Calculation Sheet'!$E$31,'Final Calculation Sheet'!$F$31&amp;" "&amp;'Final Calculation Sheet'!$G$31&amp;" "&amp;'Final Calculation Sheet'!$B$31)))))</f>
        <v>2046 SAHARA ENTERPRISES Scrap of AAAC Earth wire</v>
      </c>
      <c r="AL32">
        <f>AL31+IF($B$3="",0,--(SUMPRODUCT(--($AR$6:$AY$6&lt;&gt;""),--ISNUMBER(SEARCH($AR$6:$AY$6,$AK32)))&gt;0))</f>
        <v>0</v>
      </c>
      <c r="AM32">
        <f>IF(COUNTIF($BM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1</v>
      </c>
      <c r="AZ32">
        <f>IF($B$3="",IF(COUNTIF($A$4:$AI$4,"&lt;&gt;")=0,9,IF($AM32=1,9,10)),IF($AM32=0,10,IF(AND($AR$6&lt;&gt;"",ISNUMBER(SEARCH($AR$6,$AK32))),1,IF(AND($AS$6&lt;&gt;"",ISNUMBER(SEARCH($AS$6,$AK32))),2,IF(AND($AT$6&lt;&gt;"",ISNUMBER(SEARCH($AT$6,$AK32))),3,IF(AND($AU$6&lt;&gt;"",ISNUMBER(SEARCH($AU$6,$AK32))),4,IF(AND($AV$6&lt;&gt;"",ISNUMBER(SEARCH($AV$6,$AK32))),5,IF(AND($AW$6&lt;&gt;"",ISNUMBER(SEARCH($AW$6,$AK32))),6,IF(AND($AX$6&lt;&gt;"",ISNUMBER(SEARCH($AX$6,$AK32))),7,IF(AND($AY$6&lt;&gt;"",ISNUMBER(SEARCH($AY$6,$AK32))),8,0))))))))))</f>
        <v>9</v>
      </c>
      <c r="BA32">
        <f>SUMPRODUCT(($AZ$5:$AZ$41=$AZ32)*($BC$5:$BC$41&lt;$BC32))+1</f>
        <v>28</v>
      </c>
      <c r="BB32">
        <f>IF(INDEX($BF$4:$BF$13,$AZ32)=0,0,INDEX($BE$4:$BE$13,$AZ32)+$BA32-1)</f>
        <v>32</v>
      </c>
      <c r="BC32" t="n">
        <v>31</v>
      </c>
      <c r="BH32">
        <f>IFERROR(MATCH(32,$BF$4:$BF$13,0),0)</f>
        <v>0</v>
      </c>
      <c r="BI32">
        <f>IF(32=$BG$5,1,0)</f>
        <v>0</v>
      </c>
      <c r="BJ32">
        <f>IF(OR($BH32&gt;0,$BI32=1,$BL32=1),0,IFERROR(INDEX($BC$5:$BC$41,MATCH(32,$BB$5:$BB$41,0)),0))</f>
        <v>31</v>
      </c>
      <c r="BK32">
        <f>IF($BJ32&gt;0,IF(INDEX($AZ$5:$AZ$41,MATCH(32,$BB$5:$BB$41,0))=10,1,0),IF($BH32=10,1,0))</f>
        <v>0</v>
      </c>
      <c r="BL32">
        <f>IF(32=$BG$4,1,0)</f>
        <v>0</v>
      </c>
      <c r="BM32">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1</v>
      </c>
      <c r="BN32">
        <f>IF($B$4="",1,--(OR(SUMPRODUCT(--(TRIM(MID(SUBSTITUTE(SUBSTITUTE($B$4,"/",","),",",REPT(" ",99)),(ROW($1:$8)-1)*99+1,99))&lt;&gt;""),--ISNUMBER(SEARCH(TRIM(MID(SUBSTITUTE(SUBSTITUTE($B$4,"/",","),",",REPT(" ",99)),(ROW($1:$8)-1)*99+1,99)),IFERROR(('Final Calculation Sheet'!$F$31)&amp;"",""))))&gt;0,AND(ISNUMBER(SEARCH("blank",$B$4)),NOT(ISNUMBER(SEARCH("nonblank",$B$4))),IFERROR(('Final Calculation Sheet'!$F$31)&amp;"","")=""),AND(OR(ISNUMBER(SEARCH("nonblank",$B$4)),ISNUMBER(SEARCH("&lt;&gt;",$B$4))),IFERROR(('Final Calculation Sheet'!$F$31)&amp;"","")&lt;&gt;""),AND(TRIM($B$4)="",IFERROR(('Final Calculation Sheet'!$F$31)&amp;"","")=""))))</f>
        <v>1</v>
      </c>
      <c r="BO32">
        <f>IF($C$4="",1,--(OR(SUMPRODUCT(--(TRIM(MID(SUBSTITUTE(SUBSTITUTE($C$4,"/",","),",",REPT(" ",99)),(ROW($1:$8)-1)*99+1,99))&lt;&gt;""),--ISNUMBER(SEARCH(TRIM(MID(SUBSTITUTE(SUBSTITUTE($C$4,"/",","),",",REPT(" ",99)),(ROW($1:$8)-1)*99+1,99)),IFERROR(('Final Calculation Sheet'!$G$31)&amp;"",""))))&gt;0,AND(ISNUMBER(SEARCH("blank",$C$4)),NOT(ISNUMBER(SEARCH("nonblank",$C$4))),IFERROR(('Final Calculation Sheet'!$G$31)&amp;"","")=""),AND(OR(ISNUMBER(SEARCH("nonblank",$C$4)),ISNUMBER(SEARCH("&lt;&gt;",$C$4))),IFERROR(('Final Calculation Sheet'!$G$31)&amp;"","")&lt;&gt;""),AND(TRIM($C$4)="",IFERROR(('Final Calculation Sheet'!$G$31)&amp;"","")=""))))</f>
        <v>1</v>
      </c>
      <c r="BP32">
        <f>IF($D$4="",1,--(OR(SUMPRODUCT(--(TRIM(MID(SUBSTITUTE(SUBSTITUTE($D$4,"/",","),",",REPT(" ",99)),(ROW($1:$8)-1)*99+1,99))&lt;&gt;""),--ISNUMBER(SEARCH(TRIM(MID(SUBSTITUTE(SUBSTITUTE($D$4,"/",","),",",REPT(" ",99)),(ROW($1:$8)-1)*99+1,99)),IFERROR(('Final Calculation Sheet'!$B$31)&amp;"",""))))&gt;0,AND(ISNUMBER(SEARCH("blank",$D$4)),NOT(ISNUMBER(SEARCH("nonblank",$D$4))),IFERROR(('Final Calculation Sheet'!$B$31)&amp;"","")=""),AND(OR(ISNUMBER(SEARCH("nonblank",$D$4)),ISNUMBER(SEARCH("&lt;&gt;",$D$4))),IFERROR(('Final Calculation Sheet'!$B$31)&amp;"","")&lt;&gt;""),AND(TRIM($D$4)="",IFERROR(('Final Calculation Sheet'!$B$31)&amp;"","")=""))))</f>
        <v>1</v>
      </c>
      <c r="BQ32">
        <f>IF($E$4="",1,--(OR(SUMPRODUCT(--(TRIM(MID(SUBSTITUTE(SUBSTITUTE($E$4,"/",","),",",REPT(" ",99)),(ROW($1:$8)-1)*99+1,99))&lt;&gt;""),--ISNUMBER(SEARCH(TRIM(MID(SUBSTITUTE(SUBSTITUTE($E$4,"/",","),",",REPT(" ",99)),(ROW($1:$8)-1)*99+1,99)),IFERROR(('Final Calculation Sheet'!$D$31)&amp;"",""))))&gt;0,AND(ISNUMBER(SEARCH("blank",$E$4)),NOT(ISNUMBER(SEARCH("nonblank",$E$4))),IFERROR(('Final Calculation Sheet'!$D$31)&amp;"","")=""),AND(OR(ISNUMBER(SEARCH("nonblank",$E$4)),ISNUMBER(SEARCH("&lt;&gt;",$E$4))),IFERROR(('Final Calculation Sheet'!$D$31)&amp;"","")&lt;&gt;""),AND(TRIM($E$4)="",IFERROR(('Final Calculation Sheet'!$D$31)&amp;"","")=""))))</f>
        <v>1</v>
      </c>
      <c r="BR32">
        <f>IF($F$4="",1,--(OR(SUMPRODUCT(--(TRIM(MID(SUBSTITUTE(SUBSTITUTE($F$4,"/",","),",",REPT(" ",99)),(ROW($1:$8)-1)*99+1,99))&lt;&gt;""),--ISNUMBER(SEARCH(TRIM(MID(SUBSTITUTE(SUBSTITUTE($F$4,"/",","),",",REPT(" ",99)),(ROW($1:$8)-1)*99+1,99)),IFERROR(('Final Calculation Sheet'!$A$31)&amp;"",""))))&gt;0,AND(ISNUMBER(SEARCH("blank",$F$4)),NOT(ISNUMBER(SEARCH("nonblank",$F$4))),IFERROR(('Final Calculation Sheet'!$A$31)&amp;"","")=""),AND(OR(ISNUMBER(SEARCH("nonblank",$F$4)),ISNUMBER(SEARCH("&lt;&gt;",$F$4))),IFERROR(('Final Calculation Sheet'!$A$31)&amp;"","")&lt;&gt;""),AND(TRIM($F$4)="",IFERROR(('Final Calculation Sheet'!$A$31)&amp;"","")=""))))</f>
        <v>1</v>
      </c>
      <c r="BS32">
        <f>IF($G$4="",1,--(OR(SUMPRODUCT(--(TRIM(MID(SUBSTITUTE(SUBSTITUTE($G$4,"/",","),",",REPT(" ",99)),(ROW($1:$8)-1)*99+1,99))&lt;&gt;""),--ISNUMBER(SEARCH(TRIM(MID(SUBSTITUTE(SUBSTITUTE($G$4,"/",","),",",REPT(" ",99)),(ROW($1:$8)-1)*99+1,99)),IFERROR(('Final Calculation Sheet'!$E$31)&amp;"",""))))&gt;0,AND(ISNUMBER(SEARCH("blank",$G$4)),NOT(ISNUMBER(SEARCH("nonblank",$G$4))),IFERROR(('Final Calculation Sheet'!$E$31)&amp;"","")=""),AND(OR(ISNUMBER(SEARCH("nonblank",$G$4)),ISNUMBER(SEARCH("&lt;&gt;",$G$4))),IFERROR(('Final Calculation Sheet'!$E$31)&amp;"","")&lt;&gt;""),AND(TRIM($G$4)="",IFERROR(('Final Calculation Sheet'!$E$31)&amp;"","")=""))))</f>
        <v>1</v>
      </c>
      <c r="BT32">
        <f>IF($H$4="",1,--(OR(SUMPRODUCT(--(TRIM(MID(SUBSTITUTE(SUBSTITUTE($H$4,"/",","),",",REPT(" ",99)),(ROW($1:$8)-1)*99+1,99))&lt;&gt;""),--ISNUMBER(SEARCH(TRIM(MID(SUBSTITUTE(SUBSTITUTE($H$4,"/",","),",",REPT(" ",99)),(ROW($1:$8)-1)*99+1,99)),IFERROR(('Final Calculation Sheet'!$C$31)&amp;"",""))))&gt;0,AND(ISNUMBER(SEARCH("blank",$H$4)),NOT(ISNUMBER(SEARCH("nonblank",$H$4))),IFERROR(('Final Calculation Sheet'!$C$31)&amp;"","")=""),AND(OR(ISNUMBER(SEARCH("nonblank",$H$4)),ISNUMBER(SEARCH("&lt;&gt;",$H$4))),IFERROR(('Final Calculation Sheet'!$C$31)&amp;"","")&lt;&gt;""),AND(TRIM($H$4)="",IFERROR(('Final Calculation Sheet'!$C$31)&amp;"","")=""))))</f>
        <v>1</v>
      </c>
      <c r="BU32">
        <f>IF($I$4="",1,--(OR(SUMPRODUCT(--(TRIM(MID(SUBSTITUTE(SUBSTITUTE($I$4,"/",","),",",REPT(" ",99)),(ROW($1:$8)-1)*99+1,99))&lt;&gt;""),--ISNUMBER(SEARCH(TRIM(MID(SUBSTITUTE(SUBSTITUTE($I$4,"/",","),",",REPT(" ",99)),(ROW($1:$8)-1)*99+1,99)),IFERROR(('Final Calculation Sheet'!$H$31)&amp;"",""))))&gt;0,AND(ISNUMBER(SEARCH("blank",$I$4)),NOT(ISNUMBER(SEARCH("nonblank",$I$4))),IFERROR(('Final Calculation Sheet'!$H$31)&amp;"","")=""),AND(OR(ISNUMBER(SEARCH("nonblank",$I$4)),ISNUMBER(SEARCH("&lt;&gt;",$I$4))),IFERROR(('Final Calculation Sheet'!$H$31)&amp;"","")&lt;&gt;""),AND(TRIM($I$4)="",IFERROR(('Final Calculation Sheet'!$H$31)&amp;"","")=""))))</f>
        <v>1</v>
      </c>
      <c r="BV32">
        <f>IF($J$4="",1,--(OR(SUMPRODUCT(--(TRIM(MID(SUBSTITUTE(SUBSTITUTE($J$4,"/",","),",",REPT(" ",99)),(ROW($1:$8)-1)*99+1,99))&lt;&gt;""),--ISNUMBER(SEARCH(TRIM(MID(SUBSTITUTE(SUBSTITUTE($J$4,"/",","),",",REPT(" ",99)),(ROW($1:$8)-1)*99+1,99)),IFERROR(('Final Calculation Sheet'!$I$31)&amp;"",""))))&gt;0,AND(ISNUMBER(SEARCH("blank",$J$4)),NOT(ISNUMBER(SEARCH("nonblank",$J$4))),IFERROR(('Final Calculation Sheet'!$I$31)&amp;"","")=""),AND(OR(ISNUMBER(SEARCH("nonblank",$J$4)),ISNUMBER(SEARCH("&lt;&gt;",$J$4))),IFERROR(('Final Calculation Sheet'!$I$31)&amp;"","")&lt;&gt;""),AND(TRIM($J$4)="",IFERROR(('Final Calculation Sheet'!$I$31)&amp;"","")=""))))</f>
        <v>1</v>
      </c>
      <c r="BW32">
        <f>IF($K$4="",1,--(OR(SUMPRODUCT(--(TRIM(MID(SUBSTITUTE(SUBSTITUTE($K$4,"/",","),",",REPT(" ",99)),(ROW($1:$8)-1)*99+1,99))&lt;&gt;""),--ISNUMBER(SEARCH(TRIM(MID(SUBSTITUTE(SUBSTITUTE($K$4,"/",","),",",REPT(" ",99)),(ROW($1:$8)-1)*99+1,99)),IFERROR(('Final Calculation Sheet'!$J$31)&amp;"",""))))&gt;0,AND(ISNUMBER(SEARCH("blank",$K$4)),NOT(ISNUMBER(SEARCH("nonblank",$K$4))),IFERROR(('Final Calculation Sheet'!$J$31)&amp;"","")=""),AND(OR(ISNUMBER(SEARCH("nonblank",$K$4)),ISNUMBER(SEARCH("&lt;&gt;",$K$4))),IFERROR(('Final Calculation Sheet'!$J$31)&amp;"","")&lt;&gt;""),AND(TRIM($K$4)="",IFERROR(('Final Calculation Sheet'!$J$31)&amp;"","")=""))))</f>
        <v>1</v>
      </c>
      <c r="BX32">
        <f>IF($L$4="",1,--(OR(SUMPRODUCT(--(TRIM(MID(SUBSTITUTE(SUBSTITUTE($L$4,"/",","),",",REPT(" ",99)),(ROW($1:$8)-1)*99+1,99))&lt;&gt;""),--ISNUMBER(SEARCH(TRIM(MID(SUBSTITUTE(SUBSTITUTE($L$4,"/",","),",",REPT(" ",99)),(ROW($1:$8)-1)*99+1,99)),IFERROR(('Final Calculation Sheet'!$K$31)&amp;"",""))))&gt;0,AND(ISNUMBER(SEARCH("blank",$L$4)),NOT(ISNUMBER(SEARCH("nonblank",$L$4))),IFERROR(('Final Calculation Sheet'!$K$31)&amp;"","")=""),AND(OR(ISNUMBER(SEARCH("nonblank",$L$4)),ISNUMBER(SEARCH("&lt;&gt;",$L$4))),IFERROR(('Final Calculation Sheet'!$K$31)&amp;"","")&lt;&gt;""),AND(TRIM($L$4)="",IFERROR(('Final Calculation Sheet'!$K$31)&amp;"","")=""))))</f>
        <v>1</v>
      </c>
      <c r="BY32">
        <f>IF($M$4="",1,--(OR(SUMPRODUCT(--(TRIM(MID(SUBSTITUTE(SUBSTITUTE($M$4,"/",","),",",REPT(" ",99)),(ROW($1:$8)-1)*99+1,99))&lt;&gt;""),--ISNUMBER(SEARCH(TRIM(MID(SUBSTITUTE(SUBSTITUTE($M$4,"/",","),",",REPT(" ",99)),(ROW($1:$8)-1)*99+1,99)),IFERROR(('Final Calculation Sheet'!$L$31)&amp;"",""))))&gt;0,AND(ISNUMBER(SEARCH("blank",$M$4)),NOT(ISNUMBER(SEARCH("nonblank",$M$4))),IFERROR(('Final Calculation Sheet'!$L$31)&amp;"","")=""),AND(OR(ISNUMBER(SEARCH("nonblank",$M$4)),ISNUMBER(SEARCH("&lt;&gt;",$M$4))),IFERROR(('Final Calculation Sheet'!$L$31)&amp;"","")&lt;&gt;""),AND(TRIM($M$4)="",IFERROR(('Final Calculation Sheet'!$L$31)&amp;"","")=""))))</f>
        <v>1</v>
      </c>
      <c r="BZ32">
        <f>IF($N$4="",1,--(OR(SUMPRODUCT(--(TRIM(MID(SUBSTITUTE(SUBSTITUTE($N$4,"/",","),",",REPT(" ",99)),(ROW($1:$8)-1)*99+1,99))&lt;&gt;""),--ISNUMBER(SEARCH(TRIM(MID(SUBSTITUTE(SUBSTITUTE($N$4,"/",","),",",REPT(" ",99)),(ROW($1:$8)-1)*99+1,99)),IFERROR(('Final Calculation Sheet'!$M$31)&amp;"",""))))&gt;0,AND(ISNUMBER(SEARCH("blank",$N$4)),NOT(ISNUMBER(SEARCH("nonblank",$N$4))),IFERROR(('Final Calculation Sheet'!$M$31)&amp;"","")=""),AND(OR(ISNUMBER(SEARCH("nonblank",$N$4)),ISNUMBER(SEARCH("&lt;&gt;",$N$4))),IFERROR(('Final Calculation Sheet'!$M$31)&amp;"","")&lt;&gt;""),AND(TRIM($N$4)="",IFERROR(('Final Calculation Sheet'!$M$31)&amp;"","")=""))))</f>
        <v>1</v>
      </c>
      <c r="CA32">
        <f>IF($O$4="",1,--(OR(SUMPRODUCT(--(TRIM(MID(SUBSTITUTE(SUBSTITUTE($O$4,"/",","),",",REPT(" ",99)),(ROW($1:$8)-1)*99+1,99))&lt;&gt;""),--ISNUMBER(SEARCH(TRIM(MID(SUBSTITUTE(SUBSTITUTE($O$4,"/",","),",",REPT(" ",99)),(ROW($1:$8)-1)*99+1,99)),IFERROR(('Final Calculation Sheet'!$N$31)&amp;"",""))))&gt;0,AND(ISNUMBER(SEARCH("blank",$O$4)),NOT(ISNUMBER(SEARCH("nonblank",$O$4))),IFERROR(('Final Calculation Sheet'!$N$31)&amp;"","")=""),AND(OR(ISNUMBER(SEARCH("nonblank",$O$4)),ISNUMBER(SEARCH("&lt;&gt;",$O$4))),IFERROR(('Final Calculation Sheet'!$N$31)&amp;"","")&lt;&gt;""),AND(TRIM($O$4)="",IFERROR(('Final Calculation Sheet'!$N$31)&amp;"","")=""))))</f>
        <v>1</v>
      </c>
      <c r="CB32">
        <f>IF($P$4="",1,--(OR(SUMPRODUCT(--(TRIM(MID(SUBSTITUTE(SUBSTITUTE($P$4,"/",","),",",REPT(" ",99)),(ROW($1:$8)-1)*99+1,99))&lt;&gt;""),--ISNUMBER(SEARCH(TRIM(MID(SUBSTITUTE(SUBSTITUTE($P$4,"/",","),",",REPT(" ",99)),(ROW($1:$8)-1)*99+1,99)),IFERROR(('Final Calculation Sheet'!$O$31)&amp;"",""))))&gt;0,AND(ISNUMBER(SEARCH("blank",$P$4)),NOT(ISNUMBER(SEARCH("nonblank",$P$4))),IFERROR(('Final Calculation Sheet'!$O$31)&amp;"","")=""),AND(OR(ISNUMBER(SEARCH("nonblank",$P$4)),ISNUMBER(SEARCH("&lt;&gt;",$P$4))),IFERROR(('Final Calculation Sheet'!$O$31)&amp;"","")&lt;&gt;""),AND(TRIM($P$4)="",IFERROR(('Final Calculation Sheet'!$O$31)&amp;"","")=""))))</f>
        <v>1</v>
      </c>
      <c r="CC32">
        <f>IF($Q$4="",1,--(OR(SUMPRODUCT(--(TRIM(MID(SUBSTITUTE(SUBSTITUTE($Q$4,"/",","),",",REPT(" ",99)),(ROW($1:$8)-1)*99+1,99))&lt;&gt;""),--ISNUMBER(SEARCH(TRIM(MID(SUBSTITUTE(SUBSTITUTE($Q$4,"/",","),",",REPT(" ",99)),(ROW($1:$8)-1)*99+1,99)),IFERROR(('Final Calculation Sheet'!$P$31)&amp;"",""))))&gt;0,AND(ISNUMBER(SEARCH("blank",$Q$4)),NOT(ISNUMBER(SEARCH("nonblank",$Q$4))),IFERROR(('Final Calculation Sheet'!$P$31)&amp;"","")=""),AND(OR(ISNUMBER(SEARCH("nonblank",$Q$4)),ISNUMBER(SEARCH("&lt;&gt;",$Q$4))),IFERROR(('Final Calculation Sheet'!$P$31)&amp;"","")&lt;&gt;""),AND(TRIM($Q$4)="",IFERROR(('Final Calculation Sheet'!$P$31)&amp;"","")=""))))</f>
        <v>1</v>
      </c>
      <c r="CD32">
        <f>IF($R$4="",1,--(OR(SUMPRODUCT(--(TRIM(MID(SUBSTITUTE(SUBSTITUTE($R$4,"/",","),",",REPT(" ",99)),(ROW($1:$8)-1)*99+1,99))&lt;&gt;""),--ISNUMBER(SEARCH(TRIM(MID(SUBSTITUTE(SUBSTITUTE($R$4,"/",","),",",REPT(" ",99)),(ROW($1:$8)-1)*99+1,99)),IFERROR(('Final Calculation Sheet'!$Q$31)&amp;"",""))))&gt;0,AND(ISNUMBER(SEARCH("blank",$R$4)),NOT(ISNUMBER(SEARCH("nonblank",$R$4))),IFERROR(('Final Calculation Sheet'!$Q$31)&amp;"","")=""),AND(OR(ISNUMBER(SEARCH("nonblank",$R$4)),ISNUMBER(SEARCH("&lt;&gt;",$R$4))),IFERROR(('Final Calculation Sheet'!$Q$31)&amp;"","")&lt;&gt;""),AND(TRIM($R$4)="",IFERROR(('Final Calculation Sheet'!$Q$31)&amp;"","")=""))))</f>
        <v>1</v>
      </c>
      <c r="CE32">
        <f>IF($S$4="",1,--(OR(SUMPRODUCT(--(TRIM(MID(SUBSTITUTE(SUBSTITUTE($S$4,"/",","),",",REPT(" ",99)),(ROW($1:$8)-1)*99+1,99))&lt;&gt;""),--ISNUMBER(SEARCH(TRIM(MID(SUBSTITUTE(SUBSTITUTE($S$4,"/",","),",",REPT(" ",99)),(ROW($1:$8)-1)*99+1,99)),IFERROR(('Final Calculation Sheet'!$R$31)&amp;"",""))))&gt;0,AND(ISNUMBER(SEARCH("blank",$S$4)),NOT(ISNUMBER(SEARCH("nonblank",$S$4))),IFERROR(('Final Calculation Sheet'!$R$31)&amp;"","")=""),AND(OR(ISNUMBER(SEARCH("nonblank",$S$4)),ISNUMBER(SEARCH("&lt;&gt;",$S$4))),IFERROR(('Final Calculation Sheet'!$R$31)&amp;"","")&lt;&gt;""),AND(TRIM($S$4)="",IFERROR(('Final Calculation Sheet'!$R$31)&amp;"","")=""))))</f>
        <v>1</v>
      </c>
      <c r="CF32">
        <f>IF($T$4="",1,--(OR(SUMPRODUCT(--(TRIM(MID(SUBSTITUTE(SUBSTITUTE($T$4,"/",","),",",REPT(" ",99)),(ROW($1:$8)-1)*99+1,99))&lt;&gt;""),--ISNUMBER(SEARCH(TRIM(MID(SUBSTITUTE(SUBSTITUTE($T$4,"/",","),",",REPT(" ",99)),(ROW($1:$8)-1)*99+1,99)),IFERROR(('Final Calculation Sheet'!$S$31)&amp;"",""))))&gt;0,AND(ISNUMBER(SEARCH("blank",$T$4)),NOT(ISNUMBER(SEARCH("nonblank",$T$4))),IFERROR(('Final Calculation Sheet'!$S$31)&amp;"","")=""),AND(OR(ISNUMBER(SEARCH("nonblank",$T$4)),ISNUMBER(SEARCH("&lt;&gt;",$T$4))),IFERROR(('Final Calculation Sheet'!$S$31)&amp;"","")&lt;&gt;""),AND(TRIM($T$4)="",IFERROR(('Final Calculation Sheet'!$S$31)&amp;"","")=""))))</f>
        <v>1</v>
      </c>
      <c r="CG32">
        <f>IF($U$4="",1,--(OR(SUMPRODUCT(--(TRIM(MID(SUBSTITUTE(SUBSTITUTE($U$4,"/",","),",",REPT(" ",99)),(ROW($1:$8)-1)*99+1,99))&lt;&gt;""),--ISNUMBER(SEARCH(TRIM(MID(SUBSTITUTE(SUBSTITUTE($U$4,"/",","),",",REPT(" ",99)),(ROW($1:$8)-1)*99+1,99)),IFERROR(('Final Calculation Sheet'!$T$31)&amp;"",""))))&gt;0,AND(ISNUMBER(SEARCH("blank",$U$4)),NOT(ISNUMBER(SEARCH("nonblank",$U$4))),IFERROR(('Final Calculation Sheet'!$T$31)&amp;"","")=""),AND(OR(ISNUMBER(SEARCH("nonblank",$U$4)),ISNUMBER(SEARCH("&lt;&gt;",$U$4))),IFERROR(('Final Calculation Sheet'!$T$31)&amp;"","")&lt;&gt;""),AND(TRIM($U$4)="",IFERROR(('Final Calculation Sheet'!$T$31)&amp;"","")=""))))</f>
        <v>1</v>
      </c>
      <c r="CH32">
        <f>IF($V$4="",1,--(OR(SUMPRODUCT(--(TRIM(MID(SUBSTITUTE(SUBSTITUTE($V$4,"/",","),",",REPT(" ",99)),(ROW($1:$8)-1)*99+1,99))&lt;&gt;""),--ISNUMBER(SEARCH(TRIM(MID(SUBSTITUTE(SUBSTITUTE($V$4,"/",","),",",REPT(" ",99)),(ROW($1:$8)-1)*99+1,99)),IFERROR(('Final Calculation Sheet'!$U$31)&amp;"",""))))&gt;0,AND(ISNUMBER(SEARCH("blank",$V$4)),NOT(ISNUMBER(SEARCH("nonblank",$V$4))),IFERROR(('Final Calculation Sheet'!$U$31)&amp;"","")=""),AND(OR(ISNUMBER(SEARCH("nonblank",$V$4)),ISNUMBER(SEARCH("&lt;&gt;",$V$4))),IFERROR(('Final Calculation Sheet'!$U$31)&amp;"","")&lt;&gt;""),AND(TRIM($V$4)="",IFERROR(('Final Calculation Sheet'!$U$31)&amp;"","")=""))))</f>
        <v>1</v>
      </c>
      <c r="CI32">
        <f>IF($W$4="",1,--(OR(SUMPRODUCT(--(TRIM(MID(SUBSTITUTE(SUBSTITUTE($W$4,"/",","),",",REPT(" ",99)),(ROW($1:$8)-1)*99+1,99))&lt;&gt;""),--ISNUMBER(SEARCH(TRIM(MID(SUBSTITUTE(SUBSTITUTE($W$4,"/",","),",",REPT(" ",99)),(ROW($1:$8)-1)*99+1,99)),IFERROR(('Final Calculation Sheet'!$V$31)&amp;"",""))))&gt;0,AND(ISNUMBER(SEARCH("blank",$W$4)),NOT(ISNUMBER(SEARCH("nonblank",$W$4))),IFERROR(('Final Calculation Sheet'!$V$31)&amp;"","")=""),AND(OR(ISNUMBER(SEARCH("nonblank",$W$4)),ISNUMBER(SEARCH("&lt;&gt;",$W$4))),IFERROR(('Final Calculation Sheet'!$V$31)&amp;"","")&lt;&gt;""),AND(TRIM($W$4)="",IFERROR(('Final Calculation Sheet'!$V$31)&amp;"","")=""))))</f>
        <v>1</v>
      </c>
      <c r="CJ32">
        <f>IF($X$4="",1,--(OR(SUMPRODUCT(--(TRIM(MID(SUBSTITUTE(SUBSTITUTE($X$4,"/",","),",",REPT(" ",99)),(ROW($1:$8)-1)*99+1,99))&lt;&gt;""),--ISNUMBER(SEARCH(TRIM(MID(SUBSTITUTE(SUBSTITUTE($X$4,"/",","),",",REPT(" ",99)),(ROW($1:$8)-1)*99+1,99)),IFERROR(('Final Calculation Sheet'!$W$31)&amp;"",""))))&gt;0,AND(ISNUMBER(SEARCH("blank",$X$4)),NOT(ISNUMBER(SEARCH("nonblank",$X$4))),IFERROR(('Final Calculation Sheet'!$W$31)&amp;"","")=""),AND(OR(ISNUMBER(SEARCH("nonblank",$X$4)),ISNUMBER(SEARCH("&lt;&gt;",$X$4))),IFERROR(('Final Calculation Sheet'!$W$31)&amp;"","")&lt;&gt;""),AND(TRIM($X$4)="",IFERROR(('Final Calculation Sheet'!$W$31)&amp;"","")=""))))</f>
        <v>1</v>
      </c>
      <c r="CK32">
        <f>IF($Y$4="",1,--(OR(SUMPRODUCT(--(TRIM(MID(SUBSTITUTE(SUBSTITUTE($Y$4,"/",","),",",REPT(" ",99)),(ROW($1:$8)-1)*99+1,99))&lt;&gt;""),--ISNUMBER(SEARCH(TRIM(MID(SUBSTITUTE(SUBSTITUTE($Y$4,"/",","),",",REPT(" ",99)),(ROW($1:$8)-1)*99+1,99)),IFERROR(('Final Calculation Sheet'!$X$31)&amp;"",""))))&gt;0,AND(ISNUMBER(SEARCH("blank",$Y$4)),NOT(ISNUMBER(SEARCH("nonblank",$Y$4))),IFERROR(('Final Calculation Sheet'!$X$31)&amp;"","")=""),AND(OR(ISNUMBER(SEARCH("nonblank",$Y$4)),ISNUMBER(SEARCH("&lt;&gt;",$Y$4))),IFERROR(('Final Calculation Sheet'!$X$31)&amp;"","")&lt;&gt;""),AND(TRIM($Y$4)="",IFERROR(('Final Calculation Sheet'!$X$31)&amp;"","")=""))))</f>
        <v>1</v>
      </c>
      <c r="CL32">
        <f>IF($Z$4="",1,--(OR(SUMPRODUCT(--(TRIM(MID(SUBSTITUTE(SUBSTITUTE($Z$4,"/",","),",",REPT(" ",99)),(ROW($1:$8)-1)*99+1,99))&lt;&gt;""),--ISNUMBER(SEARCH(TRIM(MID(SUBSTITUTE(SUBSTITUTE($Z$4,"/",","),",",REPT(" ",99)),(ROW($1:$8)-1)*99+1,99)),IFERROR(('Final Calculation Sheet'!$Y$31)&amp;"",""))))&gt;0,AND(ISNUMBER(SEARCH("blank",$Z$4)),NOT(ISNUMBER(SEARCH("nonblank",$Z$4))),IFERROR(('Final Calculation Sheet'!$Y$31)&amp;"","")=""),AND(OR(ISNUMBER(SEARCH("nonblank",$Z$4)),ISNUMBER(SEARCH("&lt;&gt;",$Z$4))),IFERROR(('Final Calculation Sheet'!$Y$31)&amp;"","")&lt;&gt;""),AND(TRIM($Z$4)="",IFERROR(('Final Calculation Sheet'!$Y$31)&amp;"","")=""))))</f>
        <v>1</v>
      </c>
      <c r="CM32">
        <f>IF($AA$4="",1,--(OR(SUMPRODUCT(--(TRIM(MID(SUBSTITUTE(SUBSTITUTE($AA$4,"/",","),",",REPT(" ",99)),(ROW($1:$8)-1)*99+1,99))&lt;&gt;""),--ISNUMBER(SEARCH(TRIM(MID(SUBSTITUTE(SUBSTITUTE($AA$4,"/",","),",",REPT(" ",99)),(ROW($1:$8)-1)*99+1,99)),IFERROR(('Final Calculation Sheet'!$Z$31)&amp;"",""))))&gt;0,AND(ISNUMBER(SEARCH("blank",$AA$4)),NOT(ISNUMBER(SEARCH("nonblank",$AA$4))),IFERROR(('Final Calculation Sheet'!$Z$31)&amp;"","")=""),AND(OR(ISNUMBER(SEARCH("nonblank",$AA$4)),ISNUMBER(SEARCH("&lt;&gt;",$AA$4))),IFERROR(('Final Calculation Sheet'!$Z$31)&amp;"","")&lt;&gt;""),AND(TRIM($AA$4)="",IFERROR(('Final Calculation Sheet'!$Z$31)&amp;"","")=""))))</f>
        <v>1</v>
      </c>
      <c r="CN32">
        <f>IF($AB$4="",1,--(OR(SUMPRODUCT(--(TRIM(MID(SUBSTITUTE(SUBSTITUTE($AB$4,"/",","),",",REPT(" ",99)),(ROW($1:$8)-1)*99+1,99))&lt;&gt;""),--ISNUMBER(SEARCH(TRIM(MID(SUBSTITUTE(SUBSTITUTE($AB$4,"/",","),",",REPT(" ",99)),(ROW($1:$8)-1)*99+1,99)),IFERROR(('Final Calculation Sheet'!$AA$31)&amp;"",""))))&gt;0,AND(ISNUMBER(SEARCH("blank",$AB$4)),NOT(ISNUMBER(SEARCH("nonblank",$AB$4))),IFERROR(('Final Calculation Sheet'!$AA$31)&amp;"","")=""),AND(OR(ISNUMBER(SEARCH("nonblank",$AB$4)),ISNUMBER(SEARCH("&lt;&gt;",$AB$4))),IFERROR(('Final Calculation Sheet'!$AA$31)&amp;"","")&lt;&gt;""),AND(TRIM($AB$4)="",IFERROR(('Final Calculation Sheet'!$AA$31)&amp;"","")=""))))</f>
        <v>1</v>
      </c>
      <c r="CO32">
        <f>IF($AC$4="",1,--(OR(SUMPRODUCT(--(TRIM(MID(SUBSTITUTE(SUBSTITUTE($AC$4,"/",","),",",REPT(" ",99)),(ROW($1:$8)-1)*99+1,99))&lt;&gt;""),--ISNUMBER(SEARCH(TRIM(MID(SUBSTITUTE(SUBSTITUTE($AC$4,"/",","),",",REPT(" ",99)),(ROW($1:$8)-1)*99+1,99)),IFERROR(('Final Calculation Sheet'!$AB$31)&amp;"",""))))&gt;0,AND(ISNUMBER(SEARCH("blank",$AC$4)),NOT(ISNUMBER(SEARCH("nonblank",$AC$4))),IFERROR(('Final Calculation Sheet'!$AB$31)&amp;"","")=""),AND(OR(ISNUMBER(SEARCH("nonblank",$AC$4)),ISNUMBER(SEARCH("&lt;&gt;",$AC$4))),IFERROR(('Final Calculation Sheet'!$AB$31)&amp;"","")&lt;&gt;""),AND(TRIM($AC$4)="",IFERROR(('Final Calculation Sheet'!$AB$31)&amp;"","")=""))))</f>
        <v>1</v>
      </c>
      <c r="CP32">
        <f>IF($AD$4="",1,--(OR(SUMPRODUCT(--(TRIM(MID(SUBSTITUTE(SUBSTITUTE($AD$4,"/",","),",",REPT(" ",99)),(ROW($1:$8)-1)*99+1,99))&lt;&gt;""),--ISNUMBER(SEARCH(TRIM(MID(SUBSTITUTE(SUBSTITUTE($AD$4,"/",","),",",REPT(" ",99)),(ROW($1:$8)-1)*99+1,99)),IFERROR(('Final Calculation Sheet'!$AC$31)&amp;"",""))))&gt;0,AND(ISNUMBER(SEARCH("blank",$AD$4)),NOT(ISNUMBER(SEARCH("nonblank",$AD$4))),IFERROR(('Final Calculation Sheet'!$AC$31)&amp;"","")=""),AND(OR(ISNUMBER(SEARCH("nonblank",$AD$4)),ISNUMBER(SEARCH("&lt;&gt;",$AD$4))),IFERROR(('Final Calculation Sheet'!$AC$31)&amp;"","")&lt;&gt;""),AND(TRIM($AD$4)="",IFERROR(('Final Calculation Sheet'!$AC$31)&amp;"","")=""))))</f>
        <v>1</v>
      </c>
      <c r="CQ32">
        <f>IF($AE$4="",1,--(OR(SUMPRODUCT(--(TRIM(MID(SUBSTITUTE(SUBSTITUTE($AE$4,"/",","),",",REPT(" ",99)),(ROW($1:$8)-1)*99+1,99))&lt;&gt;""),--ISNUMBER(SEARCH(TRIM(MID(SUBSTITUTE(SUBSTITUTE($AE$4,"/",","),",",REPT(" ",99)),(ROW($1:$8)-1)*99+1,99)),IFERROR(('Final Calculation Sheet'!$AD$31)&amp;"",""))))&gt;0,AND(ISNUMBER(SEARCH("blank",$AE$4)),NOT(ISNUMBER(SEARCH("nonblank",$AE$4))),IFERROR(('Final Calculation Sheet'!$AD$31)&amp;"","")=""),AND(OR(ISNUMBER(SEARCH("nonblank",$AE$4)),ISNUMBER(SEARCH("&lt;&gt;",$AE$4))),IFERROR(('Final Calculation Sheet'!$AD$31)&amp;"","")&lt;&gt;""),AND(TRIM($AE$4)="",IFERROR(('Final Calculation Sheet'!$AD$31)&amp;"","")=""))))</f>
        <v>1</v>
      </c>
      <c r="CR32">
        <f>IF($AF$4="",1,--(OR(SUMPRODUCT(--(TRIM(MID(SUBSTITUTE(SUBSTITUTE($AF$4,"/",","),",",REPT(" ",99)),(ROW($1:$8)-1)*99+1,99))&lt;&gt;""),--ISNUMBER(SEARCH(TRIM(MID(SUBSTITUTE(SUBSTITUTE($AF$4,"/",","),",",REPT(" ",99)),(ROW($1:$8)-1)*99+1,99)),IFERROR(('Final Calculation Sheet'!$AE$31)&amp;"",""))))&gt;0,AND(ISNUMBER(SEARCH("blank",$AF$4)),NOT(ISNUMBER(SEARCH("nonblank",$AF$4))),IFERROR(('Final Calculation Sheet'!$AE$31)&amp;"","")=""),AND(OR(ISNUMBER(SEARCH("nonblank",$AF$4)),ISNUMBER(SEARCH("&lt;&gt;",$AF$4))),IFERROR(('Final Calculation Sheet'!$AE$31)&amp;"","")&lt;&gt;""),AND(TRIM($AF$4)="",IFERROR(('Final Calculation Sheet'!$AE$31)&amp;"","")=""))))</f>
        <v>1</v>
      </c>
      <c r="CS32">
        <f>IF($AG$4="",1,--(OR(SUMPRODUCT(--(TRIM(MID(SUBSTITUTE(SUBSTITUTE($AG$4,"/",","),",",REPT(" ",99)),(ROW($1:$8)-1)*99+1,99))&lt;&gt;""),--ISNUMBER(SEARCH(TRIM(MID(SUBSTITUTE(SUBSTITUTE($AG$4,"/",","),",",REPT(" ",99)),(ROW($1:$8)-1)*99+1,99)),IFERROR(('Final Calculation Sheet'!$AF$31)&amp;"",""))))&gt;0,AND(ISNUMBER(SEARCH("blank",$AG$4)),NOT(ISNUMBER(SEARCH("nonblank",$AG$4))),IFERROR(('Final Calculation Sheet'!$AF$31)&amp;"","")=""),AND(OR(ISNUMBER(SEARCH("nonblank",$AG$4)),ISNUMBER(SEARCH("&lt;&gt;",$AG$4))),IFERROR(('Final Calculation Sheet'!$AF$31)&amp;"","")&lt;&gt;""),AND(TRIM($AG$4)="",IFERROR(('Final Calculation Sheet'!$AF$31)&amp;"","")=""))))</f>
        <v>1</v>
      </c>
      <c r="CT32">
        <f>IF($AH$4="",1,--(OR(SUMPRODUCT(--(TRIM(MID(SUBSTITUTE(SUBSTITUTE($AH$4,"/",","),",",REPT(" ",99)),(ROW($1:$8)-1)*99+1,99))&lt;&gt;""),--ISNUMBER(SEARCH(TRIM(MID(SUBSTITUTE(SUBSTITUTE($AH$4,"/",","),",",REPT(" ",99)),(ROW($1:$8)-1)*99+1,99)),IFERROR(('Final Calculation Sheet'!$AG$31)&amp;"",""))))&gt;0,AND(ISNUMBER(SEARCH("blank",$AH$4)),NOT(ISNUMBER(SEARCH("nonblank",$AH$4))),IFERROR(('Final Calculation Sheet'!$AG$31)&amp;"","")=""),AND(OR(ISNUMBER(SEARCH("nonblank",$AH$4)),ISNUMBER(SEARCH("&lt;&gt;",$AH$4))),IFERROR(('Final Calculation Sheet'!$AG$31)&amp;"","")&lt;&gt;""),AND(TRIM($AH$4)="",IFERROR(('Final Calculation Sheet'!$AG$31)&amp;"","")=""))))</f>
        <v>1</v>
      </c>
      <c r="CU32">
        <f>IF($AI$4="",1,--(OR(SUMPRODUCT(--(TRIM(MID(SUBSTITUTE(SUBSTITUTE($AI$4,"/",","),",",REPT(" ",99)),(ROW($1:$8)-1)*99+1,99))&lt;&gt;""),--ISNUMBER(SEARCH(TRIM(MID(SUBSTITUTE(SUBSTITUTE($AI$4,"/",","),",",REPT(" ",99)),(ROW($1:$8)-1)*99+1,99)),IFERROR((IF('Final Calculation Sheet'!$AD$31&lt;=5,"SETTLED","OUTSTANDING"))&amp;"",""))))&gt;0,AND(ISNUMBER(SEARCH("blank",$AI$4)),NOT(ISNUMBER(SEARCH("nonblank",$AI$4))),IFERROR((IF('Final Calculation Sheet'!$AD$31&lt;=5,"SETTLED","OUTSTANDING"))&amp;"","")=""),AND(OR(ISNUMBER(SEARCH("nonblank",$AI$4)),ISNUMBER(SEARCH("&lt;&gt;",$AI$4))),IFERROR((IF('Final Calculation Sheet'!$AD$31&lt;=5,"SETTLED","OUTSTANDING"))&amp;"","")&lt;&gt;""),AND(TRIM($AI$4)="",IFERROR((IF('Final Calculation Sheet'!$AD$31&lt;=5,"SETTLED","OUTSTANDING"))&amp;"","")=""))))</f>
        <v>1</v>
      </c>
    </row>
    <row r="33" ht="15" customHeight="1" s="137">
      <c r="A33" s="67">
        <f>IF($BJ32&gt;0,INDEX($BA$5:$BA$41,MATCH(32,$BB$5:$BB$41,0)),IF(OR($BI32=1,$BL32=1,$BH32&gt;0),"∑",""))</f>
        <v>28</v>
      </c>
      <c r="B33" s="76">
        <f>IF($BJ32&gt;0,IF(INDEX('Final Calculation Sheet'!$F$4:$F$40,$BJ32-3)="","",INDEX('Final Calculation Sheet'!$F$4:$F$40,$BJ32-3)),"")</f>
        <v>2046</v>
      </c>
      <c r="C33" s="76" t="str">
        <f>IF($BJ32&gt;0,IF(INDEX('Final Calculation Sheet'!$G$4:$G$40,$BJ32-3)="","",INDEX('Final Calculation Sheet'!$G$4:$G$40,$BJ32-3)),IF(OR($BI32=1,$BL32=1,$BH32&gt;0),IF($BI32=1,37,IF($BL32=1,37-INDEX($BD$4:$BD$13,10),INDEX($BD$4:$BD$13,$BH32)))&amp;" lot(s)",""))</f>
        <v>SAHARA ENTERPRISES</v>
      </c>
      <c r="D33" s="80" t="str">
        <f>IF($BJ32&gt;0,IF(INDEX('Final Calculation Sheet'!$B$4:$B$40,$BJ32-3)="","",INDEX('Final Calculation Sheet'!$B$4:$B$40,$BJ32-3)),IF(OR($BI32=1,$BL32=1,$BH32&gt;0),IF($BI32=1,"GRAND TOTAL  —  matching + remaining",IF($BL32=1,"TOTAL MATCHED  —  every group together",IF($BH32=10,"REMAINING  —  did not match the search",IF($BH32=9,IF(COUNTIF($A$4:$AI$4,"&lt;&gt;")&gt;0,"FILTERED LOTS  —  column fields","ALL LOTS  —  nothing typed in the box"),"GROUP "&amp;$BH32&amp;" TOTAL  —  lots matching  "&amp;INDEX($AR$6:$AY$6,$BH32))))),""))</f>
        <v>Scrap of AAAC Earth wire</v>
      </c>
      <c r="E33" s="80">
        <f>IF($BJ32&gt;0,IF(INDEX('Final Calculation Sheet'!$D$4:$D$40,$BJ32-3)="","",INDEX('Final Calculation Sheet'!$D$4:$D$40,$BJ32-3)),IF(OR($BI32=1,$BL32=1,$BH32&gt;0),"–",""))</f>
        <v>21979</v>
      </c>
      <c r="F33" s="80">
        <f>IF($BJ32&gt;0,IF(INDEX('Final Calculation Sheet'!$A$4:$A$40,$BJ32-3)="","",INDEX('Final Calculation Sheet'!$A$4:$A$40,$BJ32-3)),IF(OR($BI32=1,$BL32=1,$BH32&gt;0),IF($BI32=1,SUM('Final Calculation Sheet'!$A$4:$A$40),IF($BL32=1,SUM('Final Calculation Sheet'!$A$4:$A$40)-SUMIFS('Final Calculation Sheet'!$A$4:$A$40,$AZ$5:$AZ$41,10),SUMIFS('Final Calculation Sheet'!$A$4:$A$40,$AZ$5:$AZ$41,$BH32))),""))</f>
        <v>670</v>
      </c>
      <c r="G33" s="80" t="str">
        <f>IF($BJ32&gt;0,IF(INDEX('Final Calculation Sheet'!$E$4:$E$40,$BJ32-3)="","",INDEX('Final Calculation Sheet'!$E$4:$E$40,$BJ32-3)),IF(OR($BI32=1,$BL32=1,$BH32&gt;0),"–",""))</f>
        <v>KG</v>
      </c>
      <c r="H33" s="70">
        <f>IF($BJ32&gt;0,IF(INDEX('Final Calculation Sheet'!$C$4:$C$40,$BJ32-3)="","",INDEX('Final Calculation Sheet'!$C$4:$C$40,$BJ32-3)),IF(OR($BI32=1,$BL32=1,$BH32&gt;0),"–",""))</f>
        <v>309</v>
      </c>
      <c r="I33" s="70">
        <f>IF($BJ32&gt;0,IF(INDEX('Final Calculation Sheet'!$H$4:$H$40,$BJ32-3)="","",INDEX('Final Calculation Sheet'!$H$4:$H$40,$BJ32-3)),IF(OR($BI32=1,$BL32=1,$BH32&gt;0),IF($BI32=1,SUM('Final Calculation Sheet'!$H$4:$H$40),IF($BL32=1,SUM('Final Calculation Sheet'!$H$4:$H$40)-SUMIFS('Final Calculation Sheet'!$H$4:$H$40,$AZ$5:$AZ$41,10),SUMIFS('Final Calculation Sheet'!$H$4:$H$40,$AZ$5:$AZ$41,$BH32))),""))</f>
        <v>207030</v>
      </c>
      <c r="J33" s="70">
        <f>IF($BJ32&gt;0,IF(INDEX('Final Calculation Sheet'!$I$4:$I$40,$BJ32-3)="","",INDEX('Final Calculation Sheet'!$I$4:$I$40,$BJ32-3)),IF(OR($BI32=1,$BL32=1,$BH32&gt;0),IF($BI32=1,SUM('Final Calculation Sheet'!$I$4:$I$40),IF($BL32=1,SUM('Final Calculation Sheet'!$I$4:$I$40)-SUMIFS('Final Calculation Sheet'!$I$4:$I$40,$AZ$5:$AZ$41,10),SUMIFS('Final Calculation Sheet'!$I$4:$I$40,$AZ$5:$AZ$41,$BH32))),""))</f>
        <v>37265</v>
      </c>
      <c r="K33" s="70">
        <f>IF($BJ32&gt;0,IF(INDEX('Final Calculation Sheet'!$J$4:$J$40,$BJ32-3)="","",INDEX('Final Calculation Sheet'!$J$4:$J$40,$BJ32-3)),IF(OR($BI32=1,$BL32=1,$BH32&gt;0),IF($BI32=1,SUM('Final Calculation Sheet'!$J$4:$J$40),IF($BL32=1,SUM('Final Calculation Sheet'!$J$4:$J$40)-SUMIFS('Final Calculation Sheet'!$J$4:$J$40,$AZ$5:$AZ$41,10),SUMIFS('Final Calculation Sheet'!$J$4:$J$40,$AZ$5:$AZ$41,$BH32))),""))</f>
        <v>244295</v>
      </c>
      <c r="L33" s="70">
        <f>IF($BJ32&gt;0,IF(INDEX('Final Calculation Sheet'!$K$4:$K$40,$BJ32-3)="","",INDEX('Final Calculation Sheet'!$K$4:$K$40,$BJ32-3)),IF(OR($BI32=1,$BL32=1,$BH32&gt;0),IF($BI32=1,SUM('Final Calculation Sheet'!$K$4:$K$40),IF($BL32=1,SUM('Final Calculation Sheet'!$K$4:$K$40)-SUMIFS('Final Calculation Sheet'!$K$4:$K$40,$AZ$5:$AZ$41,10),SUMIFS('Final Calculation Sheet'!$K$4:$K$40,$AZ$5:$AZ$41,$BH32))),""))</f>
        <v>4886</v>
      </c>
      <c r="M33" s="70">
        <f>IF($BJ32&gt;0,IF(INDEX('Final Calculation Sheet'!$L$4:$L$40,$BJ32-3)="","",INDEX('Final Calculation Sheet'!$L$4:$L$40,$BJ32-3)),IF(OR($BI32=1,$BL32=1,$BH32&gt;0),IF($BI32=1,SUM('Final Calculation Sheet'!$L$4:$L$40),IF($BL32=1,SUM('Final Calculation Sheet'!$L$4:$L$40)-SUMIFS('Final Calculation Sheet'!$L$4:$L$40,$AZ$5:$AZ$41,10),SUMIFS('Final Calculation Sheet'!$L$4:$L$40,$AZ$5:$AZ$41,$BH32))),""))</f>
        <v>207.03</v>
      </c>
      <c r="N33" s="70">
        <f>IF($BJ32&gt;0,IF(INDEX('Final Calculation Sheet'!$M$4:$M$40,$BJ32-3)="","",INDEX('Final Calculation Sheet'!$M$4:$M$40,$BJ32-3)),IF(OR($BI32=1,$BL32=1,$BH32&gt;0),IF($BI32=1,SUM('Final Calculation Sheet'!$M$4:$M$40),IF($BL32=1,SUM('Final Calculation Sheet'!$M$4:$M$40)-SUMIFS('Final Calculation Sheet'!$M$4:$M$40,$AZ$5:$AZ$41,10),SUMIFS('Final Calculation Sheet'!$M$4:$M$40,$AZ$5:$AZ$41,$BH32))),""))</f>
        <v>5496.6464999999998</v>
      </c>
      <c r="O33" s="71">
        <f>IF($BJ32&gt;0,IF(INDEX('Final Calculation Sheet'!$N$4:$N$40,$BJ32-3)="","",INDEX('Final Calculation Sheet'!$N$4:$N$40,$BJ32-3)),IF(OR($BI32=1,$BL32=1,$BH32&gt;0),IF($BI32=1,SUM('Final Calculation Sheet'!$N$4:$N$40),IF($BL32=1,SUM('Final Calculation Sheet'!$N$4:$N$40)-SUMIFS('Final Calculation Sheet'!$N$4:$N$40,$AZ$5:$AZ$41,10),SUMIFS('Final Calculation Sheet'!$N$4:$N$40,$AZ$5:$AZ$41,$BH32))),""))</f>
        <v>93.163499999999999</v>
      </c>
      <c r="P33" s="70">
        <f>IF($BJ32&gt;0,IF(INDEX('Final Calculation Sheet'!$O$4:$O$40,$BJ32-3)="","",INDEX('Final Calculation Sheet'!$O$4:$O$40,$BJ32-3)),IF(OR($BI32=1,$BL32=1,$BH32&gt;0),IF($BI32=1,SUM('Final Calculation Sheet'!$O$4:$O$40),IF($BL32=1,SUM('Final Calculation Sheet'!$O$4:$O$40)-SUMIFS('Final Calculation Sheet'!$O$4:$O$40,$AZ$5:$AZ$41,10),SUMIFS('Final Calculation Sheet'!$O$4:$O$40,$AZ$5:$AZ$41,$BH32))),""))</f>
        <v>5403.4830000000002</v>
      </c>
      <c r="Q33" s="70">
        <f>IF($BJ32&gt;0,IF(INDEX('Final Calculation Sheet'!$P$4:$P$40,$BJ32-3)="","",INDEX('Final Calculation Sheet'!$P$4:$P$40,$BJ32-3)),IF(OR($BI32=1,$BL32=1,$BH32&gt;0),IF($BI32=1,SUM('Final Calculation Sheet'!$P$4:$P$40),IF($BL32=1,SUM('Final Calculation Sheet'!$P$4:$P$40)-SUMIFS('Final Calculation Sheet'!$P$4:$P$40,$AZ$5:$AZ$41,10),SUMIFS('Final Calculation Sheet'!$P$4:$P$40,$AZ$5:$AZ$41,$BH32))),""))</f>
        <v>5611</v>
      </c>
      <c r="R33" s="72">
        <f>IF($BJ32&gt;0,IF(INDEX('Final Calculation Sheet'!$Q$4:$Q$40,$BJ32-3)="","",INDEX('Final Calculation Sheet'!$Q$4:$Q$40,$BJ32-3)),IF(OR($BI32=1,$BL32=1,$BH32&gt;0),"–",""))</f>
        <v>0</v>
      </c>
      <c r="S33" s="70">
        <f>IF($BJ32&gt;0,IF(INDEX('Final Calculation Sheet'!$R$4:$R$40,$BJ32-3)="","",INDEX('Final Calculation Sheet'!$R$4:$R$40,$BJ32-3)),IF(OR($BI32=1,$BL32=1,$BH32&gt;0),IF($BI32=1,SUM('Final Calculation Sheet'!$R$4:$R$40),IF($BL32=1,SUM('Final Calculation Sheet'!$R$4:$R$40)-SUMIFS('Final Calculation Sheet'!$R$4:$R$40,$AZ$5:$AZ$41,10),SUMIFS('Final Calculation Sheet'!$R$4:$R$40,$AZ$5:$AZ$41,$BH32))),""))</f>
        <v>0</v>
      </c>
      <c r="T33" s="70">
        <f>IF($BJ32&gt;0,IF(INDEX('Final Calculation Sheet'!$S$4:$S$40,$BJ32-3)="","",INDEX('Final Calculation Sheet'!$S$4:$S$40,$BJ32-3)),IF(OR($BI32=1,$BL32=1,$BH32&gt;0),IF($BI32=1,SUM('Final Calculation Sheet'!$S$4:$S$40),IF($BL32=1,SUM('Final Calculation Sheet'!$S$4:$S$40)-SUMIFS('Final Calculation Sheet'!$S$4:$S$40,$AZ$5:$AZ$41,10),SUMIFS('Final Calculation Sheet'!$S$4:$S$40,$AZ$5:$AZ$41,$BH32))),""))</f>
        <v>243571</v>
      </c>
      <c r="U33" s="70">
        <f>IF($BJ32&gt;0,IF(INDEX('Final Calculation Sheet'!$T$4:$T$40,$BJ32-3)="","",INDEX('Final Calculation Sheet'!$T$4:$T$40,$BJ32-3)),IF(OR($BI32=1,$BL32=1,$BH32&gt;0),IF($BI32=1,SUM('Final Calculation Sheet'!$T$4:$T$40),IF($BL32=1,SUM('Final Calculation Sheet'!$T$4:$T$40)-SUMIFS('Final Calculation Sheet'!$T$4:$T$40,$AZ$5:$AZ$41,10),SUMIFS('Final Calculation Sheet'!$T$4:$T$40,$AZ$5:$AZ$41,$BH32))),""))</f>
        <v>51758</v>
      </c>
      <c r="V33" s="73">
        <f>IF($BJ32&gt;0,IF(INDEX('Final Calculation Sheet'!$U$4:$U$40,$BJ32-3)="","",INDEX('Final Calculation Sheet'!$U$4:$U$40,$BJ32-3)),IF(OR($BI32=1,$BL32=1,$BH32&gt;0),IF($BI32=1,SUM('Final Calculation Sheet'!$U$4:$U$40),IF($BL32=1,SUM('Final Calculation Sheet'!$U$4:$U$40)-SUMIFS('Final Calculation Sheet'!$U$4:$U$40,$AZ$5:$AZ$41,10),SUMIFS('Final Calculation Sheet'!$U$4:$U$40,$AZ$5:$AZ$41,$BH32))),""))</f>
        <v>51758</v>
      </c>
      <c r="W33" s="70" t="str">
        <f>IF($BJ32&gt;0,IF(INDEX('Final Calculation Sheet'!$V$4:$V$40,$BJ32-3)="","",INDEX('Final Calculation Sheet'!$V$4:$V$40,$BJ32-3)),IF(OR($BI32=1,$BL32=1,$BH32&gt;0),"–",""))</f>
        <v>11.08.2026</v>
      </c>
      <c r="X33" s="70">
        <f>IF($BJ32&gt;0,IF(INDEX('Final Calculation Sheet'!$W$4:$W$40,$BJ32-3)="","",INDEX('Final Calculation Sheet'!$W$4:$W$40,$BJ32-3)),IF(OR($BI32=1,$BL32=1,$BH32&gt;0),IF($BI32=1,SUM('Final Calculation Sheet'!$W$4:$W$40),IF($BL32=1,SUM('Final Calculation Sheet'!$W$4:$W$40)-SUMIFS('Final Calculation Sheet'!$W$4:$W$40,$AZ$5:$AZ$41,10),SUMIFS('Final Calculation Sheet'!$W$4:$W$40,$AZ$5:$AZ$41,$BH32))),""))</f>
        <v>191813</v>
      </c>
      <c r="Y33" s="70">
        <f>IF($BJ32&gt;0,IF(INDEX('Final Calculation Sheet'!$X$4:$X$40,$BJ32-3)="","",INDEX('Final Calculation Sheet'!$X$4:$X$40,$BJ32-3)),IF(OR($BI32=1,$BL32=1,$BH32&gt;0),IF($BI32=1,SUM('Final Calculation Sheet'!$X$4:$X$40),IF($BL32=1,SUM('Final Calculation Sheet'!$X$4:$X$40)-SUMIFS('Final Calculation Sheet'!$X$4:$X$40,$AZ$5:$AZ$41,10),SUMIFS('Final Calculation Sheet'!$X$4:$X$40,$AZ$5:$AZ$41,$BH32))),""))</f>
        <v>191812</v>
      </c>
      <c r="Z33" s="70" t="str">
        <f>IF($BJ32&gt;0,IF(INDEX('Final Calculation Sheet'!$Y$4:$Y$40,$BJ32-3)="","",INDEX('Final Calculation Sheet'!$Y$4:$Y$40,$BJ32-3)),IF(OR($BI32=1,$BL32=1,$BH32&gt;0),"–",""))</f>
        <v>21.08.2026</v>
      </c>
      <c r="AA33" s="70">
        <f>IF($BJ32&gt;0,IF(INDEX('Final Calculation Sheet'!$Z$4:$Z$40,$BJ32-3)="","",INDEX('Final Calculation Sheet'!$Z$4:$Z$40,$BJ32-3)),IF(OR($BI32=1,$BL32=1,$BH32&gt;0),IF($BI32=1,SUM('Final Calculation Sheet'!$Z$4:$Z$40),IF($BL32=1,SUM('Final Calculation Sheet'!$Z$4:$Z$40)-SUMIFS('Final Calculation Sheet'!$Z$4:$Z$40,$AZ$5:$AZ$41,10),SUMIFS('Final Calculation Sheet'!$Z$4:$Z$40,$AZ$5:$AZ$41,$BH32))),""))</f>
        <v>0</v>
      </c>
      <c r="AB33" s="70" t="str">
        <f>IF($BJ32&gt;0,IF(INDEX('Final Calculation Sheet'!$AA$4:$AA$40,$BJ32-3)="","",INDEX('Final Calculation Sheet'!$AA$4:$AA$40,$BJ32-3)),IF(OR($BI32=1,$BL32=1,$BH32&gt;0),IF($BI32=1,SUM('Final Calculation Sheet'!$AA$4:$AA$40),IF($BL32=1,SUM('Final Calculation Sheet'!$AA$4:$AA$40)-SUMIFS('Final Calculation Sheet'!$AA$4:$AA$40,$AZ$5:$AZ$41,10),SUMIFS('Final Calculation Sheet'!$AA$4:$AA$40,$AZ$5:$AZ$41,$BH32))),""))</f>
        <v/>
      </c>
      <c r="AC33" s="70" t="str">
        <f>IF($BJ32&gt;0,IF(INDEX('Final Calculation Sheet'!$AB$4:$AB$40,$BJ32-3)="","",INDEX('Final Calculation Sheet'!$AB$4:$AB$40,$BJ32-3)),IF(OR($BI32=1,$BL32=1,$BH32&gt;0),"–",""))</f>
        <v/>
      </c>
      <c r="AD33" s="70">
        <f>IF($BJ32&gt;0,IF(INDEX('Final Calculation Sheet'!$AC$4:$AC$40,$BJ32-3)="","",INDEX('Final Calculation Sheet'!$AC$4:$AC$40,$BJ32-3)),IF(OR($BI32=1,$BL32=1,$BH32&gt;0),IF($BI32=1,SUM('Final Calculation Sheet'!$AC$4:$AC$40),IF($BL32=1,SUM('Final Calculation Sheet'!$AC$4:$AC$40)-SUMIFS('Final Calculation Sheet'!$AC$4:$AC$40,$AZ$5:$AZ$41,10),SUMIFS('Final Calculation Sheet'!$AC$4:$AC$40,$AZ$5:$AZ$41,$BH32))),""))</f>
        <v>243570</v>
      </c>
      <c r="AE33" s="70">
        <f>IF($BJ32&gt;0,IF(INDEX('Final Calculation Sheet'!$AD$4:$AD$40,$BJ32-3)="","",INDEX('Final Calculation Sheet'!$AD$4:$AD$40,$BJ32-3)),IF(OR($BI32=1,$BL32=1,$BH32&gt;0),IF($BI32=1,SUM('Final Calculation Sheet'!$AD$4:$AD$40),IF($BL32=1,SUM('Final Calculation Sheet'!$AD$4:$AD$40)-SUMIFS('Final Calculation Sheet'!$AD$4:$AD$40,$AZ$5:$AZ$41,10),SUMIFS('Final Calculation Sheet'!$AD$4:$AD$40,$AZ$5:$AZ$41,$BH32))),""))</f>
        <v>1</v>
      </c>
      <c r="AF33" s="70" t="str">
        <f>IF($BJ32&gt;0,IF(INDEX('Final Calculation Sheet'!$AE$4:$AE$40,$BJ32-3)="","",INDEX('Final Calculation Sheet'!$AE$4:$AE$40,$BJ32-3)),IF(OR($BI32=1,$BL32=1,$BH32&gt;0),"–",""))</f>
        <v>DR2640100041</v>
      </c>
      <c r="AG33" s="74">
        <f>IF($BJ32&gt;0,IF(INDEX('Final Calculation Sheet'!$AF$4:$AF$40,$BJ32-3)="","",INDEX('Final Calculation Sheet'!$AF$4:$AF$40,$BJ32-3)),IF(OR($BI32=1,$BL32=1,$BH32&gt;0),"–",""))</f>
        <v>1800003316</v>
      </c>
      <c r="AH33" s="70" t="str">
        <f>IF($BJ32&gt;0,IF(INDEX('Final Calculation Sheet'!$AG$4:$AG$40,$BJ32-3)="","",INDEX('Final Calculation Sheet'!$AG$4:$AG$40,$BJ32-3)),IF(OR($BI32=1,$BL32=1,$BH32&gt;0),"–",""))</f>
        <v>27.08.2026</v>
      </c>
      <c r="AI33" s="75" t="str">
        <f>IF($BJ32&gt;0,IF(INDEX('Final Calculation Sheet'!$AD$4:$AD$40,$BJ32-3)="","",IF(INDEX('Final Calculation Sheet'!$AD$4:$AD$40,$BJ32-3)&lt;=5,"SETTLED","OUTSTANDING")),IF(OR($BI32=1,$BL32=1,$BH32&gt;0),IF(IF($BI32=1,SUM('Final Calculation Sheet'!$AD$4:$AD$40),IF($BL32=1,SUM('Final Calculation Sheet'!$AD$4:$AD$40)-SUMIFS('Final Calculation Sheet'!$AD$4:$AD$40,$AZ$5:$AZ$41,10),SUMIFS('Final Calculation Sheet'!$AD$4:$AD$40,$AZ$5:$AZ$41,$BH32)))&lt;=5,"ALL SETTLED","OUTSTANDING"),""))</f>
        <v>SETTLED</v>
      </c>
      <c r="AK33" t="str">
        <f>IF($F$3="Lot No.",'Final Calculation Sheet'!$F$32,IF($F$3="Buyer",'Final Calculation Sheet'!$G$32,IF($F$3="Lot Name",'Final Calculation Sheet'!$B$32,IF($F$3="Bid Sheet",'Final Calculation Sheet'!$D$32,IF($F$3="Unit",'Final Calculation Sheet'!$E$32,'Final Calculation Sheet'!$F$32&amp;" "&amp;'Final Calculation Sheet'!$G$32&amp;" "&amp;'Final Calculation Sheet'!$B$32)))))</f>
        <v>2055 NATIONAL ENTERPRISES Scrap of 220 KV CT</v>
      </c>
      <c r="AL33">
        <f>AL32+IF($B$3="",0,--(SUMPRODUCT(--($AR$6:$AY$6&lt;&gt;""),--ISNUMBER(SEARCH($AR$6:$AY$6,$AK33)))&gt;0))</f>
        <v>0</v>
      </c>
      <c r="AM33">
        <f>IF(COUNTIF($BM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1</v>
      </c>
      <c r="AZ33">
        <f>IF($B$3="",IF(COUNTIF($A$4:$AI$4,"&lt;&gt;")=0,9,IF($AM33=1,9,10)),IF($AM33=0,10,IF(AND($AR$6&lt;&gt;"",ISNUMBER(SEARCH($AR$6,$AK33))),1,IF(AND($AS$6&lt;&gt;"",ISNUMBER(SEARCH($AS$6,$AK33))),2,IF(AND($AT$6&lt;&gt;"",ISNUMBER(SEARCH($AT$6,$AK33))),3,IF(AND($AU$6&lt;&gt;"",ISNUMBER(SEARCH($AU$6,$AK33))),4,IF(AND($AV$6&lt;&gt;"",ISNUMBER(SEARCH($AV$6,$AK33))),5,IF(AND($AW$6&lt;&gt;"",ISNUMBER(SEARCH($AW$6,$AK33))),6,IF(AND($AX$6&lt;&gt;"",ISNUMBER(SEARCH($AX$6,$AK33))),7,IF(AND($AY$6&lt;&gt;"",ISNUMBER(SEARCH($AY$6,$AK33))),8,0))))))))))</f>
        <v>9</v>
      </c>
      <c r="BA33">
        <f>SUMPRODUCT(($AZ$5:$AZ$41=$AZ33)*($BC$5:$BC$41&lt;$BC33))+1</f>
        <v>29</v>
      </c>
      <c r="BB33">
        <f>IF(INDEX($BF$4:$BF$13,$AZ33)=0,0,INDEX($BE$4:$BE$13,$AZ33)+$BA33-1)</f>
        <v>33</v>
      </c>
      <c r="BC33" t="n">
        <v>32</v>
      </c>
      <c r="BH33">
        <f>IFERROR(MATCH(33,$BF$4:$BF$13,0),0)</f>
        <v>0</v>
      </c>
      <c r="BI33">
        <f>IF(33=$BG$5,1,0)</f>
        <v>0</v>
      </c>
      <c r="BJ33">
        <f>IF(OR($BH33&gt;0,$BI33=1,$BL33=1),0,IFERROR(INDEX($BC$5:$BC$41,MATCH(33,$BB$5:$BB$41,0)),0))</f>
        <v>32</v>
      </c>
      <c r="BK33">
        <f>IF($BJ33&gt;0,IF(INDEX($AZ$5:$AZ$41,MATCH(33,$BB$5:$BB$41,0))=10,1,0),IF($BH33=10,1,0))</f>
        <v>0</v>
      </c>
      <c r="BL33">
        <f>IF(33=$BG$4,1,0)</f>
        <v>0</v>
      </c>
      <c r="BM33">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1</v>
      </c>
      <c r="BN33">
        <f>IF($B$4="",1,--(OR(SUMPRODUCT(--(TRIM(MID(SUBSTITUTE(SUBSTITUTE($B$4,"/",","),",",REPT(" ",99)),(ROW($1:$8)-1)*99+1,99))&lt;&gt;""),--ISNUMBER(SEARCH(TRIM(MID(SUBSTITUTE(SUBSTITUTE($B$4,"/",","),",",REPT(" ",99)),(ROW($1:$8)-1)*99+1,99)),IFERROR(('Final Calculation Sheet'!$F$32)&amp;"",""))))&gt;0,AND(ISNUMBER(SEARCH("blank",$B$4)),NOT(ISNUMBER(SEARCH("nonblank",$B$4))),IFERROR(('Final Calculation Sheet'!$F$32)&amp;"","")=""),AND(OR(ISNUMBER(SEARCH("nonblank",$B$4)),ISNUMBER(SEARCH("&lt;&gt;",$B$4))),IFERROR(('Final Calculation Sheet'!$F$32)&amp;"","")&lt;&gt;""),AND(TRIM($B$4)="",IFERROR(('Final Calculation Sheet'!$F$32)&amp;"","")=""))))</f>
        <v>1</v>
      </c>
      <c r="BO33">
        <f>IF($C$4="",1,--(OR(SUMPRODUCT(--(TRIM(MID(SUBSTITUTE(SUBSTITUTE($C$4,"/",","),",",REPT(" ",99)),(ROW($1:$8)-1)*99+1,99))&lt;&gt;""),--ISNUMBER(SEARCH(TRIM(MID(SUBSTITUTE(SUBSTITUTE($C$4,"/",","),",",REPT(" ",99)),(ROW($1:$8)-1)*99+1,99)),IFERROR(('Final Calculation Sheet'!$G$32)&amp;"",""))))&gt;0,AND(ISNUMBER(SEARCH("blank",$C$4)),NOT(ISNUMBER(SEARCH("nonblank",$C$4))),IFERROR(('Final Calculation Sheet'!$G$32)&amp;"","")=""),AND(OR(ISNUMBER(SEARCH("nonblank",$C$4)),ISNUMBER(SEARCH("&lt;&gt;",$C$4))),IFERROR(('Final Calculation Sheet'!$G$32)&amp;"","")&lt;&gt;""),AND(TRIM($C$4)="",IFERROR(('Final Calculation Sheet'!$G$32)&amp;"","")=""))))</f>
        <v>1</v>
      </c>
      <c r="BP33">
        <f>IF($D$4="",1,--(OR(SUMPRODUCT(--(TRIM(MID(SUBSTITUTE(SUBSTITUTE($D$4,"/",","),",",REPT(" ",99)),(ROW($1:$8)-1)*99+1,99))&lt;&gt;""),--ISNUMBER(SEARCH(TRIM(MID(SUBSTITUTE(SUBSTITUTE($D$4,"/",","),",",REPT(" ",99)),(ROW($1:$8)-1)*99+1,99)),IFERROR(('Final Calculation Sheet'!$B$32)&amp;"",""))))&gt;0,AND(ISNUMBER(SEARCH("blank",$D$4)),NOT(ISNUMBER(SEARCH("nonblank",$D$4))),IFERROR(('Final Calculation Sheet'!$B$32)&amp;"","")=""),AND(OR(ISNUMBER(SEARCH("nonblank",$D$4)),ISNUMBER(SEARCH("&lt;&gt;",$D$4))),IFERROR(('Final Calculation Sheet'!$B$32)&amp;"","")&lt;&gt;""),AND(TRIM($D$4)="",IFERROR(('Final Calculation Sheet'!$B$32)&amp;"","")=""))))</f>
        <v>1</v>
      </c>
      <c r="BQ33">
        <f>IF($E$4="",1,--(OR(SUMPRODUCT(--(TRIM(MID(SUBSTITUTE(SUBSTITUTE($E$4,"/",","),",",REPT(" ",99)),(ROW($1:$8)-1)*99+1,99))&lt;&gt;""),--ISNUMBER(SEARCH(TRIM(MID(SUBSTITUTE(SUBSTITUTE($E$4,"/",","),",",REPT(" ",99)),(ROW($1:$8)-1)*99+1,99)),IFERROR(('Final Calculation Sheet'!$D$32)&amp;"",""))))&gt;0,AND(ISNUMBER(SEARCH("blank",$E$4)),NOT(ISNUMBER(SEARCH("nonblank",$E$4))),IFERROR(('Final Calculation Sheet'!$D$32)&amp;"","")=""),AND(OR(ISNUMBER(SEARCH("nonblank",$E$4)),ISNUMBER(SEARCH("&lt;&gt;",$E$4))),IFERROR(('Final Calculation Sheet'!$D$32)&amp;"","")&lt;&gt;""),AND(TRIM($E$4)="",IFERROR(('Final Calculation Sheet'!$D$32)&amp;"","")=""))))</f>
        <v>1</v>
      </c>
      <c r="BR33">
        <f>IF($F$4="",1,--(OR(SUMPRODUCT(--(TRIM(MID(SUBSTITUTE(SUBSTITUTE($F$4,"/",","),",",REPT(" ",99)),(ROW($1:$8)-1)*99+1,99))&lt;&gt;""),--ISNUMBER(SEARCH(TRIM(MID(SUBSTITUTE(SUBSTITUTE($F$4,"/",","),",",REPT(" ",99)),(ROW($1:$8)-1)*99+1,99)),IFERROR(('Final Calculation Sheet'!$A$32)&amp;"",""))))&gt;0,AND(ISNUMBER(SEARCH("blank",$F$4)),NOT(ISNUMBER(SEARCH("nonblank",$F$4))),IFERROR(('Final Calculation Sheet'!$A$32)&amp;"","")=""),AND(OR(ISNUMBER(SEARCH("nonblank",$F$4)),ISNUMBER(SEARCH("&lt;&gt;",$F$4))),IFERROR(('Final Calculation Sheet'!$A$32)&amp;"","")&lt;&gt;""),AND(TRIM($F$4)="",IFERROR(('Final Calculation Sheet'!$A$32)&amp;"","")=""))))</f>
        <v>1</v>
      </c>
      <c r="BS33">
        <f>IF($G$4="",1,--(OR(SUMPRODUCT(--(TRIM(MID(SUBSTITUTE(SUBSTITUTE($G$4,"/",","),",",REPT(" ",99)),(ROW($1:$8)-1)*99+1,99))&lt;&gt;""),--ISNUMBER(SEARCH(TRIM(MID(SUBSTITUTE(SUBSTITUTE($G$4,"/",","),",",REPT(" ",99)),(ROW($1:$8)-1)*99+1,99)),IFERROR(('Final Calculation Sheet'!$E$32)&amp;"",""))))&gt;0,AND(ISNUMBER(SEARCH("blank",$G$4)),NOT(ISNUMBER(SEARCH("nonblank",$G$4))),IFERROR(('Final Calculation Sheet'!$E$32)&amp;"","")=""),AND(OR(ISNUMBER(SEARCH("nonblank",$G$4)),ISNUMBER(SEARCH("&lt;&gt;",$G$4))),IFERROR(('Final Calculation Sheet'!$E$32)&amp;"","")&lt;&gt;""),AND(TRIM($G$4)="",IFERROR(('Final Calculation Sheet'!$E$32)&amp;"","")=""))))</f>
        <v>1</v>
      </c>
      <c r="BT33">
        <f>IF($H$4="",1,--(OR(SUMPRODUCT(--(TRIM(MID(SUBSTITUTE(SUBSTITUTE($H$4,"/",","),",",REPT(" ",99)),(ROW($1:$8)-1)*99+1,99))&lt;&gt;""),--ISNUMBER(SEARCH(TRIM(MID(SUBSTITUTE(SUBSTITUTE($H$4,"/",","),",",REPT(" ",99)),(ROW($1:$8)-1)*99+1,99)),IFERROR(('Final Calculation Sheet'!$C$32)&amp;"",""))))&gt;0,AND(ISNUMBER(SEARCH("blank",$H$4)),NOT(ISNUMBER(SEARCH("nonblank",$H$4))),IFERROR(('Final Calculation Sheet'!$C$32)&amp;"","")=""),AND(OR(ISNUMBER(SEARCH("nonblank",$H$4)),ISNUMBER(SEARCH("&lt;&gt;",$H$4))),IFERROR(('Final Calculation Sheet'!$C$32)&amp;"","")&lt;&gt;""),AND(TRIM($H$4)="",IFERROR(('Final Calculation Sheet'!$C$32)&amp;"","")=""))))</f>
        <v>1</v>
      </c>
      <c r="BU33">
        <f>IF($I$4="",1,--(OR(SUMPRODUCT(--(TRIM(MID(SUBSTITUTE(SUBSTITUTE($I$4,"/",","),",",REPT(" ",99)),(ROW($1:$8)-1)*99+1,99))&lt;&gt;""),--ISNUMBER(SEARCH(TRIM(MID(SUBSTITUTE(SUBSTITUTE($I$4,"/",","),",",REPT(" ",99)),(ROW($1:$8)-1)*99+1,99)),IFERROR(('Final Calculation Sheet'!$H$32)&amp;"",""))))&gt;0,AND(ISNUMBER(SEARCH("blank",$I$4)),NOT(ISNUMBER(SEARCH("nonblank",$I$4))),IFERROR(('Final Calculation Sheet'!$H$32)&amp;"","")=""),AND(OR(ISNUMBER(SEARCH("nonblank",$I$4)),ISNUMBER(SEARCH("&lt;&gt;",$I$4))),IFERROR(('Final Calculation Sheet'!$H$32)&amp;"","")&lt;&gt;""),AND(TRIM($I$4)="",IFERROR(('Final Calculation Sheet'!$H$32)&amp;"","")=""))))</f>
        <v>1</v>
      </c>
      <c r="BV33">
        <f>IF($J$4="",1,--(OR(SUMPRODUCT(--(TRIM(MID(SUBSTITUTE(SUBSTITUTE($J$4,"/",","),",",REPT(" ",99)),(ROW($1:$8)-1)*99+1,99))&lt;&gt;""),--ISNUMBER(SEARCH(TRIM(MID(SUBSTITUTE(SUBSTITUTE($J$4,"/",","),",",REPT(" ",99)),(ROW($1:$8)-1)*99+1,99)),IFERROR(('Final Calculation Sheet'!$I$32)&amp;"",""))))&gt;0,AND(ISNUMBER(SEARCH("blank",$J$4)),NOT(ISNUMBER(SEARCH("nonblank",$J$4))),IFERROR(('Final Calculation Sheet'!$I$32)&amp;"","")=""),AND(OR(ISNUMBER(SEARCH("nonblank",$J$4)),ISNUMBER(SEARCH("&lt;&gt;",$J$4))),IFERROR(('Final Calculation Sheet'!$I$32)&amp;"","")&lt;&gt;""),AND(TRIM($J$4)="",IFERROR(('Final Calculation Sheet'!$I$32)&amp;"","")=""))))</f>
        <v>1</v>
      </c>
      <c r="BW33">
        <f>IF($K$4="",1,--(OR(SUMPRODUCT(--(TRIM(MID(SUBSTITUTE(SUBSTITUTE($K$4,"/",","),",",REPT(" ",99)),(ROW($1:$8)-1)*99+1,99))&lt;&gt;""),--ISNUMBER(SEARCH(TRIM(MID(SUBSTITUTE(SUBSTITUTE($K$4,"/",","),",",REPT(" ",99)),(ROW($1:$8)-1)*99+1,99)),IFERROR(('Final Calculation Sheet'!$J$32)&amp;"",""))))&gt;0,AND(ISNUMBER(SEARCH("blank",$K$4)),NOT(ISNUMBER(SEARCH("nonblank",$K$4))),IFERROR(('Final Calculation Sheet'!$J$32)&amp;"","")=""),AND(OR(ISNUMBER(SEARCH("nonblank",$K$4)),ISNUMBER(SEARCH("&lt;&gt;",$K$4))),IFERROR(('Final Calculation Sheet'!$J$32)&amp;"","")&lt;&gt;""),AND(TRIM($K$4)="",IFERROR(('Final Calculation Sheet'!$J$32)&amp;"","")=""))))</f>
        <v>1</v>
      </c>
      <c r="BX33">
        <f>IF($L$4="",1,--(OR(SUMPRODUCT(--(TRIM(MID(SUBSTITUTE(SUBSTITUTE($L$4,"/",","),",",REPT(" ",99)),(ROW($1:$8)-1)*99+1,99))&lt;&gt;""),--ISNUMBER(SEARCH(TRIM(MID(SUBSTITUTE(SUBSTITUTE($L$4,"/",","),",",REPT(" ",99)),(ROW($1:$8)-1)*99+1,99)),IFERROR(('Final Calculation Sheet'!$K$32)&amp;"",""))))&gt;0,AND(ISNUMBER(SEARCH("blank",$L$4)),NOT(ISNUMBER(SEARCH("nonblank",$L$4))),IFERROR(('Final Calculation Sheet'!$K$32)&amp;"","")=""),AND(OR(ISNUMBER(SEARCH("nonblank",$L$4)),ISNUMBER(SEARCH("&lt;&gt;",$L$4))),IFERROR(('Final Calculation Sheet'!$K$32)&amp;"","")&lt;&gt;""),AND(TRIM($L$4)="",IFERROR(('Final Calculation Sheet'!$K$32)&amp;"","")=""))))</f>
        <v>1</v>
      </c>
      <c r="BY33">
        <f>IF($M$4="",1,--(OR(SUMPRODUCT(--(TRIM(MID(SUBSTITUTE(SUBSTITUTE($M$4,"/",","),",",REPT(" ",99)),(ROW($1:$8)-1)*99+1,99))&lt;&gt;""),--ISNUMBER(SEARCH(TRIM(MID(SUBSTITUTE(SUBSTITUTE($M$4,"/",","),",",REPT(" ",99)),(ROW($1:$8)-1)*99+1,99)),IFERROR(('Final Calculation Sheet'!$L$32)&amp;"",""))))&gt;0,AND(ISNUMBER(SEARCH("blank",$M$4)),NOT(ISNUMBER(SEARCH("nonblank",$M$4))),IFERROR(('Final Calculation Sheet'!$L$32)&amp;"","")=""),AND(OR(ISNUMBER(SEARCH("nonblank",$M$4)),ISNUMBER(SEARCH("&lt;&gt;",$M$4))),IFERROR(('Final Calculation Sheet'!$L$32)&amp;"","")&lt;&gt;""),AND(TRIM($M$4)="",IFERROR(('Final Calculation Sheet'!$L$32)&amp;"","")=""))))</f>
        <v>1</v>
      </c>
      <c r="BZ33">
        <f>IF($N$4="",1,--(OR(SUMPRODUCT(--(TRIM(MID(SUBSTITUTE(SUBSTITUTE($N$4,"/",","),",",REPT(" ",99)),(ROW($1:$8)-1)*99+1,99))&lt;&gt;""),--ISNUMBER(SEARCH(TRIM(MID(SUBSTITUTE(SUBSTITUTE($N$4,"/",","),",",REPT(" ",99)),(ROW($1:$8)-1)*99+1,99)),IFERROR(('Final Calculation Sheet'!$M$32)&amp;"",""))))&gt;0,AND(ISNUMBER(SEARCH("blank",$N$4)),NOT(ISNUMBER(SEARCH("nonblank",$N$4))),IFERROR(('Final Calculation Sheet'!$M$32)&amp;"","")=""),AND(OR(ISNUMBER(SEARCH("nonblank",$N$4)),ISNUMBER(SEARCH("&lt;&gt;",$N$4))),IFERROR(('Final Calculation Sheet'!$M$32)&amp;"","")&lt;&gt;""),AND(TRIM($N$4)="",IFERROR(('Final Calculation Sheet'!$M$32)&amp;"","")=""))))</f>
        <v>1</v>
      </c>
      <c r="CA33">
        <f>IF($O$4="",1,--(OR(SUMPRODUCT(--(TRIM(MID(SUBSTITUTE(SUBSTITUTE($O$4,"/",","),",",REPT(" ",99)),(ROW($1:$8)-1)*99+1,99))&lt;&gt;""),--ISNUMBER(SEARCH(TRIM(MID(SUBSTITUTE(SUBSTITUTE($O$4,"/",","),",",REPT(" ",99)),(ROW($1:$8)-1)*99+1,99)),IFERROR(('Final Calculation Sheet'!$N$32)&amp;"",""))))&gt;0,AND(ISNUMBER(SEARCH("blank",$O$4)),NOT(ISNUMBER(SEARCH("nonblank",$O$4))),IFERROR(('Final Calculation Sheet'!$N$32)&amp;"","")=""),AND(OR(ISNUMBER(SEARCH("nonblank",$O$4)),ISNUMBER(SEARCH("&lt;&gt;",$O$4))),IFERROR(('Final Calculation Sheet'!$N$32)&amp;"","")&lt;&gt;""),AND(TRIM($O$4)="",IFERROR(('Final Calculation Sheet'!$N$32)&amp;"","")=""))))</f>
        <v>1</v>
      </c>
      <c r="CB33">
        <f>IF($P$4="",1,--(OR(SUMPRODUCT(--(TRIM(MID(SUBSTITUTE(SUBSTITUTE($P$4,"/",","),",",REPT(" ",99)),(ROW($1:$8)-1)*99+1,99))&lt;&gt;""),--ISNUMBER(SEARCH(TRIM(MID(SUBSTITUTE(SUBSTITUTE($P$4,"/",","),",",REPT(" ",99)),(ROW($1:$8)-1)*99+1,99)),IFERROR(('Final Calculation Sheet'!$O$32)&amp;"",""))))&gt;0,AND(ISNUMBER(SEARCH("blank",$P$4)),NOT(ISNUMBER(SEARCH("nonblank",$P$4))),IFERROR(('Final Calculation Sheet'!$O$32)&amp;"","")=""),AND(OR(ISNUMBER(SEARCH("nonblank",$P$4)),ISNUMBER(SEARCH("&lt;&gt;",$P$4))),IFERROR(('Final Calculation Sheet'!$O$32)&amp;"","")&lt;&gt;""),AND(TRIM($P$4)="",IFERROR(('Final Calculation Sheet'!$O$32)&amp;"","")=""))))</f>
        <v>1</v>
      </c>
      <c r="CC33">
        <f>IF($Q$4="",1,--(OR(SUMPRODUCT(--(TRIM(MID(SUBSTITUTE(SUBSTITUTE($Q$4,"/",","),",",REPT(" ",99)),(ROW($1:$8)-1)*99+1,99))&lt;&gt;""),--ISNUMBER(SEARCH(TRIM(MID(SUBSTITUTE(SUBSTITUTE($Q$4,"/",","),",",REPT(" ",99)),(ROW($1:$8)-1)*99+1,99)),IFERROR(('Final Calculation Sheet'!$P$32)&amp;"",""))))&gt;0,AND(ISNUMBER(SEARCH("blank",$Q$4)),NOT(ISNUMBER(SEARCH("nonblank",$Q$4))),IFERROR(('Final Calculation Sheet'!$P$32)&amp;"","")=""),AND(OR(ISNUMBER(SEARCH("nonblank",$Q$4)),ISNUMBER(SEARCH("&lt;&gt;",$Q$4))),IFERROR(('Final Calculation Sheet'!$P$32)&amp;"","")&lt;&gt;""),AND(TRIM($Q$4)="",IFERROR(('Final Calculation Sheet'!$P$32)&amp;"","")=""))))</f>
        <v>1</v>
      </c>
      <c r="CD33">
        <f>IF($R$4="",1,--(OR(SUMPRODUCT(--(TRIM(MID(SUBSTITUTE(SUBSTITUTE($R$4,"/",","),",",REPT(" ",99)),(ROW($1:$8)-1)*99+1,99))&lt;&gt;""),--ISNUMBER(SEARCH(TRIM(MID(SUBSTITUTE(SUBSTITUTE($R$4,"/",","),",",REPT(" ",99)),(ROW($1:$8)-1)*99+1,99)),IFERROR(('Final Calculation Sheet'!$Q$32)&amp;"",""))))&gt;0,AND(ISNUMBER(SEARCH("blank",$R$4)),NOT(ISNUMBER(SEARCH("nonblank",$R$4))),IFERROR(('Final Calculation Sheet'!$Q$32)&amp;"","")=""),AND(OR(ISNUMBER(SEARCH("nonblank",$R$4)),ISNUMBER(SEARCH("&lt;&gt;",$R$4))),IFERROR(('Final Calculation Sheet'!$Q$32)&amp;"","")&lt;&gt;""),AND(TRIM($R$4)="",IFERROR(('Final Calculation Sheet'!$Q$32)&amp;"","")=""))))</f>
        <v>1</v>
      </c>
      <c r="CE33">
        <f>IF($S$4="",1,--(OR(SUMPRODUCT(--(TRIM(MID(SUBSTITUTE(SUBSTITUTE($S$4,"/",","),",",REPT(" ",99)),(ROW($1:$8)-1)*99+1,99))&lt;&gt;""),--ISNUMBER(SEARCH(TRIM(MID(SUBSTITUTE(SUBSTITUTE($S$4,"/",","),",",REPT(" ",99)),(ROW($1:$8)-1)*99+1,99)),IFERROR(('Final Calculation Sheet'!$R$32)&amp;"",""))))&gt;0,AND(ISNUMBER(SEARCH("blank",$S$4)),NOT(ISNUMBER(SEARCH("nonblank",$S$4))),IFERROR(('Final Calculation Sheet'!$R$32)&amp;"","")=""),AND(OR(ISNUMBER(SEARCH("nonblank",$S$4)),ISNUMBER(SEARCH("&lt;&gt;",$S$4))),IFERROR(('Final Calculation Sheet'!$R$32)&amp;"","")&lt;&gt;""),AND(TRIM($S$4)="",IFERROR(('Final Calculation Sheet'!$R$32)&amp;"","")=""))))</f>
        <v>1</v>
      </c>
      <c r="CF33">
        <f>IF($T$4="",1,--(OR(SUMPRODUCT(--(TRIM(MID(SUBSTITUTE(SUBSTITUTE($T$4,"/",","),",",REPT(" ",99)),(ROW($1:$8)-1)*99+1,99))&lt;&gt;""),--ISNUMBER(SEARCH(TRIM(MID(SUBSTITUTE(SUBSTITUTE($T$4,"/",","),",",REPT(" ",99)),(ROW($1:$8)-1)*99+1,99)),IFERROR(('Final Calculation Sheet'!$S$32)&amp;"",""))))&gt;0,AND(ISNUMBER(SEARCH("blank",$T$4)),NOT(ISNUMBER(SEARCH("nonblank",$T$4))),IFERROR(('Final Calculation Sheet'!$S$32)&amp;"","")=""),AND(OR(ISNUMBER(SEARCH("nonblank",$T$4)),ISNUMBER(SEARCH("&lt;&gt;",$T$4))),IFERROR(('Final Calculation Sheet'!$S$32)&amp;"","")&lt;&gt;""),AND(TRIM($T$4)="",IFERROR(('Final Calculation Sheet'!$S$32)&amp;"","")=""))))</f>
        <v>1</v>
      </c>
      <c r="CG33">
        <f>IF($U$4="",1,--(OR(SUMPRODUCT(--(TRIM(MID(SUBSTITUTE(SUBSTITUTE($U$4,"/",","),",",REPT(" ",99)),(ROW($1:$8)-1)*99+1,99))&lt;&gt;""),--ISNUMBER(SEARCH(TRIM(MID(SUBSTITUTE(SUBSTITUTE($U$4,"/",","),",",REPT(" ",99)),(ROW($1:$8)-1)*99+1,99)),IFERROR(('Final Calculation Sheet'!$T$32)&amp;"",""))))&gt;0,AND(ISNUMBER(SEARCH("blank",$U$4)),NOT(ISNUMBER(SEARCH("nonblank",$U$4))),IFERROR(('Final Calculation Sheet'!$T$32)&amp;"","")=""),AND(OR(ISNUMBER(SEARCH("nonblank",$U$4)),ISNUMBER(SEARCH("&lt;&gt;",$U$4))),IFERROR(('Final Calculation Sheet'!$T$32)&amp;"","")&lt;&gt;""),AND(TRIM($U$4)="",IFERROR(('Final Calculation Sheet'!$T$32)&amp;"","")=""))))</f>
        <v>1</v>
      </c>
      <c r="CH33">
        <f>IF($V$4="",1,--(OR(SUMPRODUCT(--(TRIM(MID(SUBSTITUTE(SUBSTITUTE($V$4,"/",","),",",REPT(" ",99)),(ROW($1:$8)-1)*99+1,99))&lt;&gt;""),--ISNUMBER(SEARCH(TRIM(MID(SUBSTITUTE(SUBSTITUTE($V$4,"/",","),",",REPT(" ",99)),(ROW($1:$8)-1)*99+1,99)),IFERROR(('Final Calculation Sheet'!$U$32)&amp;"",""))))&gt;0,AND(ISNUMBER(SEARCH("blank",$V$4)),NOT(ISNUMBER(SEARCH("nonblank",$V$4))),IFERROR(('Final Calculation Sheet'!$U$32)&amp;"","")=""),AND(OR(ISNUMBER(SEARCH("nonblank",$V$4)),ISNUMBER(SEARCH("&lt;&gt;",$V$4))),IFERROR(('Final Calculation Sheet'!$U$32)&amp;"","")&lt;&gt;""),AND(TRIM($V$4)="",IFERROR(('Final Calculation Sheet'!$U$32)&amp;"","")=""))))</f>
        <v>1</v>
      </c>
      <c r="CI33">
        <f>IF($W$4="",1,--(OR(SUMPRODUCT(--(TRIM(MID(SUBSTITUTE(SUBSTITUTE($W$4,"/",","),",",REPT(" ",99)),(ROW($1:$8)-1)*99+1,99))&lt;&gt;""),--ISNUMBER(SEARCH(TRIM(MID(SUBSTITUTE(SUBSTITUTE($W$4,"/",","),",",REPT(" ",99)),(ROW($1:$8)-1)*99+1,99)),IFERROR(('Final Calculation Sheet'!$V$32)&amp;"",""))))&gt;0,AND(ISNUMBER(SEARCH("blank",$W$4)),NOT(ISNUMBER(SEARCH("nonblank",$W$4))),IFERROR(('Final Calculation Sheet'!$V$32)&amp;"","")=""),AND(OR(ISNUMBER(SEARCH("nonblank",$W$4)),ISNUMBER(SEARCH("&lt;&gt;",$W$4))),IFERROR(('Final Calculation Sheet'!$V$32)&amp;"","")&lt;&gt;""),AND(TRIM($W$4)="",IFERROR(('Final Calculation Sheet'!$V$32)&amp;"","")=""))))</f>
        <v>1</v>
      </c>
      <c r="CJ33">
        <f>IF($X$4="",1,--(OR(SUMPRODUCT(--(TRIM(MID(SUBSTITUTE(SUBSTITUTE($X$4,"/",","),",",REPT(" ",99)),(ROW($1:$8)-1)*99+1,99))&lt;&gt;""),--ISNUMBER(SEARCH(TRIM(MID(SUBSTITUTE(SUBSTITUTE($X$4,"/",","),",",REPT(" ",99)),(ROW($1:$8)-1)*99+1,99)),IFERROR(('Final Calculation Sheet'!$W$32)&amp;"",""))))&gt;0,AND(ISNUMBER(SEARCH("blank",$X$4)),NOT(ISNUMBER(SEARCH("nonblank",$X$4))),IFERROR(('Final Calculation Sheet'!$W$32)&amp;"","")=""),AND(OR(ISNUMBER(SEARCH("nonblank",$X$4)),ISNUMBER(SEARCH("&lt;&gt;",$X$4))),IFERROR(('Final Calculation Sheet'!$W$32)&amp;"","")&lt;&gt;""),AND(TRIM($X$4)="",IFERROR(('Final Calculation Sheet'!$W$32)&amp;"","")=""))))</f>
        <v>1</v>
      </c>
      <c r="CK33">
        <f>IF($Y$4="",1,--(OR(SUMPRODUCT(--(TRIM(MID(SUBSTITUTE(SUBSTITUTE($Y$4,"/",","),",",REPT(" ",99)),(ROW($1:$8)-1)*99+1,99))&lt;&gt;""),--ISNUMBER(SEARCH(TRIM(MID(SUBSTITUTE(SUBSTITUTE($Y$4,"/",","),",",REPT(" ",99)),(ROW($1:$8)-1)*99+1,99)),IFERROR(('Final Calculation Sheet'!$X$32)&amp;"",""))))&gt;0,AND(ISNUMBER(SEARCH("blank",$Y$4)),NOT(ISNUMBER(SEARCH("nonblank",$Y$4))),IFERROR(('Final Calculation Sheet'!$X$32)&amp;"","")=""),AND(OR(ISNUMBER(SEARCH("nonblank",$Y$4)),ISNUMBER(SEARCH("&lt;&gt;",$Y$4))),IFERROR(('Final Calculation Sheet'!$X$32)&amp;"","")&lt;&gt;""),AND(TRIM($Y$4)="",IFERROR(('Final Calculation Sheet'!$X$32)&amp;"","")=""))))</f>
        <v>1</v>
      </c>
      <c r="CL33">
        <f>IF($Z$4="",1,--(OR(SUMPRODUCT(--(TRIM(MID(SUBSTITUTE(SUBSTITUTE($Z$4,"/",","),",",REPT(" ",99)),(ROW($1:$8)-1)*99+1,99))&lt;&gt;""),--ISNUMBER(SEARCH(TRIM(MID(SUBSTITUTE(SUBSTITUTE($Z$4,"/",","),",",REPT(" ",99)),(ROW($1:$8)-1)*99+1,99)),IFERROR(('Final Calculation Sheet'!$Y$32)&amp;"",""))))&gt;0,AND(ISNUMBER(SEARCH("blank",$Z$4)),NOT(ISNUMBER(SEARCH("nonblank",$Z$4))),IFERROR(('Final Calculation Sheet'!$Y$32)&amp;"","")=""),AND(OR(ISNUMBER(SEARCH("nonblank",$Z$4)),ISNUMBER(SEARCH("&lt;&gt;",$Z$4))),IFERROR(('Final Calculation Sheet'!$Y$32)&amp;"","")&lt;&gt;""),AND(TRIM($Z$4)="",IFERROR(('Final Calculation Sheet'!$Y$32)&amp;"","")=""))))</f>
        <v>1</v>
      </c>
      <c r="CM33">
        <f>IF($AA$4="",1,--(OR(SUMPRODUCT(--(TRIM(MID(SUBSTITUTE(SUBSTITUTE($AA$4,"/",","),",",REPT(" ",99)),(ROW($1:$8)-1)*99+1,99))&lt;&gt;""),--ISNUMBER(SEARCH(TRIM(MID(SUBSTITUTE(SUBSTITUTE($AA$4,"/",","),",",REPT(" ",99)),(ROW($1:$8)-1)*99+1,99)),IFERROR(('Final Calculation Sheet'!$Z$32)&amp;"",""))))&gt;0,AND(ISNUMBER(SEARCH("blank",$AA$4)),NOT(ISNUMBER(SEARCH("nonblank",$AA$4))),IFERROR(('Final Calculation Sheet'!$Z$32)&amp;"","")=""),AND(OR(ISNUMBER(SEARCH("nonblank",$AA$4)),ISNUMBER(SEARCH("&lt;&gt;",$AA$4))),IFERROR(('Final Calculation Sheet'!$Z$32)&amp;"","")&lt;&gt;""),AND(TRIM($AA$4)="",IFERROR(('Final Calculation Sheet'!$Z$32)&amp;"","")=""))))</f>
        <v>1</v>
      </c>
      <c r="CN33">
        <f>IF($AB$4="",1,--(OR(SUMPRODUCT(--(TRIM(MID(SUBSTITUTE(SUBSTITUTE($AB$4,"/",","),",",REPT(" ",99)),(ROW($1:$8)-1)*99+1,99))&lt;&gt;""),--ISNUMBER(SEARCH(TRIM(MID(SUBSTITUTE(SUBSTITUTE($AB$4,"/",","),",",REPT(" ",99)),(ROW($1:$8)-1)*99+1,99)),IFERROR(('Final Calculation Sheet'!$AA$32)&amp;"",""))))&gt;0,AND(ISNUMBER(SEARCH("blank",$AB$4)),NOT(ISNUMBER(SEARCH("nonblank",$AB$4))),IFERROR(('Final Calculation Sheet'!$AA$32)&amp;"","")=""),AND(OR(ISNUMBER(SEARCH("nonblank",$AB$4)),ISNUMBER(SEARCH("&lt;&gt;",$AB$4))),IFERROR(('Final Calculation Sheet'!$AA$32)&amp;"","")&lt;&gt;""),AND(TRIM($AB$4)="",IFERROR(('Final Calculation Sheet'!$AA$32)&amp;"","")=""))))</f>
        <v>1</v>
      </c>
      <c r="CO33">
        <f>IF($AC$4="",1,--(OR(SUMPRODUCT(--(TRIM(MID(SUBSTITUTE(SUBSTITUTE($AC$4,"/",","),",",REPT(" ",99)),(ROW($1:$8)-1)*99+1,99))&lt;&gt;""),--ISNUMBER(SEARCH(TRIM(MID(SUBSTITUTE(SUBSTITUTE($AC$4,"/",","),",",REPT(" ",99)),(ROW($1:$8)-1)*99+1,99)),IFERROR(('Final Calculation Sheet'!$AB$32)&amp;"",""))))&gt;0,AND(ISNUMBER(SEARCH("blank",$AC$4)),NOT(ISNUMBER(SEARCH("nonblank",$AC$4))),IFERROR(('Final Calculation Sheet'!$AB$32)&amp;"","")=""),AND(OR(ISNUMBER(SEARCH("nonblank",$AC$4)),ISNUMBER(SEARCH("&lt;&gt;",$AC$4))),IFERROR(('Final Calculation Sheet'!$AB$32)&amp;"","")&lt;&gt;""),AND(TRIM($AC$4)="",IFERROR(('Final Calculation Sheet'!$AB$32)&amp;"","")=""))))</f>
        <v>1</v>
      </c>
      <c r="CP33">
        <f>IF($AD$4="",1,--(OR(SUMPRODUCT(--(TRIM(MID(SUBSTITUTE(SUBSTITUTE($AD$4,"/",","),",",REPT(" ",99)),(ROW($1:$8)-1)*99+1,99))&lt;&gt;""),--ISNUMBER(SEARCH(TRIM(MID(SUBSTITUTE(SUBSTITUTE($AD$4,"/",","),",",REPT(" ",99)),(ROW($1:$8)-1)*99+1,99)),IFERROR(('Final Calculation Sheet'!$AC$32)&amp;"",""))))&gt;0,AND(ISNUMBER(SEARCH("blank",$AD$4)),NOT(ISNUMBER(SEARCH("nonblank",$AD$4))),IFERROR(('Final Calculation Sheet'!$AC$32)&amp;"","")=""),AND(OR(ISNUMBER(SEARCH("nonblank",$AD$4)),ISNUMBER(SEARCH("&lt;&gt;",$AD$4))),IFERROR(('Final Calculation Sheet'!$AC$32)&amp;"","")&lt;&gt;""),AND(TRIM($AD$4)="",IFERROR(('Final Calculation Sheet'!$AC$32)&amp;"","")=""))))</f>
        <v>1</v>
      </c>
      <c r="CQ33">
        <f>IF($AE$4="",1,--(OR(SUMPRODUCT(--(TRIM(MID(SUBSTITUTE(SUBSTITUTE($AE$4,"/",","),",",REPT(" ",99)),(ROW($1:$8)-1)*99+1,99))&lt;&gt;""),--ISNUMBER(SEARCH(TRIM(MID(SUBSTITUTE(SUBSTITUTE($AE$4,"/",","),",",REPT(" ",99)),(ROW($1:$8)-1)*99+1,99)),IFERROR(('Final Calculation Sheet'!$AD$32)&amp;"",""))))&gt;0,AND(ISNUMBER(SEARCH("blank",$AE$4)),NOT(ISNUMBER(SEARCH("nonblank",$AE$4))),IFERROR(('Final Calculation Sheet'!$AD$32)&amp;"","")=""),AND(OR(ISNUMBER(SEARCH("nonblank",$AE$4)),ISNUMBER(SEARCH("&lt;&gt;",$AE$4))),IFERROR(('Final Calculation Sheet'!$AD$32)&amp;"","")&lt;&gt;""),AND(TRIM($AE$4)="",IFERROR(('Final Calculation Sheet'!$AD$32)&amp;"","")=""))))</f>
        <v>1</v>
      </c>
      <c r="CR33">
        <f>IF($AF$4="",1,--(OR(SUMPRODUCT(--(TRIM(MID(SUBSTITUTE(SUBSTITUTE($AF$4,"/",","),",",REPT(" ",99)),(ROW($1:$8)-1)*99+1,99))&lt;&gt;""),--ISNUMBER(SEARCH(TRIM(MID(SUBSTITUTE(SUBSTITUTE($AF$4,"/",","),",",REPT(" ",99)),(ROW($1:$8)-1)*99+1,99)),IFERROR(('Final Calculation Sheet'!$AE$32)&amp;"",""))))&gt;0,AND(ISNUMBER(SEARCH("blank",$AF$4)),NOT(ISNUMBER(SEARCH("nonblank",$AF$4))),IFERROR(('Final Calculation Sheet'!$AE$32)&amp;"","")=""),AND(OR(ISNUMBER(SEARCH("nonblank",$AF$4)),ISNUMBER(SEARCH("&lt;&gt;",$AF$4))),IFERROR(('Final Calculation Sheet'!$AE$32)&amp;"","")&lt;&gt;""),AND(TRIM($AF$4)="",IFERROR(('Final Calculation Sheet'!$AE$32)&amp;"","")=""))))</f>
        <v>1</v>
      </c>
      <c r="CS33">
        <f>IF($AG$4="",1,--(OR(SUMPRODUCT(--(TRIM(MID(SUBSTITUTE(SUBSTITUTE($AG$4,"/",","),",",REPT(" ",99)),(ROW($1:$8)-1)*99+1,99))&lt;&gt;""),--ISNUMBER(SEARCH(TRIM(MID(SUBSTITUTE(SUBSTITUTE($AG$4,"/",","),",",REPT(" ",99)),(ROW($1:$8)-1)*99+1,99)),IFERROR(('Final Calculation Sheet'!$AF$32)&amp;"",""))))&gt;0,AND(ISNUMBER(SEARCH("blank",$AG$4)),NOT(ISNUMBER(SEARCH("nonblank",$AG$4))),IFERROR(('Final Calculation Sheet'!$AF$32)&amp;"","")=""),AND(OR(ISNUMBER(SEARCH("nonblank",$AG$4)),ISNUMBER(SEARCH("&lt;&gt;",$AG$4))),IFERROR(('Final Calculation Sheet'!$AF$32)&amp;"","")&lt;&gt;""),AND(TRIM($AG$4)="",IFERROR(('Final Calculation Sheet'!$AF$32)&amp;"","")=""))))</f>
        <v>1</v>
      </c>
      <c r="CT33">
        <f>IF($AH$4="",1,--(OR(SUMPRODUCT(--(TRIM(MID(SUBSTITUTE(SUBSTITUTE($AH$4,"/",","),",",REPT(" ",99)),(ROW($1:$8)-1)*99+1,99))&lt;&gt;""),--ISNUMBER(SEARCH(TRIM(MID(SUBSTITUTE(SUBSTITUTE($AH$4,"/",","),",",REPT(" ",99)),(ROW($1:$8)-1)*99+1,99)),IFERROR(('Final Calculation Sheet'!$AG$32)&amp;"",""))))&gt;0,AND(ISNUMBER(SEARCH("blank",$AH$4)),NOT(ISNUMBER(SEARCH("nonblank",$AH$4))),IFERROR(('Final Calculation Sheet'!$AG$32)&amp;"","")=""),AND(OR(ISNUMBER(SEARCH("nonblank",$AH$4)),ISNUMBER(SEARCH("&lt;&gt;",$AH$4))),IFERROR(('Final Calculation Sheet'!$AG$32)&amp;"","")&lt;&gt;""),AND(TRIM($AH$4)="",IFERROR(('Final Calculation Sheet'!$AG$32)&amp;"","")=""))))</f>
        <v>1</v>
      </c>
      <c r="CU33">
        <f>IF($AI$4="",1,--(OR(SUMPRODUCT(--(TRIM(MID(SUBSTITUTE(SUBSTITUTE($AI$4,"/",","),",",REPT(" ",99)),(ROW($1:$8)-1)*99+1,99))&lt;&gt;""),--ISNUMBER(SEARCH(TRIM(MID(SUBSTITUTE(SUBSTITUTE($AI$4,"/",","),",",REPT(" ",99)),(ROW($1:$8)-1)*99+1,99)),IFERROR((IF('Final Calculation Sheet'!$AD$32&lt;=5,"SETTLED","OUTSTANDING"))&amp;"",""))))&gt;0,AND(ISNUMBER(SEARCH("blank",$AI$4)),NOT(ISNUMBER(SEARCH("nonblank",$AI$4))),IFERROR((IF('Final Calculation Sheet'!$AD$32&lt;=5,"SETTLED","OUTSTANDING"))&amp;"","")=""),AND(OR(ISNUMBER(SEARCH("nonblank",$AI$4)),ISNUMBER(SEARCH("&lt;&gt;",$AI$4))),IFERROR((IF('Final Calculation Sheet'!$AD$32&lt;=5,"SETTLED","OUTSTANDING"))&amp;"","")&lt;&gt;""),AND(TRIM($AI$4)="",IFERROR((IF('Final Calculation Sheet'!$AD$32&lt;=5,"SETTLED","OUTSTANDING"))&amp;"","")=""))))</f>
        <v>1</v>
      </c>
    </row>
    <row r="34" ht="15" customHeight="1" s="137">
      <c r="A34" s="67">
        <f>IF($BJ33&gt;0,INDEX($BA$5:$BA$41,MATCH(33,$BB$5:$BB$41,0)),IF(OR($BI33=1,$BL33=1,$BH33&gt;0),"∑",""))</f>
        <v>29</v>
      </c>
      <c r="B34" s="76">
        <f>IF($BJ33&gt;0,IF(INDEX('Final Calculation Sheet'!$F$4:$F$40,$BJ33-3)="","",INDEX('Final Calculation Sheet'!$F$4:$F$40,$BJ33-3)),"")</f>
        <v>2055</v>
      </c>
      <c r="C34" s="76" t="str">
        <f>IF($BJ33&gt;0,IF(INDEX('Final Calculation Sheet'!$G$4:$G$40,$BJ33-3)="","",INDEX('Final Calculation Sheet'!$G$4:$G$40,$BJ33-3)),IF(OR($BI33=1,$BL33=1,$BH33&gt;0),IF($BI33=1,37,IF($BL33=1,37-INDEX($BD$4:$BD$13,10),INDEX($BD$4:$BD$13,$BH33)))&amp;" lot(s)",""))</f>
        <v>NATIONAL ENTERPRISES</v>
      </c>
      <c r="D34" s="80" t="str">
        <f>IF($BJ33&gt;0,IF(INDEX('Final Calculation Sheet'!$B$4:$B$40,$BJ33-3)="","",INDEX('Final Calculation Sheet'!$B$4:$B$40,$BJ33-3)),IF(OR($BI33=1,$BL33=1,$BH33&gt;0),IF($BI33=1,"GRAND TOTAL  —  matching + remaining",IF($BL33=1,"TOTAL MATCHED  —  every group together",IF($BH33=10,"REMAINING  —  did not match the search",IF($BH33=9,IF(COUNTIF($A$4:$AI$4,"&lt;&gt;")&gt;0,"FILTERED LOTS  —  column fields","ALL LOTS  —  nothing typed in the box"),"GROUP "&amp;$BH33&amp;" TOTAL  —  lots matching  "&amp;INDEX($AR$6:$AY$6,$BH33))))),""))</f>
        <v>Scrap of 220 KV CT</v>
      </c>
      <c r="E34" s="80">
        <f>IF($BJ33&gt;0,IF(INDEX('Final Calculation Sheet'!$D$4:$D$40,$BJ33-3)="","",INDEX('Final Calculation Sheet'!$D$4:$D$40,$BJ33-3)),IF(OR($BI33=1,$BL33=1,$BH33&gt;0),"–",""))</f>
        <v>21979</v>
      </c>
      <c r="F34" s="80">
        <f>IF($BJ33&gt;0,IF(INDEX('Final Calculation Sheet'!$A$4:$A$40,$BJ33-3)="","",INDEX('Final Calculation Sheet'!$A$4:$A$40,$BJ33-3)),IF(OR($BI33=1,$BL33=1,$BH33&gt;0),IF($BI33=1,SUM('Final Calculation Sheet'!$A$4:$A$40),IF($BL33=1,SUM('Final Calculation Sheet'!$A$4:$A$40)-SUMIFS('Final Calculation Sheet'!$A$4:$A$40,$AZ$5:$AZ$41,10),SUMIFS('Final Calculation Sheet'!$A$4:$A$40,$AZ$5:$AZ$41,$BH33))),""))</f>
        <v>2</v>
      </c>
      <c r="G34" s="80" t="str">
        <f>IF($BJ33&gt;0,IF(INDEX('Final Calculation Sheet'!$E$4:$E$40,$BJ33-3)="","",INDEX('Final Calculation Sheet'!$E$4:$E$40,$BJ33-3)),IF(OR($BI33=1,$BL33=1,$BH33&gt;0),"–",""))</f>
        <v>NO</v>
      </c>
      <c r="H34" s="70">
        <f>IF($BJ33&gt;0,IF(INDEX('Final Calculation Sheet'!$C$4:$C$40,$BJ33-3)="","",INDEX('Final Calculation Sheet'!$C$4:$C$40,$BJ33-3)),IF(OR($BI33=1,$BL33=1,$BH33&gt;0),"–",""))</f>
        <v>80006</v>
      </c>
      <c r="I34" s="70">
        <f>IF($BJ33&gt;0,IF(INDEX('Final Calculation Sheet'!$H$4:$H$40,$BJ33-3)="","",INDEX('Final Calculation Sheet'!$H$4:$H$40,$BJ33-3)),IF(OR($BI33=1,$BL33=1,$BH33&gt;0),IF($BI33=1,SUM('Final Calculation Sheet'!$H$4:$H$40),IF($BL33=1,SUM('Final Calculation Sheet'!$H$4:$H$40)-SUMIFS('Final Calculation Sheet'!$H$4:$H$40,$AZ$5:$AZ$41,10),SUMIFS('Final Calculation Sheet'!$H$4:$H$40,$AZ$5:$AZ$41,$BH33))),""))</f>
        <v>160012</v>
      </c>
      <c r="J34" s="70">
        <f>IF($BJ33&gt;0,IF(INDEX('Final Calculation Sheet'!$I$4:$I$40,$BJ33-3)="","",INDEX('Final Calculation Sheet'!$I$4:$I$40,$BJ33-3)),IF(OR($BI33=1,$BL33=1,$BH33&gt;0),IF($BI33=1,SUM('Final Calculation Sheet'!$I$4:$I$40),IF($BL33=1,SUM('Final Calculation Sheet'!$I$4:$I$40)-SUMIFS('Final Calculation Sheet'!$I$4:$I$40,$AZ$5:$AZ$41,10),SUMIFS('Final Calculation Sheet'!$I$4:$I$40,$AZ$5:$AZ$41,$BH33))),""))</f>
        <v>28802</v>
      </c>
      <c r="K34" s="70">
        <f>IF($BJ33&gt;0,IF(INDEX('Final Calculation Sheet'!$J$4:$J$40,$BJ33-3)="","",INDEX('Final Calculation Sheet'!$J$4:$J$40,$BJ33-3)),IF(OR($BI33=1,$BL33=1,$BH33&gt;0),IF($BI33=1,SUM('Final Calculation Sheet'!$J$4:$J$40),IF($BL33=1,SUM('Final Calculation Sheet'!$J$4:$J$40)-SUMIFS('Final Calculation Sheet'!$J$4:$J$40,$AZ$5:$AZ$41,10),SUMIFS('Final Calculation Sheet'!$J$4:$J$40,$AZ$5:$AZ$41,$BH33))),""))</f>
        <v>188814</v>
      </c>
      <c r="L34" s="70">
        <f>IF($BJ33&gt;0,IF(INDEX('Final Calculation Sheet'!$K$4:$K$40,$BJ33-3)="","",INDEX('Final Calculation Sheet'!$K$4:$K$40,$BJ33-3)),IF(OR($BI33=1,$BL33=1,$BH33&gt;0),IF($BI33=1,SUM('Final Calculation Sheet'!$K$4:$K$40),IF($BL33=1,SUM('Final Calculation Sheet'!$K$4:$K$40)-SUMIFS('Final Calculation Sheet'!$K$4:$K$40,$AZ$5:$AZ$41,10),SUMIFS('Final Calculation Sheet'!$K$4:$K$40,$AZ$5:$AZ$41,$BH33))),""))</f>
        <v>3776</v>
      </c>
      <c r="M34" s="70">
        <f>IF($BJ33&gt;0,IF(INDEX('Final Calculation Sheet'!$L$4:$L$40,$BJ33-3)="","",INDEX('Final Calculation Sheet'!$L$4:$L$40,$BJ33-3)),IF(OR($BI33=1,$BL33=1,$BH33&gt;0),IF($BI33=1,SUM('Final Calculation Sheet'!$L$4:$L$40),IF($BL33=1,SUM('Final Calculation Sheet'!$L$4:$L$40)-SUMIFS('Final Calculation Sheet'!$L$4:$L$40,$AZ$5:$AZ$41,10),SUMIFS('Final Calculation Sheet'!$L$4:$L$40,$AZ$5:$AZ$41,$BH33))),""))</f>
        <v>160.012</v>
      </c>
      <c r="N34" s="70">
        <f>IF($BJ33&gt;0,IF(INDEX('Final Calculation Sheet'!$M$4:$M$40,$BJ33-3)="","",INDEX('Final Calculation Sheet'!$M$4:$M$40,$BJ33-3)),IF(OR($BI33=1,$BL33=1,$BH33&gt;0),IF($BI33=1,SUM('Final Calculation Sheet'!$M$4:$M$40),IF($BL33=1,SUM('Final Calculation Sheet'!$M$4:$M$40)-SUMIFS('Final Calculation Sheet'!$M$4:$M$40,$AZ$5:$AZ$41,10),SUMIFS('Final Calculation Sheet'!$M$4:$M$40,$AZ$5:$AZ$41,$BH33))),""))</f>
        <v>4248.3185999999996</v>
      </c>
      <c r="O34" s="71">
        <f>IF($BJ33&gt;0,IF(INDEX('Final Calculation Sheet'!$N$4:$N$40,$BJ33-3)="","",INDEX('Final Calculation Sheet'!$N$4:$N$40,$BJ33-3)),IF(OR($BI33=1,$BL33=1,$BH33&gt;0),IF($BI33=1,SUM('Final Calculation Sheet'!$N$4:$N$40),IF($BL33=1,SUM('Final Calculation Sheet'!$N$4:$N$40)-SUMIFS('Final Calculation Sheet'!$N$4:$N$40,$AZ$5:$AZ$41,10),SUMIFS('Final Calculation Sheet'!$N$4:$N$40,$AZ$5:$AZ$41,$BH33))),""))</f>
        <v>72.005399999999995</v>
      </c>
      <c r="P34" s="70">
        <f>IF($BJ33&gt;0,IF(INDEX('Final Calculation Sheet'!$O$4:$O$40,$BJ33-3)="","",INDEX('Final Calculation Sheet'!$O$4:$O$40,$BJ33-3)),IF(OR($BI33=1,$BL33=1,$BH33&gt;0),IF($BI33=1,SUM('Final Calculation Sheet'!$O$4:$O$40),IF($BL33=1,SUM('Final Calculation Sheet'!$O$4:$O$40)-SUMIFS('Final Calculation Sheet'!$O$4:$O$40,$AZ$5:$AZ$41,10),SUMIFS('Final Calculation Sheet'!$O$4:$O$40,$AZ$5:$AZ$41,$BH33))),""))</f>
        <v>4176.3131999999996</v>
      </c>
      <c r="Q34" s="70">
        <f>IF($BJ33&gt;0,IF(INDEX('Final Calculation Sheet'!$P$4:$P$40,$BJ33-3)="","",INDEX('Final Calculation Sheet'!$P$4:$P$40,$BJ33-3)),IF(OR($BI33=1,$BL33=1,$BH33&gt;0),IF($BI33=1,SUM('Final Calculation Sheet'!$P$4:$P$40),IF($BL33=1,SUM('Final Calculation Sheet'!$P$4:$P$40)-SUMIFS('Final Calculation Sheet'!$P$4:$P$40,$AZ$5:$AZ$41,10),SUMIFS('Final Calculation Sheet'!$P$4:$P$40,$AZ$5:$AZ$41,$BH33))),""))</f>
        <v>4336</v>
      </c>
      <c r="R34" s="72">
        <f>IF($BJ33&gt;0,IF(INDEX('Final Calculation Sheet'!$Q$4:$Q$40,$BJ33-3)="","",INDEX('Final Calculation Sheet'!$Q$4:$Q$40,$BJ33-3)),IF(OR($BI33=1,$BL33=1,$BH33&gt;0),"–",""))</f>
        <v>0</v>
      </c>
      <c r="S34" s="70">
        <f>IF($BJ33&gt;0,IF(INDEX('Final Calculation Sheet'!$R$4:$R$40,$BJ33-3)="","",INDEX('Final Calculation Sheet'!$R$4:$R$40,$BJ33-3)),IF(OR($BI33=1,$BL33=1,$BH33&gt;0),IF($BI33=1,SUM('Final Calculation Sheet'!$R$4:$R$40),IF($BL33=1,SUM('Final Calculation Sheet'!$R$4:$R$40)-SUMIFS('Final Calculation Sheet'!$R$4:$R$40,$AZ$5:$AZ$41,10),SUMIFS('Final Calculation Sheet'!$R$4:$R$40,$AZ$5:$AZ$41,$BH33))),""))</f>
        <v>0</v>
      </c>
      <c r="T34" s="70">
        <f>IF($BJ33&gt;0,IF(INDEX('Final Calculation Sheet'!$S$4:$S$40,$BJ33-3)="","",INDEX('Final Calculation Sheet'!$S$4:$S$40,$BJ33-3)),IF(OR($BI33=1,$BL33=1,$BH33&gt;0),IF($BI33=1,SUM('Final Calculation Sheet'!$S$4:$S$40),IF($BL33=1,SUM('Final Calculation Sheet'!$S$4:$S$40)-SUMIFS('Final Calculation Sheet'!$S$4:$S$40,$AZ$5:$AZ$41,10),SUMIFS('Final Calculation Sheet'!$S$4:$S$40,$AZ$5:$AZ$41,$BH33))),""))</f>
        <v>188254</v>
      </c>
      <c r="U34" s="70">
        <f>IF($BJ33&gt;0,IF(INDEX('Final Calculation Sheet'!$T$4:$T$40,$BJ33-3)="","",INDEX('Final Calculation Sheet'!$T$4:$T$40,$BJ33-3)),IF(OR($BI33=1,$BL33=1,$BH33&gt;0),IF($BI33=1,SUM('Final Calculation Sheet'!$T$4:$T$40),IF($BL33=1,SUM('Final Calculation Sheet'!$T$4:$T$40)-SUMIFS('Final Calculation Sheet'!$T$4:$T$40,$AZ$5:$AZ$41,10),SUMIFS('Final Calculation Sheet'!$T$4:$T$40,$AZ$5:$AZ$41,$BH33))),""))</f>
        <v>40003</v>
      </c>
      <c r="V34" s="73">
        <f>IF($BJ33&gt;0,IF(INDEX('Final Calculation Sheet'!$U$4:$U$40,$BJ33-3)="","",INDEX('Final Calculation Sheet'!$U$4:$U$40,$BJ33-3)),IF(OR($BI33=1,$BL33=1,$BH33&gt;0),IF($BI33=1,SUM('Final Calculation Sheet'!$U$4:$U$40),IF($BL33=1,SUM('Final Calculation Sheet'!$U$4:$U$40)-SUMIFS('Final Calculation Sheet'!$U$4:$U$40,$AZ$5:$AZ$41,10),SUMIFS('Final Calculation Sheet'!$U$4:$U$40,$AZ$5:$AZ$41,$BH33))),""))</f>
        <v>40003</v>
      </c>
      <c r="W34" s="70" t="str">
        <f>IF($BJ33&gt;0,IF(INDEX('Final Calculation Sheet'!$V$4:$V$40,$BJ33-3)="","",INDEX('Final Calculation Sheet'!$V$4:$V$40,$BJ33-3)),IF(OR($BI33=1,$BL33=1,$BH33&gt;0),"–",""))</f>
        <v>13.08.2026</v>
      </c>
      <c r="X34" s="70">
        <f>IF($BJ33&gt;0,IF(INDEX('Final Calculation Sheet'!$W$4:$W$40,$BJ33-3)="","",INDEX('Final Calculation Sheet'!$W$4:$W$40,$BJ33-3)),IF(OR($BI33=1,$BL33=1,$BH33&gt;0),IF($BI33=1,SUM('Final Calculation Sheet'!$W$4:$W$40),IF($BL33=1,SUM('Final Calculation Sheet'!$W$4:$W$40)-SUMIFS('Final Calculation Sheet'!$W$4:$W$40,$AZ$5:$AZ$41,10),SUMIFS('Final Calculation Sheet'!$W$4:$W$40,$AZ$5:$AZ$41,$BH33))),""))</f>
        <v>148251</v>
      </c>
      <c r="Y34" s="70">
        <f>IF($BJ33&gt;0,IF(INDEX('Final Calculation Sheet'!$X$4:$X$40,$BJ33-3)="","",INDEX('Final Calculation Sheet'!$X$4:$X$40,$BJ33-3)),IF(OR($BI33=1,$BL33=1,$BH33&gt;0),IF($BI33=1,SUM('Final Calculation Sheet'!$X$4:$X$40),IF($BL33=1,SUM('Final Calculation Sheet'!$X$4:$X$40)-SUMIFS('Final Calculation Sheet'!$X$4:$X$40,$AZ$5:$AZ$41,10),SUMIFS('Final Calculation Sheet'!$X$4:$X$40,$AZ$5:$AZ$41,$BH33))),""))</f>
        <v>148251</v>
      </c>
      <c r="Z34" s="70" t="str">
        <f>IF($BJ33&gt;0,IF(INDEX('Final Calculation Sheet'!$Y$4:$Y$40,$BJ33-3)="","",INDEX('Final Calculation Sheet'!$Y$4:$Y$40,$BJ33-3)),IF(OR($BI33=1,$BL33=1,$BH33&gt;0),"–",""))</f>
        <v>24.08.2026</v>
      </c>
      <c r="AA34" s="70">
        <f>IF($BJ33&gt;0,IF(INDEX('Final Calculation Sheet'!$Z$4:$Z$40,$BJ33-3)="","",INDEX('Final Calculation Sheet'!$Z$4:$Z$40,$BJ33-3)),IF(OR($BI33=1,$BL33=1,$BH33&gt;0),IF($BI33=1,SUM('Final Calculation Sheet'!$Z$4:$Z$40),IF($BL33=1,SUM('Final Calculation Sheet'!$Z$4:$Z$40)-SUMIFS('Final Calculation Sheet'!$Z$4:$Z$40,$AZ$5:$AZ$41,10),SUMIFS('Final Calculation Sheet'!$Z$4:$Z$40,$AZ$5:$AZ$41,$BH33))),""))</f>
        <v>0</v>
      </c>
      <c r="AB34" s="70" t="str">
        <f>IF($BJ33&gt;0,IF(INDEX('Final Calculation Sheet'!$AA$4:$AA$40,$BJ33-3)="","",INDEX('Final Calculation Sheet'!$AA$4:$AA$40,$BJ33-3)),IF(OR($BI33=1,$BL33=1,$BH33&gt;0),IF($BI33=1,SUM('Final Calculation Sheet'!$AA$4:$AA$40),IF($BL33=1,SUM('Final Calculation Sheet'!$AA$4:$AA$40)-SUMIFS('Final Calculation Sheet'!$AA$4:$AA$40,$AZ$5:$AZ$41,10),SUMIFS('Final Calculation Sheet'!$AA$4:$AA$40,$AZ$5:$AZ$41,$BH33))),""))</f>
        <v/>
      </c>
      <c r="AC34" s="70" t="str">
        <f>IF($BJ33&gt;0,IF(INDEX('Final Calculation Sheet'!$AB$4:$AB$40,$BJ33-3)="","",INDEX('Final Calculation Sheet'!$AB$4:$AB$40,$BJ33-3)),IF(OR($BI33=1,$BL33=1,$BH33&gt;0),"–",""))</f>
        <v/>
      </c>
      <c r="AD34" s="70">
        <f>IF($BJ33&gt;0,IF(INDEX('Final Calculation Sheet'!$AC$4:$AC$40,$BJ33-3)="","",INDEX('Final Calculation Sheet'!$AC$4:$AC$40,$BJ33-3)),IF(OR($BI33=1,$BL33=1,$BH33&gt;0),IF($BI33=1,SUM('Final Calculation Sheet'!$AC$4:$AC$40),IF($BL33=1,SUM('Final Calculation Sheet'!$AC$4:$AC$40)-SUMIFS('Final Calculation Sheet'!$AC$4:$AC$40,$AZ$5:$AZ$41,10),SUMIFS('Final Calculation Sheet'!$AC$4:$AC$40,$AZ$5:$AZ$41,$BH33))),""))</f>
        <v>188254</v>
      </c>
      <c r="AE34" s="70">
        <f>IF($BJ33&gt;0,IF(INDEX('Final Calculation Sheet'!$AD$4:$AD$40,$BJ33-3)="","",INDEX('Final Calculation Sheet'!$AD$4:$AD$40,$BJ33-3)),IF(OR($BI33=1,$BL33=1,$BH33&gt;0),IF($BI33=1,SUM('Final Calculation Sheet'!$AD$4:$AD$40),IF($BL33=1,SUM('Final Calculation Sheet'!$AD$4:$AD$40)-SUMIFS('Final Calculation Sheet'!$AD$4:$AD$40,$AZ$5:$AZ$41,10),SUMIFS('Final Calculation Sheet'!$AD$4:$AD$40,$AZ$5:$AZ$41,$BH33))),""))</f>
        <v>0</v>
      </c>
      <c r="AF34" s="70" t="str">
        <f>IF($BJ33&gt;0,IF(INDEX('Final Calculation Sheet'!$AE$4:$AE$40,$BJ33-3)="","",INDEX('Final Calculation Sheet'!$AE$4:$AE$40,$BJ33-3)),IF(OR($BI33=1,$BL33=1,$BH33&gt;0),"–",""))</f>
        <v>DR2640100039</v>
      </c>
      <c r="AG34" s="74">
        <f>IF($BJ33&gt;0,IF(INDEX('Final Calculation Sheet'!$AF$4:$AF$40,$BJ33-3)="","",INDEX('Final Calculation Sheet'!$AF$4:$AF$40,$BJ33-3)),IF(OR($BI33=1,$BL33=1,$BH33&gt;0),"–",""))</f>
        <v>1800003312</v>
      </c>
      <c r="AH34" s="70" t="str">
        <f>IF($BJ33&gt;0,IF(INDEX('Final Calculation Sheet'!$AG$4:$AG$40,$BJ33-3)="","",INDEX('Final Calculation Sheet'!$AG$4:$AG$40,$BJ33-3)),IF(OR($BI33=1,$BL33=1,$BH33&gt;0),"–",""))</f>
        <v>27.08.2026</v>
      </c>
      <c r="AI34" s="75" t="str">
        <f>IF($BJ33&gt;0,IF(INDEX('Final Calculation Sheet'!$AD$4:$AD$40,$BJ33-3)="","",IF(INDEX('Final Calculation Sheet'!$AD$4:$AD$40,$BJ33-3)&lt;=5,"SETTLED","OUTSTANDING")),IF(OR($BI33=1,$BL33=1,$BH33&gt;0),IF(IF($BI33=1,SUM('Final Calculation Sheet'!$AD$4:$AD$40),IF($BL33=1,SUM('Final Calculation Sheet'!$AD$4:$AD$40)-SUMIFS('Final Calculation Sheet'!$AD$4:$AD$40,$AZ$5:$AZ$41,10),SUMIFS('Final Calculation Sheet'!$AD$4:$AD$40,$AZ$5:$AZ$41,$BH33)))&lt;=5,"ALL SETTLED","OUTSTANDING"),""))</f>
        <v>SETTLED</v>
      </c>
      <c r="AK34" t="str">
        <f>IF($F$3="Lot No.",'Final Calculation Sheet'!$F$33,IF($F$3="Buyer",'Final Calculation Sheet'!$G$33,IF($F$3="Lot Name",'Final Calculation Sheet'!$B$33,IF($F$3="Bid Sheet",'Final Calculation Sheet'!$D$33,IF($F$3="Unit",'Final Calculation Sheet'!$E$33,'Final Calculation Sheet'!$F$33&amp;" "&amp;'Final Calculation Sheet'!$G$33&amp;" "&amp;'Final Calculation Sheet'!$B$33)))))</f>
        <v>2059 NATIONAL ENTERPRISES Scrap of 33 KV GCB</v>
      </c>
      <c r="AL34">
        <f>AL33+IF($B$3="",0,--(SUMPRODUCT(--($AR$6:$AY$6&lt;&gt;""),--ISNUMBER(SEARCH($AR$6:$AY$6,$AK34)))&gt;0))</f>
        <v>0</v>
      </c>
      <c r="AM34">
        <f>IF(COUNTIF($BM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1</v>
      </c>
      <c r="AZ34">
        <f>IF($B$3="",IF(COUNTIF($A$4:$AI$4,"&lt;&gt;")=0,9,IF($AM34=1,9,10)),IF($AM34=0,10,IF(AND($AR$6&lt;&gt;"",ISNUMBER(SEARCH($AR$6,$AK34))),1,IF(AND($AS$6&lt;&gt;"",ISNUMBER(SEARCH($AS$6,$AK34))),2,IF(AND($AT$6&lt;&gt;"",ISNUMBER(SEARCH($AT$6,$AK34))),3,IF(AND($AU$6&lt;&gt;"",ISNUMBER(SEARCH($AU$6,$AK34))),4,IF(AND($AV$6&lt;&gt;"",ISNUMBER(SEARCH($AV$6,$AK34))),5,IF(AND($AW$6&lt;&gt;"",ISNUMBER(SEARCH($AW$6,$AK34))),6,IF(AND($AX$6&lt;&gt;"",ISNUMBER(SEARCH($AX$6,$AK34))),7,IF(AND($AY$6&lt;&gt;"",ISNUMBER(SEARCH($AY$6,$AK34))),8,0))))))))))</f>
        <v>9</v>
      </c>
      <c r="BA34">
        <f>SUMPRODUCT(($AZ$5:$AZ$41=$AZ34)*($BC$5:$BC$41&lt;$BC34))+1</f>
        <v>30</v>
      </c>
      <c r="BB34">
        <f>IF(INDEX($BF$4:$BF$13,$AZ34)=0,0,INDEX($BE$4:$BE$13,$AZ34)+$BA34-1)</f>
        <v>34</v>
      </c>
      <c r="BC34" t="n">
        <v>33</v>
      </c>
      <c r="BH34">
        <f>IFERROR(MATCH(34,$BF$4:$BF$13,0),0)</f>
        <v>0</v>
      </c>
      <c r="BI34">
        <f>IF(34=$BG$5,1,0)</f>
        <v>0</v>
      </c>
      <c r="BJ34">
        <f>IF(OR($BH34&gt;0,$BI34=1,$BL34=1),0,IFERROR(INDEX($BC$5:$BC$41,MATCH(34,$BB$5:$BB$41,0)),0))</f>
        <v>33</v>
      </c>
      <c r="BK34">
        <f>IF($BJ34&gt;0,IF(INDEX($AZ$5:$AZ$41,MATCH(34,$BB$5:$BB$41,0))=10,1,0),IF($BH34=10,1,0))</f>
        <v>0</v>
      </c>
      <c r="BL34">
        <f>IF(34=$BG$4,1,0)</f>
        <v>0</v>
      </c>
      <c r="BM34">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1</v>
      </c>
      <c r="BN34">
        <f>IF($B$4="",1,--(OR(SUMPRODUCT(--(TRIM(MID(SUBSTITUTE(SUBSTITUTE($B$4,"/",","),",",REPT(" ",99)),(ROW($1:$8)-1)*99+1,99))&lt;&gt;""),--ISNUMBER(SEARCH(TRIM(MID(SUBSTITUTE(SUBSTITUTE($B$4,"/",","),",",REPT(" ",99)),(ROW($1:$8)-1)*99+1,99)),IFERROR(('Final Calculation Sheet'!$F$33)&amp;"",""))))&gt;0,AND(ISNUMBER(SEARCH("blank",$B$4)),NOT(ISNUMBER(SEARCH("nonblank",$B$4))),IFERROR(('Final Calculation Sheet'!$F$33)&amp;"","")=""),AND(OR(ISNUMBER(SEARCH("nonblank",$B$4)),ISNUMBER(SEARCH("&lt;&gt;",$B$4))),IFERROR(('Final Calculation Sheet'!$F$33)&amp;"","")&lt;&gt;""),AND(TRIM($B$4)="",IFERROR(('Final Calculation Sheet'!$F$33)&amp;"","")=""))))</f>
        <v>1</v>
      </c>
      <c r="BO34">
        <f>IF($C$4="",1,--(OR(SUMPRODUCT(--(TRIM(MID(SUBSTITUTE(SUBSTITUTE($C$4,"/",","),",",REPT(" ",99)),(ROW($1:$8)-1)*99+1,99))&lt;&gt;""),--ISNUMBER(SEARCH(TRIM(MID(SUBSTITUTE(SUBSTITUTE($C$4,"/",","),",",REPT(" ",99)),(ROW($1:$8)-1)*99+1,99)),IFERROR(('Final Calculation Sheet'!$G$33)&amp;"",""))))&gt;0,AND(ISNUMBER(SEARCH("blank",$C$4)),NOT(ISNUMBER(SEARCH("nonblank",$C$4))),IFERROR(('Final Calculation Sheet'!$G$33)&amp;"","")=""),AND(OR(ISNUMBER(SEARCH("nonblank",$C$4)),ISNUMBER(SEARCH("&lt;&gt;",$C$4))),IFERROR(('Final Calculation Sheet'!$G$33)&amp;"","")&lt;&gt;""),AND(TRIM($C$4)="",IFERROR(('Final Calculation Sheet'!$G$33)&amp;"","")=""))))</f>
        <v>1</v>
      </c>
      <c r="BP34">
        <f>IF($D$4="",1,--(OR(SUMPRODUCT(--(TRIM(MID(SUBSTITUTE(SUBSTITUTE($D$4,"/",","),",",REPT(" ",99)),(ROW($1:$8)-1)*99+1,99))&lt;&gt;""),--ISNUMBER(SEARCH(TRIM(MID(SUBSTITUTE(SUBSTITUTE($D$4,"/",","),",",REPT(" ",99)),(ROW($1:$8)-1)*99+1,99)),IFERROR(('Final Calculation Sheet'!$B$33)&amp;"",""))))&gt;0,AND(ISNUMBER(SEARCH("blank",$D$4)),NOT(ISNUMBER(SEARCH("nonblank",$D$4))),IFERROR(('Final Calculation Sheet'!$B$33)&amp;"","")=""),AND(OR(ISNUMBER(SEARCH("nonblank",$D$4)),ISNUMBER(SEARCH("&lt;&gt;",$D$4))),IFERROR(('Final Calculation Sheet'!$B$33)&amp;"","")&lt;&gt;""),AND(TRIM($D$4)="",IFERROR(('Final Calculation Sheet'!$B$33)&amp;"","")=""))))</f>
        <v>1</v>
      </c>
      <c r="BQ34">
        <f>IF($E$4="",1,--(OR(SUMPRODUCT(--(TRIM(MID(SUBSTITUTE(SUBSTITUTE($E$4,"/",","),",",REPT(" ",99)),(ROW($1:$8)-1)*99+1,99))&lt;&gt;""),--ISNUMBER(SEARCH(TRIM(MID(SUBSTITUTE(SUBSTITUTE($E$4,"/",","),",",REPT(" ",99)),(ROW($1:$8)-1)*99+1,99)),IFERROR(('Final Calculation Sheet'!$D$33)&amp;"",""))))&gt;0,AND(ISNUMBER(SEARCH("blank",$E$4)),NOT(ISNUMBER(SEARCH("nonblank",$E$4))),IFERROR(('Final Calculation Sheet'!$D$33)&amp;"","")=""),AND(OR(ISNUMBER(SEARCH("nonblank",$E$4)),ISNUMBER(SEARCH("&lt;&gt;",$E$4))),IFERROR(('Final Calculation Sheet'!$D$33)&amp;"","")&lt;&gt;""),AND(TRIM($E$4)="",IFERROR(('Final Calculation Sheet'!$D$33)&amp;"","")=""))))</f>
        <v>1</v>
      </c>
      <c r="BR34">
        <f>IF($F$4="",1,--(OR(SUMPRODUCT(--(TRIM(MID(SUBSTITUTE(SUBSTITUTE($F$4,"/",","),",",REPT(" ",99)),(ROW($1:$8)-1)*99+1,99))&lt;&gt;""),--ISNUMBER(SEARCH(TRIM(MID(SUBSTITUTE(SUBSTITUTE($F$4,"/",","),",",REPT(" ",99)),(ROW($1:$8)-1)*99+1,99)),IFERROR(('Final Calculation Sheet'!$A$33)&amp;"",""))))&gt;0,AND(ISNUMBER(SEARCH("blank",$F$4)),NOT(ISNUMBER(SEARCH("nonblank",$F$4))),IFERROR(('Final Calculation Sheet'!$A$33)&amp;"","")=""),AND(OR(ISNUMBER(SEARCH("nonblank",$F$4)),ISNUMBER(SEARCH("&lt;&gt;",$F$4))),IFERROR(('Final Calculation Sheet'!$A$33)&amp;"","")&lt;&gt;""),AND(TRIM($F$4)="",IFERROR(('Final Calculation Sheet'!$A$33)&amp;"","")=""))))</f>
        <v>1</v>
      </c>
      <c r="BS34">
        <f>IF($G$4="",1,--(OR(SUMPRODUCT(--(TRIM(MID(SUBSTITUTE(SUBSTITUTE($G$4,"/",","),",",REPT(" ",99)),(ROW($1:$8)-1)*99+1,99))&lt;&gt;""),--ISNUMBER(SEARCH(TRIM(MID(SUBSTITUTE(SUBSTITUTE($G$4,"/",","),",",REPT(" ",99)),(ROW($1:$8)-1)*99+1,99)),IFERROR(('Final Calculation Sheet'!$E$33)&amp;"",""))))&gt;0,AND(ISNUMBER(SEARCH("blank",$G$4)),NOT(ISNUMBER(SEARCH("nonblank",$G$4))),IFERROR(('Final Calculation Sheet'!$E$33)&amp;"","")=""),AND(OR(ISNUMBER(SEARCH("nonblank",$G$4)),ISNUMBER(SEARCH("&lt;&gt;",$G$4))),IFERROR(('Final Calculation Sheet'!$E$33)&amp;"","")&lt;&gt;""),AND(TRIM($G$4)="",IFERROR(('Final Calculation Sheet'!$E$33)&amp;"","")=""))))</f>
        <v>1</v>
      </c>
      <c r="BT34">
        <f>IF($H$4="",1,--(OR(SUMPRODUCT(--(TRIM(MID(SUBSTITUTE(SUBSTITUTE($H$4,"/",","),",",REPT(" ",99)),(ROW($1:$8)-1)*99+1,99))&lt;&gt;""),--ISNUMBER(SEARCH(TRIM(MID(SUBSTITUTE(SUBSTITUTE($H$4,"/",","),",",REPT(" ",99)),(ROW($1:$8)-1)*99+1,99)),IFERROR(('Final Calculation Sheet'!$C$33)&amp;"",""))))&gt;0,AND(ISNUMBER(SEARCH("blank",$H$4)),NOT(ISNUMBER(SEARCH("nonblank",$H$4))),IFERROR(('Final Calculation Sheet'!$C$33)&amp;"","")=""),AND(OR(ISNUMBER(SEARCH("nonblank",$H$4)),ISNUMBER(SEARCH("&lt;&gt;",$H$4))),IFERROR(('Final Calculation Sheet'!$C$33)&amp;"","")&lt;&gt;""),AND(TRIM($H$4)="",IFERROR(('Final Calculation Sheet'!$C$33)&amp;"","")=""))))</f>
        <v>1</v>
      </c>
      <c r="BU34">
        <f>IF($I$4="",1,--(OR(SUMPRODUCT(--(TRIM(MID(SUBSTITUTE(SUBSTITUTE($I$4,"/",","),",",REPT(" ",99)),(ROW($1:$8)-1)*99+1,99))&lt;&gt;""),--ISNUMBER(SEARCH(TRIM(MID(SUBSTITUTE(SUBSTITUTE($I$4,"/",","),",",REPT(" ",99)),(ROW($1:$8)-1)*99+1,99)),IFERROR(('Final Calculation Sheet'!$H$33)&amp;"",""))))&gt;0,AND(ISNUMBER(SEARCH("blank",$I$4)),NOT(ISNUMBER(SEARCH("nonblank",$I$4))),IFERROR(('Final Calculation Sheet'!$H$33)&amp;"","")=""),AND(OR(ISNUMBER(SEARCH("nonblank",$I$4)),ISNUMBER(SEARCH("&lt;&gt;",$I$4))),IFERROR(('Final Calculation Sheet'!$H$33)&amp;"","")&lt;&gt;""),AND(TRIM($I$4)="",IFERROR(('Final Calculation Sheet'!$H$33)&amp;"","")=""))))</f>
        <v>1</v>
      </c>
      <c r="BV34">
        <f>IF($J$4="",1,--(OR(SUMPRODUCT(--(TRIM(MID(SUBSTITUTE(SUBSTITUTE($J$4,"/",","),",",REPT(" ",99)),(ROW($1:$8)-1)*99+1,99))&lt;&gt;""),--ISNUMBER(SEARCH(TRIM(MID(SUBSTITUTE(SUBSTITUTE($J$4,"/",","),",",REPT(" ",99)),(ROW($1:$8)-1)*99+1,99)),IFERROR(('Final Calculation Sheet'!$I$33)&amp;"",""))))&gt;0,AND(ISNUMBER(SEARCH("blank",$J$4)),NOT(ISNUMBER(SEARCH("nonblank",$J$4))),IFERROR(('Final Calculation Sheet'!$I$33)&amp;"","")=""),AND(OR(ISNUMBER(SEARCH("nonblank",$J$4)),ISNUMBER(SEARCH("&lt;&gt;",$J$4))),IFERROR(('Final Calculation Sheet'!$I$33)&amp;"","")&lt;&gt;""),AND(TRIM($J$4)="",IFERROR(('Final Calculation Sheet'!$I$33)&amp;"","")=""))))</f>
        <v>1</v>
      </c>
      <c r="BW34">
        <f>IF($K$4="",1,--(OR(SUMPRODUCT(--(TRIM(MID(SUBSTITUTE(SUBSTITUTE($K$4,"/",","),",",REPT(" ",99)),(ROW($1:$8)-1)*99+1,99))&lt;&gt;""),--ISNUMBER(SEARCH(TRIM(MID(SUBSTITUTE(SUBSTITUTE($K$4,"/",","),",",REPT(" ",99)),(ROW($1:$8)-1)*99+1,99)),IFERROR(('Final Calculation Sheet'!$J$33)&amp;"",""))))&gt;0,AND(ISNUMBER(SEARCH("blank",$K$4)),NOT(ISNUMBER(SEARCH("nonblank",$K$4))),IFERROR(('Final Calculation Sheet'!$J$33)&amp;"","")=""),AND(OR(ISNUMBER(SEARCH("nonblank",$K$4)),ISNUMBER(SEARCH("&lt;&gt;",$K$4))),IFERROR(('Final Calculation Sheet'!$J$33)&amp;"","")&lt;&gt;""),AND(TRIM($K$4)="",IFERROR(('Final Calculation Sheet'!$J$33)&amp;"","")=""))))</f>
        <v>1</v>
      </c>
      <c r="BX34">
        <f>IF($L$4="",1,--(OR(SUMPRODUCT(--(TRIM(MID(SUBSTITUTE(SUBSTITUTE($L$4,"/",","),",",REPT(" ",99)),(ROW($1:$8)-1)*99+1,99))&lt;&gt;""),--ISNUMBER(SEARCH(TRIM(MID(SUBSTITUTE(SUBSTITUTE($L$4,"/",","),",",REPT(" ",99)),(ROW($1:$8)-1)*99+1,99)),IFERROR(('Final Calculation Sheet'!$K$33)&amp;"",""))))&gt;0,AND(ISNUMBER(SEARCH("blank",$L$4)),NOT(ISNUMBER(SEARCH("nonblank",$L$4))),IFERROR(('Final Calculation Sheet'!$K$33)&amp;"","")=""),AND(OR(ISNUMBER(SEARCH("nonblank",$L$4)),ISNUMBER(SEARCH("&lt;&gt;",$L$4))),IFERROR(('Final Calculation Sheet'!$K$33)&amp;"","")&lt;&gt;""),AND(TRIM($L$4)="",IFERROR(('Final Calculation Sheet'!$K$33)&amp;"","")=""))))</f>
        <v>1</v>
      </c>
      <c r="BY34">
        <f>IF($M$4="",1,--(OR(SUMPRODUCT(--(TRIM(MID(SUBSTITUTE(SUBSTITUTE($M$4,"/",","),",",REPT(" ",99)),(ROW($1:$8)-1)*99+1,99))&lt;&gt;""),--ISNUMBER(SEARCH(TRIM(MID(SUBSTITUTE(SUBSTITUTE($M$4,"/",","),",",REPT(" ",99)),(ROW($1:$8)-1)*99+1,99)),IFERROR(('Final Calculation Sheet'!$L$33)&amp;"",""))))&gt;0,AND(ISNUMBER(SEARCH("blank",$M$4)),NOT(ISNUMBER(SEARCH("nonblank",$M$4))),IFERROR(('Final Calculation Sheet'!$L$33)&amp;"","")=""),AND(OR(ISNUMBER(SEARCH("nonblank",$M$4)),ISNUMBER(SEARCH("&lt;&gt;",$M$4))),IFERROR(('Final Calculation Sheet'!$L$33)&amp;"","")&lt;&gt;""),AND(TRIM($M$4)="",IFERROR(('Final Calculation Sheet'!$L$33)&amp;"","")=""))))</f>
        <v>1</v>
      </c>
      <c r="BZ34">
        <f>IF($N$4="",1,--(OR(SUMPRODUCT(--(TRIM(MID(SUBSTITUTE(SUBSTITUTE($N$4,"/",","),",",REPT(" ",99)),(ROW($1:$8)-1)*99+1,99))&lt;&gt;""),--ISNUMBER(SEARCH(TRIM(MID(SUBSTITUTE(SUBSTITUTE($N$4,"/",","),",",REPT(" ",99)),(ROW($1:$8)-1)*99+1,99)),IFERROR(('Final Calculation Sheet'!$M$33)&amp;"",""))))&gt;0,AND(ISNUMBER(SEARCH("blank",$N$4)),NOT(ISNUMBER(SEARCH("nonblank",$N$4))),IFERROR(('Final Calculation Sheet'!$M$33)&amp;"","")=""),AND(OR(ISNUMBER(SEARCH("nonblank",$N$4)),ISNUMBER(SEARCH("&lt;&gt;",$N$4))),IFERROR(('Final Calculation Sheet'!$M$33)&amp;"","")&lt;&gt;""),AND(TRIM($N$4)="",IFERROR(('Final Calculation Sheet'!$M$33)&amp;"","")=""))))</f>
        <v>1</v>
      </c>
      <c r="CA34">
        <f>IF($O$4="",1,--(OR(SUMPRODUCT(--(TRIM(MID(SUBSTITUTE(SUBSTITUTE($O$4,"/",","),",",REPT(" ",99)),(ROW($1:$8)-1)*99+1,99))&lt;&gt;""),--ISNUMBER(SEARCH(TRIM(MID(SUBSTITUTE(SUBSTITUTE($O$4,"/",","),",",REPT(" ",99)),(ROW($1:$8)-1)*99+1,99)),IFERROR(('Final Calculation Sheet'!$N$33)&amp;"",""))))&gt;0,AND(ISNUMBER(SEARCH("blank",$O$4)),NOT(ISNUMBER(SEARCH("nonblank",$O$4))),IFERROR(('Final Calculation Sheet'!$N$33)&amp;"","")=""),AND(OR(ISNUMBER(SEARCH("nonblank",$O$4)),ISNUMBER(SEARCH("&lt;&gt;",$O$4))),IFERROR(('Final Calculation Sheet'!$N$33)&amp;"","")&lt;&gt;""),AND(TRIM($O$4)="",IFERROR(('Final Calculation Sheet'!$N$33)&amp;"","")=""))))</f>
        <v>1</v>
      </c>
      <c r="CB34">
        <f>IF($P$4="",1,--(OR(SUMPRODUCT(--(TRIM(MID(SUBSTITUTE(SUBSTITUTE($P$4,"/",","),",",REPT(" ",99)),(ROW($1:$8)-1)*99+1,99))&lt;&gt;""),--ISNUMBER(SEARCH(TRIM(MID(SUBSTITUTE(SUBSTITUTE($P$4,"/",","),",",REPT(" ",99)),(ROW($1:$8)-1)*99+1,99)),IFERROR(('Final Calculation Sheet'!$O$33)&amp;"",""))))&gt;0,AND(ISNUMBER(SEARCH("blank",$P$4)),NOT(ISNUMBER(SEARCH("nonblank",$P$4))),IFERROR(('Final Calculation Sheet'!$O$33)&amp;"","")=""),AND(OR(ISNUMBER(SEARCH("nonblank",$P$4)),ISNUMBER(SEARCH("&lt;&gt;",$P$4))),IFERROR(('Final Calculation Sheet'!$O$33)&amp;"","")&lt;&gt;""),AND(TRIM($P$4)="",IFERROR(('Final Calculation Sheet'!$O$33)&amp;"","")=""))))</f>
        <v>1</v>
      </c>
      <c r="CC34">
        <f>IF($Q$4="",1,--(OR(SUMPRODUCT(--(TRIM(MID(SUBSTITUTE(SUBSTITUTE($Q$4,"/",","),",",REPT(" ",99)),(ROW($1:$8)-1)*99+1,99))&lt;&gt;""),--ISNUMBER(SEARCH(TRIM(MID(SUBSTITUTE(SUBSTITUTE($Q$4,"/",","),",",REPT(" ",99)),(ROW($1:$8)-1)*99+1,99)),IFERROR(('Final Calculation Sheet'!$P$33)&amp;"",""))))&gt;0,AND(ISNUMBER(SEARCH("blank",$Q$4)),NOT(ISNUMBER(SEARCH("nonblank",$Q$4))),IFERROR(('Final Calculation Sheet'!$P$33)&amp;"","")=""),AND(OR(ISNUMBER(SEARCH("nonblank",$Q$4)),ISNUMBER(SEARCH("&lt;&gt;",$Q$4))),IFERROR(('Final Calculation Sheet'!$P$33)&amp;"","")&lt;&gt;""),AND(TRIM($Q$4)="",IFERROR(('Final Calculation Sheet'!$P$33)&amp;"","")=""))))</f>
        <v>1</v>
      </c>
      <c r="CD34">
        <f>IF($R$4="",1,--(OR(SUMPRODUCT(--(TRIM(MID(SUBSTITUTE(SUBSTITUTE($R$4,"/",","),",",REPT(" ",99)),(ROW($1:$8)-1)*99+1,99))&lt;&gt;""),--ISNUMBER(SEARCH(TRIM(MID(SUBSTITUTE(SUBSTITUTE($R$4,"/",","),",",REPT(" ",99)),(ROW($1:$8)-1)*99+1,99)),IFERROR(('Final Calculation Sheet'!$Q$33)&amp;"",""))))&gt;0,AND(ISNUMBER(SEARCH("blank",$R$4)),NOT(ISNUMBER(SEARCH("nonblank",$R$4))),IFERROR(('Final Calculation Sheet'!$Q$33)&amp;"","")=""),AND(OR(ISNUMBER(SEARCH("nonblank",$R$4)),ISNUMBER(SEARCH("&lt;&gt;",$R$4))),IFERROR(('Final Calculation Sheet'!$Q$33)&amp;"","")&lt;&gt;""),AND(TRIM($R$4)="",IFERROR(('Final Calculation Sheet'!$Q$33)&amp;"","")=""))))</f>
        <v>1</v>
      </c>
      <c r="CE34">
        <f>IF($S$4="",1,--(OR(SUMPRODUCT(--(TRIM(MID(SUBSTITUTE(SUBSTITUTE($S$4,"/",","),",",REPT(" ",99)),(ROW($1:$8)-1)*99+1,99))&lt;&gt;""),--ISNUMBER(SEARCH(TRIM(MID(SUBSTITUTE(SUBSTITUTE($S$4,"/",","),",",REPT(" ",99)),(ROW($1:$8)-1)*99+1,99)),IFERROR(('Final Calculation Sheet'!$R$33)&amp;"",""))))&gt;0,AND(ISNUMBER(SEARCH("blank",$S$4)),NOT(ISNUMBER(SEARCH("nonblank",$S$4))),IFERROR(('Final Calculation Sheet'!$R$33)&amp;"","")=""),AND(OR(ISNUMBER(SEARCH("nonblank",$S$4)),ISNUMBER(SEARCH("&lt;&gt;",$S$4))),IFERROR(('Final Calculation Sheet'!$R$33)&amp;"","")&lt;&gt;""),AND(TRIM($S$4)="",IFERROR(('Final Calculation Sheet'!$R$33)&amp;"","")=""))))</f>
        <v>1</v>
      </c>
      <c r="CF34">
        <f>IF($T$4="",1,--(OR(SUMPRODUCT(--(TRIM(MID(SUBSTITUTE(SUBSTITUTE($T$4,"/",","),",",REPT(" ",99)),(ROW($1:$8)-1)*99+1,99))&lt;&gt;""),--ISNUMBER(SEARCH(TRIM(MID(SUBSTITUTE(SUBSTITUTE($T$4,"/",","),",",REPT(" ",99)),(ROW($1:$8)-1)*99+1,99)),IFERROR(('Final Calculation Sheet'!$S$33)&amp;"",""))))&gt;0,AND(ISNUMBER(SEARCH("blank",$T$4)),NOT(ISNUMBER(SEARCH("nonblank",$T$4))),IFERROR(('Final Calculation Sheet'!$S$33)&amp;"","")=""),AND(OR(ISNUMBER(SEARCH("nonblank",$T$4)),ISNUMBER(SEARCH("&lt;&gt;",$T$4))),IFERROR(('Final Calculation Sheet'!$S$33)&amp;"","")&lt;&gt;""),AND(TRIM($T$4)="",IFERROR(('Final Calculation Sheet'!$S$33)&amp;"","")=""))))</f>
        <v>1</v>
      </c>
      <c r="CG34">
        <f>IF($U$4="",1,--(OR(SUMPRODUCT(--(TRIM(MID(SUBSTITUTE(SUBSTITUTE($U$4,"/",","),",",REPT(" ",99)),(ROW($1:$8)-1)*99+1,99))&lt;&gt;""),--ISNUMBER(SEARCH(TRIM(MID(SUBSTITUTE(SUBSTITUTE($U$4,"/",","),",",REPT(" ",99)),(ROW($1:$8)-1)*99+1,99)),IFERROR(('Final Calculation Sheet'!$T$33)&amp;"",""))))&gt;0,AND(ISNUMBER(SEARCH("blank",$U$4)),NOT(ISNUMBER(SEARCH("nonblank",$U$4))),IFERROR(('Final Calculation Sheet'!$T$33)&amp;"","")=""),AND(OR(ISNUMBER(SEARCH("nonblank",$U$4)),ISNUMBER(SEARCH("&lt;&gt;",$U$4))),IFERROR(('Final Calculation Sheet'!$T$33)&amp;"","")&lt;&gt;""),AND(TRIM($U$4)="",IFERROR(('Final Calculation Sheet'!$T$33)&amp;"","")=""))))</f>
        <v>1</v>
      </c>
      <c r="CH34">
        <f>IF($V$4="",1,--(OR(SUMPRODUCT(--(TRIM(MID(SUBSTITUTE(SUBSTITUTE($V$4,"/",","),",",REPT(" ",99)),(ROW($1:$8)-1)*99+1,99))&lt;&gt;""),--ISNUMBER(SEARCH(TRIM(MID(SUBSTITUTE(SUBSTITUTE($V$4,"/",","),",",REPT(" ",99)),(ROW($1:$8)-1)*99+1,99)),IFERROR(('Final Calculation Sheet'!$U$33)&amp;"",""))))&gt;0,AND(ISNUMBER(SEARCH("blank",$V$4)),NOT(ISNUMBER(SEARCH("nonblank",$V$4))),IFERROR(('Final Calculation Sheet'!$U$33)&amp;"","")=""),AND(OR(ISNUMBER(SEARCH("nonblank",$V$4)),ISNUMBER(SEARCH("&lt;&gt;",$V$4))),IFERROR(('Final Calculation Sheet'!$U$33)&amp;"","")&lt;&gt;""),AND(TRIM($V$4)="",IFERROR(('Final Calculation Sheet'!$U$33)&amp;"","")=""))))</f>
        <v>1</v>
      </c>
      <c r="CI34">
        <f>IF($W$4="",1,--(OR(SUMPRODUCT(--(TRIM(MID(SUBSTITUTE(SUBSTITUTE($W$4,"/",","),",",REPT(" ",99)),(ROW($1:$8)-1)*99+1,99))&lt;&gt;""),--ISNUMBER(SEARCH(TRIM(MID(SUBSTITUTE(SUBSTITUTE($W$4,"/",","),",",REPT(" ",99)),(ROW($1:$8)-1)*99+1,99)),IFERROR(('Final Calculation Sheet'!$V$33)&amp;"",""))))&gt;0,AND(ISNUMBER(SEARCH("blank",$W$4)),NOT(ISNUMBER(SEARCH("nonblank",$W$4))),IFERROR(('Final Calculation Sheet'!$V$33)&amp;"","")=""),AND(OR(ISNUMBER(SEARCH("nonblank",$W$4)),ISNUMBER(SEARCH("&lt;&gt;",$W$4))),IFERROR(('Final Calculation Sheet'!$V$33)&amp;"","")&lt;&gt;""),AND(TRIM($W$4)="",IFERROR(('Final Calculation Sheet'!$V$33)&amp;"","")=""))))</f>
        <v>1</v>
      </c>
      <c r="CJ34">
        <f>IF($X$4="",1,--(OR(SUMPRODUCT(--(TRIM(MID(SUBSTITUTE(SUBSTITUTE($X$4,"/",","),",",REPT(" ",99)),(ROW($1:$8)-1)*99+1,99))&lt;&gt;""),--ISNUMBER(SEARCH(TRIM(MID(SUBSTITUTE(SUBSTITUTE($X$4,"/",","),",",REPT(" ",99)),(ROW($1:$8)-1)*99+1,99)),IFERROR(('Final Calculation Sheet'!$W$33)&amp;"",""))))&gt;0,AND(ISNUMBER(SEARCH("blank",$X$4)),NOT(ISNUMBER(SEARCH("nonblank",$X$4))),IFERROR(('Final Calculation Sheet'!$W$33)&amp;"","")=""),AND(OR(ISNUMBER(SEARCH("nonblank",$X$4)),ISNUMBER(SEARCH("&lt;&gt;",$X$4))),IFERROR(('Final Calculation Sheet'!$W$33)&amp;"","")&lt;&gt;""),AND(TRIM($X$4)="",IFERROR(('Final Calculation Sheet'!$W$33)&amp;"","")=""))))</f>
        <v>1</v>
      </c>
      <c r="CK34">
        <f>IF($Y$4="",1,--(OR(SUMPRODUCT(--(TRIM(MID(SUBSTITUTE(SUBSTITUTE($Y$4,"/",","),",",REPT(" ",99)),(ROW($1:$8)-1)*99+1,99))&lt;&gt;""),--ISNUMBER(SEARCH(TRIM(MID(SUBSTITUTE(SUBSTITUTE($Y$4,"/",","),",",REPT(" ",99)),(ROW($1:$8)-1)*99+1,99)),IFERROR(('Final Calculation Sheet'!$X$33)&amp;"",""))))&gt;0,AND(ISNUMBER(SEARCH("blank",$Y$4)),NOT(ISNUMBER(SEARCH("nonblank",$Y$4))),IFERROR(('Final Calculation Sheet'!$X$33)&amp;"","")=""),AND(OR(ISNUMBER(SEARCH("nonblank",$Y$4)),ISNUMBER(SEARCH("&lt;&gt;",$Y$4))),IFERROR(('Final Calculation Sheet'!$X$33)&amp;"","")&lt;&gt;""),AND(TRIM($Y$4)="",IFERROR(('Final Calculation Sheet'!$X$33)&amp;"","")=""))))</f>
        <v>1</v>
      </c>
      <c r="CL34">
        <f>IF($Z$4="",1,--(OR(SUMPRODUCT(--(TRIM(MID(SUBSTITUTE(SUBSTITUTE($Z$4,"/",","),",",REPT(" ",99)),(ROW($1:$8)-1)*99+1,99))&lt;&gt;""),--ISNUMBER(SEARCH(TRIM(MID(SUBSTITUTE(SUBSTITUTE($Z$4,"/",","),",",REPT(" ",99)),(ROW($1:$8)-1)*99+1,99)),IFERROR(('Final Calculation Sheet'!$Y$33)&amp;"",""))))&gt;0,AND(ISNUMBER(SEARCH("blank",$Z$4)),NOT(ISNUMBER(SEARCH("nonblank",$Z$4))),IFERROR(('Final Calculation Sheet'!$Y$33)&amp;"","")=""),AND(OR(ISNUMBER(SEARCH("nonblank",$Z$4)),ISNUMBER(SEARCH("&lt;&gt;",$Z$4))),IFERROR(('Final Calculation Sheet'!$Y$33)&amp;"","")&lt;&gt;""),AND(TRIM($Z$4)="",IFERROR(('Final Calculation Sheet'!$Y$33)&amp;"","")=""))))</f>
        <v>1</v>
      </c>
      <c r="CM34">
        <f>IF($AA$4="",1,--(OR(SUMPRODUCT(--(TRIM(MID(SUBSTITUTE(SUBSTITUTE($AA$4,"/",","),",",REPT(" ",99)),(ROW($1:$8)-1)*99+1,99))&lt;&gt;""),--ISNUMBER(SEARCH(TRIM(MID(SUBSTITUTE(SUBSTITUTE($AA$4,"/",","),",",REPT(" ",99)),(ROW($1:$8)-1)*99+1,99)),IFERROR(('Final Calculation Sheet'!$Z$33)&amp;"",""))))&gt;0,AND(ISNUMBER(SEARCH("blank",$AA$4)),NOT(ISNUMBER(SEARCH("nonblank",$AA$4))),IFERROR(('Final Calculation Sheet'!$Z$33)&amp;"","")=""),AND(OR(ISNUMBER(SEARCH("nonblank",$AA$4)),ISNUMBER(SEARCH("&lt;&gt;",$AA$4))),IFERROR(('Final Calculation Sheet'!$Z$33)&amp;"","")&lt;&gt;""),AND(TRIM($AA$4)="",IFERROR(('Final Calculation Sheet'!$Z$33)&amp;"","")=""))))</f>
        <v>1</v>
      </c>
      <c r="CN34">
        <f>IF($AB$4="",1,--(OR(SUMPRODUCT(--(TRIM(MID(SUBSTITUTE(SUBSTITUTE($AB$4,"/",","),",",REPT(" ",99)),(ROW($1:$8)-1)*99+1,99))&lt;&gt;""),--ISNUMBER(SEARCH(TRIM(MID(SUBSTITUTE(SUBSTITUTE($AB$4,"/",","),",",REPT(" ",99)),(ROW($1:$8)-1)*99+1,99)),IFERROR(('Final Calculation Sheet'!$AA$33)&amp;"",""))))&gt;0,AND(ISNUMBER(SEARCH("blank",$AB$4)),NOT(ISNUMBER(SEARCH("nonblank",$AB$4))),IFERROR(('Final Calculation Sheet'!$AA$33)&amp;"","")=""),AND(OR(ISNUMBER(SEARCH("nonblank",$AB$4)),ISNUMBER(SEARCH("&lt;&gt;",$AB$4))),IFERROR(('Final Calculation Sheet'!$AA$33)&amp;"","")&lt;&gt;""),AND(TRIM($AB$4)="",IFERROR(('Final Calculation Sheet'!$AA$33)&amp;"","")=""))))</f>
        <v>1</v>
      </c>
      <c r="CO34">
        <f>IF($AC$4="",1,--(OR(SUMPRODUCT(--(TRIM(MID(SUBSTITUTE(SUBSTITUTE($AC$4,"/",","),",",REPT(" ",99)),(ROW($1:$8)-1)*99+1,99))&lt;&gt;""),--ISNUMBER(SEARCH(TRIM(MID(SUBSTITUTE(SUBSTITUTE($AC$4,"/",","),",",REPT(" ",99)),(ROW($1:$8)-1)*99+1,99)),IFERROR(('Final Calculation Sheet'!$AB$33)&amp;"",""))))&gt;0,AND(ISNUMBER(SEARCH("blank",$AC$4)),NOT(ISNUMBER(SEARCH("nonblank",$AC$4))),IFERROR(('Final Calculation Sheet'!$AB$33)&amp;"","")=""),AND(OR(ISNUMBER(SEARCH("nonblank",$AC$4)),ISNUMBER(SEARCH("&lt;&gt;",$AC$4))),IFERROR(('Final Calculation Sheet'!$AB$33)&amp;"","")&lt;&gt;""),AND(TRIM($AC$4)="",IFERROR(('Final Calculation Sheet'!$AB$33)&amp;"","")=""))))</f>
        <v>1</v>
      </c>
      <c r="CP34">
        <f>IF($AD$4="",1,--(OR(SUMPRODUCT(--(TRIM(MID(SUBSTITUTE(SUBSTITUTE($AD$4,"/",","),",",REPT(" ",99)),(ROW($1:$8)-1)*99+1,99))&lt;&gt;""),--ISNUMBER(SEARCH(TRIM(MID(SUBSTITUTE(SUBSTITUTE($AD$4,"/",","),",",REPT(" ",99)),(ROW($1:$8)-1)*99+1,99)),IFERROR(('Final Calculation Sheet'!$AC$33)&amp;"",""))))&gt;0,AND(ISNUMBER(SEARCH("blank",$AD$4)),NOT(ISNUMBER(SEARCH("nonblank",$AD$4))),IFERROR(('Final Calculation Sheet'!$AC$33)&amp;"","")=""),AND(OR(ISNUMBER(SEARCH("nonblank",$AD$4)),ISNUMBER(SEARCH("&lt;&gt;",$AD$4))),IFERROR(('Final Calculation Sheet'!$AC$33)&amp;"","")&lt;&gt;""),AND(TRIM($AD$4)="",IFERROR(('Final Calculation Sheet'!$AC$33)&amp;"","")=""))))</f>
        <v>1</v>
      </c>
      <c r="CQ34">
        <f>IF($AE$4="",1,--(OR(SUMPRODUCT(--(TRIM(MID(SUBSTITUTE(SUBSTITUTE($AE$4,"/",","),",",REPT(" ",99)),(ROW($1:$8)-1)*99+1,99))&lt;&gt;""),--ISNUMBER(SEARCH(TRIM(MID(SUBSTITUTE(SUBSTITUTE($AE$4,"/",","),",",REPT(" ",99)),(ROW($1:$8)-1)*99+1,99)),IFERROR(('Final Calculation Sheet'!$AD$33)&amp;"",""))))&gt;0,AND(ISNUMBER(SEARCH("blank",$AE$4)),NOT(ISNUMBER(SEARCH("nonblank",$AE$4))),IFERROR(('Final Calculation Sheet'!$AD$33)&amp;"","")=""),AND(OR(ISNUMBER(SEARCH("nonblank",$AE$4)),ISNUMBER(SEARCH("&lt;&gt;",$AE$4))),IFERROR(('Final Calculation Sheet'!$AD$33)&amp;"","")&lt;&gt;""),AND(TRIM($AE$4)="",IFERROR(('Final Calculation Sheet'!$AD$33)&amp;"","")=""))))</f>
        <v>1</v>
      </c>
      <c r="CR34">
        <f>IF($AF$4="",1,--(OR(SUMPRODUCT(--(TRIM(MID(SUBSTITUTE(SUBSTITUTE($AF$4,"/",","),",",REPT(" ",99)),(ROW($1:$8)-1)*99+1,99))&lt;&gt;""),--ISNUMBER(SEARCH(TRIM(MID(SUBSTITUTE(SUBSTITUTE($AF$4,"/",","),",",REPT(" ",99)),(ROW($1:$8)-1)*99+1,99)),IFERROR(('Final Calculation Sheet'!$AE$33)&amp;"",""))))&gt;0,AND(ISNUMBER(SEARCH("blank",$AF$4)),NOT(ISNUMBER(SEARCH("nonblank",$AF$4))),IFERROR(('Final Calculation Sheet'!$AE$33)&amp;"","")=""),AND(OR(ISNUMBER(SEARCH("nonblank",$AF$4)),ISNUMBER(SEARCH("&lt;&gt;",$AF$4))),IFERROR(('Final Calculation Sheet'!$AE$33)&amp;"","")&lt;&gt;""),AND(TRIM($AF$4)="",IFERROR(('Final Calculation Sheet'!$AE$33)&amp;"","")=""))))</f>
        <v>1</v>
      </c>
      <c r="CS34">
        <f>IF($AG$4="",1,--(OR(SUMPRODUCT(--(TRIM(MID(SUBSTITUTE(SUBSTITUTE($AG$4,"/",","),",",REPT(" ",99)),(ROW($1:$8)-1)*99+1,99))&lt;&gt;""),--ISNUMBER(SEARCH(TRIM(MID(SUBSTITUTE(SUBSTITUTE($AG$4,"/",","),",",REPT(" ",99)),(ROW($1:$8)-1)*99+1,99)),IFERROR(('Final Calculation Sheet'!$AF$33)&amp;"",""))))&gt;0,AND(ISNUMBER(SEARCH("blank",$AG$4)),NOT(ISNUMBER(SEARCH("nonblank",$AG$4))),IFERROR(('Final Calculation Sheet'!$AF$33)&amp;"","")=""),AND(OR(ISNUMBER(SEARCH("nonblank",$AG$4)),ISNUMBER(SEARCH("&lt;&gt;",$AG$4))),IFERROR(('Final Calculation Sheet'!$AF$33)&amp;"","")&lt;&gt;""),AND(TRIM($AG$4)="",IFERROR(('Final Calculation Sheet'!$AF$33)&amp;"","")=""))))</f>
        <v>1</v>
      </c>
      <c r="CT34">
        <f>IF($AH$4="",1,--(OR(SUMPRODUCT(--(TRIM(MID(SUBSTITUTE(SUBSTITUTE($AH$4,"/",","),",",REPT(" ",99)),(ROW($1:$8)-1)*99+1,99))&lt;&gt;""),--ISNUMBER(SEARCH(TRIM(MID(SUBSTITUTE(SUBSTITUTE($AH$4,"/",","),",",REPT(" ",99)),(ROW($1:$8)-1)*99+1,99)),IFERROR(('Final Calculation Sheet'!$AG$33)&amp;"",""))))&gt;0,AND(ISNUMBER(SEARCH("blank",$AH$4)),NOT(ISNUMBER(SEARCH("nonblank",$AH$4))),IFERROR(('Final Calculation Sheet'!$AG$33)&amp;"","")=""),AND(OR(ISNUMBER(SEARCH("nonblank",$AH$4)),ISNUMBER(SEARCH("&lt;&gt;",$AH$4))),IFERROR(('Final Calculation Sheet'!$AG$33)&amp;"","")&lt;&gt;""),AND(TRIM($AH$4)="",IFERROR(('Final Calculation Sheet'!$AG$33)&amp;"","")=""))))</f>
        <v>1</v>
      </c>
      <c r="CU34">
        <f>IF($AI$4="",1,--(OR(SUMPRODUCT(--(TRIM(MID(SUBSTITUTE(SUBSTITUTE($AI$4,"/",","),",",REPT(" ",99)),(ROW($1:$8)-1)*99+1,99))&lt;&gt;""),--ISNUMBER(SEARCH(TRIM(MID(SUBSTITUTE(SUBSTITUTE($AI$4,"/",","),",",REPT(" ",99)),(ROW($1:$8)-1)*99+1,99)),IFERROR((IF('Final Calculation Sheet'!$AD$33&lt;=5,"SETTLED","OUTSTANDING"))&amp;"",""))))&gt;0,AND(ISNUMBER(SEARCH("blank",$AI$4)),NOT(ISNUMBER(SEARCH("nonblank",$AI$4))),IFERROR((IF('Final Calculation Sheet'!$AD$33&lt;=5,"SETTLED","OUTSTANDING"))&amp;"","")=""),AND(OR(ISNUMBER(SEARCH("nonblank",$AI$4)),ISNUMBER(SEARCH("&lt;&gt;",$AI$4))),IFERROR((IF('Final Calculation Sheet'!$AD$33&lt;=5,"SETTLED","OUTSTANDING"))&amp;"","")&lt;&gt;""),AND(TRIM($AI$4)="",IFERROR((IF('Final Calculation Sheet'!$AD$33&lt;=5,"SETTLED","OUTSTANDING"))&amp;"","")=""))))</f>
        <v>1</v>
      </c>
    </row>
    <row r="35" ht="15" customHeight="1" s="137">
      <c r="A35" s="67">
        <f>IF($BJ34&gt;0,INDEX($BA$5:$BA$41,MATCH(34,$BB$5:$BB$41,0)),IF(OR($BI34=1,$BL34=1,$BH34&gt;0),"∑",""))</f>
        <v>30</v>
      </c>
      <c r="B35" s="76">
        <f>IF($BJ34&gt;0,IF(INDEX('Final Calculation Sheet'!$F$4:$F$40,$BJ34-3)="","",INDEX('Final Calculation Sheet'!$F$4:$F$40,$BJ34-3)),"")</f>
        <v>2059</v>
      </c>
      <c r="C35" s="76" t="str">
        <f>IF($BJ34&gt;0,IF(INDEX('Final Calculation Sheet'!$G$4:$G$40,$BJ34-3)="","",INDEX('Final Calculation Sheet'!$G$4:$G$40,$BJ34-3)),IF(OR($BI34=1,$BL34=1,$BH34&gt;0),IF($BI34=1,37,IF($BL34=1,37-INDEX($BD$4:$BD$13,10),INDEX($BD$4:$BD$13,$BH34)))&amp;" lot(s)",""))</f>
        <v>NATIONAL ENTERPRISES</v>
      </c>
      <c r="D35" s="80" t="str">
        <f>IF($BJ34&gt;0,IF(INDEX('Final Calculation Sheet'!$B$4:$B$40,$BJ34-3)="","",INDEX('Final Calculation Sheet'!$B$4:$B$40,$BJ34-3)),IF(OR($BI34=1,$BL34=1,$BH34&gt;0),IF($BI34=1,"GRAND TOTAL  —  matching + remaining",IF($BL34=1,"TOTAL MATCHED  —  every group together",IF($BH34=10,"REMAINING  —  did not match the search",IF($BH34=9,IF(COUNTIF($A$4:$AI$4,"&lt;&gt;")&gt;0,"FILTERED LOTS  —  column fields","ALL LOTS  —  nothing typed in the box"),"GROUP "&amp;$BH34&amp;" TOTAL  —  lots matching  "&amp;INDEX($AR$6:$AY$6,$BH34))))),""))</f>
        <v>Scrap of 33 KV GCB</v>
      </c>
      <c r="E35" s="80">
        <f>IF($BJ34&gt;0,IF(INDEX('Final Calculation Sheet'!$D$4:$D$40,$BJ34-3)="","",INDEX('Final Calculation Sheet'!$D$4:$D$40,$BJ34-3)),IF(OR($BI34=1,$BL34=1,$BH34&gt;0),"–",""))</f>
        <v>21979</v>
      </c>
      <c r="F35" s="80">
        <f>IF($BJ34&gt;0,IF(INDEX('Final Calculation Sheet'!$A$4:$A$40,$BJ34-3)="","",INDEX('Final Calculation Sheet'!$A$4:$A$40,$BJ34-3)),IF(OR($BI34=1,$BL34=1,$BH34&gt;0),IF($BI34=1,SUM('Final Calculation Sheet'!$A$4:$A$40),IF($BL34=1,SUM('Final Calculation Sheet'!$A$4:$A$40)-SUMIFS('Final Calculation Sheet'!$A$4:$A$40,$AZ$5:$AZ$41,10),SUMIFS('Final Calculation Sheet'!$A$4:$A$40,$AZ$5:$AZ$41,$BH34))),""))</f>
        <v>1</v>
      </c>
      <c r="G35" s="80" t="str">
        <f>IF($BJ34&gt;0,IF(INDEX('Final Calculation Sheet'!$E$4:$E$40,$BJ34-3)="","",INDEX('Final Calculation Sheet'!$E$4:$E$40,$BJ34-3)),IF(OR($BI34=1,$BL34=1,$BH34&gt;0),"–",""))</f>
        <v>NO</v>
      </c>
      <c r="H35" s="70">
        <f>IF($BJ34&gt;0,IF(INDEX('Final Calculation Sheet'!$C$4:$C$40,$BJ34-3)="","",INDEX('Final Calculation Sheet'!$C$4:$C$40,$BJ34-3)),IF(OR($BI34=1,$BL34=1,$BH34&gt;0),"–",""))</f>
        <v>29502</v>
      </c>
      <c r="I35" s="70">
        <f>IF($BJ34&gt;0,IF(INDEX('Final Calculation Sheet'!$H$4:$H$40,$BJ34-3)="","",INDEX('Final Calculation Sheet'!$H$4:$H$40,$BJ34-3)),IF(OR($BI34=1,$BL34=1,$BH34&gt;0),IF($BI34=1,SUM('Final Calculation Sheet'!$H$4:$H$40),IF($BL34=1,SUM('Final Calculation Sheet'!$H$4:$H$40)-SUMIFS('Final Calculation Sheet'!$H$4:$H$40,$AZ$5:$AZ$41,10),SUMIFS('Final Calculation Sheet'!$H$4:$H$40,$AZ$5:$AZ$41,$BH34))),""))</f>
        <v>29502</v>
      </c>
      <c r="J35" s="70">
        <f>IF($BJ34&gt;0,IF(INDEX('Final Calculation Sheet'!$I$4:$I$40,$BJ34-3)="","",INDEX('Final Calculation Sheet'!$I$4:$I$40,$BJ34-3)),IF(OR($BI34=1,$BL34=1,$BH34&gt;0),IF($BI34=1,SUM('Final Calculation Sheet'!$I$4:$I$40),IF($BL34=1,SUM('Final Calculation Sheet'!$I$4:$I$40)-SUMIFS('Final Calculation Sheet'!$I$4:$I$40,$AZ$5:$AZ$41,10),SUMIFS('Final Calculation Sheet'!$I$4:$I$40,$AZ$5:$AZ$41,$BH34))),""))</f>
        <v>5310</v>
      </c>
      <c r="K35" s="70">
        <f>IF($BJ34&gt;0,IF(INDEX('Final Calculation Sheet'!$J$4:$J$40,$BJ34-3)="","",INDEX('Final Calculation Sheet'!$J$4:$J$40,$BJ34-3)),IF(OR($BI34=1,$BL34=1,$BH34&gt;0),IF($BI34=1,SUM('Final Calculation Sheet'!$J$4:$J$40),IF($BL34=1,SUM('Final Calculation Sheet'!$J$4:$J$40)-SUMIFS('Final Calculation Sheet'!$J$4:$J$40,$AZ$5:$AZ$41,10),SUMIFS('Final Calculation Sheet'!$J$4:$J$40,$AZ$5:$AZ$41,$BH34))),""))</f>
        <v>34812</v>
      </c>
      <c r="L35" s="70">
        <f>IF($BJ34&gt;0,IF(INDEX('Final Calculation Sheet'!$K$4:$K$40,$BJ34-3)="","",INDEX('Final Calculation Sheet'!$K$4:$K$40,$BJ34-3)),IF(OR($BI34=1,$BL34=1,$BH34&gt;0),IF($BI34=1,SUM('Final Calculation Sheet'!$K$4:$K$40),IF($BL34=1,SUM('Final Calculation Sheet'!$K$4:$K$40)-SUMIFS('Final Calculation Sheet'!$K$4:$K$40,$AZ$5:$AZ$41,10),SUMIFS('Final Calculation Sheet'!$K$4:$K$40,$AZ$5:$AZ$41,$BH34))),""))</f>
        <v>696</v>
      </c>
      <c r="M35" s="70">
        <f>IF($BJ34&gt;0,IF(INDEX('Final Calculation Sheet'!$L$4:$L$40,$BJ34-3)="","",INDEX('Final Calculation Sheet'!$L$4:$L$40,$BJ34-3)),IF(OR($BI34=1,$BL34=1,$BH34&gt;0),IF($BI34=1,SUM('Final Calculation Sheet'!$L$4:$L$40),IF($BL34=1,SUM('Final Calculation Sheet'!$L$4:$L$40)-SUMIFS('Final Calculation Sheet'!$L$4:$L$40,$AZ$5:$AZ$41,10),SUMIFS('Final Calculation Sheet'!$L$4:$L$40,$AZ$5:$AZ$41,$BH34))),""))</f>
        <v>29.501999999999999</v>
      </c>
      <c r="N35" s="70">
        <f>IF($BJ34&gt;0,IF(INDEX('Final Calculation Sheet'!$M$4:$M$40,$BJ34-3)="","",INDEX('Final Calculation Sheet'!$M$4:$M$40,$BJ34-3)),IF(OR($BI34=1,$BL34=1,$BH34&gt;0),IF($BI34=1,SUM('Final Calculation Sheet'!$M$4:$M$40),IF($BL34=1,SUM('Final Calculation Sheet'!$M$4:$M$40)-SUMIFS('Final Calculation Sheet'!$M$4:$M$40,$AZ$5:$AZ$41,10),SUMIFS('Final Calculation Sheet'!$M$4:$M$40,$AZ$5:$AZ$41,$BH34))),""))</f>
        <v>783.27809999999988</v>
      </c>
      <c r="O35" s="71">
        <f>IF($BJ34&gt;0,IF(INDEX('Final Calculation Sheet'!$N$4:$N$40,$BJ34-3)="","",INDEX('Final Calculation Sheet'!$N$4:$N$40,$BJ34-3)),IF(OR($BI34=1,$BL34=1,$BH34&gt;0),IF($BI34=1,SUM('Final Calculation Sheet'!$N$4:$N$40),IF($BL34=1,SUM('Final Calculation Sheet'!$N$4:$N$40)-SUMIFS('Final Calculation Sheet'!$N$4:$N$40,$AZ$5:$AZ$41,10),SUMIFS('Final Calculation Sheet'!$N$4:$N$40,$AZ$5:$AZ$41,$BH34))),""))</f>
        <v>13.2759</v>
      </c>
      <c r="P35" s="70">
        <f>IF($BJ34&gt;0,IF(INDEX('Final Calculation Sheet'!$O$4:$O$40,$BJ34-3)="","",INDEX('Final Calculation Sheet'!$O$4:$O$40,$BJ34-3)),IF(OR($BI34=1,$BL34=1,$BH34&gt;0),IF($BI34=1,SUM('Final Calculation Sheet'!$O$4:$O$40),IF($BL34=1,SUM('Final Calculation Sheet'!$O$4:$O$40)-SUMIFS('Final Calculation Sheet'!$O$4:$O$40,$AZ$5:$AZ$41,10),SUMIFS('Final Calculation Sheet'!$O$4:$O$40,$AZ$5:$AZ$41,$BH34))),""))</f>
        <v>770.0021999999999</v>
      </c>
      <c r="Q35" s="70">
        <f>IF($BJ34&gt;0,IF(INDEX('Final Calculation Sheet'!$P$4:$P$40,$BJ34-3)="","",INDEX('Final Calculation Sheet'!$P$4:$P$40,$BJ34-3)),IF(OR($BI34=1,$BL34=1,$BH34&gt;0),IF($BI34=1,SUM('Final Calculation Sheet'!$P$4:$P$40),IF($BL34=1,SUM('Final Calculation Sheet'!$P$4:$P$40)-SUMIFS('Final Calculation Sheet'!$P$4:$P$40,$AZ$5:$AZ$41,10),SUMIFS('Final Calculation Sheet'!$P$4:$P$40,$AZ$5:$AZ$41,$BH34))),""))</f>
        <v>800</v>
      </c>
      <c r="R35" s="72">
        <f>IF($BJ34&gt;0,IF(INDEX('Final Calculation Sheet'!$Q$4:$Q$40,$BJ34-3)="","",INDEX('Final Calculation Sheet'!$Q$4:$Q$40,$BJ34-3)),IF(OR($BI34=1,$BL34=1,$BH34&gt;0),"–",""))</f>
        <v>0</v>
      </c>
      <c r="S35" s="70">
        <f>IF($BJ34&gt;0,IF(INDEX('Final Calculation Sheet'!$R$4:$R$40,$BJ34-3)="","",INDEX('Final Calculation Sheet'!$R$4:$R$40,$BJ34-3)),IF(OR($BI34=1,$BL34=1,$BH34&gt;0),IF($BI34=1,SUM('Final Calculation Sheet'!$R$4:$R$40),IF($BL34=1,SUM('Final Calculation Sheet'!$R$4:$R$40)-SUMIFS('Final Calculation Sheet'!$R$4:$R$40,$AZ$5:$AZ$41,10),SUMIFS('Final Calculation Sheet'!$R$4:$R$40,$AZ$5:$AZ$41,$BH34))),""))</f>
        <v>0</v>
      </c>
      <c r="T35" s="70">
        <f>IF($BJ34&gt;0,IF(INDEX('Final Calculation Sheet'!$S$4:$S$40,$BJ34-3)="","",INDEX('Final Calculation Sheet'!$S$4:$S$40,$BJ34-3)),IF(OR($BI34=1,$BL34=1,$BH34&gt;0),IF($BI34=1,SUM('Final Calculation Sheet'!$S$4:$S$40),IF($BL34=1,SUM('Final Calculation Sheet'!$S$4:$S$40)-SUMIFS('Final Calculation Sheet'!$S$4:$S$40,$AZ$5:$AZ$41,10),SUMIFS('Final Calculation Sheet'!$S$4:$S$40,$AZ$5:$AZ$41,$BH34))),""))</f>
        <v>34709</v>
      </c>
      <c r="U35" s="70">
        <f>IF($BJ34&gt;0,IF(INDEX('Final Calculation Sheet'!$T$4:$T$40,$BJ34-3)="","",INDEX('Final Calculation Sheet'!$T$4:$T$40,$BJ34-3)),IF(OR($BI34=1,$BL34=1,$BH34&gt;0),IF($BI34=1,SUM('Final Calculation Sheet'!$T$4:$T$40),IF($BL34=1,SUM('Final Calculation Sheet'!$T$4:$T$40)-SUMIFS('Final Calculation Sheet'!$T$4:$T$40,$AZ$5:$AZ$41,10),SUMIFS('Final Calculation Sheet'!$T$4:$T$40,$AZ$5:$AZ$41,$BH34))),""))</f>
        <v>7376</v>
      </c>
      <c r="V35" s="73">
        <f>IF($BJ34&gt;0,IF(INDEX('Final Calculation Sheet'!$U$4:$U$40,$BJ34-3)="","",INDEX('Final Calculation Sheet'!$U$4:$U$40,$BJ34-3)),IF(OR($BI34=1,$BL34=1,$BH34&gt;0),IF($BI34=1,SUM('Final Calculation Sheet'!$U$4:$U$40),IF($BL34=1,SUM('Final Calculation Sheet'!$U$4:$U$40)-SUMIFS('Final Calculation Sheet'!$U$4:$U$40,$AZ$5:$AZ$41,10),SUMIFS('Final Calculation Sheet'!$U$4:$U$40,$AZ$5:$AZ$41,$BH34))),""))</f>
        <v>7376</v>
      </c>
      <c r="W35" s="70" t="str">
        <f>IF($BJ34&gt;0,IF(INDEX('Final Calculation Sheet'!$V$4:$V$40,$BJ34-3)="","",INDEX('Final Calculation Sheet'!$V$4:$V$40,$BJ34-3)),IF(OR($BI34=1,$BL34=1,$BH34&gt;0),"–",""))</f>
        <v>13.08.2026</v>
      </c>
      <c r="X35" s="70">
        <f>IF($BJ34&gt;0,IF(INDEX('Final Calculation Sheet'!$W$4:$W$40,$BJ34-3)="","",INDEX('Final Calculation Sheet'!$W$4:$W$40,$BJ34-3)),IF(OR($BI34=1,$BL34=1,$BH34&gt;0),IF($BI34=1,SUM('Final Calculation Sheet'!$W$4:$W$40),IF($BL34=1,SUM('Final Calculation Sheet'!$W$4:$W$40)-SUMIFS('Final Calculation Sheet'!$W$4:$W$40,$AZ$5:$AZ$41,10),SUMIFS('Final Calculation Sheet'!$W$4:$W$40,$AZ$5:$AZ$41,$BH34))),""))</f>
        <v>27334</v>
      </c>
      <c r="Y35" s="70">
        <f>IF($BJ34&gt;0,IF(INDEX('Final Calculation Sheet'!$X$4:$X$40,$BJ34-3)="","",INDEX('Final Calculation Sheet'!$X$4:$X$40,$BJ34-3)),IF(OR($BI34=1,$BL34=1,$BH34&gt;0),IF($BI34=1,SUM('Final Calculation Sheet'!$X$4:$X$40),IF($BL34=1,SUM('Final Calculation Sheet'!$X$4:$X$40)-SUMIFS('Final Calculation Sheet'!$X$4:$X$40,$AZ$5:$AZ$41,10),SUMIFS('Final Calculation Sheet'!$X$4:$X$40,$AZ$5:$AZ$41,$BH34))),""))</f>
        <v>27332</v>
      </c>
      <c r="Z35" s="70" t="str">
        <f>IF($BJ34&gt;0,IF(INDEX('Final Calculation Sheet'!$Y$4:$Y$40,$BJ34-3)="","",INDEX('Final Calculation Sheet'!$Y$4:$Y$40,$BJ34-3)),IF(OR($BI34=1,$BL34=1,$BH34&gt;0),"–",""))</f>
        <v>24.08.2026</v>
      </c>
      <c r="AA35" s="70">
        <f>IF($BJ34&gt;0,IF(INDEX('Final Calculation Sheet'!$Z$4:$Z$40,$BJ34-3)="","",INDEX('Final Calculation Sheet'!$Z$4:$Z$40,$BJ34-3)),IF(OR($BI34=1,$BL34=1,$BH34&gt;0),IF($BI34=1,SUM('Final Calculation Sheet'!$Z$4:$Z$40),IF($BL34=1,SUM('Final Calculation Sheet'!$Z$4:$Z$40)-SUMIFS('Final Calculation Sheet'!$Z$4:$Z$40,$AZ$5:$AZ$41,10),SUMIFS('Final Calculation Sheet'!$Z$4:$Z$40,$AZ$5:$AZ$41,$BH34))),""))</f>
        <v>0</v>
      </c>
      <c r="AB35" s="70" t="str">
        <f>IF($BJ34&gt;0,IF(INDEX('Final Calculation Sheet'!$AA$4:$AA$40,$BJ34-3)="","",INDEX('Final Calculation Sheet'!$AA$4:$AA$40,$BJ34-3)),IF(OR($BI34=1,$BL34=1,$BH34&gt;0),IF($BI34=1,SUM('Final Calculation Sheet'!$AA$4:$AA$40),IF($BL34=1,SUM('Final Calculation Sheet'!$AA$4:$AA$40)-SUMIFS('Final Calculation Sheet'!$AA$4:$AA$40,$AZ$5:$AZ$41,10),SUMIFS('Final Calculation Sheet'!$AA$4:$AA$40,$AZ$5:$AZ$41,$BH34))),""))</f>
        <v/>
      </c>
      <c r="AC35" s="70" t="str">
        <f>IF($BJ34&gt;0,IF(INDEX('Final Calculation Sheet'!$AB$4:$AB$40,$BJ34-3)="","",INDEX('Final Calculation Sheet'!$AB$4:$AB$40,$BJ34-3)),IF(OR($BI34=1,$BL34=1,$BH34&gt;0),"–",""))</f>
        <v/>
      </c>
      <c r="AD35" s="70">
        <f>IF($BJ34&gt;0,IF(INDEX('Final Calculation Sheet'!$AC$4:$AC$40,$BJ34-3)="","",INDEX('Final Calculation Sheet'!$AC$4:$AC$40,$BJ34-3)),IF(OR($BI34=1,$BL34=1,$BH34&gt;0),IF($BI34=1,SUM('Final Calculation Sheet'!$AC$4:$AC$40),IF($BL34=1,SUM('Final Calculation Sheet'!$AC$4:$AC$40)-SUMIFS('Final Calculation Sheet'!$AC$4:$AC$40,$AZ$5:$AZ$41,10),SUMIFS('Final Calculation Sheet'!$AC$4:$AC$40,$AZ$5:$AZ$41,$BH34))),""))</f>
        <v>34708</v>
      </c>
      <c r="AE35" s="70">
        <f>IF($BJ34&gt;0,IF(INDEX('Final Calculation Sheet'!$AD$4:$AD$40,$BJ34-3)="","",INDEX('Final Calculation Sheet'!$AD$4:$AD$40,$BJ34-3)),IF(OR($BI34=1,$BL34=1,$BH34&gt;0),IF($BI34=1,SUM('Final Calculation Sheet'!$AD$4:$AD$40),IF($BL34=1,SUM('Final Calculation Sheet'!$AD$4:$AD$40)-SUMIFS('Final Calculation Sheet'!$AD$4:$AD$40,$AZ$5:$AZ$41,10),SUMIFS('Final Calculation Sheet'!$AD$4:$AD$40,$AZ$5:$AZ$41,$BH34))),""))</f>
        <v>1</v>
      </c>
      <c r="AF35" s="70" t="str">
        <f>IF($BJ34&gt;0,IF(INDEX('Final Calculation Sheet'!$AE$4:$AE$40,$BJ34-3)="","",INDEX('Final Calculation Sheet'!$AE$4:$AE$40,$BJ34-3)),IF(OR($BI34=1,$BL34=1,$BH34&gt;0),"–",""))</f>
        <v>DR2640100046</v>
      </c>
      <c r="AG35" s="74">
        <f>IF($BJ34&gt;0,IF(INDEX('Final Calculation Sheet'!$AF$4:$AF$40,$BJ34-3)="","",INDEX('Final Calculation Sheet'!$AF$4:$AF$40,$BJ34-3)),IF(OR($BI34=1,$BL34=1,$BH34&gt;0),"–",""))</f>
        <v>1800003313</v>
      </c>
      <c r="AH35" s="70" t="str">
        <f>IF($BJ34&gt;0,IF(INDEX('Final Calculation Sheet'!$AG$4:$AG$40,$BJ34-3)="","",INDEX('Final Calculation Sheet'!$AG$4:$AG$40,$BJ34-3)),IF(OR($BI34=1,$BL34=1,$BH34&gt;0),"–",""))</f>
        <v>27.08.2026</v>
      </c>
      <c r="AI35" s="75" t="str">
        <f>IF($BJ34&gt;0,IF(INDEX('Final Calculation Sheet'!$AD$4:$AD$40,$BJ34-3)="","",IF(INDEX('Final Calculation Sheet'!$AD$4:$AD$40,$BJ34-3)&lt;=5,"SETTLED","OUTSTANDING")),IF(OR($BI34=1,$BL34=1,$BH34&gt;0),IF(IF($BI34=1,SUM('Final Calculation Sheet'!$AD$4:$AD$40),IF($BL34=1,SUM('Final Calculation Sheet'!$AD$4:$AD$40)-SUMIFS('Final Calculation Sheet'!$AD$4:$AD$40,$AZ$5:$AZ$41,10),SUMIFS('Final Calculation Sheet'!$AD$4:$AD$40,$AZ$5:$AZ$41,$BH34)))&lt;=5,"ALL SETTLED","OUTSTANDING"),""))</f>
        <v>SETTLED</v>
      </c>
      <c r="AK35" t="str">
        <f>IF($F$3="Lot No.",'Final Calculation Sheet'!$F$34,IF($F$3="Buyer",'Final Calculation Sheet'!$G$34,IF($F$3="Lot Name",'Final Calculation Sheet'!$B$34,IF($F$3="Bid Sheet",'Final Calculation Sheet'!$D$34,IF($F$3="Unit",'Final Calculation Sheet'!$E$34,'Final Calculation Sheet'!$F$34&amp;" "&amp;'Final Calculation Sheet'!$G$34&amp;" "&amp;'Final Calculation Sheet'!$B$34)))))</f>
        <v>2062 STERLING ENTERPRISES Scrap of Empty oil Barrels</v>
      </c>
      <c r="AL35">
        <f>AL34+IF($B$3="",0,--(SUMPRODUCT(--($AR$6:$AY$6&lt;&gt;""),--ISNUMBER(SEARCH($AR$6:$AY$6,$AK35)))&gt;0))</f>
        <v>0</v>
      </c>
      <c r="AM35">
        <f>IF(COUNTIF($BM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1</v>
      </c>
      <c r="AZ35">
        <f>IF($B$3="",IF(COUNTIF($A$4:$AI$4,"&lt;&gt;")=0,9,IF($AM35=1,9,10)),IF($AM35=0,10,IF(AND($AR$6&lt;&gt;"",ISNUMBER(SEARCH($AR$6,$AK35))),1,IF(AND($AS$6&lt;&gt;"",ISNUMBER(SEARCH($AS$6,$AK35))),2,IF(AND($AT$6&lt;&gt;"",ISNUMBER(SEARCH($AT$6,$AK35))),3,IF(AND($AU$6&lt;&gt;"",ISNUMBER(SEARCH($AU$6,$AK35))),4,IF(AND($AV$6&lt;&gt;"",ISNUMBER(SEARCH($AV$6,$AK35))),5,IF(AND($AW$6&lt;&gt;"",ISNUMBER(SEARCH($AW$6,$AK35))),6,IF(AND($AX$6&lt;&gt;"",ISNUMBER(SEARCH($AX$6,$AK35))),7,IF(AND($AY$6&lt;&gt;"",ISNUMBER(SEARCH($AY$6,$AK35))),8,0))))))))))</f>
        <v>9</v>
      </c>
      <c r="BA35">
        <f>SUMPRODUCT(($AZ$5:$AZ$41=$AZ35)*($BC$5:$BC$41&lt;$BC35))+1</f>
        <v>31</v>
      </c>
      <c r="BB35">
        <f>IF(INDEX($BF$4:$BF$13,$AZ35)=0,0,INDEX($BE$4:$BE$13,$AZ35)+$BA35-1)</f>
        <v>35</v>
      </c>
      <c r="BC35" t="n">
        <v>34</v>
      </c>
      <c r="BH35">
        <f>IFERROR(MATCH(35,$BF$4:$BF$13,0),0)</f>
        <v>0</v>
      </c>
      <c r="BI35">
        <f>IF(35=$BG$5,1,0)</f>
        <v>0</v>
      </c>
      <c r="BJ35">
        <f>IF(OR($BH35&gt;0,$BI35=1,$BL35=1),0,IFERROR(INDEX($BC$5:$BC$41,MATCH(35,$BB$5:$BB$41,0)),0))</f>
        <v>34</v>
      </c>
      <c r="BK35">
        <f>IF($BJ35&gt;0,IF(INDEX($AZ$5:$AZ$41,MATCH(35,$BB$5:$BB$41,0))=10,1,0),IF($BH35=10,1,0))</f>
        <v>0</v>
      </c>
      <c r="BL35">
        <f>IF(35=$BG$4,1,0)</f>
        <v>0</v>
      </c>
      <c r="BM35">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1</v>
      </c>
      <c r="BN35">
        <f>IF($B$4="",1,--(OR(SUMPRODUCT(--(TRIM(MID(SUBSTITUTE(SUBSTITUTE($B$4,"/",","),",",REPT(" ",99)),(ROW($1:$8)-1)*99+1,99))&lt;&gt;""),--ISNUMBER(SEARCH(TRIM(MID(SUBSTITUTE(SUBSTITUTE($B$4,"/",","),",",REPT(" ",99)),(ROW($1:$8)-1)*99+1,99)),IFERROR(('Final Calculation Sheet'!$F$34)&amp;"",""))))&gt;0,AND(ISNUMBER(SEARCH("blank",$B$4)),NOT(ISNUMBER(SEARCH("nonblank",$B$4))),IFERROR(('Final Calculation Sheet'!$F$34)&amp;"","")=""),AND(OR(ISNUMBER(SEARCH("nonblank",$B$4)),ISNUMBER(SEARCH("&lt;&gt;",$B$4))),IFERROR(('Final Calculation Sheet'!$F$34)&amp;"","")&lt;&gt;""),AND(TRIM($B$4)="",IFERROR(('Final Calculation Sheet'!$F$34)&amp;"","")=""))))</f>
        <v>1</v>
      </c>
      <c r="BO35">
        <f>IF($C$4="",1,--(OR(SUMPRODUCT(--(TRIM(MID(SUBSTITUTE(SUBSTITUTE($C$4,"/",","),",",REPT(" ",99)),(ROW($1:$8)-1)*99+1,99))&lt;&gt;""),--ISNUMBER(SEARCH(TRIM(MID(SUBSTITUTE(SUBSTITUTE($C$4,"/",","),",",REPT(" ",99)),(ROW($1:$8)-1)*99+1,99)),IFERROR(('Final Calculation Sheet'!$G$34)&amp;"",""))))&gt;0,AND(ISNUMBER(SEARCH("blank",$C$4)),NOT(ISNUMBER(SEARCH("nonblank",$C$4))),IFERROR(('Final Calculation Sheet'!$G$34)&amp;"","")=""),AND(OR(ISNUMBER(SEARCH("nonblank",$C$4)),ISNUMBER(SEARCH("&lt;&gt;",$C$4))),IFERROR(('Final Calculation Sheet'!$G$34)&amp;"","")&lt;&gt;""),AND(TRIM($C$4)="",IFERROR(('Final Calculation Sheet'!$G$34)&amp;"","")=""))))</f>
        <v>1</v>
      </c>
      <c r="BP35">
        <f>IF($D$4="",1,--(OR(SUMPRODUCT(--(TRIM(MID(SUBSTITUTE(SUBSTITUTE($D$4,"/",","),",",REPT(" ",99)),(ROW($1:$8)-1)*99+1,99))&lt;&gt;""),--ISNUMBER(SEARCH(TRIM(MID(SUBSTITUTE(SUBSTITUTE($D$4,"/",","),",",REPT(" ",99)),(ROW($1:$8)-1)*99+1,99)),IFERROR(('Final Calculation Sheet'!$B$34)&amp;"",""))))&gt;0,AND(ISNUMBER(SEARCH("blank",$D$4)),NOT(ISNUMBER(SEARCH("nonblank",$D$4))),IFERROR(('Final Calculation Sheet'!$B$34)&amp;"","")=""),AND(OR(ISNUMBER(SEARCH("nonblank",$D$4)),ISNUMBER(SEARCH("&lt;&gt;",$D$4))),IFERROR(('Final Calculation Sheet'!$B$34)&amp;"","")&lt;&gt;""),AND(TRIM($D$4)="",IFERROR(('Final Calculation Sheet'!$B$34)&amp;"","")=""))))</f>
        <v>1</v>
      </c>
      <c r="BQ35">
        <f>IF($E$4="",1,--(OR(SUMPRODUCT(--(TRIM(MID(SUBSTITUTE(SUBSTITUTE($E$4,"/",","),",",REPT(" ",99)),(ROW($1:$8)-1)*99+1,99))&lt;&gt;""),--ISNUMBER(SEARCH(TRIM(MID(SUBSTITUTE(SUBSTITUTE($E$4,"/",","),",",REPT(" ",99)),(ROW($1:$8)-1)*99+1,99)),IFERROR(('Final Calculation Sheet'!$D$34)&amp;"",""))))&gt;0,AND(ISNUMBER(SEARCH("blank",$E$4)),NOT(ISNUMBER(SEARCH("nonblank",$E$4))),IFERROR(('Final Calculation Sheet'!$D$34)&amp;"","")=""),AND(OR(ISNUMBER(SEARCH("nonblank",$E$4)),ISNUMBER(SEARCH("&lt;&gt;",$E$4))),IFERROR(('Final Calculation Sheet'!$D$34)&amp;"","")&lt;&gt;""),AND(TRIM($E$4)="",IFERROR(('Final Calculation Sheet'!$D$34)&amp;"","")=""))))</f>
        <v>1</v>
      </c>
      <c r="BR35">
        <f>IF($F$4="",1,--(OR(SUMPRODUCT(--(TRIM(MID(SUBSTITUTE(SUBSTITUTE($F$4,"/",","),",",REPT(" ",99)),(ROW($1:$8)-1)*99+1,99))&lt;&gt;""),--ISNUMBER(SEARCH(TRIM(MID(SUBSTITUTE(SUBSTITUTE($F$4,"/",","),",",REPT(" ",99)),(ROW($1:$8)-1)*99+1,99)),IFERROR(('Final Calculation Sheet'!$A$34)&amp;"",""))))&gt;0,AND(ISNUMBER(SEARCH("blank",$F$4)),NOT(ISNUMBER(SEARCH("nonblank",$F$4))),IFERROR(('Final Calculation Sheet'!$A$34)&amp;"","")=""),AND(OR(ISNUMBER(SEARCH("nonblank",$F$4)),ISNUMBER(SEARCH("&lt;&gt;",$F$4))),IFERROR(('Final Calculation Sheet'!$A$34)&amp;"","")&lt;&gt;""),AND(TRIM($F$4)="",IFERROR(('Final Calculation Sheet'!$A$34)&amp;"","")=""))))</f>
        <v>1</v>
      </c>
      <c r="BS35">
        <f>IF($G$4="",1,--(OR(SUMPRODUCT(--(TRIM(MID(SUBSTITUTE(SUBSTITUTE($G$4,"/",","),",",REPT(" ",99)),(ROW($1:$8)-1)*99+1,99))&lt;&gt;""),--ISNUMBER(SEARCH(TRIM(MID(SUBSTITUTE(SUBSTITUTE($G$4,"/",","),",",REPT(" ",99)),(ROW($1:$8)-1)*99+1,99)),IFERROR(('Final Calculation Sheet'!$E$34)&amp;"",""))))&gt;0,AND(ISNUMBER(SEARCH("blank",$G$4)),NOT(ISNUMBER(SEARCH("nonblank",$G$4))),IFERROR(('Final Calculation Sheet'!$E$34)&amp;"","")=""),AND(OR(ISNUMBER(SEARCH("nonblank",$G$4)),ISNUMBER(SEARCH("&lt;&gt;",$G$4))),IFERROR(('Final Calculation Sheet'!$E$34)&amp;"","")&lt;&gt;""),AND(TRIM($G$4)="",IFERROR(('Final Calculation Sheet'!$E$34)&amp;"","")=""))))</f>
        <v>1</v>
      </c>
      <c r="BT35">
        <f>IF($H$4="",1,--(OR(SUMPRODUCT(--(TRIM(MID(SUBSTITUTE(SUBSTITUTE($H$4,"/",","),",",REPT(" ",99)),(ROW($1:$8)-1)*99+1,99))&lt;&gt;""),--ISNUMBER(SEARCH(TRIM(MID(SUBSTITUTE(SUBSTITUTE($H$4,"/",","),",",REPT(" ",99)),(ROW($1:$8)-1)*99+1,99)),IFERROR(('Final Calculation Sheet'!$C$34)&amp;"",""))))&gt;0,AND(ISNUMBER(SEARCH("blank",$H$4)),NOT(ISNUMBER(SEARCH("nonblank",$H$4))),IFERROR(('Final Calculation Sheet'!$C$34)&amp;"","")=""),AND(OR(ISNUMBER(SEARCH("nonblank",$H$4)),ISNUMBER(SEARCH("&lt;&gt;",$H$4))),IFERROR(('Final Calculation Sheet'!$C$34)&amp;"","")&lt;&gt;""),AND(TRIM($H$4)="",IFERROR(('Final Calculation Sheet'!$C$34)&amp;"","")=""))))</f>
        <v>1</v>
      </c>
      <c r="BU35">
        <f>IF($I$4="",1,--(OR(SUMPRODUCT(--(TRIM(MID(SUBSTITUTE(SUBSTITUTE($I$4,"/",","),",",REPT(" ",99)),(ROW($1:$8)-1)*99+1,99))&lt;&gt;""),--ISNUMBER(SEARCH(TRIM(MID(SUBSTITUTE(SUBSTITUTE($I$4,"/",","),",",REPT(" ",99)),(ROW($1:$8)-1)*99+1,99)),IFERROR(('Final Calculation Sheet'!$H$34)&amp;"",""))))&gt;0,AND(ISNUMBER(SEARCH("blank",$I$4)),NOT(ISNUMBER(SEARCH("nonblank",$I$4))),IFERROR(('Final Calculation Sheet'!$H$34)&amp;"","")=""),AND(OR(ISNUMBER(SEARCH("nonblank",$I$4)),ISNUMBER(SEARCH("&lt;&gt;",$I$4))),IFERROR(('Final Calculation Sheet'!$H$34)&amp;"","")&lt;&gt;""),AND(TRIM($I$4)="",IFERROR(('Final Calculation Sheet'!$H$34)&amp;"","")=""))))</f>
        <v>1</v>
      </c>
      <c r="BV35">
        <f>IF($J$4="",1,--(OR(SUMPRODUCT(--(TRIM(MID(SUBSTITUTE(SUBSTITUTE($J$4,"/",","),",",REPT(" ",99)),(ROW($1:$8)-1)*99+1,99))&lt;&gt;""),--ISNUMBER(SEARCH(TRIM(MID(SUBSTITUTE(SUBSTITUTE($J$4,"/",","),",",REPT(" ",99)),(ROW($1:$8)-1)*99+1,99)),IFERROR(('Final Calculation Sheet'!$I$34)&amp;"",""))))&gt;0,AND(ISNUMBER(SEARCH("blank",$J$4)),NOT(ISNUMBER(SEARCH("nonblank",$J$4))),IFERROR(('Final Calculation Sheet'!$I$34)&amp;"","")=""),AND(OR(ISNUMBER(SEARCH("nonblank",$J$4)),ISNUMBER(SEARCH("&lt;&gt;",$J$4))),IFERROR(('Final Calculation Sheet'!$I$34)&amp;"","")&lt;&gt;""),AND(TRIM($J$4)="",IFERROR(('Final Calculation Sheet'!$I$34)&amp;"","")=""))))</f>
        <v>1</v>
      </c>
      <c r="BW35">
        <f>IF($K$4="",1,--(OR(SUMPRODUCT(--(TRIM(MID(SUBSTITUTE(SUBSTITUTE($K$4,"/",","),",",REPT(" ",99)),(ROW($1:$8)-1)*99+1,99))&lt;&gt;""),--ISNUMBER(SEARCH(TRIM(MID(SUBSTITUTE(SUBSTITUTE($K$4,"/",","),",",REPT(" ",99)),(ROW($1:$8)-1)*99+1,99)),IFERROR(('Final Calculation Sheet'!$J$34)&amp;"",""))))&gt;0,AND(ISNUMBER(SEARCH("blank",$K$4)),NOT(ISNUMBER(SEARCH("nonblank",$K$4))),IFERROR(('Final Calculation Sheet'!$J$34)&amp;"","")=""),AND(OR(ISNUMBER(SEARCH("nonblank",$K$4)),ISNUMBER(SEARCH("&lt;&gt;",$K$4))),IFERROR(('Final Calculation Sheet'!$J$34)&amp;"","")&lt;&gt;""),AND(TRIM($K$4)="",IFERROR(('Final Calculation Sheet'!$J$34)&amp;"","")=""))))</f>
        <v>1</v>
      </c>
      <c r="BX35">
        <f>IF($L$4="",1,--(OR(SUMPRODUCT(--(TRIM(MID(SUBSTITUTE(SUBSTITUTE($L$4,"/",","),",",REPT(" ",99)),(ROW($1:$8)-1)*99+1,99))&lt;&gt;""),--ISNUMBER(SEARCH(TRIM(MID(SUBSTITUTE(SUBSTITUTE($L$4,"/",","),",",REPT(" ",99)),(ROW($1:$8)-1)*99+1,99)),IFERROR(('Final Calculation Sheet'!$K$34)&amp;"",""))))&gt;0,AND(ISNUMBER(SEARCH("blank",$L$4)),NOT(ISNUMBER(SEARCH("nonblank",$L$4))),IFERROR(('Final Calculation Sheet'!$K$34)&amp;"","")=""),AND(OR(ISNUMBER(SEARCH("nonblank",$L$4)),ISNUMBER(SEARCH("&lt;&gt;",$L$4))),IFERROR(('Final Calculation Sheet'!$K$34)&amp;"","")&lt;&gt;""),AND(TRIM($L$4)="",IFERROR(('Final Calculation Sheet'!$K$34)&amp;"","")=""))))</f>
        <v>1</v>
      </c>
      <c r="BY35">
        <f>IF($M$4="",1,--(OR(SUMPRODUCT(--(TRIM(MID(SUBSTITUTE(SUBSTITUTE($M$4,"/",","),",",REPT(" ",99)),(ROW($1:$8)-1)*99+1,99))&lt;&gt;""),--ISNUMBER(SEARCH(TRIM(MID(SUBSTITUTE(SUBSTITUTE($M$4,"/",","),",",REPT(" ",99)),(ROW($1:$8)-1)*99+1,99)),IFERROR(('Final Calculation Sheet'!$L$34)&amp;"",""))))&gt;0,AND(ISNUMBER(SEARCH("blank",$M$4)),NOT(ISNUMBER(SEARCH("nonblank",$M$4))),IFERROR(('Final Calculation Sheet'!$L$34)&amp;"","")=""),AND(OR(ISNUMBER(SEARCH("nonblank",$M$4)),ISNUMBER(SEARCH("&lt;&gt;",$M$4))),IFERROR(('Final Calculation Sheet'!$L$34)&amp;"","")&lt;&gt;""),AND(TRIM($M$4)="",IFERROR(('Final Calculation Sheet'!$L$34)&amp;"","")=""))))</f>
        <v>1</v>
      </c>
      <c r="BZ35">
        <f>IF($N$4="",1,--(OR(SUMPRODUCT(--(TRIM(MID(SUBSTITUTE(SUBSTITUTE($N$4,"/",","),",",REPT(" ",99)),(ROW($1:$8)-1)*99+1,99))&lt;&gt;""),--ISNUMBER(SEARCH(TRIM(MID(SUBSTITUTE(SUBSTITUTE($N$4,"/",","),",",REPT(" ",99)),(ROW($1:$8)-1)*99+1,99)),IFERROR(('Final Calculation Sheet'!$M$34)&amp;"",""))))&gt;0,AND(ISNUMBER(SEARCH("blank",$N$4)),NOT(ISNUMBER(SEARCH("nonblank",$N$4))),IFERROR(('Final Calculation Sheet'!$M$34)&amp;"","")=""),AND(OR(ISNUMBER(SEARCH("nonblank",$N$4)),ISNUMBER(SEARCH("&lt;&gt;",$N$4))),IFERROR(('Final Calculation Sheet'!$M$34)&amp;"","")&lt;&gt;""),AND(TRIM($N$4)="",IFERROR(('Final Calculation Sheet'!$M$34)&amp;"","")=""))))</f>
        <v>1</v>
      </c>
      <c r="CA35">
        <f>IF($O$4="",1,--(OR(SUMPRODUCT(--(TRIM(MID(SUBSTITUTE(SUBSTITUTE($O$4,"/",","),",",REPT(" ",99)),(ROW($1:$8)-1)*99+1,99))&lt;&gt;""),--ISNUMBER(SEARCH(TRIM(MID(SUBSTITUTE(SUBSTITUTE($O$4,"/",","),",",REPT(" ",99)),(ROW($1:$8)-1)*99+1,99)),IFERROR(('Final Calculation Sheet'!$N$34)&amp;"",""))))&gt;0,AND(ISNUMBER(SEARCH("blank",$O$4)),NOT(ISNUMBER(SEARCH("nonblank",$O$4))),IFERROR(('Final Calculation Sheet'!$N$34)&amp;"","")=""),AND(OR(ISNUMBER(SEARCH("nonblank",$O$4)),ISNUMBER(SEARCH("&lt;&gt;",$O$4))),IFERROR(('Final Calculation Sheet'!$N$34)&amp;"","")&lt;&gt;""),AND(TRIM($O$4)="",IFERROR(('Final Calculation Sheet'!$N$34)&amp;"","")=""))))</f>
        <v>1</v>
      </c>
      <c r="CB35">
        <f>IF($P$4="",1,--(OR(SUMPRODUCT(--(TRIM(MID(SUBSTITUTE(SUBSTITUTE($P$4,"/",","),",",REPT(" ",99)),(ROW($1:$8)-1)*99+1,99))&lt;&gt;""),--ISNUMBER(SEARCH(TRIM(MID(SUBSTITUTE(SUBSTITUTE($P$4,"/",","),",",REPT(" ",99)),(ROW($1:$8)-1)*99+1,99)),IFERROR(('Final Calculation Sheet'!$O$34)&amp;"",""))))&gt;0,AND(ISNUMBER(SEARCH("blank",$P$4)),NOT(ISNUMBER(SEARCH("nonblank",$P$4))),IFERROR(('Final Calculation Sheet'!$O$34)&amp;"","")=""),AND(OR(ISNUMBER(SEARCH("nonblank",$P$4)),ISNUMBER(SEARCH("&lt;&gt;",$P$4))),IFERROR(('Final Calculation Sheet'!$O$34)&amp;"","")&lt;&gt;""),AND(TRIM($P$4)="",IFERROR(('Final Calculation Sheet'!$O$34)&amp;"","")=""))))</f>
        <v>1</v>
      </c>
      <c r="CC35">
        <f>IF($Q$4="",1,--(OR(SUMPRODUCT(--(TRIM(MID(SUBSTITUTE(SUBSTITUTE($Q$4,"/",","),",",REPT(" ",99)),(ROW($1:$8)-1)*99+1,99))&lt;&gt;""),--ISNUMBER(SEARCH(TRIM(MID(SUBSTITUTE(SUBSTITUTE($Q$4,"/",","),",",REPT(" ",99)),(ROW($1:$8)-1)*99+1,99)),IFERROR(('Final Calculation Sheet'!$P$34)&amp;"",""))))&gt;0,AND(ISNUMBER(SEARCH("blank",$Q$4)),NOT(ISNUMBER(SEARCH("nonblank",$Q$4))),IFERROR(('Final Calculation Sheet'!$P$34)&amp;"","")=""),AND(OR(ISNUMBER(SEARCH("nonblank",$Q$4)),ISNUMBER(SEARCH("&lt;&gt;",$Q$4))),IFERROR(('Final Calculation Sheet'!$P$34)&amp;"","")&lt;&gt;""),AND(TRIM($Q$4)="",IFERROR(('Final Calculation Sheet'!$P$34)&amp;"","")=""))))</f>
        <v>1</v>
      </c>
      <c r="CD35">
        <f>IF($R$4="",1,--(OR(SUMPRODUCT(--(TRIM(MID(SUBSTITUTE(SUBSTITUTE($R$4,"/",","),",",REPT(" ",99)),(ROW($1:$8)-1)*99+1,99))&lt;&gt;""),--ISNUMBER(SEARCH(TRIM(MID(SUBSTITUTE(SUBSTITUTE($R$4,"/",","),",",REPT(" ",99)),(ROW($1:$8)-1)*99+1,99)),IFERROR(('Final Calculation Sheet'!$Q$34)&amp;"",""))))&gt;0,AND(ISNUMBER(SEARCH("blank",$R$4)),NOT(ISNUMBER(SEARCH("nonblank",$R$4))),IFERROR(('Final Calculation Sheet'!$Q$34)&amp;"","")=""),AND(OR(ISNUMBER(SEARCH("nonblank",$R$4)),ISNUMBER(SEARCH("&lt;&gt;",$R$4))),IFERROR(('Final Calculation Sheet'!$Q$34)&amp;"","")&lt;&gt;""),AND(TRIM($R$4)="",IFERROR(('Final Calculation Sheet'!$Q$34)&amp;"","")=""))))</f>
        <v>1</v>
      </c>
      <c r="CE35">
        <f>IF($S$4="",1,--(OR(SUMPRODUCT(--(TRIM(MID(SUBSTITUTE(SUBSTITUTE($S$4,"/",","),",",REPT(" ",99)),(ROW($1:$8)-1)*99+1,99))&lt;&gt;""),--ISNUMBER(SEARCH(TRIM(MID(SUBSTITUTE(SUBSTITUTE($S$4,"/",","),",",REPT(" ",99)),(ROW($1:$8)-1)*99+1,99)),IFERROR(('Final Calculation Sheet'!$R$34)&amp;"",""))))&gt;0,AND(ISNUMBER(SEARCH("blank",$S$4)),NOT(ISNUMBER(SEARCH("nonblank",$S$4))),IFERROR(('Final Calculation Sheet'!$R$34)&amp;"","")=""),AND(OR(ISNUMBER(SEARCH("nonblank",$S$4)),ISNUMBER(SEARCH("&lt;&gt;",$S$4))),IFERROR(('Final Calculation Sheet'!$R$34)&amp;"","")&lt;&gt;""),AND(TRIM($S$4)="",IFERROR(('Final Calculation Sheet'!$R$34)&amp;"","")=""))))</f>
        <v>1</v>
      </c>
      <c r="CF35">
        <f>IF($T$4="",1,--(OR(SUMPRODUCT(--(TRIM(MID(SUBSTITUTE(SUBSTITUTE($T$4,"/",","),",",REPT(" ",99)),(ROW($1:$8)-1)*99+1,99))&lt;&gt;""),--ISNUMBER(SEARCH(TRIM(MID(SUBSTITUTE(SUBSTITUTE($T$4,"/",","),",",REPT(" ",99)),(ROW($1:$8)-1)*99+1,99)),IFERROR(('Final Calculation Sheet'!$S$34)&amp;"",""))))&gt;0,AND(ISNUMBER(SEARCH("blank",$T$4)),NOT(ISNUMBER(SEARCH("nonblank",$T$4))),IFERROR(('Final Calculation Sheet'!$S$34)&amp;"","")=""),AND(OR(ISNUMBER(SEARCH("nonblank",$T$4)),ISNUMBER(SEARCH("&lt;&gt;",$T$4))),IFERROR(('Final Calculation Sheet'!$S$34)&amp;"","")&lt;&gt;""),AND(TRIM($T$4)="",IFERROR(('Final Calculation Sheet'!$S$34)&amp;"","")=""))))</f>
        <v>1</v>
      </c>
      <c r="CG35">
        <f>IF($U$4="",1,--(OR(SUMPRODUCT(--(TRIM(MID(SUBSTITUTE(SUBSTITUTE($U$4,"/",","),",",REPT(" ",99)),(ROW($1:$8)-1)*99+1,99))&lt;&gt;""),--ISNUMBER(SEARCH(TRIM(MID(SUBSTITUTE(SUBSTITUTE($U$4,"/",","),",",REPT(" ",99)),(ROW($1:$8)-1)*99+1,99)),IFERROR(('Final Calculation Sheet'!$T$34)&amp;"",""))))&gt;0,AND(ISNUMBER(SEARCH("blank",$U$4)),NOT(ISNUMBER(SEARCH("nonblank",$U$4))),IFERROR(('Final Calculation Sheet'!$T$34)&amp;"","")=""),AND(OR(ISNUMBER(SEARCH("nonblank",$U$4)),ISNUMBER(SEARCH("&lt;&gt;",$U$4))),IFERROR(('Final Calculation Sheet'!$T$34)&amp;"","")&lt;&gt;""),AND(TRIM($U$4)="",IFERROR(('Final Calculation Sheet'!$T$34)&amp;"","")=""))))</f>
        <v>1</v>
      </c>
      <c r="CH35">
        <f>IF($V$4="",1,--(OR(SUMPRODUCT(--(TRIM(MID(SUBSTITUTE(SUBSTITUTE($V$4,"/",","),",",REPT(" ",99)),(ROW($1:$8)-1)*99+1,99))&lt;&gt;""),--ISNUMBER(SEARCH(TRIM(MID(SUBSTITUTE(SUBSTITUTE($V$4,"/",","),",",REPT(" ",99)),(ROW($1:$8)-1)*99+1,99)),IFERROR(('Final Calculation Sheet'!$U$34)&amp;"",""))))&gt;0,AND(ISNUMBER(SEARCH("blank",$V$4)),NOT(ISNUMBER(SEARCH("nonblank",$V$4))),IFERROR(('Final Calculation Sheet'!$U$34)&amp;"","")=""),AND(OR(ISNUMBER(SEARCH("nonblank",$V$4)),ISNUMBER(SEARCH("&lt;&gt;",$V$4))),IFERROR(('Final Calculation Sheet'!$U$34)&amp;"","")&lt;&gt;""),AND(TRIM($V$4)="",IFERROR(('Final Calculation Sheet'!$U$34)&amp;"","")=""))))</f>
        <v>1</v>
      </c>
      <c r="CI35">
        <f>IF($W$4="",1,--(OR(SUMPRODUCT(--(TRIM(MID(SUBSTITUTE(SUBSTITUTE($W$4,"/",","),",",REPT(" ",99)),(ROW($1:$8)-1)*99+1,99))&lt;&gt;""),--ISNUMBER(SEARCH(TRIM(MID(SUBSTITUTE(SUBSTITUTE($W$4,"/",","),",",REPT(" ",99)),(ROW($1:$8)-1)*99+1,99)),IFERROR(('Final Calculation Sheet'!$V$34)&amp;"",""))))&gt;0,AND(ISNUMBER(SEARCH("blank",$W$4)),NOT(ISNUMBER(SEARCH("nonblank",$W$4))),IFERROR(('Final Calculation Sheet'!$V$34)&amp;"","")=""),AND(OR(ISNUMBER(SEARCH("nonblank",$W$4)),ISNUMBER(SEARCH("&lt;&gt;",$W$4))),IFERROR(('Final Calculation Sheet'!$V$34)&amp;"","")&lt;&gt;""),AND(TRIM($W$4)="",IFERROR(('Final Calculation Sheet'!$V$34)&amp;"","")=""))))</f>
        <v>1</v>
      </c>
      <c r="CJ35">
        <f>IF($X$4="",1,--(OR(SUMPRODUCT(--(TRIM(MID(SUBSTITUTE(SUBSTITUTE($X$4,"/",","),",",REPT(" ",99)),(ROW($1:$8)-1)*99+1,99))&lt;&gt;""),--ISNUMBER(SEARCH(TRIM(MID(SUBSTITUTE(SUBSTITUTE($X$4,"/",","),",",REPT(" ",99)),(ROW($1:$8)-1)*99+1,99)),IFERROR(('Final Calculation Sheet'!$W$34)&amp;"",""))))&gt;0,AND(ISNUMBER(SEARCH("blank",$X$4)),NOT(ISNUMBER(SEARCH("nonblank",$X$4))),IFERROR(('Final Calculation Sheet'!$W$34)&amp;"","")=""),AND(OR(ISNUMBER(SEARCH("nonblank",$X$4)),ISNUMBER(SEARCH("&lt;&gt;",$X$4))),IFERROR(('Final Calculation Sheet'!$W$34)&amp;"","")&lt;&gt;""),AND(TRIM($X$4)="",IFERROR(('Final Calculation Sheet'!$W$34)&amp;"","")=""))))</f>
        <v>1</v>
      </c>
      <c r="CK35">
        <f>IF($Y$4="",1,--(OR(SUMPRODUCT(--(TRIM(MID(SUBSTITUTE(SUBSTITUTE($Y$4,"/",","),",",REPT(" ",99)),(ROW($1:$8)-1)*99+1,99))&lt;&gt;""),--ISNUMBER(SEARCH(TRIM(MID(SUBSTITUTE(SUBSTITUTE($Y$4,"/",","),",",REPT(" ",99)),(ROW($1:$8)-1)*99+1,99)),IFERROR(('Final Calculation Sheet'!$X$34)&amp;"",""))))&gt;0,AND(ISNUMBER(SEARCH("blank",$Y$4)),NOT(ISNUMBER(SEARCH("nonblank",$Y$4))),IFERROR(('Final Calculation Sheet'!$X$34)&amp;"","")=""),AND(OR(ISNUMBER(SEARCH("nonblank",$Y$4)),ISNUMBER(SEARCH("&lt;&gt;",$Y$4))),IFERROR(('Final Calculation Sheet'!$X$34)&amp;"","")&lt;&gt;""),AND(TRIM($Y$4)="",IFERROR(('Final Calculation Sheet'!$X$34)&amp;"","")=""))))</f>
        <v>1</v>
      </c>
      <c r="CL35">
        <f>IF($Z$4="",1,--(OR(SUMPRODUCT(--(TRIM(MID(SUBSTITUTE(SUBSTITUTE($Z$4,"/",","),",",REPT(" ",99)),(ROW($1:$8)-1)*99+1,99))&lt;&gt;""),--ISNUMBER(SEARCH(TRIM(MID(SUBSTITUTE(SUBSTITUTE($Z$4,"/",","),",",REPT(" ",99)),(ROW($1:$8)-1)*99+1,99)),IFERROR(('Final Calculation Sheet'!$Y$34)&amp;"",""))))&gt;0,AND(ISNUMBER(SEARCH("blank",$Z$4)),NOT(ISNUMBER(SEARCH("nonblank",$Z$4))),IFERROR(('Final Calculation Sheet'!$Y$34)&amp;"","")=""),AND(OR(ISNUMBER(SEARCH("nonblank",$Z$4)),ISNUMBER(SEARCH("&lt;&gt;",$Z$4))),IFERROR(('Final Calculation Sheet'!$Y$34)&amp;"","")&lt;&gt;""),AND(TRIM($Z$4)="",IFERROR(('Final Calculation Sheet'!$Y$34)&amp;"","")=""))))</f>
        <v>1</v>
      </c>
      <c r="CM35">
        <f>IF($AA$4="",1,--(OR(SUMPRODUCT(--(TRIM(MID(SUBSTITUTE(SUBSTITUTE($AA$4,"/",","),",",REPT(" ",99)),(ROW($1:$8)-1)*99+1,99))&lt;&gt;""),--ISNUMBER(SEARCH(TRIM(MID(SUBSTITUTE(SUBSTITUTE($AA$4,"/",","),",",REPT(" ",99)),(ROW($1:$8)-1)*99+1,99)),IFERROR(('Final Calculation Sheet'!$Z$34)&amp;"",""))))&gt;0,AND(ISNUMBER(SEARCH("blank",$AA$4)),NOT(ISNUMBER(SEARCH("nonblank",$AA$4))),IFERROR(('Final Calculation Sheet'!$Z$34)&amp;"","")=""),AND(OR(ISNUMBER(SEARCH("nonblank",$AA$4)),ISNUMBER(SEARCH("&lt;&gt;",$AA$4))),IFERROR(('Final Calculation Sheet'!$Z$34)&amp;"","")&lt;&gt;""),AND(TRIM($AA$4)="",IFERROR(('Final Calculation Sheet'!$Z$34)&amp;"","")=""))))</f>
        <v>1</v>
      </c>
      <c r="CN35">
        <f>IF($AB$4="",1,--(OR(SUMPRODUCT(--(TRIM(MID(SUBSTITUTE(SUBSTITUTE($AB$4,"/",","),",",REPT(" ",99)),(ROW($1:$8)-1)*99+1,99))&lt;&gt;""),--ISNUMBER(SEARCH(TRIM(MID(SUBSTITUTE(SUBSTITUTE($AB$4,"/",","),",",REPT(" ",99)),(ROW($1:$8)-1)*99+1,99)),IFERROR(('Final Calculation Sheet'!$AA$34)&amp;"",""))))&gt;0,AND(ISNUMBER(SEARCH("blank",$AB$4)),NOT(ISNUMBER(SEARCH("nonblank",$AB$4))),IFERROR(('Final Calculation Sheet'!$AA$34)&amp;"","")=""),AND(OR(ISNUMBER(SEARCH("nonblank",$AB$4)),ISNUMBER(SEARCH("&lt;&gt;",$AB$4))),IFERROR(('Final Calculation Sheet'!$AA$34)&amp;"","")&lt;&gt;""),AND(TRIM($AB$4)="",IFERROR(('Final Calculation Sheet'!$AA$34)&amp;"","")=""))))</f>
        <v>1</v>
      </c>
      <c r="CO35">
        <f>IF($AC$4="",1,--(OR(SUMPRODUCT(--(TRIM(MID(SUBSTITUTE(SUBSTITUTE($AC$4,"/",","),",",REPT(" ",99)),(ROW($1:$8)-1)*99+1,99))&lt;&gt;""),--ISNUMBER(SEARCH(TRIM(MID(SUBSTITUTE(SUBSTITUTE($AC$4,"/",","),",",REPT(" ",99)),(ROW($1:$8)-1)*99+1,99)),IFERROR(('Final Calculation Sheet'!$AB$34)&amp;"",""))))&gt;0,AND(ISNUMBER(SEARCH("blank",$AC$4)),NOT(ISNUMBER(SEARCH("nonblank",$AC$4))),IFERROR(('Final Calculation Sheet'!$AB$34)&amp;"","")=""),AND(OR(ISNUMBER(SEARCH("nonblank",$AC$4)),ISNUMBER(SEARCH("&lt;&gt;",$AC$4))),IFERROR(('Final Calculation Sheet'!$AB$34)&amp;"","")&lt;&gt;""),AND(TRIM($AC$4)="",IFERROR(('Final Calculation Sheet'!$AB$34)&amp;"","")=""))))</f>
        <v>1</v>
      </c>
      <c r="CP35">
        <f>IF($AD$4="",1,--(OR(SUMPRODUCT(--(TRIM(MID(SUBSTITUTE(SUBSTITUTE($AD$4,"/",","),",",REPT(" ",99)),(ROW($1:$8)-1)*99+1,99))&lt;&gt;""),--ISNUMBER(SEARCH(TRIM(MID(SUBSTITUTE(SUBSTITUTE($AD$4,"/",","),",",REPT(" ",99)),(ROW($1:$8)-1)*99+1,99)),IFERROR(('Final Calculation Sheet'!$AC$34)&amp;"",""))))&gt;0,AND(ISNUMBER(SEARCH("blank",$AD$4)),NOT(ISNUMBER(SEARCH("nonblank",$AD$4))),IFERROR(('Final Calculation Sheet'!$AC$34)&amp;"","")=""),AND(OR(ISNUMBER(SEARCH("nonblank",$AD$4)),ISNUMBER(SEARCH("&lt;&gt;",$AD$4))),IFERROR(('Final Calculation Sheet'!$AC$34)&amp;"","")&lt;&gt;""),AND(TRIM($AD$4)="",IFERROR(('Final Calculation Sheet'!$AC$34)&amp;"","")=""))))</f>
        <v>1</v>
      </c>
      <c r="CQ35">
        <f>IF($AE$4="",1,--(OR(SUMPRODUCT(--(TRIM(MID(SUBSTITUTE(SUBSTITUTE($AE$4,"/",","),",",REPT(" ",99)),(ROW($1:$8)-1)*99+1,99))&lt;&gt;""),--ISNUMBER(SEARCH(TRIM(MID(SUBSTITUTE(SUBSTITUTE($AE$4,"/",","),",",REPT(" ",99)),(ROW($1:$8)-1)*99+1,99)),IFERROR(('Final Calculation Sheet'!$AD$34)&amp;"",""))))&gt;0,AND(ISNUMBER(SEARCH("blank",$AE$4)),NOT(ISNUMBER(SEARCH("nonblank",$AE$4))),IFERROR(('Final Calculation Sheet'!$AD$34)&amp;"","")=""),AND(OR(ISNUMBER(SEARCH("nonblank",$AE$4)),ISNUMBER(SEARCH("&lt;&gt;",$AE$4))),IFERROR(('Final Calculation Sheet'!$AD$34)&amp;"","")&lt;&gt;""),AND(TRIM($AE$4)="",IFERROR(('Final Calculation Sheet'!$AD$34)&amp;"","")=""))))</f>
        <v>1</v>
      </c>
      <c r="CR35">
        <f>IF($AF$4="",1,--(OR(SUMPRODUCT(--(TRIM(MID(SUBSTITUTE(SUBSTITUTE($AF$4,"/",","),",",REPT(" ",99)),(ROW($1:$8)-1)*99+1,99))&lt;&gt;""),--ISNUMBER(SEARCH(TRIM(MID(SUBSTITUTE(SUBSTITUTE($AF$4,"/",","),",",REPT(" ",99)),(ROW($1:$8)-1)*99+1,99)),IFERROR(('Final Calculation Sheet'!$AE$34)&amp;"",""))))&gt;0,AND(ISNUMBER(SEARCH("blank",$AF$4)),NOT(ISNUMBER(SEARCH("nonblank",$AF$4))),IFERROR(('Final Calculation Sheet'!$AE$34)&amp;"","")=""),AND(OR(ISNUMBER(SEARCH("nonblank",$AF$4)),ISNUMBER(SEARCH("&lt;&gt;",$AF$4))),IFERROR(('Final Calculation Sheet'!$AE$34)&amp;"","")&lt;&gt;""),AND(TRIM($AF$4)="",IFERROR(('Final Calculation Sheet'!$AE$34)&amp;"","")=""))))</f>
        <v>1</v>
      </c>
      <c r="CS35">
        <f>IF($AG$4="",1,--(OR(SUMPRODUCT(--(TRIM(MID(SUBSTITUTE(SUBSTITUTE($AG$4,"/",","),",",REPT(" ",99)),(ROW($1:$8)-1)*99+1,99))&lt;&gt;""),--ISNUMBER(SEARCH(TRIM(MID(SUBSTITUTE(SUBSTITUTE($AG$4,"/",","),",",REPT(" ",99)),(ROW($1:$8)-1)*99+1,99)),IFERROR(('Final Calculation Sheet'!$AF$34)&amp;"",""))))&gt;0,AND(ISNUMBER(SEARCH("blank",$AG$4)),NOT(ISNUMBER(SEARCH("nonblank",$AG$4))),IFERROR(('Final Calculation Sheet'!$AF$34)&amp;"","")=""),AND(OR(ISNUMBER(SEARCH("nonblank",$AG$4)),ISNUMBER(SEARCH("&lt;&gt;",$AG$4))),IFERROR(('Final Calculation Sheet'!$AF$34)&amp;"","")&lt;&gt;""),AND(TRIM($AG$4)="",IFERROR(('Final Calculation Sheet'!$AF$34)&amp;"","")=""))))</f>
        <v>1</v>
      </c>
      <c r="CT35">
        <f>IF($AH$4="",1,--(OR(SUMPRODUCT(--(TRIM(MID(SUBSTITUTE(SUBSTITUTE($AH$4,"/",","),",",REPT(" ",99)),(ROW($1:$8)-1)*99+1,99))&lt;&gt;""),--ISNUMBER(SEARCH(TRIM(MID(SUBSTITUTE(SUBSTITUTE($AH$4,"/",","),",",REPT(" ",99)),(ROW($1:$8)-1)*99+1,99)),IFERROR(('Final Calculation Sheet'!$AG$34)&amp;"",""))))&gt;0,AND(ISNUMBER(SEARCH("blank",$AH$4)),NOT(ISNUMBER(SEARCH("nonblank",$AH$4))),IFERROR(('Final Calculation Sheet'!$AG$34)&amp;"","")=""),AND(OR(ISNUMBER(SEARCH("nonblank",$AH$4)),ISNUMBER(SEARCH("&lt;&gt;",$AH$4))),IFERROR(('Final Calculation Sheet'!$AG$34)&amp;"","")&lt;&gt;""),AND(TRIM($AH$4)="",IFERROR(('Final Calculation Sheet'!$AG$34)&amp;"","")=""))))</f>
        <v>1</v>
      </c>
      <c r="CU35">
        <f>IF($AI$4="",1,--(OR(SUMPRODUCT(--(TRIM(MID(SUBSTITUTE(SUBSTITUTE($AI$4,"/",","),",",REPT(" ",99)),(ROW($1:$8)-1)*99+1,99))&lt;&gt;""),--ISNUMBER(SEARCH(TRIM(MID(SUBSTITUTE(SUBSTITUTE($AI$4,"/",","),",",REPT(" ",99)),(ROW($1:$8)-1)*99+1,99)),IFERROR((IF('Final Calculation Sheet'!$AD$34&lt;=5,"SETTLED","OUTSTANDING"))&amp;"",""))))&gt;0,AND(ISNUMBER(SEARCH("blank",$AI$4)),NOT(ISNUMBER(SEARCH("nonblank",$AI$4))),IFERROR((IF('Final Calculation Sheet'!$AD$34&lt;=5,"SETTLED","OUTSTANDING"))&amp;"","")=""),AND(OR(ISNUMBER(SEARCH("nonblank",$AI$4)),ISNUMBER(SEARCH("&lt;&gt;",$AI$4))),IFERROR((IF('Final Calculation Sheet'!$AD$34&lt;=5,"SETTLED","OUTSTANDING"))&amp;"","")&lt;&gt;""),AND(TRIM($AI$4)="",IFERROR((IF('Final Calculation Sheet'!$AD$34&lt;=5,"SETTLED","OUTSTANDING"))&amp;"","")=""))))</f>
        <v>1</v>
      </c>
    </row>
    <row r="36" ht="15" customHeight="1" s="137">
      <c r="A36" s="67">
        <f>IF($BJ35&gt;0,INDEX($BA$5:$BA$41,MATCH(35,$BB$5:$BB$41,0)),IF(OR($BI35=1,$BL35=1,$BH35&gt;0),"∑",""))</f>
        <v>31</v>
      </c>
      <c r="B36" s="76">
        <f>IF($BJ35&gt;0,IF(INDEX('Final Calculation Sheet'!$F$4:$F$40,$BJ35-3)="","",INDEX('Final Calculation Sheet'!$F$4:$F$40,$BJ35-3)),"")</f>
        <v>2062</v>
      </c>
      <c r="C36" s="76" t="str">
        <f>IF($BJ35&gt;0,IF(INDEX('Final Calculation Sheet'!$G$4:$G$40,$BJ35-3)="","",INDEX('Final Calculation Sheet'!$G$4:$G$40,$BJ35-3)),IF(OR($BI35=1,$BL35=1,$BH35&gt;0),IF($BI35=1,37,IF($BL35=1,37-INDEX($BD$4:$BD$13,10),INDEX($BD$4:$BD$13,$BH35)))&amp;" lot(s)",""))</f>
        <v>STERLING ENTERPRISES</v>
      </c>
      <c r="D36" s="80" t="str">
        <f>IF($BJ35&gt;0,IF(INDEX('Final Calculation Sheet'!$B$4:$B$40,$BJ35-3)="","",INDEX('Final Calculation Sheet'!$B$4:$B$40,$BJ35-3)),IF(OR($BI35=1,$BL35=1,$BH35&gt;0),IF($BI35=1,"GRAND TOTAL  —  matching + remaining",IF($BL35=1,"TOTAL MATCHED  —  every group together",IF($BH35=10,"REMAINING  —  did not match the search",IF($BH35=9,IF(COUNTIF($A$4:$AI$4,"&lt;&gt;")&gt;0,"FILTERED LOTS  —  column fields","ALL LOTS  —  nothing typed in the box"),"GROUP "&amp;$BH35&amp;" TOTAL  —  lots matching  "&amp;INDEX($AR$6:$AY$6,$BH35))))),""))</f>
        <v>Scrap of Empty oil Barrels</v>
      </c>
      <c r="E36" s="80">
        <f>IF($BJ35&gt;0,IF(INDEX('Final Calculation Sheet'!$D$4:$D$40,$BJ35-3)="","",INDEX('Final Calculation Sheet'!$D$4:$D$40,$BJ35-3)),IF(OR($BI35=1,$BL35=1,$BH35&gt;0),"–",""))</f>
        <v>21979</v>
      </c>
      <c r="F36" s="80">
        <f>IF($BJ35&gt;0,IF(INDEX('Final Calculation Sheet'!$A$4:$A$40,$BJ35-3)="","",INDEX('Final Calculation Sheet'!$A$4:$A$40,$BJ35-3)),IF(OR($BI35=1,$BL35=1,$BH35&gt;0),IF($BI35=1,SUM('Final Calculation Sheet'!$A$4:$A$40),IF($BL35=1,SUM('Final Calculation Sheet'!$A$4:$A$40)-SUMIFS('Final Calculation Sheet'!$A$4:$A$40,$AZ$5:$AZ$41,10),SUMIFS('Final Calculation Sheet'!$A$4:$A$40,$AZ$5:$AZ$41,$BH35))),""))</f>
        <v>30</v>
      </c>
      <c r="G36" s="80" t="str">
        <f>IF($BJ35&gt;0,IF(INDEX('Final Calculation Sheet'!$E$4:$E$40,$BJ35-3)="","",INDEX('Final Calculation Sheet'!$E$4:$E$40,$BJ35-3)),IF(OR($BI35=1,$BL35=1,$BH35&gt;0),"–",""))</f>
        <v>NO</v>
      </c>
      <c r="H36" s="70">
        <f>IF($BJ35&gt;0,IF(INDEX('Final Calculation Sheet'!$C$4:$C$40,$BJ35-3)="","",INDEX('Final Calculation Sheet'!$C$4:$C$40,$BJ35-3)),IF(OR($BI35=1,$BL35=1,$BH35&gt;0),"–",""))</f>
        <v>702</v>
      </c>
      <c r="I36" s="70">
        <f>IF($BJ35&gt;0,IF(INDEX('Final Calculation Sheet'!$H$4:$H$40,$BJ35-3)="","",INDEX('Final Calculation Sheet'!$H$4:$H$40,$BJ35-3)),IF(OR($BI35=1,$BL35=1,$BH35&gt;0),IF($BI35=1,SUM('Final Calculation Sheet'!$H$4:$H$40),IF($BL35=1,SUM('Final Calculation Sheet'!$H$4:$H$40)-SUMIFS('Final Calculation Sheet'!$H$4:$H$40,$AZ$5:$AZ$41,10),SUMIFS('Final Calculation Sheet'!$H$4:$H$40,$AZ$5:$AZ$41,$BH35))),""))</f>
        <v>21060</v>
      </c>
      <c r="J36" s="70">
        <f>IF($BJ35&gt;0,IF(INDEX('Final Calculation Sheet'!$I$4:$I$40,$BJ35-3)="","",INDEX('Final Calculation Sheet'!$I$4:$I$40,$BJ35-3)),IF(OR($BI35=1,$BL35=1,$BH35&gt;0),IF($BI35=1,SUM('Final Calculation Sheet'!$I$4:$I$40),IF($BL35=1,SUM('Final Calculation Sheet'!$I$4:$I$40)-SUMIFS('Final Calculation Sheet'!$I$4:$I$40,$AZ$5:$AZ$41,10),SUMIFS('Final Calculation Sheet'!$I$4:$I$40,$AZ$5:$AZ$41,$BH35))),""))</f>
        <v>3791</v>
      </c>
      <c r="K36" s="70">
        <f>IF($BJ35&gt;0,IF(INDEX('Final Calculation Sheet'!$J$4:$J$40,$BJ35-3)="","",INDEX('Final Calculation Sheet'!$J$4:$J$40,$BJ35-3)),IF(OR($BI35=1,$BL35=1,$BH35&gt;0),IF($BI35=1,SUM('Final Calculation Sheet'!$J$4:$J$40),IF($BL35=1,SUM('Final Calculation Sheet'!$J$4:$J$40)-SUMIFS('Final Calculation Sheet'!$J$4:$J$40,$AZ$5:$AZ$41,10),SUMIFS('Final Calculation Sheet'!$J$4:$J$40,$AZ$5:$AZ$41,$BH35))),""))</f>
        <v>24851</v>
      </c>
      <c r="L36" s="70">
        <f>IF($BJ35&gt;0,IF(INDEX('Final Calculation Sheet'!$K$4:$K$40,$BJ35-3)="","",INDEX('Final Calculation Sheet'!$K$4:$K$40,$BJ35-3)),IF(OR($BI35=1,$BL35=1,$BH35&gt;0),IF($BI35=1,SUM('Final Calculation Sheet'!$K$4:$K$40),IF($BL35=1,SUM('Final Calculation Sheet'!$K$4:$K$40)-SUMIFS('Final Calculation Sheet'!$K$4:$K$40,$AZ$5:$AZ$41,10),SUMIFS('Final Calculation Sheet'!$K$4:$K$40,$AZ$5:$AZ$41,$BH35))),""))</f>
        <v>497</v>
      </c>
      <c r="M36" s="70">
        <f>IF($BJ35&gt;0,IF(INDEX('Final Calculation Sheet'!$L$4:$L$40,$BJ35-3)="","",INDEX('Final Calculation Sheet'!$L$4:$L$40,$BJ35-3)),IF(OR($BI35=1,$BL35=1,$BH35&gt;0),IF($BI35=1,SUM('Final Calculation Sheet'!$L$4:$L$40),IF($BL35=1,SUM('Final Calculation Sheet'!$L$4:$L$40)-SUMIFS('Final Calculation Sheet'!$L$4:$L$40,$AZ$5:$AZ$41,10),SUMIFS('Final Calculation Sheet'!$L$4:$L$40,$AZ$5:$AZ$41,$BH35))),""))</f>
        <v>21.06</v>
      </c>
      <c r="N36" s="70">
        <f>IF($BJ35&gt;0,IF(INDEX('Final Calculation Sheet'!$M$4:$M$40,$BJ35-3)="","",INDEX('Final Calculation Sheet'!$M$4:$M$40,$BJ35-3)),IF(OR($BI35=1,$BL35=1,$BH35&gt;0),IF($BI35=1,SUM('Final Calculation Sheet'!$M$4:$M$40),IF($BL35=1,SUM('Final Calculation Sheet'!$M$4:$M$40)-SUMIFS('Final Calculation Sheet'!$M$4:$M$40,$AZ$5:$AZ$41,10),SUMIFS('Final Calculation Sheet'!$M$4:$M$40,$AZ$5:$AZ$41,$BH35))),""))</f>
        <v>559.14299999999992</v>
      </c>
      <c r="O36" s="71">
        <f>IF($BJ35&gt;0,IF(INDEX('Final Calculation Sheet'!$N$4:$N$40,$BJ35-3)="","",INDEX('Final Calculation Sheet'!$N$4:$N$40,$BJ35-3)),IF(OR($BI35=1,$BL35=1,$BH35&gt;0),IF($BI35=1,SUM('Final Calculation Sheet'!$N$4:$N$40),IF($BL35=1,SUM('Final Calculation Sheet'!$N$4:$N$40)-SUMIFS('Final Calculation Sheet'!$N$4:$N$40,$AZ$5:$AZ$41,10),SUMIFS('Final Calculation Sheet'!$N$4:$N$40,$AZ$5:$AZ$41,$BH35))),""))</f>
        <v>9.4770000000000003</v>
      </c>
      <c r="P36" s="70">
        <f>IF($BJ35&gt;0,IF(INDEX('Final Calculation Sheet'!$O$4:$O$40,$BJ35-3)="","",INDEX('Final Calculation Sheet'!$O$4:$O$40,$BJ35-3)),IF(OR($BI35=1,$BL35=1,$BH35&gt;0),IF($BI35=1,SUM('Final Calculation Sheet'!$O$4:$O$40),IF($BL35=1,SUM('Final Calculation Sheet'!$O$4:$O$40)-SUMIFS('Final Calculation Sheet'!$O$4:$O$40,$AZ$5:$AZ$41,10),SUMIFS('Final Calculation Sheet'!$O$4:$O$40,$AZ$5:$AZ$41,$BH35))),""))</f>
        <v>549.66599999999994</v>
      </c>
      <c r="Q36" s="70">
        <f>IF($BJ35&gt;0,IF(INDEX('Final Calculation Sheet'!$P$4:$P$40,$BJ35-3)="","",INDEX('Final Calculation Sheet'!$P$4:$P$40,$BJ35-3)),IF(OR($BI35=1,$BL35=1,$BH35&gt;0),IF($BI35=1,SUM('Final Calculation Sheet'!$P$4:$P$40),IF($BL35=1,SUM('Final Calculation Sheet'!$P$4:$P$40)-SUMIFS('Final Calculation Sheet'!$P$4:$P$40,$AZ$5:$AZ$41,10),SUMIFS('Final Calculation Sheet'!$P$4:$P$40,$AZ$5:$AZ$41,$BH35))),""))</f>
        <v>571</v>
      </c>
      <c r="R36" s="72">
        <f>IF($BJ35&gt;0,IF(INDEX('Final Calculation Sheet'!$Q$4:$Q$40,$BJ35-3)="","",INDEX('Final Calculation Sheet'!$Q$4:$Q$40,$BJ35-3)),IF(OR($BI35=1,$BL35=1,$BH35&gt;0),"–",""))</f>
        <v>0</v>
      </c>
      <c r="S36" s="70">
        <f>IF($BJ35&gt;0,IF(INDEX('Final Calculation Sheet'!$R$4:$R$40,$BJ35-3)="","",INDEX('Final Calculation Sheet'!$R$4:$R$40,$BJ35-3)),IF(OR($BI35=1,$BL35=1,$BH35&gt;0),IF($BI35=1,SUM('Final Calculation Sheet'!$R$4:$R$40),IF($BL35=1,SUM('Final Calculation Sheet'!$R$4:$R$40)-SUMIFS('Final Calculation Sheet'!$R$4:$R$40,$AZ$5:$AZ$41,10),SUMIFS('Final Calculation Sheet'!$R$4:$R$40,$AZ$5:$AZ$41,$BH35))),""))</f>
        <v>0</v>
      </c>
      <c r="T36" s="70">
        <f>IF($BJ35&gt;0,IF(INDEX('Final Calculation Sheet'!$S$4:$S$40,$BJ35-3)="","",INDEX('Final Calculation Sheet'!$S$4:$S$40,$BJ35-3)),IF(OR($BI35=1,$BL35=1,$BH35&gt;0),IF($BI35=1,SUM('Final Calculation Sheet'!$S$4:$S$40),IF($BL35=1,SUM('Final Calculation Sheet'!$S$4:$S$40)-SUMIFS('Final Calculation Sheet'!$S$4:$S$40,$AZ$5:$AZ$41,10),SUMIFS('Final Calculation Sheet'!$S$4:$S$40,$AZ$5:$AZ$41,$BH35))),""))</f>
        <v>24777</v>
      </c>
      <c r="U36" s="70">
        <f>IF($BJ35&gt;0,IF(INDEX('Final Calculation Sheet'!$T$4:$T$40,$BJ35-3)="","",INDEX('Final Calculation Sheet'!$T$4:$T$40,$BJ35-3)),IF(OR($BI35=1,$BL35=1,$BH35&gt;0),IF($BI35=1,SUM('Final Calculation Sheet'!$T$4:$T$40),IF($BL35=1,SUM('Final Calculation Sheet'!$T$4:$T$40)-SUMIFS('Final Calculation Sheet'!$T$4:$T$40,$AZ$5:$AZ$41,10),SUMIFS('Final Calculation Sheet'!$T$4:$T$40,$AZ$5:$AZ$41,$BH35))),""))</f>
        <v>5265</v>
      </c>
      <c r="V36" s="73">
        <f>IF($BJ35&gt;0,IF(INDEX('Final Calculation Sheet'!$U$4:$U$40,$BJ35-3)="","",INDEX('Final Calculation Sheet'!$U$4:$U$40,$BJ35-3)),IF(OR($BI35=1,$BL35=1,$BH35&gt;0),IF($BI35=1,SUM('Final Calculation Sheet'!$U$4:$U$40),IF($BL35=1,SUM('Final Calculation Sheet'!$U$4:$U$40)-SUMIFS('Final Calculation Sheet'!$U$4:$U$40,$AZ$5:$AZ$41,10),SUMIFS('Final Calculation Sheet'!$U$4:$U$40,$AZ$5:$AZ$41,$BH35))),""))</f>
        <v>5265</v>
      </c>
      <c r="W36" s="70" t="str">
        <f>IF($BJ35&gt;0,IF(INDEX('Final Calculation Sheet'!$V$4:$V$40,$BJ35-3)="","",INDEX('Final Calculation Sheet'!$V$4:$V$40,$BJ35-3)),IF(OR($BI35=1,$BL35=1,$BH35&gt;0),"–",""))</f>
        <v>11.08.2026</v>
      </c>
      <c r="X36" s="70">
        <f>IF($BJ35&gt;0,IF(INDEX('Final Calculation Sheet'!$W$4:$W$40,$BJ35-3)="","",INDEX('Final Calculation Sheet'!$W$4:$W$40,$BJ35-3)),IF(OR($BI35=1,$BL35=1,$BH35&gt;0),IF($BI35=1,SUM('Final Calculation Sheet'!$W$4:$W$40),IF($BL35=1,SUM('Final Calculation Sheet'!$W$4:$W$40)-SUMIFS('Final Calculation Sheet'!$W$4:$W$40,$AZ$5:$AZ$41,10),SUMIFS('Final Calculation Sheet'!$W$4:$W$40,$AZ$5:$AZ$41,$BH35))),""))</f>
        <v>19512</v>
      </c>
      <c r="Y36" s="70">
        <f>IF($BJ35&gt;0,IF(INDEX('Final Calculation Sheet'!$X$4:$X$40,$BJ35-3)="","",INDEX('Final Calculation Sheet'!$X$4:$X$40,$BJ35-3)),IF(OR($BI35=1,$BL35=1,$BH35&gt;0),IF($BI35=1,SUM('Final Calculation Sheet'!$X$4:$X$40),IF($BL35=1,SUM('Final Calculation Sheet'!$X$4:$X$40)-SUMIFS('Final Calculation Sheet'!$X$4:$X$40,$AZ$5:$AZ$41,10),SUMIFS('Final Calculation Sheet'!$X$4:$X$40,$AZ$5:$AZ$41,$BH35))),""))</f>
        <v>19512</v>
      </c>
      <c r="Z36" s="70" t="str">
        <f>IF($BJ35&gt;0,IF(INDEX('Final Calculation Sheet'!$Y$4:$Y$40,$BJ35-3)="","",INDEX('Final Calculation Sheet'!$Y$4:$Y$40,$BJ35-3)),IF(OR($BI35=1,$BL35=1,$BH35&gt;0),"–",""))</f>
        <v>11.08.2026</v>
      </c>
      <c r="AA36" s="70">
        <f>IF($BJ35&gt;0,IF(INDEX('Final Calculation Sheet'!$Z$4:$Z$40,$BJ35-3)="","",INDEX('Final Calculation Sheet'!$Z$4:$Z$40,$BJ35-3)),IF(OR($BI35=1,$BL35=1,$BH35&gt;0),IF($BI35=1,SUM('Final Calculation Sheet'!$Z$4:$Z$40),IF($BL35=1,SUM('Final Calculation Sheet'!$Z$4:$Z$40)-SUMIFS('Final Calculation Sheet'!$Z$4:$Z$40,$AZ$5:$AZ$41,10),SUMIFS('Final Calculation Sheet'!$Z$4:$Z$40,$AZ$5:$AZ$41,$BH35))),""))</f>
        <v>0</v>
      </c>
      <c r="AB36" s="70" t="str">
        <f>IF($BJ35&gt;0,IF(INDEX('Final Calculation Sheet'!$AA$4:$AA$40,$BJ35-3)="","",INDEX('Final Calculation Sheet'!$AA$4:$AA$40,$BJ35-3)),IF(OR($BI35=1,$BL35=1,$BH35&gt;0),IF($BI35=1,SUM('Final Calculation Sheet'!$AA$4:$AA$40),IF($BL35=1,SUM('Final Calculation Sheet'!$AA$4:$AA$40)-SUMIFS('Final Calculation Sheet'!$AA$4:$AA$40,$AZ$5:$AZ$41,10),SUMIFS('Final Calculation Sheet'!$AA$4:$AA$40,$AZ$5:$AZ$41,$BH35))),""))</f>
        <v/>
      </c>
      <c r="AC36" s="70" t="str">
        <f>IF($BJ35&gt;0,IF(INDEX('Final Calculation Sheet'!$AB$4:$AB$40,$BJ35-3)="","",INDEX('Final Calculation Sheet'!$AB$4:$AB$40,$BJ35-3)),IF(OR($BI35=1,$BL35=1,$BH35&gt;0),"–",""))</f>
        <v/>
      </c>
      <c r="AD36" s="70">
        <f>IF($BJ35&gt;0,IF(INDEX('Final Calculation Sheet'!$AC$4:$AC$40,$BJ35-3)="","",INDEX('Final Calculation Sheet'!$AC$4:$AC$40,$BJ35-3)),IF(OR($BI35=1,$BL35=1,$BH35&gt;0),IF($BI35=1,SUM('Final Calculation Sheet'!$AC$4:$AC$40),IF($BL35=1,SUM('Final Calculation Sheet'!$AC$4:$AC$40)-SUMIFS('Final Calculation Sheet'!$AC$4:$AC$40,$AZ$5:$AZ$41,10),SUMIFS('Final Calculation Sheet'!$AC$4:$AC$40,$AZ$5:$AZ$41,$BH35))),""))</f>
        <v>24777</v>
      </c>
      <c r="AE36" s="70">
        <f>IF($BJ35&gt;0,IF(INDEX('Final Calculation Sheet'!$AD$4:$AD$40,$BJ35-3)="","",INDEX('Final Calculation Sheet'!$AD$4:$AD$40,$BJ35-3)),IF(OR($BI35=1,$BL35=1,$BH35&gt;0),IF($BI35=1,SUM('Final Calculation Sheet'!$AD$4:$AD$40),IF($BL35=1,SUM('Final Calculation Sheet'!$AD$4:$AD$40)-SUMIFS('Final Calculation Sheet'!$AD$4:$AD$40,$AZ$5:$AZ$41,10),SUMIFS('Final Calculation Sheet'!$AD$4:$AD$40,$AZ$5:$AZ$41,$BH35))),""))</f>
        <v>0</v>
      </c>
      <c r="AF36" s="70" t="str">
        <f>IF($BJ35&gt;0,IF(INDEX('Final Calculation Sheet'!$AE$4:$AE$40,$BJ35-3)="","",INDEX('Final Calculation Sheet'!$AE$4:$AE$40,$BJ35-3)),IF(OR($BI35=1,$BL35=1,$BH35&gt;0),"–",""))</f>
        <v>DR2640100022</v>
      </c>
      <c r="AG36" s="74">
        <f>IF($BJ35&gt;0,IF(INDEX('Final Calculation Sheet'!$AF$4:$AF$40,$BJ35-3)="","",INDEX('Final Calculation Sheet'!$AF$4:$AF$40,$BJ35-3)),IF(OR($BI35=1,$BL35=1,$BH35&gt;0),"–",""))</f>
        <v>1800003161</v>
      </c>
      <c r="AH36" s="70" t="str">
        <f>IF($BJ35&gt;0,IF(INDEX('Final Calculation Sheet'!$AG$4:$AG$40,$BJ35-3)="","",INDEX('Final Calculation Sheet'!$AG$4:$AG$40,$BJ35-3)),IF(OR($BI35=1,$BL35=1,$BH35&gt;0),"–",""))</f>
        <v>14.08.2026</v>
      </c>
      <c r="AI36" s="75" t="str">
        <f>IF($BJ35&gt;0,IF(INDEX('Final Calculation Sheet'!$AD$4:$AD$40,$BJ35-3)="","",IF(INDEX('Final Calculation Sheet'!$AD$4:$AD$40,$BJ35-3)&lt;=5,"SETTLED","OUTSTANDING")),IF(OR($BI35=1,$BL35=1,$BH35&gt;0),IF(IF($BI35=1,SUM('Final Calculation Sheet'!$AD$4:$AD$40),IF($BL35=1,SUM('Final Calculation Sheet'!$AD$4:$AD$40)-SUMIFS('Final Calculation Sheet'!$AD$4:$AD$40,$AZ$5:$AZ$41,10),SUMIFS('Final Calculation Sheet'!$AD$4:$AD$40,$AZ$5:$AZ$41,$BH35)))&lt;=5,"ALL SETTLED","OUTSTANDING"),""))</f>
        <v>SETTLED</v>
      </c>
      <c r="AK36" t="str">
        <f>IF($F$3="Lot No.",'Final Calculation Sheet'!$F$35,IF($F$3="Buyer",'Final Calculation Sheet'!$G$35,IF($F$3="Lot Name",'Final Calculation Sheet'!$B$35,IF($F$3="Bid Sheet",'Final Calculation Sheet'!$D$35,IF($F$3="Unit",'Final Calculation Sheet'!$E$35,'Final Calculation Sheet'!$F$35&amp;" "&amp;'Final Calculation Sheet'!$G$35&amp;" "&amp;'Final Calculation Sheet'!$B$35)))))</f>
        <v>2067 WATAN SCRAP TRADERS Scrap of empty oil drums</v>
      </c>
      <c r="AL36">
        <f>AL35+IF($B$3="",0,--(SUMPRODUCT(--($AR$6:$AY$6&lt;&gt;""),--ISNUMBER(SEARCH($AR$6:$AY$6,$AK36)))&gt;0))</f>
        <v>0</v>
      </c>
      <c r="AM36">
        <f>IF(COUNTIF($BM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1</v>
      </c>
      <c r="AZ36">
        <f>IF($B$3="",IF(COUNTIF($A$4:$AI$4,"&lt;&gt;")=0,9,IF($AM36=1,9,10)),IF($AM36=0,10,IF(AND($AR$6&lt;&gt;"",ISNUMBER(SEARCH($AR$6,$AK36))),1,IF(AND($AS$6&lt;&gt;"",ISNUMBER(SEARCH($AS$6,$AK36))),2,IF(AND($AT$6&lt;&gt;"",ISNUMBER(SEARCH($AT$6,$AK36))),3,IF(AND($AU$6&lt;&gt;"",ISNUMBER(SEARCH($AU$6,$AK36))),4,IF(AND($AV$6&lt;&gt;"",ISNUMBER(SEARCH($AV$6,$AK36))),5,IF(AND($AW$6&lt;&gt;"",ISNUMBER(SEARCH($AW$6,$AK36))),6,IF(AND($AX$6&lt;&gt;"",ISNUMBER(SEARCH($AX$6,$AK36))),7,IF(AND($AY$6&lt;&gt;"",ISNUMBER(SEARCH($AY$6,$AK36))),8,0))))))))))</f>
        <v>9</v>
      </c>
      <c r="BA36">
        <f>SUMPRODUCT(($AZ$5:$AZ$41=$AZ36)*($BC$5:$BC$41&lt;$BC36))+1</f>
        <v>32</v>
      </c>
      <c r="BB36">
        <f>IF(INDEX($BF$4:$BF$13,$AZ36)=0,0,INDEX($BE$4:$BE$13,$AZ36)+$BA36-1)</f>
        <v>36</v>
      </c>
      <c r="BC36" t="n">
        <v>35</v>
      </c>
      <c r="BH36">
        <f>IFERROR(MATCH(36,$BF$4:$BF$13,0),0)</f>
        <v>0</v>
      </c>
      <c r="BI36">
        <f>IF(36=$BG$5,1,0)</f>
        <v>0</v>
      </c>
      <c r="BJ36">
        <f>IF(OR($BH36&gt;0,$BI36=1,$BL36=1),0,IFERROR(INDEX($BC$5:$BC$41,MATCH(36,$BB$5:$BB$41,0)),0))</f>
        <v>35</v>
      </c>
      <c r="BK36">
        <f>IF($BJ36&gt;0,IF(INDEX($AZ$5:$AZ$41,MATCH(36,$BB$5:$BB$41,0))=10,1,0),IF($BH36=10,1,0))</f>
        <v>0</v>
      </c>
      <c r="BL36">
        <f>IF(36=$BG$4,1,0)</f>
        <v>0</v>
      </c>
      <c r="BM36">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1</v>
      </c>
      <c r="BN36">
        <f>IF($B$4="",1,--(OR(SUMPRODUCT(--(TRIM(MID(SUBSTITUTE(SUBSTITUTE($B$4,"/",","),",",REPT(" ",99)),(ROW($1:$8)-1)*99+1,99))&lt;&gt;""),--ISNUMBER(SEARCH(TRIM(MID(SUBSTITUTE(SUBSTITUTE($B$4,"/",","),",",REPT(" ",99)),(ROW($1:$8)-1)*99+1,99)),IFERROR(('Final Calculation Sheet'!$F$35)&amp;"",""))))&gt;0,AND(ISNUMBER(SEARCH("blank",$B$4)),NOT(ISNUMBER(SEARCH("nonblank",$B$4))),IFERROR(('Final Calculation Sheet'!$F$35)&amp;"","")=""),AND(OR(ISNUMBER(SEARCH("nonblank",$B$4)),ISNUMBER(SEARCH("&lt;&gt;",$B$4))),IFERROR(('Final Calculation Sheet'!$F$35)&amp;"","")&lt;&gt;""),AND(TRIM($B$4)="",IFERROR(('Final Calculation Sheet'!$F$35)&amp;"","")=""))))</f>
        <v>1</v>
      </c>
      <c r="BO36">
        <f>IF($C$4="",1,--(OR(SUMPRODUCT(--(TRIM(MID(SUBSTITUTE(SUBSTITUTE($C$4,"/",","),",",REPT(" ",99)),(ROW($1:$8)-1)*99+1,99))&lt;&gt;""),--ISNUMBER(SEARCH(TRIM(MID(SUBSTITUTE(SUBSTITUTE($C$4,"/",","),",",REPT(" ",99)),(ROW($1:$8)-1)*99+1,99)),IFERROR(('Final Calculation Sheet'!$G$35)&amp;"",""))))&gt;0,AND(ISNUMBER(SEARCH("blank",$C$4)),NOT(ISNUMBER(SEARCH("nonblank",$C$4))),IFERROR(('Final Calculation Sheet'!$G$35)&amp;"","")=""),AND(OR(ISNUMBER(SEARCH("nonblank",$C$4)),ISNUMBER(SEARCH("&lt;&gt;",$C$4))),IFERROR(('Final Calculation Sheet'!$G$35)&amp;"","")&lt;&gt;""),AND(TRIM($C$4)="",IFERROR(('Final Calculation Sheet'!$G$35)&amp;"","")=""))))</f>
        <v>1</v>
      </c>
      <c r="BP36">
        <f>IF($D$4="",1,--(OR(SUMPRODUCT(--(TRIM(MID(SUBSTITUTE(SUBSTITUTE($D$4,"/",","),",",REPT(" ",99)),(ROW($1:$8)-1)*99+1,99))&lt;&gt;""),--ISNUMBER(SEARCH(TRIM(MID(SUBSTITUTE(SUBSTITUTE($D$4,"/",","),",",REPT(" ",99)),(ROW($1:$8)-1)*99+1,99)),IFERROR(('Final Calculation Sheet'!$B$35)&amp;"",""))))&gt;0,AND(ISNUMBER(SEARCH("blank",$D$4)),NOT(ISNUMBER(SEARCH("nonblank",$D$4))),IFERROR(('Final Calculation Sheet'!$B$35)&amp;"","")=""),AND(OR(ISNUMBER(SEARCH("nonblank",$D$4)),ISNUMBER(SEARCH("&lt;&gt;",$D$4))),IFERROR(('Final Calculation Sheet'!$B$35)&amp;"","")&lt;&gt;""),AND(TRIM($D$4)="",IFERROR(('Final Calculation Sheet'!$B$35)&amp;"","")=""))))</f>
        <v>1</v>
      </c>
      <c r="BQ36">
        <f>IF($E$4="",1,--(OR(SUMPRODUCT(--(TRIM(MID(SUBSTITUTE(SUBSTITUTE($E$4,"/",","),",",REPT(" ",99)),(ROW($1:$8)-1)*99+1,99))&lt;&gt;""),--ISNUMBER(SEARCH(TRIM(MID(SUBSTITUTE(SUBSTITUTE($E$4,"/",","),",",REPT(" ",99)),(ROW($1:$8)-1)*99+1,99)),IFERROR(('Final Calculation Sheet'!$D$35)&amp;"",""))))&gt;0,AND(ISNUMBER(SEARCH("blank",$E$4)),NOT(ISNUMBER(SEARCH("nonblank",$E$4))),IFERROR(('Final Calculation Sheet'!$D$35)&amp;"","")=""),AND(OR(ISNUMBER(SEARCH("nonblank",$E$4)),ISNUMBER(SEARCH("&lt;&gt;",$E$4))),IFERROR(('Final Calculation Sheet'!$D$35)&amp;"","")&lt;&gt;""),AND(TRIM($E$4)="",IFERROR(('Final Calculation Sheet'!$D$35)&amp;"","")=""))))</f>
        <v>1</v>
      </c>
      <c r="BR36">
        <f>IF($F$4="",1,--(OR(SUMPRODUCT(--(TRIM(MID(SUBSTITUTE(SUBSTITUTE($F$4,"/",","),",",REPT(" ",99)),(ROW($1:$8)-1)*99+1,99))&lt;&gt;""),--ISNUMBER(SEARCH(TRIM(MID(SUBSTITUTE(SUBSTITUTE($F$4,"/",","),",",REPT(" ",99)),(ROW($1:$8)-1)*99+1,99)),IFERROR(('Final Calculation Sheet'!$A$35)&amp;"",""))))&gt;0,AND(ISNUMBER(SEARCH("blank",$F$4)),NOT(ISNUMBER(SEARCH("nonblank",$F$4))),IFERROR(('Final Calculation Sheet'!$A$35)&amp;"","")=""),AND(OR(ISNUMBER(SEARCH("nonblank",$F$4)),ISNUMBER(SEARCH("&lt;&gt;",$F$4))),IFERROR(('Final Calculation Sheet'!$A$35)&amp;"","")&lt;&gt;""),AND(TRIM($F$4)="",IFERROR(('Final Calculation Sheet'!$A$35)&amp;"","")=""))))</f>
        <v>1</v>
      </c>
      <c r="BS36">
        <f>IF($G$4="",1,--(OR(SUMPRODUCT(--(TRIM(MID(SUBSTITUTE(SUBSTITUTE($G$4,"/",","),",",REPT(" ",99)),(ROW($1:$8)-1)*99+1,99))&lt;&gt;""),--ISNUMBER(SEARCH(TRIM(MID(SUBSTITUTE(SUBSTITUTE($G$4,"/",","),",",REPT(" ",99)),(ROW($1:$8)-1)*99+1,99)),IFERROR(('Final Calculation Sheet'!$E$35)&amp;"",""))))&gt;0,AND(ISNUMBER(SEARCH("blank",$G$4)),NOT(ISNUMBER(SEARCH("nonblank",$G$4))),IFERROR(('Final Calculation Sheet'!$E$35)&amp;"","")=""),AND(OR(ISNUMBER(SEARCH("nonblank",$G$4)),ISNUMBER(SEARCH("&lt;&gt;",$G$4))),IFERROR(('Final Calculation Sheet'!$E$35)&amp;"","")&lt;&gt;""),AND(TRIM($G$4)="",IFERROR(('Final Calculation Sheet'!$E$35)&amp;"","")=""))))</f>
        <v>1</v>
      </c>
      <c r="BT36">
        <f>IF($H$4="",1,--(OR(SUMPRODUCT(--(TRIM(MID(SUBSTITUTE(SUBSTITUTE($H$4,"/",","),",",REPT(" ",99)),(ROW($1:$8)-1)*99+1,99))&lt;&gt;""),--ISNUMBER(SEARCH(TRIM(MID(SUBSTITUTE(SUBSTITUTE($H$4,"/",","),",",REPT(" ",99)),(ROW($1:$8)-1)*99+1,99)),IFERROR(('Final Calculation Sheet'!$C$35)&amp;"",""))))&gt;0,AND(ISNUMBER(SEARCH("blank",$H$4)),NOT(ISNUMBER(SEARCH("nonblank",$H$4))),IFERROR(('Final Calculation Sheet'!$C$35)&amp;"","")=""),AND(OR(ISNUMBER(SEARCH("nonblank",$H$4)),ISNUMBER(SEARCH("&lt;&gt;",$H$4))),IFERROR(('Final Calculation Sheet'!$C$35)&amp;"","")&lt;&gt;""),AND(TRIM($H$4)="",IFERROR(('Final Calculation Sheet'!$C$35)&amp;"","")=""))))</f>
        <v>1</v>
      </c>
      <c r="BU36">
        <f>IF($I$4="",1,--(OR(SUMPRODUCT(--(TRIM(MID(SUBSTITUTE(SUBSTITUTE($I$4,"/",","),",",REPT(" ",99)),(ROW($1:$8)-1)*99+1,99))&lt;&gt;""),--ISNUMBER(SEARCH(TRIM(MID(SUBSTITUTE(SUBSTITUTE($I$4,"/",","),",",REPT(" ",99)),(ROW($1:$8)-1)*99+1,99)),IFERROR(('Final Calculation Sheet'!$H$35)&amp;"",""))))&gt;0,AND(ISNUMBER(SEARCH("blank",$I$4)),NOT(ISNUMBER(SEARCH("nonblank",$I$4))),IFERROR(('Final Calculation Sheet'!$H$35)&amp;"","")=""),AND(OR(ISNUMBER(SEARCH("nonblank",$I$4)),ISNUMBER(SEARCH("&lt;&gt;",$I$4))),IFERROR(('Final Calculation Sheet'!$H$35)&amp;"","")&lt;&gt;""),AND(TRIM($I$4)="",IFERROR(('Final Calculation Sheet'!$H$35)&amp;"","")=""))))</f>
        <v>1</v>
      </c>
      <c r="BV36">
        <f>IF($J$4="",1,--(OR(SUMPRODUCT(--(TRIM(MID(SUBSTITUTE(SUBSTITUTE($J$4,"/",","),",",REPT(" ",99)),(ROW($1:$8)-1)*99+1,99))&lt;&gt;""),--ISNUMBER(SEARCH(TRIM(MID(SUBSTITUTE(SUBSTITUTE($J$4,"/",","),",",REPT(" ",99)),(ROW($1:$8)-1)*99+1,99)),IFERROR(('Final Calculation Sheet'!$I$35)&amp;"",""))))&gt;0,AND(ISNUMBER(SEARCH("blank",$J$4)),NOT(ISNUMBER(SEARCH("nonblank",$J$4))),IFERROR(('Final Calculation Sheet'!$I$35)&amp;"","")=""),AND(OR(ISNUMBER(SEARCH("nonblank",$J$4)),ISNUMBER(SEARCH("&lt;&gt;",$J$4))),IFERROR(('Final Calculation Sheet'!$I$35)&amp;"","")&lt;&gt;""),AND(TRIM($J$4)="",IFERROR(('Final Calculation Sheet'!$I$35)&amp;"","")=""))))</f>
        <v>1</v>
      </c>
      <c r="BW36">
        <f>IF($K$4="",1,--(OR(SUMPRODUCT(--(TRIM(MID(SUBSTITUTE(SUBSTITUTE($K$4,"/",","),",",REPT(" ",99)),(ROW($1:$8)-1)*99+1,99))&lt;&gt;""),--ISNUMBER(SEARCH(TRIM(MID(SUBSTITUTE(SUBSTITUTE($K$4,"/",","),",",REPT(" ",99)),(ROW($1:$8)-1)*99+1,99)),IFERROR(('Final Calculation Sheet'!$J$35)&amp;"",""))))&gt;0,AND(ISNUMBER(SEARCH("blank",$K$4)),NOT(ISNUMBER(SEARCH("nonblank",$K$4))),IFERROR(('Final Calculation Sheet'!$J$35)&amp;"","")=""),AND(OR(ISNUMBER(SEARCH("nonblank",$K$4)),ISNUMBER(SEARCH("&lt;&gt;",$K$4))),IFERROR(('Final Calculation Sheet'!$J$35)&amp;"","")&lt;&gt;""),AND(TRIM($K$4)="",IFERROR(('Final Calculation Sheet'!$J$35)&amp;"","")=""))))</f>
        <v>1</v>
      </c>
      <c r="BX36">
        <f>IF($L$4="",1,--(OR(SUMPRODUCT(--(TRIM(MID(SUBSTITUTE(SUBSTITUTE($L$4,"/",","),",",REPT(" ",99)),(ROW($1:$8)-1)*99+1,99))&lt;&gt;""),--ISNUMBER(SEARCH(TRIM(MID(SUBSTITUTE(SUBSTITUTE($L$4,"/",","),",",REPT(" ",99)),(ROW($1:$8)-1)*99+1,99)),IFERROR(('Final Calculation Sheet'!$K$35)&amp;"",""))))&gt;0,AND(ISNUMBER(SEARCH("blank",$L$4)),NOT(ISNUMBER(SEARCH("nonblank",$L$4))),IFERROR(('Final Calculation Sheet'!$K$35)&amp;"","")=""),AND(OR(ISNUMBER(SEARCH("nonblank",$L$4)),ISNUMBER(SEARCH("&lt;&gt;",$L$4))),IFERROR(('Final Calculation Sheet'!$K$35)&amp;"","")&lt;&gt;""),AND(TRIM($L$4)="",IFERROR(('Final Calculation Sheet'!$K$35)&amp;"","")=""))))</f>
        <v>1</v>
      </c>
      <c r="BY36">
        <f>IF($M$4="",1,--(OR(SUMPRODUCT(--(TRIM(MID(SUBSTITUTE(SUBSTITUTE($M$4,"/",","),",",REPT(" ",99)),(ROW($1:$8)-1)*99+1,99))&lt;&gt;""),--ISNUMBER(SEARCH(TRIM(MID(SUBSTITUTE(SUBSTITUTE($M$4,"/",","),",",REPT(" ",99)),(ROW($1:$8)-1)*99+1,99)),IFERROR(('Final Calculation Sheet'!$L$35)&amp;"",""))))&gt;0,AND(ISNUMBER(SEARCH("blank",$M$4)),NOT(ISNUMBER(SEARCH("nonblank",$M$4))),IFERROR(('Final Calculation Sheet'!$L$35)&amp;"","")=""),AND(OR(ISNUMBER(SEARCH("nonblank",$M$4)),ISNUMBER(SEARCH("&lt;&gt;",$M$4))),IFERROR(('Final Calculation Sheet'!$L$35)&amp;"","")&lt;&gt;""),AND(TRIM($M$4)="",IFERROR(('Final Calculation Sheet'!$L$35)&amp;"","")=""))))</f>
        <v>1</v>
      </c>
      <c r="BZ36">
        <f>IF($N$4="",1,--(OR(SUMPRODUCT(--(TRIM(MID(SUBSTITUTE(SUBSTITUTE($N$4,"/",","),",",REPT(" ",99)),(ROW($1:$8)-1)*99+1,99))&lt;&gt;""),--ISNUMBER(SEARCH(TRIM(MID(SUBSTITUTE(SUBSTITUTE($N$4,"/",","),",",REPT(" ",99)),(ROW($1:$8)-1)*99+1,99)),IFERROR(('Final Calculation Sheet'!$M$35)&amp;"",""))))&gt;0,AND(ISNUMBER(SEARCH("blank",$N$4)),NOT(ISNUMBER(SEARCH("nonblank",$N$4))),IFERROR(('Final Calculation Sheet'!$M$35)&amp;"","")=""),AND(OR(ISNUMBER(SEARCH("nonblank",$N$4)),ISNUMBER(SEARCH("&lt;&gt;",$N$4))),IFERROR(('Final Calculation Sheet'!$M$35)&amp;"","")&lt;&gt;""),AND(TRIM($N$4)="",IFERROR(('Final Calculation Sheet'!$M$35)&amp;"","")=""))))</f>
        <v>1</v>
      </c>
      <c r="CA36">
        <f>IF($O$4="",1,--(OR(SUMPRODUCT(--(TRIM(MID(SUBSTITUTE(SUBSTITUTE($O$4,"/",","),",",REPT(" ",99)),(ROW($1:$8)-1)*99+1,99))&lt;&gt;""),--ISNUMBER(SEARCH(TRIM(MID(SUBSTITUTE(SUBSTITUTE($O$4,"/",","),",",REPT(" ",99)),(ROW($1:$8)-1)*99+1,99)),IFERROR(('Final Calculation Sheet'!$N$35)&amp;"",""))))&gt;0,AND(ISNUMBER(SEARCH("blank",$O$4)),NOT(ISNUMBER(SEARCH("nonblank",$O$4))),IFERROR(('Final Calculation Sheet'!$N$35)&amp;"","")=""),AND(OR(ISNUMBER(SEARCH("nonblank",$O$4)),ISNUMBER(SEARCH("&lt;&gt;",$O$4))),IFERROR(('Final Calculation Sheet'!$N$35)&amp;"","")&lt;&gt;""),AND(TRIM($O$4)="",IFERROR(('Final Calculation Sheet'!$N$35)&amp;"","")=""))))</f>
        <v>1</v>
      </c>
      <c r="CB36">
        <f>IF($P$4="",1,--(OR(SUMPRODUCT(--(TRIM(MID(SUBSTITUTE(SUBSTITUTE($P$4,"/",","),",",REPT(" ",99)),(ROW($1:$8)-1)*99+1,99))&lt;&gt;""),--ISNUMBER(SEARCH(TRIM(MID(SUBSTITUTE(SUBSTITUTE($P$4,"/",","),",",REPT(" ",99)),(ROW($1:$8)-1)*99+1,99)),IFERROR(('Final Calculation Sheet'!$O$35)&amp;"",""))))&gt;0,AND(ISNUMBER(SEARCH("blank",$P$4)),NOT(ISNUMBER(SEARCH("nonblank",$P$4))),IFERROR(('Final Calculation Sheet'!$O$35)&amp;"","")=""),AND(OR(ISNUMBER(SEARCH("nonblank",$P$4)),ISNUMBER(SEARCH("&lt;&gt;",$P$4))),IFERROR(('Final Calculation Sheet'!$O$35)&amp;"","")&lt;&gt;""),AND(TRIM($P$4)="",IFERROR(('Final Calculation Sheet'!$O$35)&amp;"","")=""))))</f>
        <v>1</v>
      </c>
      <c r="CC36">
        <f>IF($Q$4="",1,--(OR(SUMPRODUCT(--(TRIM(MID(SUBSTITUTE(SUBSTITUTE($Q$4,"/",","),",",REPT(" ",99)),(ROW($1:$8)-1)*99+1,99))&lt;&gt;""),--ISNUMBER(SEARCH(TRIM(MID(SUBSTITUTE(SUBSTITUTE($Q$4,"/",","),",",REPT(" ",99)),(ROW($1:$8)-1)*99+1,99)),IFERROR(('Final Calculation Sheet'!$P$35)&amp;"",""))))&gt;0,AND(ISNUMBER(SEARCH("blank",$Q$4)),NOT(ISNUMBER(SEARCH("nonblank",$Q$4))),IFERROR(('Final Calculation Sheet'!$P$35)&amp;"","")=""),AND(OR(ISNUMBER(SEARCH("nonblank",$Q$4)),ISNUMBER(SEARCH("&lt;&gt;",$Q$4))),IFERROR(('Final Calculation Sheet'!$P$35)&amp;"","")&lt;&gt;""),AND(TRIM($Q$4)="",IFERROR(('Final Calculation Sheet'!$P$35)&amp;"","")=""))))</f>
        <v>1</v>
      </c>
      <c r="CD36">
        <f>IF($R$4="",1,--(OR(SUMPRODUCT(--(TRIM(MID(SUBSTITUTE(SUBSTITUTE($R$4,"/",","),",",REPT(" ",99)),(ROW($1:$8)-1)*99+1,99))&lt;&gt;""),--ISNUMBER(SEARCH(TRIM(MID(SUBSTITUTE(SUBSTITUTE($R$4,"/",","),",",REPT(" ",99)),(ROW($1:$8)-1)*99+1,99)),IFERROR(('Final Calculation Sheet'!$Q$35)&amp;"",""))))&gt;0,AND(ISNUMBER(SEARCH("blank",$R$4)),NOT(ISNUMBER(SEARCH("nonblank",$R$4))),IFERROR(('Final Calculation Sheet'!$Q$35)&amp;"","")=""),AND(OR(ISNUMBER(SEARCH("nonblank",$R$4)),ISNUMBER(SEARCH("&lt;&gt;",$R$4))),IFERROR(('Final Calculation Sheet'!$Q$35)&amp;"","")&lt;&gt;""),AND(TRIM($R$4)="",IFERROR(('Final Calculation Sheet'!$Q$35)&amp;"","")=""))))</f>
        <v>1</v>
      </c>
      <c r="CE36">
        <f>IF($S$4="",1,--(OR(SUMPRODUCT(--(TRIM(MID(SUBSTITUTE(SUBSTITUTE($S$4,"/",","),",",REPT(" ",99)),(ROW($1:$8)-1)*99+1,99))&lt;&gt;""),--ISNUMBER(SEARCH(TRIM(MID(SUBSTITUTE(SUBSTITUTE($S$4,"/",","),",",REPT(" ",99)),(ROW($1:$8)-1)*99+1,99)),IFERROR(('Final Calculation Sheet'!$R$35)&amp;"",""))))&gt;0,AND(ISNUMBER(SEARCH("blank",$S$4)),NOT(ISNUMBER(SEARCH("nonblank",$S$4))),IFERROR(('Final Calculation Sheet'!$R$35)&amp;"","")=""),AND(OR(ISNUMBER(SEARCH("nonblank",$S$4)),ISNUMBER(SEARCH("&lt;&gt;",$S$4))),IFERROR(('Final Calculation Sheet'!$R$35)&amp;"","")&lt;&gt;""),AND(TRIM($S$4)="",IFERROR(('Final Calculation Sheet'!$R$35)&amp;"","")=""))))</f>
        <v>1</v>
      </c>
      <c r="CF36">
        <f>IF($T$4="",1,--(OR(SUMPRODUCT(--(TRIM(MID(SUBSTITUTE(SUBSTITUTE($T$4,"/",","),",",REPT(" ",99)),(ROW($1:$8)-1)*99+1,99))&lt;&gt;""),--ISNUMBER(SEARCH(TRIM(MID(SUBSTITUTE(SUBSTITUTE($T$4,"/",","),",",REPT(" ",99)),(ROW($1:$8)-1)*99+1,99)),IFERROR(('Final Calculation Sheet'!$S$35)&amp;"",""))))&gt;0,AND(ISNUMBER(SEARCH("blank",$T$4)),NOT(ISNUMBER(SEARCH("nonblank",$T$4))),IFERROR(('Final Calculation Sheet'!$S$35)&amp;"","")=""),AND(OR(ISNUMBER(SEARCH("nonblank",$T$4)),ISNUMBER(SEARCH("&lt;&gt;",$T$4))),IFERROR(('Final Calculation Sheet'!$S$35)&amp;"","")&lt;&gt;""),AND(TRIM($T$4)="",IFERROR(('Final Calculation Sheet'!$S$35)&amp;"","")=""))))</f>
        <v>1</v>
      </c>
      <c r="CG36">
        <f>IF($U$4="",1,--(OR(SUMPRODUCT(--(TRIM(MID(SUBSTITUTE(SUBSTITUTE($U$4,"/",","),",",REPT(" ",99)),(ROW($1:$8)-1)*99+1,99))&lt;&gt;""),--ISNUMBER(SEARCH(TRIM(MID(SUBSTITUTE(SUBSTITUTE($U$4,"/",","),",",REPT(" ",99)),(ROW($1:$8)-1)*99+1,99)),IFERROR(('Final Calculation Sheet'!$T$35)&amp;"",""))))&gt;0,AND(ISNUMBER(SEARCH("blank",$U$4)),NOT(ISNUMBER(SEARCH("nonblank",$U$4))),IFERROR(('Final Calculation Sheet'!$T$35)&amp;"","")=""),AND(OR(ISNUMBER(SEARCH("nonblank",$U$4)),ISNUMBER(SEARCH("&lt;&gt;",$U$4))),IFERROR(('Final Calculation Sheet'!$T$35)&amp;"","")&lt;&gt;""),AND(TRIM($U$4)="",IFERROR(('Final Calculation Sheet'!$T$35)&amp;"","")=""))))</f>
        <v>1</v>
      </c>
      <c r="CH36">
        <f>IF($V$4="",1,--(OR(SUMPRODUCT(--(TRIM(MID(SUBSTITUTE(SUBSTITUTE($V$4,"/",","),",",REPT(" ",99)),(ROW($1:$8)-1)*99+1,99))&lt;&gt;""),--ISNUMBER(SEARCH(TRIM(MID(SUBSTITUTE(SUBSTITUTE($V$4,"/",","),",",REPT(" ",99)),(ROW($1:$8)-1)*99+1,99)),IFERROR(('Final Calculation Sheet'!$U$35)&amp;"",""))))&gt;0,AND(ISNUMBER(SEARCH("blank",$V$4)),NOT(ISNUMBER(SEARCH("nonblank",$V$4))),IFERROR(('Final Calculation Sheet'!$U$35)&amp;"","")=""),AND(OR(ISNUMBER(SEARCH("nonblank",$V$4)),ISNUMBER(SEARCH("&lt;&gt;",$V$4))),IFERROR(('Final Calculation Sheet'!$U$35)&amp;"","")&lt;&gt;""),AND(TRIM($V$4)="",IFERROR(('Final Calculation Sheet'!$U$35)&amp;"","")=""))))</f>
        <v>1</v>
      </c>
      <c r="CI36">
        <f>IF($W$4="",1,--(OR(SUMPRODUCT(--(TRIM(MID(SUBSTITUTE(SUBSTITUTE($W$4,"/",","),",",REPT(" ",99)),(ROW($1:$8)-1)*99+1,99))&lt;&gt;""),--ISNUMBER(SEARCH(TRIM(MID(SUBSTITUTE(SUBSTITUTE($W$4,"/",","),",",REPT(" ",99)),(ROW($1:$8)-1)*99+1,99)),IFERROR(('Final Calculation Sheet'!$V$35)&amp;"",""))))&gt;0,AND(ISNUMBER(SEARCH("blank",$W$4)),NOT(ISNUMBER(SEARCH("nonblank",$W$4))),IFERROR(('Final Calculation Sheet'!$V$35)&amp;"","")=""),AND(OR(ISNUMBER(SEARCH("nonblank",$W$4)),ISNUMBER(SEARCH("&lt;&gt;",$W$4))),IFERROR(('Final Calculation Sheet'!$V$35)&amp;"","")&lt;&gt;""),AND(TRIM($W$4)="",IFERROR(('Final Calculation Sheet'!$V$35)&amp;"","")=""))))</f>
        <v>1</v>
      </c>
      <c r="CJ36">
        <f>IF($X$4="",1,--(OR(SUMPRODUCT(--(TRIM(MID(SUBSTITUTE(SUBSTITUTE($X$4,"/",","),",",REPT(" ",99)),(ROW($1:$8)-1)*99+1,99))&lt;&gt;""),--ISNUMBER(SEARCH(TRIM(MID(SUBSTITUTE(SUBSTITUTE($X$4,"/",","),",",REPT(" ",99)),(ROW($1:$8)-1)*99+1,99)),IFERROR(('Final Calculation Sheet'!$W$35)&amp;"",""))))&gt;0,AND(ISNUMBER(SEARCH("blank",$X$4)),NOT(ISNUMBER(SEARCH("nonblank",$X$4))),IFERROR(('Final Calculation Sheet'!$W$35)&amp;"","")=""),AND(OR(ISNUMBER(SEARCH("nonblank",$X$4)),ISNUMBER(SEARCH("&lt;&gt;",$X$4))),IFERROR(('Final Calculation Sheet'!$W$35)&amp;"","")&lt;&gt;""),AND(TRIM($X$4)="",IFERROR(('Final Calculation Sheet'!$W$35)&amp;"","")=""))))</f>
        <v>1</v>
      </c>
      <c r="CK36">
        <f>IF($Y$4="",1,--(OR(SUMPRODUCT(--(TRIM(MID(SUBSTITUTE(SUBSTITUTE($Y$4,"/",","),",",REPT(" ",99)),(ROW($1:$8)-1)*99+1,99))&lt;&gt;""),--ISNUMBER(SEARCH(TRIM(MID(SUBSTITUTE(SUBSTITUTE($Y$4,"/",","),",",REPT(" ",99)),(ROW($1:$8)-1)*99+1,99)),IFERROR(('Final Calculation Sheet'!$X$35)&amp;"",""))))&gt;0,AND(ISNUMBER(SEARCH("blank",$Y$4)),NOT(ISNUMBER(SEARCH("nonblank",$Y$4))),IFERROR(('Final Calculation Sheet'!$X$35)&amp;"","")=""),AND(OR(ISNUMBER(SEARCH("nonblank",$Y$4)),ISNUMBER(SEARCH("&lt;&gt;",$Y$4))),IFERROR(('Final Calculation Sheet'!$X$35)&amp;"","")&lt;&gt;""),AND(TRIM($Y$4)="",IFERROR(('Final Calculation Sheet'!$X$35)&amp;"","")=""))))</f>
        <v>1</v>
      </c>
      <c r="CL36">
        <f>IF($Z$4="",1,--(OR(SUMPRODUCT(--(TRIM(MID(SUBSTITUTE(SUBSTITUTE($Z$4,"/",","),",",REPT(" ",99)),(ROW($1:$8)-1)*99+1,99))&lt;&gt;""),--ISNUMBER(SEARCH(TRIM(MID(SUBSTITUTE(SUBSTITUTE($Z$4,"/",","),",",REPT(" ",99)),(ROW($1:$8)-1)*99+1,99)),IFERROR(('Final Calculation Sheet'!$Y$35)&amp;"",""))))&gt;0,AND(ISNUMBER(SEARCH("blank",$Z$4)),NOT(ISNUMBER(SEARCH("nonblank",$Z$4))),IFERROR(('Final Calculation Sheet'!$Y$35)&amp;"","")=""),AND(OR(ISNUMBER(SEARCH("nonblank",$Z$4)),ISNUMBER(SEARCH("&lt;&gt;",$Z$4))),IFERROR(('Final Calculation Sheet'!$Y$35)&amp;"","")&lt;&gt;""),AND(TRIM($Z$4)="",IFERROR(('Final Calculation Sheet'!$Y$35)&amp;"","")=""))))</f>
        <v>1</v>
      </c>
      <c r="CM36">
        <f>IF($AA$4="",1,--(OR(SUMPRODUCT(--(TRIM(MID(SUBSTITUTE(SUBSTITUTE($AA$4,"/",","),",",REPT(" ",99)),(ROW($1:$8)-1)*99+1,99))&lt;&gt;""),--ISNUMBER(SEARCH(TRIM(MID(SUBSTITUTE(SUBSTITUTE($AA$4,"/",","),",",REPT(" ",99)),(ROW($1:$8)-1)*99+1,99)),IFERROR(('Final Calculation Sheet'!$Z$35)&amp;"",""))))&gt;0,AND(ISNUMBER(SEARCH("blank",$AA$4)),NOT(ISNUMBER(SEARCH("nonblank",$AA$4))),IFERROR(('Final Calculation Sheet'!$Z$35)&amp;"","")=""),AND(OR(ISNUMBER(SEARCH("nonblank",$AA$4)),ISNUMBER(SEARCH("&lt;&gt;",$AA$4))),IFERROR(('Final Calculation Sheet'!$Z$35)&amp;"","")&lt;&gt;""),AND(TRIM($AA$4)="",IFERROR(('Final Calculation Sheet'!$Z$35)&amp;"","")=""))))</f>
        <v>1</v>
      </c>
      <c r="CN36">
        <f>IF($AB$4="",1,--(OR(SUMPRODUCT(--(TRIM(MID(SUBSTITUTE(SUBSTITUTE($AB$4,"/",","),",",REPT(" ",99)),(ROW($1:$8)-1)*99+1,99))&lt;&gt;""),--ISNUMBER(SEARCH(TRIM(MID(SUBSTITUTE(SUBSTITUTE($AB$4,"/",","),",",REPT(" ",99)),(ROW($1:$8)-1)*99+1,99)),IFERROR(('Final Calculation Sheet'!$AA$35)&amp;"",""))))&gt;0,AND(ISNUMBER(SEARCH("blank",$AB$4)),NOT(ISNUMBER(SEARCH("nonblank",$AB$4))),IFERROR(('Final Calculation Sheet'!$AA$35)&amp;"","")=""),AND(OR(ISNUMBER(SEARCH("nonblank",$AB$4)),ISNUMBER(SEARCH("&lt;&gt;",$AB$4))),IFERROR(('Final Calculation Sheet'!$AA$35)&amp;"","")&lt;&gt;""),AND(TRIM($AB$4)="",IFERROR(('Final Calculation Sheet'!$AA$35)&amp;"","")=""))))</f>
        <v>1</v>
      </c>
      <c r="CO36">
        <f>IF($AC$4="",1,--(OR(SUMPRODUCT(--(TRIM(MID(SUBSTITUTE(SUBSTITUTE($AC$4,"/",","),",",REPT(" ",99)),(ROW($1:$8)-1)*99+1,99))&lt;&gt;""),--ISNUMBER(SEARCH(TRIM(MID(SUBSTITUTE(SUBSTITUTE($AC$4,"/",","),",",REPT(" ",99)),(ROW($1:$8)-1)*99+1,99)),IFERROR(('Final Calculation Sheet'!$AB$35)&amp;"",""))))&gt;0,AND(ISNUMBER(SEARCH("blank",$AC$4)),NOT(ISNUMBER(SEARCH("nonblank",$AC$4))),IFERROR(('Final Calculation Sheet'!$AB$35)&amp;"","")=""),AND(OR(ISNUMBER(SEARCH("nonblank",$AC$4)),ISNUMBER(SEARCH("&lt;&gt;",$AC$4))),IFERROR(('Final Calculation Sheet'!$AB$35)&amp;"","")&lt;&gt;""),AND(TRIM($AC$4)="",IFERROR(('Final Calculation Sheet'!$AB$35)&amp;"","")=""))))</f>
        <v>1</v>
      </c>
      <c r="CP36">
        <f>IF($AD$4="",1,--(OR(SUMPRODUCT(--(TRIM(MID(SUBSTITUTE(SUBSTITUTE($AD$4,"/",","),",",REPT(" ",99)),(ROW($1:$8)-1)*99+1,99))&lt;&gt;""),--ISNUMBER(SEARCH(TRIM(MID(SUBSTITUTE(SUBSTITUTE($AD$4,"/",","),",",REPT(" ",99)),(ROW($1:$8)-1)*99+1,99)),IFERROR(('Final Calculation Sheet'!$AC$35)&amp;"",""))))&gt;0,AND(ISNUMBER(SEARCH("blank",$AD$4)),NOT(ISNUMBER(SEARCH("nonblank",$AD$4))),IFERROR(('Final Calculation Sheet'!$AC$35)&amp;"","")=""),AND(OR(ISNUMBER(SEARCH("nonblank",$AD$4)),ISNUMBER(SEARCH("&lt;&gt;",$AD$4))),IFERROR(('Final Calculation Sheet'!$AC$35)&amp;"","")&lt;&gt;""),AND(TRIM($AD$4)="",IFERROR(('Final Calculation Sheet'!$AC$35)&amp;"","")=""))))</f>
        <v>1</v>
      </c>
      <c r="CQ36">
        <f>IF($AE$4="",1,--(OR(SUMPRODUCT(--(TRIM(MID(SUBSTITUTE(SUBSTITUTE($AE$4,"/",","),",",REPT(" ",99)),(ROW($1:$8)-1)*99+1,99))&lt;&gt;""),--ISNUMBER(SEARCH(TRIM(MID(SUBSTITUTE(SUBSTITUTE($AE$4,"/",","),",",REPT(" ",99)),(ROW($1:$8)-1)*99+1,99)),IFERROR(('Final Calculation Sheet'!$AD$35)&amp;"",""))))&gt;0,AND(ISNUMBER(SEARCH("blank",$AE$4)),NOT(ISNUMBER(SEARCH("nonblank",$AE$4))),IFERROR(('Final Calculation Sheet'!$AD$35)&amp;"","")=""),AND(OR(ISNUMBER(SEARCH("nonblank",$AE$4)),ISNUMBER(SEARCH("&lt;&gt;",$AE$4))),IFERROR(('Final Calculation Sheet'!$AD$35)&amp;"","")&lt;&gt;""),AND(TRIM($AE$4)="",IFERROR(('Final Calculation Sheet'!$AD$35)&amp;"","")=""))))</f>
        <v>1</v>
      </c>
      <c r="CR36">
        <f>IF($AF$4="",1,--(OR(SUMPRODUCT(--(TRIM(MID(SUBSTITUTE(SUBSTITUTE($AF$4,"/",","),",",REPT(" ",99)),(ROW($1:$8)-1)*99+1,99))&lt;&gt;""),--ISNUMBER(SEARCH(TRIM(MID(SUBSTITUTE(SUBSTITUTE($AF$4,"/",","),",",REPT(" ",99)),(ROW($1:$8)-1)*99+1,99)),IFERROR(('Final Calculation Sheet'!$AE$35)&amp;"",""))))&gt;0,AND(ISNUMBER(SEARCH("blank",$AF$4)),NOT(ISNUMBER(SEARCH("nonblank",$AF$4))),IFERROR(('Final Calculation Sheet'!$AE$35)&amp;"","")=""),AND(OR(ISNUMBER(SEARCH("nonblank",$AF$4)),ISNUMBER(SEARCH("&lt;&gt;",$AF$4))),IFERROR(('Final Calculation Sheet'!$AE$35)&amp;"","")&lt;&gt;""),AND(TRIM($AF$4)="",IFERROR(('Final Calculation Sheet'!$AE$35)&amp;"","")=""))))</f>
        <v>1</v>
      </c>
      <c r="CS36">
        <f>IF($AG$4="",1,--(OR(SUMPRODUCT(--(TRIM(MID(SUBSTITUTE(SUBSTITUTE($AG$4,"/",","),",",REPT(" ",99)),(ROW($1:$8)-1)*99+1,99))&lt;&gt;""),--ISNUMBER(SEARCH(TRIM(MID(SUBSTITUTE(SUBSTITUTE($AG$4,"/",","),",",REPT(" ",99)),(ROW($1:$8)-1)*99+1,99)),IFERROR(('Final Calculation Sheet'!$AF$35)&amp;"",""))))&gt;0,AND(ISNUMBER(SEARCH("blank",$AG$4)),NOT(ISNUMBER(SEARCH("nonblank",$AG$4))),IFERROR(('Final Calculation Sheet'!$AF$35)&amp;"","")=""),AND(OR(ISNUMBER(SEARCH("nonblank",$AG$4)),ISNUMBER(SEARCH("&lt;&gt;",$AG$4))),IFERROR(('Final Calculation Sheet'!$AF$35)&amp;"","")&lt;&gt;""),AND(TRIM($AG$4)="",IFERROR(('Final Calculation Sheet'!$AF$35)&amp;"","")=""))))</f>
        <v>1</v>
      </c>
      <c r="CT36">
        <f>IF($AH$4="",1,--(OR(SUMPRODUCT(--(TRIM(MID(SUBSTITUTE(SUBSTITUTE($AH$4,"/",","),",",REPT(" ",99)),(ROW($1:$8)-1)*99+1,99))&lt;&gt;""),--ISNUMBER(SEARCH(TRIM(MID(SUBSTITUTE(SUBSTITUTE($AH$4,"/",","),",",REPT(" ",99)),(ROW($1:$8)-1)*99+1,99)),IFERROR(('Final Calculation Sheet'!$AG$35)&amp;"",""))))&gt;0,AND(ISNUMBER(SEARCH("blank",$AH$4)),NOT(ISNUMBER(SEARCH("nonblank",$AH$4))),IFERROR(('Final Calculation Sheet'!$AG$35)&amp;"","")=""),AND(OR(ISNUMBER(SEARCH("nonblank",$AH$4)),ISNUMBER(SEARCH("&lt;&gt;",$AH$4))),IFERROR(('Final Calculation Sheet'!$AG$35)&amp;"","")&lt;&gt;""),AND(TRIM($AH$4)="",IFERROR(('Final Calculation Sheet'!$AG$35)&amp;"","")=""))))</f>
        <v>1</v>
      </c>
      <c r="CU36">
        <f>IF($AI$4="",1,--(OR(SUMPRODUCT(--(TRIM(MID(SUBSTITUTE(SUBSTITUTE($AI$4,"/",","),",",REPT(" ",99)),(ROW($1:$8)-1)*99+1,99))&lt;&gt;""),--ISNUMBER(SEARCH(TRIM(MID(SUBSTITUTE(SUBSTITUTE($AI$4,"/",","),",",REPT(" ",99)),(ROW($1:$8)-1)*99+1,99)),IFERROR((IF('Final Calculation Sheet'!$AD$35&lt;=5,"SETTLED","OUTSTANDING"))&amp;"",""))))&gt;0,AND(ISNUMBER(SEARCH("blank",$AI$4)),NOT(ISNUMBER(SEARCH("nonblank",$AI$4))),IFERROR((IF('Final Calculation Sheet'!$AD$35&lt;=5,"SETTLED","OUTSTANDING"))&amp;"","")=""),AND(OR(ISNUMBER(SEARCH("nonblank",$AI$4)),ISNUMBER(SEARCH("&lt;&gt;",$AI$4))),IFERROR((IF('Final Calculation Sheet'!$AD$35&lt;=5,"SETTLED","OUTSTANDING"))&amp;"","")&lt;&gt;""),AND(TRIM($AI$4)="",IFERROR((IF('Final Calculation Sheet'!$AD$35&lt;=5,"SETTLED","OUTSTANDING"))&amp;"","")=""))))</f>
        <v>1</v>
      </c>
    </row>
    <row r="37" ht="15" customHeight="1" s="137">
      <c r="A37" s="67">
        <f>IF($BJ36&gt;0,INDEX($BA$5:$BA$41,MATCH(36,$BB$5:$BB$41,0)),IF(OR($BI36=1,$BL36=1,$BH36&gt;0),"∑",""))</f>
        <v>32</v>
      </c>
      <c r="B37" s="76">
        <f>IF($BJ36&gt;0,IF(INDEX('Final Calculation Sheet'!$F$4:$F$40,$BJ36-3)="","",INDEX('Final Calculation Sheet'!$F$4:$F$40,$BJ36-3)),"")</f>
        <v>2067</v>
      </c>
      <c r="C37" s="76" t="str">
        <f>IF($BJ36&gt;0,IF(INDEX('Final Calculation Sheet'!$G$4:$G$40,$BJ36-3)="","",INDEX('Final Calculation Sheet'!$G$4:$G$40,$BJ36-3)),IF(OR($BI36=1,$BL36=1,$BH36&gt;0),IF($BI36=1,37,IF($BL36=1,37-INDEX($BD$4:$BD$13,10),INDEX($BD$4:$BD$13,$BH36)))&amp;" lot(s)",""))</f>
        <v>WATAN SCRAP TRADERS</v>
      </c>
      <c r="D37" s="80" t="str">
        <f>IF($BJ36&gt;0,IF(INDEX('Final Calculation Sheet'!$B$4:$B$40,$BJ36-3)="","",INDEX('Final Calculation Sheet'!$B$4:$B$40,$BJ36-3)),IF(OR($BI36=1,$BL36=1,$BH36&gt;0),IF($BI36=1,"GRAND TOTAL  —  matching + remaining",IF($BL36=1,"TOTAL MATCHED  —  every group together",IF($BH36=10,"REMAINING  —  did not match the search",IF($BH36=9,IF(COUNTIF($A$4:$AI$4,"&lt;&gt;")&gt;0,"FILTERED LOTS  —  column fields","ALL LOTS  —  nothing typed in the box"),"GROUP "&amp;$BH36&amp;" TOTAL  —  lots matching  "&amp;INDEX($AR$6:$AY$6,$BH36))))),""))</f>
        <v>Scrap of empty oil drums</v>
      </c>
      <c r="E37" s="80">
        <f>IF($BJ36&gt;0,IF(INDEX('Final Calculation Sheet'!$D$4:$D$40,$BJ36-3)="","",INDEX('Final Calculation Sheet'!$D$4:$D$40,$BJ36-3)),IF(OR($BI36=1,$BL36=1,$BH36&gt;0),"–",""))</f>
        <v>21980</v>
      </c>
      <c r="F37" s="80">
        <f>IF($BJ36&gt;0,IF(INDEX('Final Calculation Sheet'!$A$4:$A$40,$BJ36-3)="","",INDEX('Final Calculation Sheet'!$A$4:$A$40,$BJ36-3)),IF(OR($BI36=1,$BL36=1,$BH36&gt;0),IF($BI36=1,SUM('Final Calculation Sheet'!$A$4:$A$40),IF($BL36=1,SUM('Final Calculation Sheet'!$A$4:$A$40)-SUMIFS('Final Calculation Sheet'!$A$4:$A$40,$AZ$5:$AZ$41,10),SUMIFS('Final Calculation Sheet'!$A$4:$A$40,$AZ$5:$AZ$41,$BH36))),""))</f>
        <v>150</v>
      </c>
      <c r="G37" s="80" t="str">
        <f>IF($BJ36&gt;0,IF(INDEX('Final Calculation Sheet'!$E$4:$E$40,$BJ36-3)="","",INDEX('Final Calculation Sheet'!$E$4:$E$40,$BJ36-3)),IF(OR($BI36=1,$BL36=1,$BH36&gt;0),"–",""))</f>
        <v>NO</v>
      </c>
      <c r="H37" s="70">
        <f>IF($BJ36&gt;0,IF(INDEX('Final Calculation Sheet'!$C$4:$C$40,$BJ36-3)="","",INDEX('Final Calculation Sheet'!$C$4:$C$40,$BJ36-3)),IF(OR($BI36=1,$BL36=1,$BH36&gt;0),"–",""))</f>
        <v>571</v>
      </c>
      <c r="I37" s="70">
        <f>IF($BJ36&gt;0,IF(INDEX('Final Calculation Sheet'!$H$4:$H$40,$BJ36-3)="","",INDEX('Final Calculation Sheet'!$H$4:$H$40,$BJ36-3)),IF(OR($BI36=1,$BL36=1,$BH36&gt;0),IF($BI36=1,SUM('Final Calculation Sheet'!$H$4:$H$40),IF($BL36=1,SUM('Final Calculation Sheet'!$H$4:$H$40)-SUMIFS('Final Calculation Sheet'!$H$4:$H$40,$AZ$5:$AZ$41,10),SUMIFS('Final Calculation Sheet'!$H$4:$H$40,$AZ$5:$AZ$41,$BH36))),""))</f>
        <v>85650</v>
      </c>
      <c r="J37" s="70">
        <f>IF($BJ36&gt;0,IF(INDEX('Final Calculation Sheet'!$I$4:$I$40,$BJ36-3)="","",INDEX('Final Calculation Sheet'!$I$4:$I$40,$BJ36-3)),IF(OR($BI36=1,$BL36=1,$BH36&gt;0),IF($BI36=1,SUM('Final Calculation Sheet'!$I$4:$I$40),IF($BL36=1,SUM('Final Calculation Sheet'!$I$4:$I$40)-SUMIFS('Final Calculation Sheet'!$I$4:$I$40,$AZ$5:$AZ$41,10),SUMIFS('Final Calculation Sheet'!$I$4:$I$40,$AZ$5:$AZ$41,$BH36))),""))</f>
        <v>15417</v>
      </c>
      <c r="K37" s="70">
        <f>IF($BJ36&gt;0,IF(INDEX('Final Calculation Sheet'!$J$4:$J$40,$BJ36-3)="","",INDEX('Final Calculation Sheet'!$J$4:$J$40,$BJ36-3)),IF(OR($BI36=1,$BL36=1,$BH36&gt;0),IF($BI36=1,SUM('Final Calculation Sheet'!$J$4:$J$40),IF($BL36=1,SUM('Final Calculation Sheet'!$J$4:$J$40)-SUMIFS('Final Calculation Sheet'!$J$4:$J$40,$AZ$5:$AZ$41,10),SUMIFS('Final Calculation Sheet'!$J$4:$J$40,$AZ$5:$AZ$41,$BH36))),""))</f>
        <v>101067</v>
      </c>
      <c r="L37" s="70">
        <f>IF($BJ36&gt;0,IF(INDEX('Final Calculation Sheet'!$K$4:$K$40,$BJ36-3)="","",INDEX('Final Calculation Sheet'!$K$4:$K$40,$BJ36-3)),IF(OR($BI36=1,$BL36=1,$BH36&gt;0),IF($BI36=1,SUM('Final Calculation Sheet'!$K$4:$K$40),IF($BL36=1,SUM('Final Calculation Sheet'!$K$4:$K$40)-SUMIFS('Final Calculation Sheet'!$K$4:$K$40,$AZ$5:$AZ$41,10),SUMIFS('Final Calculation Sheet'!$K$4:$K$40,$AZ$5:$AZ$41,$BH36))),""))</f>
        <v>2021</v>
      </c>
      <c r="M37" s="70">
        <f>IF($BJ36&gt;0,IF(INDEX('Final Calculation Sheet'!$L$4:$L$40,$BJ36-3)="","",INDEX('Final Calculation Sheet'!$L$4:$L$40,$BJ36-3)),IF(OR($BI36=1,$BL36=1,$BH36&gt;0),IF($BI36=1,SUM('Final Calculation Sheet'!$L$4:$L$40),IF($BL36=1,SUM('Final Calculation Sheet'!$L$4:$L$40)-SUMIFS('Final Calculation Sheet'!$L$4:$L$40,$AZ$5:$AZ$41,10),SUMIFS('Final Calculation Sheet'!$L$4:$L$40,$AZ$5:$AZ$41,$BH36))),""))</f>
        <v>85.65</v>
      </c>
      <c r="N37" s="70">
        <f>IF($BJ36&gt;0,IF(INDEX('Final Calculation Sheet'!$M$4:$M$40,$BJ36-3)="","",INDEX('Final Calculation Sheet'!$M$4:$M$40,$BJ36-3)),IF(OR($BI36=1,$BL36=1,$BH36&gt;0),IF($BI36=1,SUM('Final Calculation Sheet'!$M$4:$M$40),IF($BL36=1,SUM('Final Calculation Sheet'!$M$4:$M$40)-SUMIFS('Final Calculation Sheet'!$M$4:$M$40,$AZ$5:$AZ$41,10),SUMIFS('Final Calculation Sheet'!$M$4:$M$40,$AZ$5:$AZ$41,$BH36))),""))</f>
        <v>2274.0074999999997</v>
      </c>
      <c r="O37" s="71">
        <f>IF($BJ36&gt;0,IF(INDEX('Final Calculation Sheet'!$N$4:$N$40,$BJ36-3)="","",INDEX('Final Calculation Sheet'!$N$4:$N$40,$BJ36-3)),IF(OR($BI36=1,$BL36=1,$BH36&gt;0),IF($BI36=1,SUM('Final Calculation Sheet'!$N$4:$N$40),IF($BL36=1,SUM('Final Calculation Sheet'!$N$4:$N$40)-SUMIFS('Final Calculation Sheet'!$N$4:$N$40,$AZ$5:$AZ$41,10),SUMIFS('Final Calculation Sheet'!$N$4:$N$40,$AZ$5:$AZ$41,$BH36))),""))</f>
        <v>38.542500000000004</v>
      </c>
      <c r="P37" s="70">
        <f>IF($BJ36&gt;0,IF(INDEX('Final Calculation Sheet'!$O$4:$O$40,$BJ36-3)="","",INDEX('Final Calculation Sheet'!$O$4:$O$40,$BJ36-3)),IF(OR($BI36=1,$BL36=1,$BH36&gt;0),IF($BI36=1,SUM('Final Calculation Sheet'!$O$4:$O$40),IF($BL36=1,SUM('Final Calculation Sheet'!$O$4:$O$40)-SUMIFS('Final Calculation Sheet'!$O$4:$O$40,$AZ$5:$AZ$41,10),SUMIFS('Final Calculation Sheet'!$O$4:$O$40,$AZ$5:$AZ$41,$BH36))),""))</f>
        <v>2235.4649999999997</v>
      </c>
      <c r="Q37" s="70">
        <f>IF($BJ36&gt;0,IF(INDEX('Final Calculation Sheet'!$P$4:$P$40,$BJ36-3)="","",INDEX('Final Calculation Sheet'!$P$4:$P$40,$BJ36-3)),IF(OR($BI36=1,$BL36=1,$BH36&gt;0),IF($BI36=1,SUM('Final Calculation Sheet'!$P$4:$P$40),IF($BL36=1,SUM('Final Calculation Sheet'!$P$4:$P$40)-SUMIFS('Final Calculation Sheet'!$P$4:$P$40,$AZ$5:$AZ$41,10),SUMIFS('Final Calculation Sheet'!$P$4:$P$40,$AZ$5:$AZ$41,$BH36))),""))</f>
        <v>2321</v>
      </c>
      <c r="R37" s="72">
        <f>IF($BJ36&gt;0,IF(INDEX('Final Calculation Sheet'!$Q$4:$Q$40,$BJ36-3)="","",INDEX('Final Calculation Sheet'!$Q$4:$Q$40,$BJ36-3)),IF(OR($BI36=1,$BL36=1,$BH36&gt;0),"–",""))</f>
        <v>0</v>
      </c>
      <c r="S37" s="70">
        <f>IF($BJ36&gt;0,IF(INDEX('Final Calculation Sheet'!$R$4:$R$40,$BJ36-3)="","",INDEX('Final Calculation Sheet'!$R$4:$R$40,$BJ36-3)),IF(OR($BI36=1,$BL36=1,$BH36&gt;0),IF($BI36=1,SUM('Final Calculation Sheet'!$R$4:$R$40),IF($BL36=1,SUM('Final Calculation Sheet'!$R$4:$R$40)-SUMIFS('Final Calculation Sheet'!$R$4:$R$40,$AZ$5:$AZ$41,10),SUMIFS('Final Calculation Sheet'!$R$4:$R$40,$AZ$5:$AZ$41,$BH36))),""))</f>
        <v>0</v>
      </c>
      <c r="T37" s="70">
        <f>IF($BJ36&gt;0,IF(INDEX('Final Calculation Sheet'!$S$4:$S$40,$BJ36-3)="","",INDEX('Final Calculation Sheet'!$S$4:$S$40,$BJ36-3)),IF(OR($BI36=1,$BL36=1,$BH36&gt;0),IF($BI36=1,SUM('Final Calculation Sheet'!$S$4:$S$40),IF($BL36=1,SUM('Final Calculation Sheet'!$S$4:$S$40)-SUMIFS('Final Calculation Sheet'!$S$4:$S$40,$AZ$5:$AZ$41,10),SUMIFS('Final Calculation Sheet'!$S$4:$S$40,$AZ$5:$AZ$41,$BH36))),""))</f>
        <v>100767</v>
      </c>
      <c r="U37" s="70">
        <f>IF($BJ36&gt;0,IF(INDEX('Final Calculation Sheet'!$T$4:$T$40,$BJ36-3)="","",INDEX('Final Calculation Sheet'!$T$4:$T$40,$BJ36-3)),IF(OR($BI36=1,$BL36=1,$BH36&gt;0),IF($BI36=1,SUM('Final Calculation Sheet'!$T$4:$T$40),IF($BL36=1,SUM('Final Calculation Sheet'!$T$4:$T$40)-SUMIFS('Final Calculation Sheet'!$T$4:$T$40,$AZ$5:$AZ$41,10),SUMIFS('Final Calculation Sheet'!$T$4:$T$40,$AZ$5:$AZ$41,$BH36))),""))</f>
        <v>21413</v>
      </c>
      <c r="V37" s="73">
        <f>IF($BJ36&gt;0,IF(INDEX('Final Calculation Sheet'!$U$4:$U$40,$BJ36-3)="","",INDEX('Final Calculation Sheet'!$U$4:$U$40,$BJ36-3)),IF(OR($BI36=1,$BL36=1,$BH36&gt;0),IF($BI36=1,SUM('Final Calculation Sheet'!$U$4:$U$40),IF($BL36=1,SUM('Final Calculation Sheet'!$U$4:$U$40)-SUMIFS('Final Calculation Sheet'!$U$4:$U$40,$AZ$5:$AZ$41,10),SUMIFS('Final Calculation Sheet'!$U$4:$U$40,$AZ$5:$AZ$41,$BH36))),""))</f>
        <v>21413</v>
      </c>
      <c r="W37" s="70" t="str">
        <f>IF($BJ36&gt;0,IF(INDEX('Final Calculation Sheet'!$V$4:$V$40,$BJ36-3)="","",INDEX('Final Calculation Sheet'!$V$4:$V$40,$BJ36-3)),IF(OR($BI36=1,$BL36=1,$BH36&gt;0),"–",""))</f>
        <v>14.08.2026</v>
      </c>
      <c r="X37" s="70">
        <f>IF($BJ36&gt;0,IF(INDEX('Final Calculation Sheet'!$W$4:$W$40,$BJ36-3)="","",INDEX('Final Calculation Sheet'!$W$4:$W$40,$BJ36-3)),IF(OR($BI36=1,$BL36=1,$BH36&gt;0),IF($BI36=1,SUM('Final Calculation Sheet'!$W$4:$W$40),IF($BL36=1,SUM('Final Calculation Sheet'!$W$4:$W$40)-SUMIFS('Final Calculation Sheet'!$W$4:$W$40,$AZ$5:$AZ$41,10),SUMIFS('Final Calculation Sheet'!$W$4:$W$40,$AZ$5:$AZ$41,$BH36))),""))</f>
        <v>79355</v>
      </c>
      <c r="Y37" s="70">
        <f>IF($BJ36&gt;0,IF(INDEX('Final Calculation Sheet'!$X$4:$X$40,$BJ36-3)="","",INDEX('Final Calculation Sheet'!$X$4:$X$40,$BJ36-3)),IF(OR($BI36=1,$BL36=1,$BH36&gt;0),IF($BI36=1,SUM('Final Calculation Sheet'!$X$4:$X$40),IF($BL36=1,SUM('Final Calculation Sheet'!$X$4:$X$40)-SUMIFS('Final Calculation Sheet'!$X$4:$X$40,$AZ$5:$AZ$41,10),SUMIFS('Final Calculation Sheet'!$X$4:$X$40,$AZ$5:$AZ$41,$BH36))),""))</f>
        <v>79354</v>
      </c>
      <c r="Z37" s="70" t="str">
        <f>IF($BJ36&gt;0,IF(INDEX('Final Calculation Sheet'!$Y$4:$Y$40,$BJ36-3)="","",INDEX('Final Calculation Sheet'!$Y$4:$Y$40,$BJ36-3)),IF(OR($BI36=1,$BL36=1,$BH36&gt;0),"–",""))</f>
        <v>20.08.2026</v>
      </c>
      <c r="AA37" s="70">
        <f>IF($BJ36&gt;0,IF(INDEX('Final Calculation Sheet'!$Z$4:$Z$40,$BJ36-3)="","",INDEX('Final Calculation Sheet'!$Z$4:$Z$40,$BJ36-3)),IF(OR($BI36=1,$BL36=1,$BH36&gt;0),IF($BI36=1,SUM('Final Calculation Sheet'!$Z$4:$Z$40),IF($BL36=1,SUM('Final Calculation Sheet'!$Z$4:$Z$40)-SUMIFS('Final Calculation Sheet'!$Z$4:$Z$40,$AZ$5:$AZ$41,10),SUMIFS('Final Calculation Sheet'!$Z$4:$Z$40,$AZ$5:$AZ$41,$BH36))),""))</f>
        <v>0</v>
      </c>
      <c r="AB37" s="70" t="str">
        <f>IF($BJ36&gt;0,IF(INDEX('Final Calculation Sheet'!$AA$4:$AA$40,$BJ36-3)="","",INDEX('Final Calculation Sheet'!$AA$4:$AA$40,$BJ36-3)),IF(OR($BI36=1,$BL36=1,$BH36&gt;0),IF($BI36=1,SUM('Final Calculation Sheet'!$AA$4:$AA$40),IF($BL36=1,SUM('Final Calculation Sheet'!$AA$4:$AA$40)-SUMIFS('Final Calculation Sheet'!$AA$4:$AA$40,$AZ$5:$AZ$41,10),SUMIFS('Final Calculation Sheet'!$AA$4:$AA$40,$AZ$5:$AZ$41,$BH36))),""))</f>
        <v/>
      </c>
      <c r="AC37" s="70" t="str">
        <f>IF($BJ36&gt;0,IF(INDEX('Final Calculation Sheet'!$AB$4:$AB$40,$BJ36-3)="","",INDEX('Final Calculation Sheet'!$AB$4:$AB$40,$BJ36-3)),IF(OR($BI36=1,$BL36=1,$BH36&gt;0),"–",""))</f>
        <v/>
      </c>
      <c r="AD37" s="70">
        <f>IF($BJ36&gt;0,IF(INDEX('Final Calculation Sheet'!$AC$4:$AC$40,$BJ36-3)="","",INDEX('Final Calculation Sheet'!$AC$4:$AC$40,$BJ36-3)),IF(OR($BI36=1,$BL36=1,$BH36&gt;0),IF($BI36=1,SUM('Final Calculation Sheet'!$AC$4:$AC$40),IF($BL36=1,SUM('Final Calculation Sheet'!$AC$4:$AC$40)-SUMIFS('Final Calculation Sheet'!$AC$4:$AC$40,$AZ$5:$AZ$41,10),SUMIFS('Final Calculation Sheet'!$AC$4:$AC$40,$AZ$5:$AZ$41,$BH36))),""))</f>
        <v>100767</v>
      </c>
      <c r="AE37" s="70">
        <f>IF($BJ36&gt;0,IF(INDEX('Final Calculation Sheet'!$AD$4:$AD$40,$BJ36-3)="","",INDEX('Final Calculation Sheet'!$AD$4:$AD$40,$BJ36-3)),IF(OR($BI36=1,$BL36=1,$BH36&gt;0),IF($BI36=1,SUM('Final Calculation Sheet'!$AD$4:$AD$40),IF($BL36=1,SUM('Final Calculation Sheet'!$AD$4:$AD$40)-SUMIFS('Final Calculation Sheet'!$AD$4:$AD$40,$AZ$5:$AZ$41,10),SUMIFS('Final Calculation Sheet'!$AD$4:$AD$40,$AZ$5:$AZ$41,$BH36))),""))</f>
        <v>0</v>
      </c>
      <c r="AF37" s="70" t="str">
        <f>IF($BJ36&gt;0,IF(INDEX('Final Calculation Sheet'!$AE$4:$AE$40,$BJ36-3)="","",INDEX('Final Calculation Sheet'!$AE$4:$AE$40,$BJ36-3)),IF(OR($BI36=1,$BL36=1,$BH36&gt;0),"–",""))</f>
        <v>DR2640100027</v>
      </c>
      <c r="AG37" s="74">
        <f>IF($BJ36&gt;0,IF(INDEX('Final Calculation Sheet'!$AF$4:$AF$40,$BJ36-3)="","",INDEX('Final Calculation Sheet'!$AF$4:$AF$40,$BJ36-3)),IF(OR($BI36=1,$BL36=1,$BH36&gt;0),"–",""))</f>
        <v>1800003248</v>
      </c>
      <c r="AH37" s="70" t="str">
        <f>IF($BJ36&gt;0,IF(INDEX('Final Calculation Sheet'!$AG$4:$AG$40,$BJ36-3)="","",INDEX('Final Calculation Sheet'!$AG$4:$AG$40,$BJ36-3)),IF(OR($BI36=1,$BL36=1,$BH36&gt;0),"–",""))</f>
        <v>20.08.2026</v>
      </c>
      <c r="AI37" s="75" t="str">
        <f>IF($BJ36&gt;0,IF(INDEX('Final Calculation Sheet'!$AD$4:$AD$40,$BJ36-3)="","",IF(INDEX('Final Calculation Sheet'!$AD$4:$AD$40,$BJ36-3)&lt;=5,"SETTLED","OUTSTANDING")),IF(OR($BI36=1,$BL36=1,$BH36&gt;0),IF(IF($BI36=1,SUM('Final Calculation Sheet'!$AD$4:$AD$40),IF($BL36=1,SUM('Final Calculation Sheet'!$AD$4:$AD$40)-SUMIFS('Final Calculation Sheet'!$AD$4:$AD$40,$AZ$5:$AZ$41,10),SUMIFS('Final Calculation Sheet'!$AD$4:$AD$40,$AZ$5:$AZ$41,$BH36)))&lt;=5,"ALL SETTLED","OUTSTANDING"),""))</f>
        <v>SETTLED</v>
      </c>
      <c r="AK37" t="str">
        <f>IF($F$3="Lot No.",'Final Calculation Sheet'!$F$36,IF($F$3="Buyer",'Final Calculation Sheet'!$G$36,IF($F$3="Lot Name",'Final Calculation Sheet'!$B$36,IF($F$3="Bid Sheet",'Final Calculation Sheet'!$D$36,IF($F$3="Unit",'Final Calculation Sheet'!$E$36,'Final Calculation Sheet'!$F$36&amp;" "&amp;'Final Calculation Sheet'!$G$36&amp;" "&amp;'Final Calculation Sheet'!$B$36)))))</f>
        <v>2069 STERLING ENTERPRISES Scrap of 33 KV CB</v>
      </c>
      <c r="AL37">
        <f>AL36+IF($B$3="",0,--(SUMPRODUCT(--($AR$6:$AY$6&lt;&gt;""),--ISNUMBER(SEARCH($AR$6:$AY$6,$AK37)))&gt;0))</f>
        <v>0</v>
      </c>
      <c r="AM37">
        <f>IF(COUNTIF($BM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1</v>
      </c>
      <c r="AZ37">
        <f>IF($B$3="",IF(COUNTIF($A$4:$AI$4,"&lt;&gt;")=0,9,IF($AM37=1,9,10)),IF($AM37=0,10,IF(AND($AR$6&lt;&gt;"",ISNUMBER(SEARCH($AR$6,$AK37))),1,IF(AND($AS$6&lt;&gt;"",ISNUMBER(SEARCH($AS$6,$AK37))),2,IF(AND($AT$6&lt;&gt;"",ISNUMBER(SEARCH($AT$6,$AK37))),3,IF(AND($AU$6&lt;&gt;"",ISNUMBER(SEARCH($AU$6,$AK37))),4,IF(AND($AV$6&lt;&gt;"",ISNUMBER(SEARCH($AV$6,$AK37))),5,IF(AND($AW$6&lt;&gt;"",ISNUMBER(SEARCH($AW$6,$AK37))),6,IF(AND($AX$6&lt;&gt;"",ISNUMBER(SEARCH($AX$6,$AK37))),7,IF(AND($AY$6&lt;&gt;"",ISNUMBER(SEARCH($AY$6,$AK37))),8,0))))))))))</f>
        <v>9</v>
      </c>
      <c r="BA37">
        <f>SUMPRODUCT(($AZ$5:$AZ$41=$AZ37)*($BC$5:$BC$41&lt;$BC37))+1</f>
        <v>33</v>
      </c>
      <c r="BB37">
        <f>IF(INDEX($BF$4:$BF$13,$AZ37)=0,0,INDEX($BE$4:$BE$13,$AZ37)+$BA37-1)</f>
        <v>37</v>
      </c>
      <c r="BC37" t="n">
        <v>36</v>
      </c>
      <c r="BH37">
        <f>IFERROR(MATCH(37,$BF$4:$BF$13,0),0)</f>
        <v>0</v>
      </c>
      <c r="BI37">
        <f>IF(37=$BG$5,1,0)</f>
        <v>0</v>
      </c>
      <c r="BJ37">
        <f>IF(OR($BH37&gt;0,$BI37=1,$BL37=1),0,IFERROR(INDEX($BC$5:$BC$41,MATCH(37,$BB$5:$BB$41,0)),0))</f>
        <v>36</v>
      </c>
      <c r="BK37">
        <f>IF($BJ37&gt;0,IF(INDEX($AZ$5:$AZ$41,MATCH(37,$BB$5:$BB$41,0))=10,1,0),IF($BH37=10,1,0))</f>
        <v>0</v>
      </c>
      <c r="BL37">
        <f>IF(37=$BG$4,1,0)</f>
        <v>0</v>
      </c>
      <c r="BM37">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1</v>
      </c>
      <c r="BN37">
        <f>IF($B$4="",1,--(OR(SUMPRODUCT(--(TRIM(MID(SUBSTITUTE(SUBSTITUTE($B$4,"/",","),",",REPT(" ",99)),(ROW($1:$8)-1)*99+1,99))&lt;&gt;""),--ISNUMBER(SEARCH(TRIM(MID(SUBSTITUTE(SUBSTITUTE($B$4,"/",","),",",REPT(" ",99)),(ROW($1:$8)-1)*99+1,99)),IFERROR(('Final Calculation Sheet'!$F$36)&amp;"",""))))&gt;0,AND(ISNUMBER(SEARCH("blank",$B$4)),NOT(ISNUMBER(SEARCH("nonblank",$B$4))),IFERROR(('Final Calculation Sheet'!$F$36)&amp;"","")=""),AND(OR(ISNUMBER(SEARCH("nonblank",$B$4)),ISNUMBER(SEARCH("&lt;&gt;",$B$4))),IFERROR(('Final Calculation Sheet'!$F$36)&amp;"","")&lt;&gt;""),AND(TRIM($B$4)="",IFERROR(('Final Calculation Sheet'!$F$36)&amp;"","")=""))))</f>
        <v>1</v>
      </c>
      <c r="BO37">
        <f>IF($C$4="",1,--(OR(SUMPRODUCT(--(TRIM(MID(SUBSTITUTE(SUBSTITUTE($C$4,"/",","),",",REPT(" ",99)),(ROW($1:$8)-1)*99+1,99))&lt;&gt;""),--ISNUMBER(SEARCH(TRIM(MID(SUBSTITUTE(SUBSTITUTE($C$4,"/",","),",",REPT(" ",99)),(ROW($1:$8)-1)*99+1,99)),IFERROR(('Final Calculation Sheet'!$G$36)&amp;"",""))))&gt;0,AND(ISNUMBER(SEARCH("blank",$C$4)),NOT(ISNUMBER(SEARCH("nonblank",$C$4))),IFERROR(('Final Calculation Sheet'!$G$36)&amp;"","")=""),AND(OR(ISNUMBER(SEARCH("nonblank",$C$4)),ISNUMBER(SEARCH("&lt;&gt;",$C$4))),IFERROR(('Final Calculation Sheet'!$G$36)&amp;"","")&lt;&gt;""),AND(TRIM($C$4)="",IFERROR(('Final Calculation Sheet'!$G$36)&amp;"","")=""))))</f>
        <v>1</v>
      </c>
      <c r="BP37">
        <f>IF($D$4="",1,--(OR(SUMPRODUCT(--(TRIM(MID(SUBSTITUTE(SUBSTITUTE($D$4,"/",","),",",REPT(" ",99)),(ROW($1:$8)-1)*99+1,99))&lt;&gt;""),--ISNUMBER(SEARCH(TRIM(MID(SUBSTITUTE(SUBSTITUTE($D$4,"/",","),",",REPT(" ",99)),(ROW($1:$8)-1)*99+1,99)),IFERROR(('Final Calculation Sheet'!$B$36)&amp;"",""))))&gt;0,AND(ISNUMBER(SEARCH("blank",$D$4)),NOT(ISNUMBER(SEARCH("nonblank",$D$4))),IFERROR(('Final Calculation Sheet'!$B$36)&amp;"","")=""),AND(OR(ISNUMBER(SEARCH("nonblank",$D$4)),ISNUMBER(SEARCH("&lt;&gt;",$D$4))),IFERROR(('Final Calculation Sheet'!$B$36)&amp;"","")&lt;&gt;""),AND(TRIM($D$4)="",IFERROR(('Final Calculation Sheet'!$B$36)&amp;"","")=""))))</f>
        <v>1</v>
      </c>
      <c r="BQ37">
        <f>IF($E$4="",1,--(OR(SUMPRODUCT(--(TRIM(MID(SUBSTITUTE(SUBSTITUTE($E$4,"/",","),",",REPT(" ",99)),(ROW($1:$8)-1)*99+1,99))&lt;&gt;""),--ISNUMBER(SEARCH(TRIM(MID(SUBSTITUTE(SUBSTITUTE($E$4,"/",","),",",REPT(" ",99)),(ROW($1:$8)-1)*99+1,99)),IFERROR(('Final Calculation Sheet'!$D$36)&amp;"",""))))&gt;0,AND(ISNUMBER(SEARCH("blank",$E$4)),NOT(ISNUMBER(SEARCH("nonblank",$E$4))),IFERROR(('Final Calculation Sheet'!$D$36)&amp;"","")=""),AND(OR(ISNUMBER(SEARCH("nonblank",$E$4)),ISNUMBER(SEARCH("&lt;&gt;",$E$4))),IFERROR(('Final Calculation Sheet'!$D$36)&amp;"","")&lt;&gt;""),AND(TRIM($E$4)="",IFERROR(('Final Calculation Sheet'!$D$36)&amp;"","")=""))))</f>
        <v>1</v>
      </c>
      <c r="BR37">
        <f>IF($F$4="",1,--(OR(SUMPRODUCT(--(TRIM(MID(SUBSTITUTE(SUBSTITUTE($F$4,"/",","),",",REPT(" ",99)),(ROW($1:$8)-1)*99+1,99))&lt;&gt;""),--ISNUMBER(SEARCH(TRIM(MID(SUBSTITUTE(SUBSTITUTE($F$4,"/",","),",",REPT(" ",99)),(ROW($1:$8)-1)*99+1,99)),IFERROR(('Final Calculation Sheet'!$A$36)&amp;"",""))))&gt;0,AND(ISNUMBER(SEARCH("blank",$F$4)),NOT(ISNUMBER(SEARCH("nonblank",$F$4))),IFERROR(('Final Calculation Sheet'!$A$36)&amp;"","")=""),AND(OR(ISNUMBER(SEARCH("nonblank",$F$4)),ISNUMBER(SEARCH("&lt;&gt;",$F$4))),IFERROR(('Final Calculation Sheet'!$A$36)&amp;"","")&lt;&gt;""),AND(TRIM($F$4)="",IFERROR(('Final Calculation Sheet'!$A$36)&amp;"","")=""))))</f>
        <v>1</v>
      </c>
      <c r="BS37">
        <f>IF($G$4="",1,--(OR(SUMPRODUCT(--(TRIM(MID(SUBSTITUTE(SUBSTITUTE($G$4,"/",","),",",REPT(" ",99)),(ROW($1:$8)-1)*99+1,99))&lt;&gt;""),--ISNUMBER(SEARCH(TRIM(MID(SUBSTITUTE(SUBSTITUTE($G$4,"/",","),",",REPT(" ",99)),(ROW($1:$8)-1)*99+1,99)),IFERROR(('Final Calculation Sheet'!$E$36)&amp;"",""))))&gt;0,AND(ISNUMBER(SEARCH("blank",$G$4)),NOT(ISNUMBER(SEARCH("nonblank",$G$4))),IFERROR(('Final Calculation Sheet'!$E$36)&amp;"","")=""),AND(OR(ISNUMBER(SEARCH("nonblank",$G$4)),ISNUMBER(SEARCH("&lt;&gt;",$G$4))),IFERROR(('Final Calculation Sheet'!$E$36)&amp;"","")&lt;&gt;""),AND(TRIM($G$4)="",IFERROR(('Final Calculation Sheet'!$E$36)&amp;"","")=""))))</f>
        <v>1</v>
      </c>
      <c r="BT37">
        <f>IF($H$4="",1,--(OR(SUMPRODUCT(--(TRIM(MID(SUBSTITUTE(SUBSTITUTE($H$4,"/",","),",",REPT(" ",99)),(ROW($1:$8)-1)*99+1,99))&lt;&gt;""),--ISNUMBER(SEARCH(TRIM(MID(SUBSTITUTE(SUBSTITUTE($H$4,"/",","),",",REPT(" ",99)),(ROW($1:$8)-1)*99+1,99)),IFERROR(('Final Calculation Sheet'!$C$36)&amp;"",""))))&gt;0,AND(ISNUMBER(SEARCH("blank",$H$4)),NOT(ISNUMBER(SEARCH("nonblank",$H$4))),IFERROR(('Final Calculation Sheet'!$C$36)&amp;"","")=""),AND(OR(ISNUMBER(SEARCH("nonblank",$H$4)),ISNUMBER(SEARCH("&lt;&gt;",$H$4))),IFERROR(('Final Calculation Sheet'!$C$36)&amp;"","")&lt;&gt;""),AND(TRIM($H$4)="",IFERROR(('Final Calculation Sheet'!$C$36)&amp;"","")=""))))</f>
        <v>1</v>
      </c>
      <c r="BU37">
        <f>IF($I$4="",1,--(OR(SUMPRODUCT(--(TRIM(MID(SUBSTITUTE(SUBSTITUTE($I$4,"/",","),",",REPT(" ",99)),(ROW($1:$8)-1)*99+1,99))&lt;&gt;""),--ISNUMBER(SEARCH(TRIM(MID(SUBSTITUTE(SUBSTITUTE($I$4,"/",","),",",REPT(" ",99)),(ROW($1:$8)-1)*99+1,99)),IFERROR(('Final Calculation Sheet'!$H$36)&amp;"",""))))&gt;0,AND(ISNUMBER(SEARCH("blank",$I$4)),NOT(ISNUMBER(SEARCH("nonblank",$I$4))),IFERROR(('Final Calculation Sheet'!$H$36)&amp;"","")=""),AND(OR(ISNUMBER(SEARCH("nonblank",$I$4)),ISNUMBER(SEARCH("&lt;&gt;",$I$4))),IFERROR(('Final Calculation Sheet'!$H$36)&amp;"","")&lt;&gt;""),AND(TRIM($I$4)="",IFERROR(('Final Calculation Sheet'!$H$36)&amp;"","")=""))))</f>
        <v>1</v>
      </c>
      <c r="BV37">
        <f>IF($J$4="",1,--(OR(SUMPRODUCT(--(TRIM(MID(SUBSTITUTE(SUBSTITUTE($J$4,"/",","),",",REPT(" ",99)),(ROW($1:$8)-1)*99+1,99))&lt;&gt;""),--ISNUMBER(SEARCH(TRIM(MID(SUBSTITUTE(SUBSTITUTE($J$4,"/",","),",",REPT(" ",99)),(ROW($1:$8)-1)*99+1,99)),IFERROR(('Final Calculation Sheet'!$I$36)&amp;"",""))))&gt;0,AND(ISNUMBER(SEARCH("blank",$J$4)),NOT(ISNUMBER(SEARCH("nonblank",$J$4))),IFERROR(('Final Calculation Sheet'!$I$36)&amp;"","")=""),AND(OR(ISNUMBER(SEARCH("nonblank",$J$4)),ISNUMBER(SEARCH("&lt;&gt;",$J$4))),IFERROR(('Final Calculation Sheet'!$I$36)&amp;"","")&lt;&gt;""),AND(TRIM($J$4)="",IFERROR(('Final Calculation Sheet'!$I$36)&amp;"","")=""))))</f>
        <v>1</v>
      </c>
      <c r="BW37">
        <f>IF($K$4="",1,--(OR(SUMPRODUCT(--(TRIM(MID(SUBSTITUTE(SUBSTITUTE($K$4,"/",","),",",REPT(" ",99)),(ROW($1:$8)-1)*99+1,99))&lt;&gt;""),--ISNUMBER(SEARCH(TRIM(MID(SUBSTITUTE(SUBSTITUTE($K$4,"/",","),",",REPT(" ",99)),(ROW($1:$8)-1)*99+1,99)),IFERROR(('Final Calculation Sheet'!$J$36)&amp;"",""))))&gt;0,AND(ISNUMBER(SEARCH("blank",$K$4)),NOT(ISNUMBER(SEARCH("nonblank",$K$4))),IFERROR(('Final Calculation Sheet'!$J$36)&amp;"","")=""),AND(OR(ISNUMBER(SEARCH("nonblank",$K$4)),ISNUMBER(SEARCH("&lt;&gt;",$K$4))),IFERROR(('Final Calculation Sheet'!$J$36)&amp;"","")&lt;&gt;""),AND(TRIM($K$4)="",IFERROR(('Final Calculation Sheet'!$J$36)&amp;"","")=""))))</f>
        <v>1</v>
      </c>
      <c r="BX37">
        <f>IF($L$4="",1,--(OR(SUMPRODUCT(--(TRIM(MID(SUBSTITUTE(SUBSTITUTE($L$4,"/",","),",",REPT(" ",99)),(ROW($1:$8)-1)*99+1,99))&lt;&gt;""),--ISNUMBER(SEARCH(TRIM(MID(SUBSTITUTE(SUBSTITUTE($L$4,"/",","),",",REPT(" ",99)),(ROW($1:$8)-1)*99+1,99)),IFERROR(('Final Calculation Sheet'!$K$36)&amp;"",""))))&gt;0,AND(ISNUMBER(SEARCH("blank",$L$4)),NOT(ISNUMBER(SEARCH("nonblank",$L$4))),IFERROR(('Final Calculation Sheet'!$K$36)&amp;"","")=""),AND(OR(ISNUMBER(SEARCH("nonblank",$L$4)),ISNUMBER(SEARCH("&lt;&gt;",$L$4))),IFERROR(('Final Calculation Sheet'!$K$36)&amp;"","")&lt;&gt;""),AND(TRIM($L$4)="",IFERROR(('Final Calculation Sheet'!$K$36)&amp;"","")=""))))</f>
        <v>1</v>
      </c>
      <c r="BY37">
        <f>IF($M$4="",1,--(OR(SUMPRODUCT(--(TRIM(MID(SUBSTITUTE(SUBSTITUTE($M$4,"/",","),",",REPT(" ",99)),(ROW($1:$8)-1)*99+1,99))&lt;&gt;""),--ISNUMBER(SEARCH(TRIM(MID(SUBSTITUTE(SUBSTITUTE($M$4,"/",","),",",REPT(" ",99)),(ROW($1:$8)-1)*99+1,99)),IFERROR(('Final Calculation Sheet'!$L$36)&amp;"",""))))&gt;0,AND(ISNUMBER(SEARCH("blank",$M$4)),NOT(ISNUMBER(SEARCH("nonblank",$M$4))),IFERROR(('Final Calculation Sheet'!$L$36)&amp;"","")=""),AND(OR(ISNUMBER(SEARCH("nonblank",$M$4)),ISNUMBER(SEARCH("&lt;&gt;",$M$4))),IFERROR(('Final Calculation Sheet'!$L$36)&amp;"","")&lt;&gt;""),AND(TRIM($M$4)="",IFERROR(('Final Calculation Sheet'!$L$36)&amp;"","")=""))))</f>
        <v>1</v>
      </c>
      <c r="BZ37">
        <f>IF($N$4="",1,--(OR(SUMPRODUCT(--(TRIM(MID(SUBSTITUTE(SUBSTITUTE($N$4,"/",","),",",REPT(" ",99)),(ROW($1:$8)-1)*99+1,99))&lt;&gt;""),--ISNUMBER(SEARCH(TRIM(MID(SUBSTITUTE(SUBSTITUTE($N$4,"/",","),",",REPT(" ",99)),(ROW($1:$8)-1)*99+1,99)),IFERROR(('Final Calculation Sheet'!$M$36)&amp;"",""))))&gt;0,AND(ISNUMBER(SEARCH("blank",$N$4)),NOT(ISNUMBER(SEARCH("nonblank",$N$4))),IFERROR(('Final Calculation Sheet'!$M$36)&amp;"","")=""),AND(OR(ISNUMBER(SEARCH("nonblank",$N$4)),ISNUMBER(SEARCH("&lt;&gt;",$N$4))),IFERROR(('Final Calculation Sheet'!$M$36)&amp;"","")&lt;&gt;""),AND(TRIM($N$4)="",IFERROR(('Final Calculation Sheet'!$M$36)&amp;"","")=""))))</f>
        <v>1</v>
      </c>
      <c r="CA37">
        <f>IF($O$4="",1,--(OR(SUMPRODUCT(--(TRIM(MID(SUBSTITUTE(SUBSTITUTE($O$4,"/",","),",",REPT(" ",99)),(ROW($1:$8)-1)*99+1,99))&lt;&gt;""),--ISNUMBER(SEARCH(TRIM(MID(SUBSTITUTE(SUBSTITUTE($O$4,"/",","),",",REPT(" ",99)),(ROW($1:$8)-1)*99+1,99)),IFERROR(('Final Calculation Sheet'!$N$36)&amp;"",""))))&gt;0,AND(ISNUMBER(SEARCH("blank",$O$4)),NOT(ISNUMBER(SEARCH("nonblank",$O$4))),IFERROR(('Final Calculation Sheet'!$N$36)&amp;"","")=""),AND(OR(ISNUMBER(SEARCH("nonblank",$O$4)),ISNUMBER(SEARCH("&lt;&gt;",$O$4))),IFERROR(('Final Calculation Sheet'!$N$36)&amp;"","")&lt;&gt;""),AND(TRIM($O$4)="",IFERROR(('Final Calculation Sheet'!$N$36)&amp;"","")=""))))</f>
        <v>1</v>
      </c>
      <c r="CB37">
        <f>IF($P$4="",1,--(OR(SUMPRODUCT(--(TRIM(MID(SUBSTITUTE(SUBSTITUTE($P$4,"/",","),",",REPT(" ",99)),(ROW($1:$8)-1)*99+1,99))&lt;&gt;""),--ISNUMBER(SEARCH(TRIM(MID(SUBSTITUTE(SUBSTITUTE($P$4,"/",","),",",REPT(" ",99)),(ROW($1:$8)-1)*99+1,99)),IFERROR(('Final Calculation Sheet'!$O$36)&amp;"",""))))&gt;0,AND(ISNUMBER(SEARCH("blank",$P$4)),NOT(ISNUMBER(SEARCH("nonblank",$P$4))),IFERROR(('Final Calculation Sheet'!$O$36)&amp;"","")=""),AND(OR(ISNUMBER(SEARCH("nonblank",$P$4)),ISNUMBER(SEARCH("&lt;&gt;",$P$4))),IFERROR(('Final Calculation Sheet'!$O$36)&amp;"","")&lt;&gt;""),AND(TRIM($P$4)="",IFERROR(('Final Calculation Sheet'!$O$36)&amp;"","")=""))))</f>
        <v>1</v>
      </c>
      <c r="CC37">
        <f>IF($Q$4="",1,--(OR(SUMPRODUCT(--(TRIM(MID(SUBSTITUTE(SUBSTITUTE($Q$4,"/",","),",",REPT(" ",99)),(ROW($1:$8)-1)*99+1,99))&lt;&gt;""),--ISNUMBER(SEARCH(TRIM(MID(SUBSTITUTE(SUBSTITUTE($Q$4,"/",","),",",REPT(" ",99)),(ROW($1:$8)-1)*99+1,99)),IFERROR(('Final Calculation Sheet'!$P$36)&amp;"",""))))&gt;0,AND(ISNUMBER(SEARCH("blank",$Q$4)),NOT(ISNUMBER(SEARCH("nonblank",$Q$4))),IFERROR(('Final Calculation Sheet'!$P$36)&amp;"","")=""),AND(OR(ISNUMBER(SEARCH("nonblank",$Q$4)),ISNUMBER(SEARCH("&lt;&gt;",$Q$4))),IFERROR(('Final Calculation Sheet'!$P$36)&amp;"","")&lt;&gt;""),AND(TRIM($Q$4)="",IFERROR(('Final Calculation Sheet'!$P$36)&amp;"","")=""))))</f>
        <v>1</v>
      </c>
      <c r="CD37">
        <f>IF($R$4="",1,--(OR(SUMPRODUCT(--(TRIM(MID(SUBSTITUTE(SUBSTITUTE($R$4,"/",","),",",REPT(" ",99)),(ROW($1:$8)-1)*99+1,99))&lt;&gt;""),--ISNUMBER(SEARCH(TRIM(MID(SUBSTITUTE(SUBSTITUTE($R$4,"/",","),",",REPT(" ",99)),(ROW($1:$8)-1)*99+1,99)),IFERROR(('Final Calculation Sheet'!$Q$36)&amp;"",""))))&gt;0,AND(ISNUMBER(SEARCH("blank",$R$4)),NOT(ISNUMBER(SEARCH("nonblank",$R$4))),IFERROR(('Final Calculation Sheet'!$Q$36)&amp;"","")=""),AND(OR(ISNUMBER(SEARCH("nonblank",$R$4)),ISNUMBER(SEARCH("&lt;&gt;",$R$4))),IFERROR(('Final Calculation Sheet'!$Q$36)&amp;"","")&lt;&gt;""),AND(TRIM($R$4)="",IFERROR(('Final Calculation Sheet'!$Q$36)&amp;"","")=""))))</f>
        <v>1</v>
      </c>
      <c r="CE37">
        <f>IF($S$4="",1,--(OR(SUMPRODUCT(--(TRIM(MID(SUBSTITUTE(SUBSTITUTE($S$4,"/",","),",",REPT(" ",99)),(ROW($1:$8)-1)*99+1,99))&lt;&gt;""),--ISNUMBER(SEARCH(TRIM(MID(SUBSTITUTE(SUBSTITUTE($S$4,"/",","),",",REPT(" ",99)),(ROW($1:$8)-1)*99+1,99)),IFERROR(('Final Calculation Sheet'!$R$36)&amp;"",""))))&gt;0,AND(ISNUMBER(SEARCH("blank",$S$4)),NOT(ISNUMBER(SEARCH("nonblank",$S$4))),IFERROR(('Final Calculation Sheet'!$R$36)&amp;"","")=""),AND(OR(ISNUMBER(SEARCH("nonblank",$S$4)),ISNUMBER(SEARCH("&lt;&gt;",$S$4))),IFERROR(('Final Calculation Sheet'!$R$36)&amp;"","")&lt;&gt;""),AND(TRIM($S$4)="",IFERROR(('Final Calculation Sheet'!$R$36)&amp;"","")=""))))</f>
        <v>1</v>
      </c>
      <c r="CF37">
        <f>IF($T$4="",1,--(OR(SUMPRODUCT(--(TRIM(MID(SUBSTITUTE(SUBSTITUTE($T$4,"/",","),",",REPT(" ",99)),(ROW($1:$8)-1)*99+1,99))&lt;&gt;""),--ISNUMBER(SEARCH(TRIM(MID(SUBSTITUTE(SUBSTITUTE($T$4,"/",","),",",REPT(" ",99)),(ROW($1:$8)-1)*99+1,99)),IFERROR(('Final Calculation Sheet'!$S$36)&amp;"",""))))&gt;0,AND(ISNUMBER(SEARCH("blank",$T$4)),NOT(ISNUMBER(SEARCH("nonblank",$T$4))),IFERROR(('Final Calculation Sheet'!$S$36)&amp;"","")=""),AND(OR(ISNUMBER(SEARCH("nonblank",$T$4)),ISNUMBER(SEARCH("&lt;&gt;",$T$4))),IFERROR(('Final Calculation Sheet'!$S$36)&amp;"","")&lt;&gt;""),AND(TRIM($T$4)="",IFERROR(('Final Calculation Sheet'!$S$36)&amp;"","")=""))))</f>
        <v>1</v>
      </c>
      <c r="CG37">
        <f>IF($U$4="",1,--(OR(SUMPRODUCT(--(TRIM(MID(SUBSTITUTE(SUBSTITUTE($U$4,"/",","),",",REPT(" ",99)),(ROW($1:$8)-1)*99+1,99))&lt;&gt;""),--ISNUMBER(SEARCH(TRIM(MID(SUBSTITUTE(SUBSTITUTE($U$4,"/",","),",",REPT(" ",99)),(ROW($1:$8)-1)*99+1,99)),IFERROR(('Final Calculation Sheet'!$T$36)&amp;"",""))))&gt;0,AND(ISNUMBER(SEARCH("blank",$U$4)),NOT(ISNUMBER(SEARCH("nonblank",$U$4))),IFERROR(('Final Calculation Sheet'!$T$36)&amp;"","")=""),AND(OR(ISNUMBER(SEARCH("nonblank",$U$4)),ISNUMBER(SEARCH("&lt;&gt;",$U$4))),IFERROR(('Final Calculation Sheet'!$T$36)&amp;"","")&lt;&gt;""),AND(TRIM($U$4)="",IFERROR(('Final Calculation Sheet'!$T$36)&amp;"","")=""))))</f>
        <v>1</v>
      </c>
      <c r="CH37">
        <f>IF($V$4="",1,--(OR(SUMPRODUCT(--(TRIM(MID(SUBSTITUTE(SUBSTITUTE($V$4,"/",","),",",REPT(" ",99)),(ROW($1:$8)-1)*99+1,99))&lt;&gt;""),--ISNUMBER(SEARCH(TRIM(MID(SUBSTITUTE(SUBSTITUTE($V$4,"/",","),",",REPT(" ",99)),(ROW($1:$8)-1)*99+1,99)),IFERROR(('Final Calculation Sheet'!$U$36)&amp;"",""))))&gt;0,AND(ISNUMBER(SEARCH("blank",$V$4)),NOT(ISNUMBER(SEARCH("nonblank",$V$4))),IFERROR(('Final Calculation Sheet'!$U$36)&amp;"","")=""),AND(OR(ISNUMBER(SEARCH("nonblank",$V$4)),ISNUMBER(SEARCH("&lt;&gt;",$V$4))),IFERROR(('Final Calculation Sheet'!$U$36)&amp;"","")&lt;&gt;""),AND(TRIM($V$4)="",IFERROR(('Final Calculation Sheet'!$U$36)&amp;"","")=""))))</f>
        <v>1</v>
      </c>
      <c r="CI37">
        <f>IF($W$4="",1,--(OR(SUMPRODUCT(--(TRIM(MID(SUBSTITUTE(SUBSTITUTE($W$4,"/",","),",",REPT(" ",99)),(ROW($1:$8)-1)*99+1,99))&lt;&gt;""),--ISNUMBER(SEARCH(TRIM(MID(SUBSTITUTE(SUBSTITUTE($W$4,"/",","),",",REPT(" ",99)),(ROW($1:$8)-1)*99+1,99)),IFERROR(('Final Calculation Sheet'!$V$36)&amp;"",""))))&gt;0,AND(ISNUMBER(SEARCH("blank",$W$4)),NOT(ISNUMBER(SEARCH("nonblank",$W$4))),IFERROR(('Final Calculation Sheet'!$V$36)&amp;"","")=""),AND(OR(ISNUMBER(SEARCH("nonblank",$W$4)),ISNUMBER(SEARCH("&lt;&gt;",$W$4))),IFERROR(('Final Calculation Sheet'!$V$36)&amp;"","")&lt;&gt;""),AND(TRIM($W$4)="",IFERROR(('Final Calculation Sheet'!$V$36)&amp;"","")=""))))</f>
        <v>1</v>
      </c>
      <c r="CJ37">
        <f>IF($X$4="",1,--(OR(SUMPRODUCT(--(TRIM(MID(SUBSTITUTE(SUBSTITUTE($X$4,"/",","),",",REPT(" ",99)),(ROW($1:$8)-1)*99+1,99))&lt;&gt;""),--ISNUMBER(SEARCH(TRIM(MID(SUBSTITUTE(SUBSTITUTE($X$4,"/",","),",",REPT(" ",99)),(ROW($1:$8)-1)*99+1,99)),IFERROR(('Final Calculation Sheet'!$W$36)&amp;"",""))))&gt;0,AND(ISNUMBER(SEARCH("blank",$X$4)),NOT(ISNUMBER(SEARCH("nonblank",$X$4))),IFERROR(('Final Calculation Sheet'!$W$36)&amp;"","")=""),AND(OR(ISNUMBER(SEARCH("nonblank",$X$4)),ISNUMBER(SEARCH("&lt;&gt;",$X$4))),IFERROR(('Final Calculation Sheet'!$W$36)&amp;"","")&lt;&gt;""),AND(TRIM($X$4)="",IFERROR(('Final Calculation Sheet'!$W$36)&amp;"","")=""))))</f>
        <v>1</v>
      </c>
      <c r="CK37">
        <f>IF($Y$4="",1,--(OR(SUMPRODUCT(--(TRIM(MID(SUBSTITUTE(SUBSTITUTE($Y$4,"/",","),",",REPT(" ",99)),(ROW($1:$8)-1)*99+1,99))&lt;&gt;""),--ISNUMBER(SEARCH(TRIM(MID(SUBSTITUTE(SUBSTITUTE($Y$4,"/",","),",",REPT(" ",99)),(ROW($1:$8)-1)*99+1,99)),IFERROR(('Final Calculation Sheet'!$X$36)&amp;"",""))))&gt;0,AND(ISNUMBER(SEARCH("blank",$Y$4)),NOT(ISNUMBER(SEARCH("nonblank",$Y$4))),IFERROR(('Final Calculation Sheet'!$X$36)&amp;"","")=""),AND(OR(ISNUMBER(SEARCH("nonblank",$Y$4)),ISNUMBER(SEARCH("&lt;&gt;",$Y$4))),IFERROR(('Final Calculation Sheet'!$X$36)&amp;"","")&lt;&gt;""),AND(TRIM($Y$4)="",IFERROR(('Final Calculation Sheet'!$X$36)&amp;"","")=""))))</f>
        <v>1</v>
      </c>
      <c r="CL37">
        <f>IF($Z$4="",1,--(OR(SUMPRODUCT(--(TRIM(MID(SUBSTITUTE(SUBSTITUTE($Z$4,"/",","),",",REPT(" ",99)),(ROW($1:$8)-1)*99+1,99))&lt;&gt;""),--ISNUMBER(SEARCH(TRIM(MID(SUBSTITUTE(SUBSTITUTE($Z$4,"/",","),",",REPT(" ",99)),(ROW($1:$8)-1)*99+1,99)),IFERROR(('Final Calculation Sheet'!$Y$36)&amp;"",""))))&gt;0,AND(ISNUMBER(SEARCH("blank",$Z$4)),NOT(ISNUMBER(SEARCH("nonblank",$Z$4))),IFERROR(('Final Calculation Sheet'!$Y$36)&amp;"","")=""),AND(OR(ISNUMBER(SEARCH("nonblank",$Z$4)),ISNUMBER(SEARCH("&lt;&gt;",$Z$4))),IFERROR(('Final Calculation Sheet'!$Y$36)&amp;"","")&lt;&gt;""),AND(TRIM($Z$4)="",IFERROR(('Final Calculation Sheet'!$Y$36)&amp;"","")=""))))</f>
        <v>1</v>
      </c>
      <c r="CM37">
        <f>IF($AA$4="",1,--(OR(SUMPRODUCT(--(TRIM(MID(SUBSTITUTE(SUBSTITUTE($AA$4,"/",","),",",REPT(" ",99)),(ROW($1:$8)-1)*99+1,99))&lt;&gt;""),--ISNUMBER(SEARCH(TRIM(MID(SUBSTITUTE(SUBSTITUTE($AA$4,"/",","),",",REPT(" ",99)),(ROW($1:$8)-1)*99+1,99)),IFERROR(('Final Calculation Sheet'!$Z$36)&amp;"",""))))&gt;0,AND(ISNUMBER(SEARCH("blank",$AA$4)),NOT(ISNUMBER(SEARCH("nonblank",$AA$4))),IFERROR(('Final Calculation Sheet'!$Z$36)&amp;"","")=""),AND(OR(ISNUMBER(SEARCH("nonblank",$AA$4)),ISNUMBER(SEARCH("&lt;&gt;",$AA$4))),IFERROR(('Final Calculation Sheet'!$Z$36)&amp;"","")&lt;&gt;""),AND(TRIM($AA$4)="",IFERROR(('Final Calculation Sheet'!$Z$36)&amp;"","")=""))))</f>
        <v>1</v>
      </c>
      <c r="CN37">
        <f>IF($AB$4="",1,--(OR(SUMPRODUCT(--(TRIM(MID(SUBSTITUTE(SUBSTITUTE($AB$4,"/",","),",",REPT(" ",99)),(ROW($1:$8)-1)*99+1,99))&lt;&gt;""),--ISNUMBER(SEARCH(TRIM(MID(SUBSTITUTE(SUBSTITUTE($AB$4,"/",","),",",REPT(" ",99)),(ROW($1:$8)-1)*99+1,99)),IFERROR(('Final Calculation Sheet'!$AA$36)&amp;"",""))))&gt;0,AND(ISNUMBER(SEARCH("blank",$AB$4)),NOT(ISNUMBER(SEARCH("nonblank",$AB$4))),IFERROR(('Final Calculation Sheet'!$AA$36)&amp;"","")=""),AND(OR(ISNUMBER(SEARCH("nonblank",$AB$4)),ISNUMBER(SEARCH("&lt;&gt;",$AB$4))),IFERROR(('Final Calculation Sheet'!$AA$36)&amp;"","")&lt;&gt;""),AND(TRIM($AB$4)="",IFERROR(('Final Calculation Sheet'!$AA$36)&amp;"","")=""))))</f>
        <v>1</v>
      </c>
      <c r="CO37">
        <f>IF($AC$4="",1,--(OR(SUMPRODUCT(--(TRIM(MID(SUBSTITUTE(SUBSTITUTE($AC$4,"/",","),",",REPT(" ",99)),(ROW($1:$8)-1)*99+1,99))&lt;&gt;""),--ISNUMBER(SEARCH(TRIM(MID(SUBSTITUTE(SUBSTITUTE($AC$4,"/",","),",",REPT(" ",99)),(ROW($1:$8)-1)*99+1,99)),IFERROR(('Final Calculation Sheet'!$AB$36)&amp;"",""))))&gt;0,AND(ISNUMBER(SEARCH("blank",$AC$4)),NOT(ISNUMBER(SEARCH("nonblank",$AC$4))),IFERROR(('Final Calculation Sheet'!$AB$36)&amp;"","")=""),AND(OR(ISNUMBER(SEARCH("nonblank",$AC$4)),ISNUMBER(SEARCH("&lt;&gt;",$AC$4))),IFERROR(('Final Calculation Sheet'!$AB$36)&amp;"","")&lt;&gt;""),AND(TRIM($AC$4)="",IFERROR(('Final Calculation Sheet'!$AB$36)&amp;"","")=""))))</f>
        <v>1</v>
      </c>
      <c r="CP37">
        <f>IF($AD$4="",1,--(OR(SUMPRODUCT(--(TRIM(MID(SUBSTITUTE(SUBSTITUTE($AD$4,"/",","),",",REPT(" ",99)),(ROW($1:$8)-1)*99+1,99))&lt;&gt;""),--ISNUMBER(SEARCH(TRIM(MID(SUBSTITUTE(SUBSTITUTE($AD$4,"/",","),",",REPT(" ",99)),(ROW($1:$8)-1)*99+1,99)),IFERROR(('Final Calculation Sheet'!$AC$36)&amp;"",""))))&gt;0,AND(ISNUMBER(SEARCH("blank",$AD$4)),NOT(ISNUMBER(SEARCH("nonblank",$AD$4))),IFERROR(('Final Calculation Sheet'!$AC$36)&amp;"","")=""),AND(OR(ISNUMBER(SEARCH("nonblank",$AD$4)),ISNUMBER(SEARCH("&lt;&gt;",$AD$4))),IFERROR(('Final Calculation Sheet'!$AC$36)&amp;"","")&lt;&gt;""),AND(TRIM($AD$4)="",IFERROR(('Final Calculation Sheet'!$AC$36)&amp;"","")=""))))</f>
        <v>1</v>
      </c>
      <c r="CQ37">
        <f>IF($AE$4="",1,--(OR(SUMPRODUCT(--(TRIM(MID(SUBSTITUTE(SUBSTITUTE($AE$4,"/",","),",",REPT(" ",99)),(ROW($1:$8)-1)*99+1,99))&lt;&gt;""),--ISNUMBER(SEARCH(TRIM(MID(SUBSTITUTE(SUBSTITUTE($AE$4,"/",","),",",REPT(" ",99)),(ROW($1:$8)-1)*99+1,99)),IFERROR(('Final Calculation Sheet'!$AD$36)&amp;"",""))))&gt;0,AND(ISNUMBER(SEARCH("blank",$AE$4)),NOT(ISNUMBER(SEARCH("nonblank",$AE$4))),IFERROR(('Final Calculation Sheet'!$AD$36)&amp;"","")=""),AND(OR(ISNUMBER(SEARCH("nonblank",$AE$4)),ISNUMBER(SEARCH("&lt;&gt;",$AE$4))),IFERROR(('Final Calculation Sheet'!$AD$36)&amp;"","")&lt;&gt;""),AND(TRIM($AE$4)="",IFERROR(('Final Calculation Sheet'!$AD$36)&amp;"","")=""))))</f>
        <v>1</v>
      </c>
      <c r="CR37">
        <f>IF($AF$4="",1,--(OR(SUMPRODUCT(--(TRIM(MID(SUBSTITUTE(SUBSTITUTE($AF$4,"/",","),",",REPT(" ",99)),(ROW($1:$8)-1)*99+1,99))&lt;&gt;""),--ISNUMBER(SEARCH(TRIM(MID(SUBSTITUTE(SUBSTITUTE($AF$4,"/",","),",",REPT(" ",99)),(ROW($1:$8)-1)*99+1,99)),IFERROR(('Final Calculation Sheet'!$AE$36)&amp;"",""))))&gt;0,AND(ISNUMBER(SEARCH("blank",$AF$4)),NOT(ISNUMBER(SEARCH("nonblank",$AF$4))),IFERROR(('Final Calculation Sheet'!$AE$36)&amp;"","")=""),AND(OR(ISNUMBER(SEARCH("nonblank",$AF$4)),ISNUMBER(SEARCH("&lt;&gt;",$AF$4))),IFERROR(('Final Calculation Sheet'!$AE$36)&amp;"","")&lt;&gt;""),AND(TRIM($AF$4)="",IFERROR(('Final Calculation Sheet'!$AE$36)&amp;"","")=""))))</f>
        <v>1</v>
      </c>
      <c r="CS37">
        <f>IF($AG$4="",1,--(OR(SUMPRODUCT(--(TRIM(MID(SUBSTITUTE(SUBSTITUTE($AG$4,"/",","),",",REPT(" ",99)),(ROW($1:$8)-1)*99+1,99))&lt;&gt;""),--ISNUMBER(SEARCH(TRIM(MID(SUBSTITUTE(SUBSTITUTE($AG$4,"/",","),",",REPT(" ",99)),(ROW($1:$8)-1)*99+1,99)),IFERROR(('Final Calculation Sheet'!$AF$36)&amp;"",""))))&gt;0,AND(ISNUMBER(SEARCH("blank",$AG$4)),NOT(ISNUMBER(SEARCH("nonblank",$AG$4))),IFERROR(('Final Calculation Sheet'!$AF$36)&amp;"","")=""),AND(OR(ISNUMBER(SEARCH("nonblank",$AG$4)),ISNUMBER(SEARCH("&lt;&gt;",$AG$4))),IFERROR(('Final Calculation Sheet'!$AF$36)&amp;"","")&lt;&gt;""),AND(TRIM($AG$4)="",IFERROR(('Final Calculation Sheet'!$AF$36)&amp;"","")=""))))</f>
        <v>1</v>
      </c>
      <c r="CT37">
        <f>IF($AH$4="",1,--(OR(SUMPRODUCT(--(TRIM(MID(SUBSTITUTE(SUBSTITUTE($AH$4,"/",","),",",REPT(" ",99)),(ROW($1:$8)-1)*99+1,99))&lt;&gt;""),--ISNUMBER(SEARCH(TRIM(MID(SUBSTITUTE(SUBSTITUTE($AH$4,"/",","),",",REPT(" ",99)),(ROW($1:$8)-1)*99+1,99)),IFERROR(('Final Calculation Sheet'!$AG$36)&amp;"",""))))&gt;0,AND(ISNUMBER(SEARCH("blank",$AH$4)),NOT(ISNUMBER(SEARCH("nonblank",$AH$4))),IFERROR(('Final Calculation Sheet'!$AG$36)&amp;"","")=""),AND(OR(ISNUMBER(SEARCH("nonblank",$AH$4)),ISNUMBER(SEARCH("&lt;&gt;",$AH$4))),IFERROR(('Final Calculation Sheet'!$AG$36)&amp;"","")&lt;&gt;""),AND(TRIM($AH$4)="",IFERROR(('Final Calculation Sheet'!$AG$36)&amp;"","")=""))))</f>
        <v>1</v>
      </c>
      <c r="CU37">
        <f>IF($AI$4="",1,--(OR(SUMPRODUCT(--(TRIM(MID(SUBSTITUTE(SUBSTITUTE($AI$4,"/",","),",",REPT(" ",99)),(ROW($1:$8)-1)*99+1,99))&lt;&gt;""),--ISNUMBER(SEARCH(TRIM(MID(SUBSTITUTE(SUBSTITUTE($AI$4,"/",","),",",REPT(" ",99)),(ROW($1:$8)-1)*99+1,99)),IFERROR((IF('Final Calculation Sheet'!$AD$36&lt;=5,"SETTLED","OUTSTANDING"))&amp;"",""))))&gt;0,AND(ISNUMBER(SEARCH("blank",$AI$4)),NOT(ISNUMBER(SEARCH("nonblank",$AI$4))),IFERROR((IF('Final Calculation Sheet'!$AD$36&lt;=5,"SETTLED","OUTSTANDING"))&amp;"","")=""),AND(OR(ISNUMBER(SEARCH("nonblank",$AI$4)),ISNUMBER(SEARCH("&lt;&gt;",$AI$4))),IFERROR((IF('Final Calculation Sheet'!$AD$36&lt;=5,"SETTLED","OUTSTANDING"))&amp;"","")&lt;&gt;""),AND(TRIM($AI$4)="",IFERROR((IF('Final Calculation Sheet'!$AD$36&lt;=5,"SETTLED","OUTSTANDING"))&amp;"","")=""))))</f>
        <v>1</v>
      </c>
    </row>
    <row r="38" ht="15" customHeight="1" s="137">
      <c r="A38" s="67">
        <f>IF($BJ37&gt;0,INDEX($BA$5:$BA$41,MATCH(37,$BB$5:$BB$41,0)),IF(OR($BI37=1,$BL37=1,$BH37&gt;0),"∑",""))</f>
        <v>33</v>
      </c>
      <c r="B38" s="76">
        <f>IF($BJ37&gt;0,IF(INDEX('Final Calculation Sheet'!$F$4:$F$40,$BJ37-3)="","",INDEX('Final Calculation Sheet'!$F$4:$F$40,$BJ37-3)),"")</f>
        <v>2069</v>
      </c>
      <c r="C38" s="76" t="str">
        <f>IF($BJ37&gt;0,IF(INDEX('Final Calculation Sheet'!$G$4:$G$40,$BJ37-3)="","",INDEX('Final Calculation Sheet'!$G$4:$G$40,$BJ37-3)),IF(OR($BI37=1,$BL37=1,$BH37&gt;0),IF($BI37=1,37,IF($BL37=1,37-INDEX($BD$4:$BD$13,10),INDEX($BD$4:$BD$13,$BH37)))&amp;" lot(s)",""))</f>
        <v>STERLING ENTERPRISES</v>
      </c>
      <c r="D38" s="80" t="str">
        <f>IF($BJ37&gt;0,IF(INDEX('Final Calculation Sheet'!$B$4:$B$40,$BJ37-3)="","",INDEX('Final Calculation Sheet'!$B$4:$B$40,$BJ37-3)),IF(OR($BI37=1,$BL37=1,$BH37&gt;0),IF($BI37=1,"GRAND TOTAL  —  matching + remaining",IF($BL37=1,"TOTAL MATCHED  —  every group together",IF($BH37=10,"REMAINING  —  did not match the search",IF($BH37=9,IF(COUNTIF($A$4:$AI$4,"&lt;&gt;")&gt;0,"FILTERED LOTS  —  column fields","ALL LOTS  —  nothing typed in the box"),"GROUP "&amp;$BH37&amp;" TOTAL  —  lots matching  "&amp;INDEX($AR$6:$AY$6,$BH37))))),""))</f>
        <v>Scrap of 33 KV CB</v>
      </c>
      <c r="E38" s="80">
        <f>IF($BJ37&gt;0,IF(INDEX('Final Calculation Sheet'!$D$4:$D$40,$BJ37-3)="","",INDEX('Final Calculation Sheet'!$D$4:$D$40,$BJ37-3)),IF(OR($BI37=1,$BL37=1,$BH37&gt;0),"–",""))</f>
        <v>21980</v>
      </c>
      <c r="F38" s="80">
        <f>IF($BJ37&gt;0,IF(INDEX('Final Calculation Sheet'!$A$4:$A$40,$BJ37-3)="","",INDEX('Final Calculation Sheet'!$A$4:$A$40,$BJ37-3)),IF(OR($BI37=1,$BL37=1,$BH37&gt;0),IF($BI37=1,SUM('Final Calculation Sheet'!$A$4:$A$40),IF($BL37=1,SUM('Final Calculation Sheet'!$A$4:$A$40)-SUMIFS('Final Calculation Sheet'!$A$4:$A$40,$AZ$5:$AZ$41,10),SUMIFS('Final Calculation Sheet'!$A$4:$A$40,$AZ$5:$AZ$41,$BH37))),""))</f>
        <v>1</v>
      </c>
      <c r="G38" s="80" t="str">
        <f>IF($BJ37&gt;0,IF(INDEX('Final Calculation Sheet'!$E$4:$E$40,$BJ37-3)="","",INDEX('Final Calculation Sheet'!$E$4:$E$40,$BJ37-3)),IF(OR($BI37=1,$BL37=1,$BH37&gt;0),"–",""))</f>
        <v>NO</v>
      </c>
      <c r="H38" s="70">
        <f>IF($BJ37&gt;0,IF(INDEX('Final Calculation Sheet'!$C$4:$C$40,$BJ37-3)="","",INDEX('Final Calculation Sheet'!$C$4:$C$40,$BJ37-3)),IF(OR($BI37=1,$BL37=1,$BH37&gt;0),"–",""))</f>
        <v>54000</v>
      </c>
      <c r="I38" s="70">
        <f>IF($BJ37&gt;0,IF(INDEX('Final Calculation Sheet'!$H$4:$H$40,$BJ37-3)="","",INDEX('Final Calculation Sheet'!$H$4:$H$40,$BJ37-3)),IF(OR($BI37=1,$BL37=1,$BH37&gt;0),IF($BI37=1,SUM('Final Calculation Sheet'!$H$4:$H$40),IF($BL37=1,SUM('Final Calculation Sheet'!$H$4:$H$40)-SUMIFS('Final Calculation Sheet'!$H$4:$H$40,$AZ$5:$AZ$41,10),SUMIFS('Final Calculation Sheet'!$H$4:$H$40,$AZ$5:$AZ$41,$BH37))),""))</f>
        <v>54000</v>
      </c>
      <c r="J38" s="70">
        <f>IF($BJ37&gt;0,IF(INDEX('Final Calculation Sheet'!$I$4:$I$40,$BJ37-3)="","",INDEX('Final Calculation Sheet'!$I$4:$I$40,$BJ37-3)),IF(OR($BI37=1,$BL37=1,$BH37&gt;0),IF($BI37=1,SUM('Final Calculation Sheet'!$I$4:$I$40),IF($BL37=1,SUM('Final Calculation Sheet'!$I$4:$I$40)-SUMIFS('Final Calculation Sheet'!$I$4:$I$40,$AZ$5:$AZ$41,10),SUMIFS('Final Calculation Sheet'!$I$4:$I$40,$AZ$5:$AZ$41,$BH37))),""))</f>
        <v>9720</v>
      </c>
      <c r="K38" s="70">
        <f>IF($BJ37&gt;0,IF(INDEX('Final Calculation Sheet'!$J$4:$J$40,$BJ37-3)="","",INDEX('Final Calculation Sheet'!$J$4:$J$40,$BJ37-3)),IF(OR($BI37=1,$BL37=1,$BH37&gt;0),IF($BI37=1,SUM('Final Calculation Sheet'!$J$4:$J$40),IF($BL37=1,SUM('Final Calculation Sheet'!$J$4:$J$40)-SUMIFS('Final Calculation Sheet'!$J$4:$J$40,$AZ$5:$AZ$41,10),SUMIFS('Final Calculation Sheet'!$J$4:$J$40,$AZ$5:$AZ$41,$BH37))),""))</f>
        <v>63720</v>
      </c>
      <c r="L38" s="70">
        <f>IF($BJ37&gt;0,IF(INDEX('Final Calculation Sheet'!$K$4:$K$40,$BJ37-3)="","",INDEX('Final Calculation Sheet'!$K$4:$K$40,$BJ37-3)),IF(OR($BI37=1,$BL37=1,$BH37&gt;0),IF($BI37=1,SUM('Final Calculation Sheet'!$K$4:$K$40),IF($BL37=1,SUM('Final Calculation Sheet'!$K$4:$K$40)-SUMIFS('Final Calculation Sheet'!$K$4:$K$40,$AZ$5:$AZ$41,10),SUMIFS('Final Calculation Sheet'!$K$4:$K$40,$AZ$5:$AZ$41,$BH37))),""))</f>
        <v>1274</v>
      </c>
      <c r="M38" s="70">
        <f>IF($BJ37&gt;0,IF(INDEX('Final Calculation Sheet'!$L$4:$L$40,$BJ37-3)="","",INDEX('Final Calculation Sheet'!$L$4:$L$40,$BJ37-3)),IF(OR($BI37=1,$BL37=1,$BH37&gt;0),IF($BI37=1,SUM('Final Calculation Sheet'!$L$4:$L$40),IF($BL37=1,SUM('Final Calculation Sheet'!$L$4:$L$40)-SUMIFS('Final Calculation Sheet'!$L$4:$L$40,$AZ$5:$AZ$41,10),SUMIFS('Final Calculation Sheet'!$L$4:$L$40,$AZ$5:$AZ$41,$BH37))),""))</f>
        <v>54</v>
      </c>
      <c r="N38" s="70">
        <f>IF($BJ37&gt;0,IF(INDEX('Final Calculation Sheet'!$M$4:$M$40,$BJ37-3)="","",INDEX('Final Calculation Sheet'!$M$4:$M$40,$BJ37-3)),IF(OR($BI37=1,$BL37=1,$BH37&gt;0),IF($BI37=1,SUM('Final Calculation Sheet'!$M$4:$M$40),IF($BL37=1,SUM('Final Calculation Sheet'!$M$4:$M$40)-SUMIFS('Final Calculation Sheet'!$M$4:$M$40,$AZ$5:$AZ$41,10),SUMIFS('Final Calculation Sheet'!$M$4:$M$40,$AZ$5:$AZ$41,$BH37))),""))</f>
        <v>1433.6999999999998</v>
      </c>
      <c r="O38" s="71">
        <f>IF($BJ37&gt;0,IF(INDEX('Final Calculation Sheet'!$N$4:$N$40,$BJ37-3)="","",INDEX('Final Calculation Sheet'!$N$4:$N$40,$BJ37-3)),IF(OR($BI37=1,$BL37=1,$BH37&gt;0),IF($BI37=1,SUM('Final Calculation Sheet'!$N$4:$N$40),IF($BL37=1,SUM('Final Calculation Sheet'!$N$4:$N$40)-SUMIFS('Final Calculation Sheet'!$N$4:$N$40,$AZ$5:$AZ$41,10),SUMIFS('Final Calculation Sheet'!$N$4:$N$40,$AZ$5:$AZ$41,$BH37))),""))</f>
        <v>24.3</v>
      </c>
      <c r="P38" s="70">
        <f>IF($BJ37&gt;0,IF(INDEX('Final Calculation Sheet'!$O$4:$O$40,$BJ37-3)="","",INDEX('Final Calculation Sheet'!$O$4:$O$40,$BJ37-3)),IF(OR($BI37=1,$BL37=1,$BH37&gt;0),IF($BI37=1,SUM('Final Calculation Sheet'!$O$4:$O$40),IF($BL37=1,SUM('Final Calculation Sheet'!$O$4:$O$40)-SUMIFS('Final Calculation Sheet'!$O$4:$O$40,$AZ$5:$AZ$41,10),SUMIFS('Final Calculation Sheet'!$O$4:$O$40,$AZ$5:$AZ$41,$BH37))),""))</f>
        <v>1409.3999999999999</v>
      </c>
      <c r="Q38" s="70">
        <f>IF($BJ37&gt;0,IF(INDEX('Final Calculation Sheet'!$P$4:$P$40,$BJ37-3)="","",INDEX('Final Calculation Sheet'!$P$4:$P$40,$BJ37-3)),IF(OR($BI37=1,$BL37=1,$BH37&gt;0),IF($BI37=1,SUM('Final Calculation Sheet'!$P$4:$P$40),IF($BL37=1,SUM('Final Calculation Sheet'!$P$4:$P$40)-SUMIFS('Final Calculation Sheet'!$P$4:$P$40,$AZ$5:$AZ$41,10),SUMIFS('Final Calculation Sheet'!$P$4:$P$40,$AZ$5:$AZ$41,$BH37))),""))</f>
        <v>1463</v>
      </c>
      <c r="R38" s="72">
        <f>IF($BJ37&gt;0,IF(INDEX('Final Calculation Sheet'!$Q$4:$Q$40,$BJ37-3)="","",INDEX('Final Calculation Sheet'!$Q$4:$Q$40,$BJ37-3)),IF(OR($BI37=1,$BL37=1,$BH37&gt;0),"–",""))</f>
        <v>0</v>
      </c>
      <c r="S38" s="70">
        <f>IF($BJ37&gt;0,IF(INDEX('Final Calculation Sheet'!$R$4:$R$40,$BJ37-3)="","",INDEX('Final Calculation Sheet'!$R$4:$R$40,$BJ37-3)),IF(OR($BI37=1,$BL37=1,$BH37&gt;0),IF($BI37=1,SUM('Final Calculation Sheet'!$R$4:$R$40),IF($BL37=1,SUM('Final Calculation Sheet'!$R$4:$R$40)-SUMIFS('Final Calculation Sheet'!$R$4:$R$40,$AZ$5:$AZ$41,10),SUMIFS('Final Calculation Sheet'!$R$4:$R$40,$AZ$5:$AZ$41,$BH37))),""))</f>
        <v>0</v>
      </c>
      <c r="T38" s="70">
        <f>IF($BJ37&gt;0,IF(INDEX('Final Calculation Sheet'!$S$4:$S$40,$BJ37-3)="","",INDEX('Final Calculation Sheet'!$S$4:$S$40,$BJ37-3)),IF(OR($BI37=1,$BL37=1,$BH37&gt;0),IF($BI37=1,SUM('Final Calculation Sheet'!$S$4:$S$40),IF($BL37=1,SUM('Final Calculation Sheet'!$S$4:$S$40)-SUMIFS('Final Calculation Sheet'!$S$4:$S$40,$AZ$5:$AZ$41,10),SUMIFS('Final Calculation Sheet'!$S$4:$S$40,$AZ$5:$AZ$41,$BH37))),""))</f>
        <v>63531</v>
      </c>
      <c r="U38" s="70">
        <f>IF($BJ37&gt;0,IF(INDEX('Final Calculation Sheet'!$T$4:$T$40,$BJ37-3)="","",INDEX('Final Calculation Sheet'!$T$4:$T$40,$BJ37-3)),IF(OR($BI37=1,$BL37=1,$BH37&gt;0),IF($BI37=1,SUM('Final Calculation Sheet'!$T$4:$T$40),IF($BL37=1,SUM('Final Calculation Sheet'!$T$4:$T$40)-SUMIFS('Final Calculation Sheet'!$T$4:$T$40,$AZ$5:$AZ$41,10),SUMIFS('Final Calculation Sheet'!$T$4:$T$40,$AZ$5:$AZ$41,$BH37))),""))</f>
        <v>13500</v>
      </c>
      <c r="V38" s="73">
        <f>IF($BJ37&gt;0,IF(INDEX('Final Calculation Sheet'!$U$4:$U$40,$BJ37-3)="","",INDEX('Final Calculation Sheet'!$U$4:$U$40,$BJ37-3)),IF(OR($BI37=1,$BL37=1,$BH37&gt;0),IF($BI37=1,SUM('Final Calculation Sheet'!$U$4:$U$40),IF($BL37=1,SUM('Final Calculation Sheet'!$U$4:$U$40)-SUMIFS('Final Calculation Sheet'!$U$4:$U$40,$AZ$5:$AZ$41,10),SUMIFS('Final Calculation Sheet'!$U$4:$U$40,$AZ$5:$AZ$41,$BH37))),""))</f>
        <v>13500</v>
      </c>
      <c r="W38" s="70" t="str">
        <f>IF($BJ37&gt;0,IF(INDEX('Final Calculation Sheet'!$V$4:$V$40,$BJ37-3)="","",INDEX('Final Calculation Sheet'!$V$4:$V$40,$BJ37-3)),IF(OR($BI37=1,$BL37=1,$BH37&gt;0),"–",""))</f>
        <v>11.08.2026</v>
      </c>
      <c r="X38" s="70">
        <f>IF($BJ37&gt;0,IF(INDEX('Final Calculation Sheet'!$W$4:$W$40,$BJ37-3)="","",INDEX('Final Calculation Sheet'!$W$4:$W$40,$BJ37-3)),IF(OR($BI37=1,$BL37=1,$BH37&gt;0),IF($BI37=1,SUM('Final Calculation Sheet'!$W$4:$W$40),IF($BL37=1,SUM('Final Calculation Sheet'!$W$4:$W$40)-SUMIFS('Final Calculation Sheet'!$W$4:$W$40,$AZ$5:$AZ$41,10),SUMIFS('Final Calculation Sheet'!$W$4:$W$40,$AZ$5:$AZ$41,$BH37))),""))</f>
        <v>50031</v>
      </c>
      <c r="Y38" s="70" t="str">
        <f>IF($BJ37&gt;0,IF(INDEX('Final Calculation Sheet'!$X$4:$X$40,$BJ37-3)="","",INDEX('Final Calculation Sheet'!$X$4:$X$40,$BJ37-3)),IF(OR($BI37=1,$BL37=1,$BH37&gt;0),IF($BI37=1,SUM('Final Calculation Sheet'!$X$4:$X$40),IF($BL37=1,SUM('Final Calculation Sheet'!$X$4:$X$40)-SUMIFS('Final Calculation Sheet'!$X$4:$X$40,$AZ$5:$AZ$41,10),SUMIFS('Final Calculation Sheet'!$X$4:$X$40,$AZ$5:$AZ$41,$BH37))),""))</f>
        <v/>
      </c>
      <c r="Z38" s="70">
        <f>IF($BJ37&gt;0,IF(INDEX('Final Calculation Sheet'!$Y$4:$Y$40,$BJ37-3)="","",INDEX('Final Calculation Sheet'!$Y$4:$Y$40,$BJ37-3)),IF(OR($BI37=1,$BL37=1,$BH37&gt;0),"–",""))</f>
        <v>0</v>
      </c>
      <c r="AA38" s="70">
        <f>IF($BJ37&gt;0,IF(INDEX('Final Calculation Sheet'!$Z$4:$Z$40,$BJ37-3)="","",INDEX('Final Calculation Sheet'!$Z$4:$Z$40,$BJ37-3)),IF(OR($BI37=1,$BL37=1,$BH37&gt;0),IF($BI37=1,SUM('Final Calculation Sheet'!$Z$4:$Z$40),IF($BL37=1,SUM('Final Calculation Sheet'!$Z$4:$Z$40)-SUMIFS('Final Calculation Sheet'!$Z$4:$Z$40,$AZ$5:$AZ$41,10),SUMIFS('Final Calculation Sheet'!$Z$4:$Z$40,$AZ$5:$AZ$41,$BH37))),""))</f>
        <v>1911.6</v>
      </c>
      <c r="AB38" s="70" t="str">
        <f>IF($BJ37&gt;0,IF(INDEX('Final Calculation Sheet'!$AA$4:$AA$40,$BJ37-3)="","",INDEX('Final Calculation Sheet'!$AA$4:$AA$40,$BJ37-3)),IF(OR($BI37=1,$BL37=1,$BH37&gt;0),IF($BI37=1,SUM('Final Calculation Sheet'!$AA$4:$AA$40),IF($BL37=1,SUM('Final Calculation Sheet'!$AA$4:$AA$40)-SUMIFS('Final Calculation Sheet'!$AA$4:$AA$40,$AZ$5:$AZ$41,10),SUMIFS('Final Calculation Sheet'!$AA$4:$AA$40,$AZ$5:$AZ$41,$BH37))),""))</f>
        <v/>
      </c>
      <c r="AC38" s="70" t="str">
        <f>IF($BJ37&gt;0,IF(INDEX('Final Calculation Sheet'!$AB$4:$AB$40,$BJ37-3)="","",INDEX('Final Calculation Sheet'!$AB$4:$AB$40,$BJ37-3)),IF(OR($BI37=1,$BL37=1,$BH37&gt;0),"–",""))</f>
        <v/>
      </c>
      <c r="AD38" s="70">
        <f>IF($BJ37&gt;0,IF(INDEX('Final Calculation Sheet'!$AC$4:$AC$40,$BJ37-3)="","",INDEX('Final Calculation Sheet'!$AC$4:$AC$40,$BJ37-3)),IF(OR($BI37=1,$BL37=1,$BH37&gt;0),IF($BI37=1,SUM('Final Calculation Sheet'!$AC$4:$AC$40),IF($BL37=1,SUM('Final Calculation Sheet'!$AC$4:$AC$40)-SUMIFS('Final Calculation Sheet'!$AC$4:$AC$40,$AZ$5:$AZ$41,10),SUMIFS('Final Calculation Sheet'!$AC$4:$AC$40,$AZ$5:$AZ$41,$BH37))),""))</f>
        <v>13500</v>
      </c>
      <c r="AE38" s="70">
        <f>IF($BJ37&gt;0,IF(INDEX('Final Calculation Sheet'!$AD$4:$AD$40,$BJ37-3)="","",INDEX('Final Calculation Sheet'!$AD$4:$AD$40,$BJ37-3)),IF(OR($BI37=1,$BL37=1,$BH37&gt;0),IF($BI37=1,SUM('Final Calculation Sheet'!$AD$4:$AD$40),IF($BL37=1,SUM('Final Calculation Sheet'!$AD$4:$AD$40)-SUMIFS('Final Calculation Sheet'!$AD$4:$AD$40,$AZ$5:$AZ$41,10),SUMIFS('Final Calculation Sheet'!$AD$4:$AD$40,$AZ$5:$AZ$41,$BH37))),""))</f>
        <v>50031</v>
      </c>
      <c r="AF38" s="70" t="str">
        <f>IF($BJ37&gt;0,IF(INDEX('Final Calculation Sheet'!$AE$4:$AE$40,$BJ37-3)="","",INDEX('Final Calculation Sheet'!$AE$4:$AE$40,$BJ37-3)),IF(OR($BI37=1,$BL37=1,$BH37&gt;0),"–",""))</f>
        <v/>
      </c>
      <c r="AG38" s="74" t="str">
        <f>IF($BJ37&gt;0,IF(INDEX('Final Calculation Sheet'!$AF$4:$AF$40,$BJ37-3)="","",INDEX('Final Calculation Sheet'!$AF$4:$AF$40,$BJ37-3)),IF(OR($BI37=1,$BL37=1,$BH37&gt;0),"–",""))</f>
        <v/>
      </c>
      <c r="AH38" s="70" t="str">
        <f>IF($BJ37&gt;0,IF(INDEX('Final Calculation Sheet'!$AG$4:$AG$40,$BJ37-3)="","",INDEX('Final Calculation Sheet'!$AG$4:$AG$40,$BJ37-3)),IF(OR($BI37=1,$BL37=1,$BH37&gt;0),"–",""))</f>
        <v/>
      </c>
      <c r="AI38" s="75" t="str">
        <f>IF($BJ37&gt;0,IF(INDEX('Final Calculation Sheet'!$AD$4:$AD$40,$BJ37-3)="","",IF(INDEX('Final Calculation Sheet'!$AD$4:$AD$40,$BJ37-3)&lt;=5,"SETTLED","OUTSTANDING")),IF(OR($BI37=1,$BL37=1,$BH37&gt;0),IF(IF($BI37=1,SUM('Final Calculation Sheet'!$AD$4:$AD$40),IF($BL37=1,SUM('Final Calculation Sheet'!$AD$4:$AD$40)-SUMIFS('Final Calculation Sheet'!$AD$4:$AD$40,$AZ$5:$AZ$41,10),SUMIFS('Final Calculation Sheet'!$AD$4:$AD$40,$AZ$5:$AZ$41,$BH37)))&lt;=5,"ALL SETTLED","OUTSTANDING"),""))</f>
        <v>OUTSTANDING</v>
      </c>
      <c r="AK38" t="str">
        <f>IF($F$3="Lot No.",'Final Calculation Sheet'!$F$37,IF($F$3="Buyer",'Final Calculation Sheet'!$G$37,IF($F$3="Lot Name",'Final Calculation Sheet'!$B$37,IF($F$3="Bid Sheet",'Final Calculation Sheet'!$D$37,IF($F$3="Unit",'Final Calculation Sheet'!$E$37,'Final Calculation Sheet'!$F$37&amp;" "&amp;'Final Calculation Sheet'!$G$37&amp;" "&amp;'Final Calculation Sheet'!$B$37)))))</f>
        <v>2071 NATIONAL ENTERPRISES Scrap of 66 KV Isolater</v>
      </c>
      <c r="AL38">
        <f>AL37+IF($B$3="",0,--(SUMPRODUCT(--($AR$6:$AY$6&lt;&gt;""),--ISNUMBER(SEARCH($AR$6:$AY$6,$AK38)))&gt;0))</f>
        <v>0</v>
      </c>
      <c r="AM38">
        <f>IF(COUNTIF($BM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1</v>
      </c>
      <c r="AZ38">
        <f>IF($B$3="",IF(COUNTIF($A$4:$AI$4,"&lt;&gt;")=0,9,IF($AM38=1,9,10)),IF($AM38=0,10,IF(AND($AR$6&lt;&gt;"",ISNUMBER(SEARCH($AR$6,$AK38))),1,IF(AND($AS$6&lt;&gt;"",ISNUMBER(SEARCH($AS$6,$AK38))),2,IF(AND($AT$6&lt;&gt;"",ISNUMBER(SEARCH($AT$6,$AK38))),3,IF(AND($AU$6&lt;&gt;"",ISNUMBER(SEARCH($AU$6,$AK38))),4,IF(AND($AV$6&lt;&gt;"",ISNUMBER(SEARCH($AV$6,$AK38))),5,IF(AND($AW$6&lt;&gt;"",ISNUMBER(SEARCH($AW$6,$AK38))),6,IF(AND($AX$6&lt;&gt;"",ISNUMBER(SEARCH($AX$6,$AK38))),7,IF(AND($AY$6&lt;&gt;"",ISNUMBER(SEARCH($AY$6,$AK38))),8,0))))))))))</f>
        <v>9</v>
      </c>
      <c r="BA38">
        <f>SUMPRODUCT(($AZ$5:$AZ$41=$AZ38)*($BC$5:$BC$41&lt;$BC38))+1</f>
        <v>34</v>
      </c>
      <c r="BB38">
        <f>IF(INDEX($BF$4:$BF$13,$AZ38)=0,0,INDEX($BE$4:$BE$13,$AZ38)+$BA38-1)</f>
        <v>38</v>
      </c>
      <c r="BC38" t="n">
        <v>37</v>
      </c>
      <c r="BH38">
        <f>IFERROR(MATCH(38,$BF$4:$BF$13,0),0)</f>
        <v>0</v>
      </c>
      <c r="BI38">
        <f>IF(38=$BG$5,1,0)</f>
        <v>0</v>
      </c>
      <c r="BJ38">
        <f>IF(OR($BH38&gt;0,$BI38=1,$BL38=1),0,IFERROR(INDEX($BC$5:$BC$41,MATCH(38,$BB$5:$BB$41,0)),0))</f>
        <v>37</v>
      </c>
      <c r="BK38">
        <f>IF($BJ38&gt;0,IF(INDEX($AZ$5:$AZ$41,MATCH(38,$BB$5:$BB$41,0))=10,1,0),IF($BH38=10,1,0))</f>
        <v>0</v>
      </c>
      <c r="BL38">
        <f>IF(38=$BG$4,1,0)</f>
        <v>0</v>
      </c>
      <c r="BM38">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1</v>
      </c>
      <c r="BN38">
        <f>IF($B$4="",1,--(OR(SUMPRODUCT(--(TRIM(MID(SUBSTITUTE(SUBSTITUTE($B$4,"/",","),",",REPT(" ",99)),(ROW($1:$8)-1)*99+1,99))&lt;&gt;""),--ISNUMBER(SEARCH(TRIM(MID(SUBSTITUTE(SUBSTITUTE($B$4,"/",","),",",REPT(" ",99)),(ROW($1:$8)-1)*99+1,99)),IFERROR(('Final Calculation Sheet'!$F$37)&amp;"",""))))&gt;0,AND(ISNUMBER(SEARCH("blank",$B$4)),NOT(ISNUMBER(SEARCH("nonblank",$B$4))),IFERROR(('Final Calculation Sheet'!$F$37)&amp;"","")=""),AND(OR(ISNUMBER(SEARCH("nonblank",$B$4)),ISNUMBER(SEARCH("&lt;&gt;",$B$4))),IFERROR(('Final Calculation Sheet'!$F$37)&amp;"","")&lt;&gt;""),AND(TRIM($B$4)="",IFERROR(('Final Calculation Sheet'!$F$37)&amp;"","")=""))))</f>
        <v>1</v>
      </c>
      <c r="BO38">
        <f>IF($C$4="",1,--(OR(SUMPRODUCT(--(TRIM(MID(SUBSTITUTE(SUBSTITUTE($C$4,"/",","),",",REPT(" ",99)),(ROW($1:$8)-1)*99+1,99))&lt;&gt;""),--ISNUMBER(SEARCH(TRIM(MID(SUBSTITUTE(SUBSTITUTE($C$4,"/",","),",",REPT(" ",99)),(ROW($1:$8)-1)*99+1,99)),IFERROR(('Final Calculation Sheet'!$G$37)&amp;"",""))))&gt;0,AND(ISNUMBER(SEARCH("blank",$C$4)),NOT(ISNUMBER(SEARCH("nonblank",$C$4))),IFERROR(('Final Calculation Sheet'!$G$37)&amp;"","")=""),AND(OR(ISNUMBER(SEARCH("nonblank",$C$4)),ISNUMBER(SEARCH("&lt;&gt;",$C$4))),IFERROR(('Final Calculation Sheet'!$G$37)&amp;"","")&lt;&gt;""),AND(TRIM($C$4)="",IFERROR(('Final Calculation Sheet'!$G$37)&amp;"","")=""))))</f>
        <v>1</v>
      </c>
      <c r="BP38">
        <f>IF($D$4="",1,--(OR(SUMPRODUCT(--(TRIM(MID(SUBSTITUTE(SUBSTITUTE($D$4,"/",","),",",REPT(" ",99)),(ROW($1:$8)-1)*99+1,99))&lt;&gt;""),--ISNUMBER(SEARCH(TRIM(MID(SUBSTITUTE(SUBSTITUTE($D$4,"/",","),",",REPT(" ",99)),(ROW($1:$8)-1)*99+1,99)),IFERROR(('Final Calculation Sheet'!$B$37)&amp;"",""))))&gt;0,AND(ISNUMBER(SEARCH("blank",$D$4)),NOT(ISNUMBER(SEARCH("nonblank",$D$4))),IFERROR(('Final Calculation Sheet'!$B$37)&amp;"","")=""),AND(OR(ISNUMBER(SEARCH("nonblank",$D$4)),ISNUMBER(SEARCH("&lt;&gt;",$D$4))),IFERROR(('Final Calculation Sheet'!$B$37)&amp;"","")&lt;&gt;""),AND(TRIM($D$4)="",IFERROR(('Final Calculation Sheet'!$B$37)&amp;"","")=""))))</f>
        <v>1</v>
      </c>
      <c r="BQ38">
        <f>IF($E$4="",1,--(OR(SUMPRODUCT(--(TRIM(MID(SUBSTITUTE(SUBSTITUTE($E$4,"/",","),",",REPT(" ",99)),(ROW($1:$8)-1)*99+1,99))&lt;&gt;""),--ISNUMBER(SEARCH(TRIM(MID(SUBSTITUTE(SUBSTITUTE($E$4,"/",","),",",REPT(" ",99)),(ROW($1:$8)-1)*99+1,99)),IFERROR(('Final Calculation Sheet'!$D$37)&amp;"",""))))&gt;0,AND(ISNUMBER(SEARCH("blank",$E$4)),NOT(ISNUMBER(SEARCH("nonblank",$E$4))),IFERROR(('Final Calculation Sheet'!$D$37)&amp;"","")=""),AND(OR(ISNUMBER(SEARCH("nonblank",$E$4)),ISNUMBER(SEARCH("&lt;&gt;",$E$4))),IFERROR(('Final Calculation Sheet'!$D$37)&amp;"","")&lt;&gt;""),AND(TRIM($E$4)="",IFERROR(('Final Calculation Sheet'!$D$37)&amp;"","")=""))))</f>
        <v>1</v>
      </c>
      <c r="BR38">
        <f>IF($F$4="",1,--(OR(SUMPRODUCT(--(TRIM(MID(SUBSTITUTE(SUBSTITUTE($F$4,"/",","),",",REPT(" ",99)),(ROW($1:$8)-1)*99+1,99))&lt;&gt;""),--ISNUMBER(SEARCH(TRIM(MID(SUBSTITUTE(SUBSTITUTE($F$4,"/",","),",",REPT(" ",99)),(ROW($1:$8)-1)*99+1,99)),IFERROR(('Final Calculation Sheet'!$A$37)&amp;"",""))))&gt;0,AND(ISNUMBER(SEARCH("blank",$F$4)),NOT(ISNUMBER(SEARCH("nonblank",$F$4))),IFERROR(('Final Calculation Sheet'!$A$37)&amp;"","")=""),AND(OR(ISNUMBER(SEARCH("nonblank",$F$4)),ISNUMBER(SEARCH("&lt;&gt;",$F$4))),IFERROR(('Final Calculation Sheet'!$A$37)&amp;"","")&lt;&gt;""),AND(TRIM($F$4)="",IFERROR(('Final Calculation Sheet'!$A$37)&amp;"","")=""))))</f>
        <v>1</v>
      </c>
      <c r="BS38">
        <f>IF($G$4="",1,--(OR(SUMPRODUCT(--(TRIM(MID(SUBSTITUTE(SUBSTITUTE($G$4,"/",","),",",REPT(" ",99)),(ROW($1:$8)-1)*99+1,99))&lt;&gt;""),--ISNUMBER(SEARCH(TRIM(MID(SUBSTITUTE(SUBSTITUTE($G$4,"/",","),",",REPT(" ",99)),(ROW($1:$8)-1)*99+1,99)),IFERROR(('Final Calculation Sheet'!$E$37)&amp;"",""))))&gt;0,AND(ISNUMBER(SEARCH("blank",$G$4)),NOT(ISNUMBER(SEARCH("nonblank",$G$4))),IFERROR(('Final Calculation Sheet'!$E$37)&amp;"","")=""),AND(OR(ISNUMBER(SEARCH("nonblank",$G$4)),ISNUMBER(SEARCH("&lt;&gt;",$G$4))),IFERROR(('Final Calculation Sheet'!$E$37)&amp;"","")&lt;&gt;""),AND(TRIM($G$4)="",IFERROR(('Final Calculation Sheet'!$E$37)&amp;"","")=""))))</f>
        <v>1</v>
      </c>
      <c r="BT38">
        <f>IF($H$4="",1,--(OR(SUMPRODUCT(--(TRIM(MID(SUBSTITUTE(SUBSTITUTE($H$4,"/",","),",",REPT(" ",99)),(ROW($1:$8)-1)*99+1,99))&lt;&gt;""),--ISNUMBER(SEARCH(TRIM(MID(SUBSTITUTE(SUBSTITUTE($H$4,"/",","),",",REPT(" ",99)),(ROW($1:$8)-1)*99+1,99)),IFERROR(('Final Calculation Sheet'!$C$37)&amp;"",""))))&gt;0,AND(ISNUMBER(SEARCH("blank",$H$4)),NOT(ISNUMBER(SEARCH("nonblank",$H$4))),IFERROR(('Final Calculation Sheet'!$C$37)&amp;"","")=""),AND(OR(ISNUMBER(SEARCH("nonblank",$H$4)),ISNUMBER(SEARCH("&lt;&gt;",$H$4))),IFERROR(('Final Calculation Sheet'!$C$37)&amp;"","")&lt;&gt;""),AND(TRIM($H$4)="",IFERROR(('Final Calculation Sheet'!$C$37)&amp;"","")=""))))</f>
        <v>1</v>
      </c>
      <c r="BU38">
        <f>IF($I$4="",1,--(OR(SUMPRODUCT(--(TRIM(MID(SUBSTITUTE(SUBSTITUTE($I$4,"/",","),",",REPT(" ",99)),(ROW($1:$8)-1)*99+1,99))&lt;&gt;""),--ISNUMBER(SEARCH(TRIM(MID(SUBSTITUTE(SUBSTITUTE($I$4,"/",","),",",REPT(" ",99)),(ROW($1:$8)-1)*99+1,99)),IFERROR(('Final Calculation Sheet'!$H$37)&amp;"",""))))&gt;0,AND(ISNUMBER(SEARCH("blank",$I$4)),NOT(ISNUMBER(SEARCH("nonblank",$I$4))),IFERROR(('Final Calculation Sheet'!$H$37)&amp;"","")=""),AND(OR(ISNUMBER(SEARCH("nonblank",$I$4)),ISNUMBER(SEARCH("&lt;&gt;",$I$4))),IFERROR(('Final Calculation Sheet'!$H$37)&amp;"","")&lt;&gt;""),AND(TRIM($I$4)="",IFERROR(('Final Calculation Sheet'!$H$37)&amp;"","")=""))))</f>
        <v>1</v>
      </c>
      <c r="BV38">
        <f>IF($J$4="",1,--(OR(SUMPRODUCT(--(TRIM(MID(SUBSTITUTE(SUBSTITUTE($J$4,"/",","),",",REPT(" ",99)),(ROW($1:$8)-1)*99+1,99))&lt;&gt;""),--ISNUMBER(SEARCH(TRIM(MID(SUBSTITUTE(SUBSTITUTE($J$4,"/",","),",",REPT(" ",99)),(ROW($1:$8)-1)*99+1,99)),IFERROR(('Final Calculation Sheet'!$I$37)&amp;"",""))))&gt;0,AND(ISNUMBER(SEARCH("blank",$J$4)),NOT(ISNUMBER(SEARCH("nonblank",$J$4))),IFERROR(('Final Calculation Sheet'!$I$37)&amp;"","")=""),AND(OR(ISNUMBER(SEARCH("nonblank",$J$4)),ISNUMBER(SEARCH("&lt;&gt;",$J$4))),IFERROR(('Final Calculation Sheet'!$I$37)&amp;"","")&lt;&gt;""),AND(TRIM($J$4)="",IFERROR(('Final Calculation Sheet'!$I$37)&amp;"","")=""))))</f>
        <v>1</v>
      </c>
      <c r="BW38">
        <f>IF($K$4="",1,--(OR(SUMPRODUCT(--(TRIM(MID(SUBSTITUTE(SUBSTITUTE($K$4,"/",","),",",REPT(" ",99)),(ROW($1:$8)-1)*99+1,99))&lt;&gt;""),--ISNUMBER(SEARCH(TRIM(MID(SUBSTITUTE(SUBSTITUTE($K$4,"/",","),",",REPT(" ",99)),(ROW($1:$8)-1)*99+1,99)),IFERROR(('Final Calculation Sheet'!$J$37)&amp;"",""))))&gt;0,AND(ISNUMBER(SEARCH("blank",$K$4)),NOT(ISNUMBER(SEARCH("nonblank",$K$4))),IFERROR(('Final Calculation Sheet'!$J$37)&amp;"","")=""),AND(OR(ISNUMBER(SEARCH("nonblank",$K$4)),ISNUMBER(SEARCH("&lt;&gt;",$K$4))),IFERROR(('Final Calculation Sheet'!$J$37)&amp;"","")&lt;&gt;""),AND(TRIM($K$4)="",IFERROR(('Final Calculation Sheet'!$J$37)&amp;"","")=""))))</f>
        <v>1</v>
      </c>
      <c r="BX38">
        <f>IF($L$4="",1,--(OR(SUMPRODUCT(--(TRIM(MID(SUBSTITUTE(SUBSTITUTE($L$4,"/",","),",",REPT(" ",99)),(ROW($1:$8)-1)*99+1,99))&lt;&gt;""),--ISNUMBER(SEARCH(TRIM(MID(SUBSTITUTE(SUBSTITUTE($L$4,"/",","),",",REPT(" ",99)),(ROW($1:$8)-1)*99+1,99)),IFERROR(('Final Calculation Sheet'!$K$37)&amp;"",""))))&gt;0,AND(ISNUMBER(SEARCH("blank",$L$4)),NOT(ISNUMBER(SEARCH("nonblank",$L$4))),IFERROR(('Final Calculation Sheet'!$K$37)&amp;"","")=""),AND(OR(ISNUMBER(SEARCH("nonblank",$L$4)),ISNUMBER(SEARCH("&lt;&gt;",$L$4))),IFERROR(('Final Calculation Sheet'!$K$37)&amp;"","")&lt;&gt;""),AND(TRIM($L$4)="",IFERROR(('Final Calculation Sheet'!$K$37)&amp;"","")=""))))</f>
        <v>1</v>
      </c>
      <c r="BY38">
        <f>IF($M$4="",1,--(OR(SUMPRODUCT(--(TRIM(MID(SUBSTITUTE(SUBSTITUTE($M$4,"/",","),",",REPT(" ",99)),(ROW($1:$8)-1)*99+1,99))&lt;&gt;""),--ISNUMBER(SEARCH(TRIM(MID(SUBSTITUTE(SUBSTITUTE($M$4,"/",","),",",REPT(" ",99)),(ROW($1:$8)-1)*99+1,99)),IFERROR(('Final Calculation Sheet'!$L$37)&amp;"",""))))&gt;0,AND(ISNUMBER(SEARCH("blank",$M$4)),NOT(ISNUMBER(SEARCH("nonblank",$M$4))),IFERROR(('Final Calculation Sheet'!$L$37)&amp;"","")=""),AND(OR(ISNUMBER(SEARCH("nonblank",$M$4)),ISNUMBER(SEARCH("&lt;&gt;",$M$4))),IFERROR(('Final Calculation Sheet'!$L$37)&amp;"","")&lt;&gt;""),AND(TRIM($M$4)="",IFERROR(('Final Calculation Sheet'!$L$37)&amp;"","")=""))))</f>
        <v>1</v>
      </c>
      <c r="BZ38">
        <f>IF($N$4="",1,--(OR(SUMPRODUCT(--(TRIM(MID(SUBSTITUTE(SUBSTITUTE($N$4,"/",","),",",REPT(" ",99)),(ROW($1:$8)-1)*99+1,99))&lt;&gt;""),--ISNUMBER(SEARCH(TRIM(MID(SUBSTITUTE(SUBSTITUTE($N$4,"/",","),",",REPT(" ",99)),(ROW($1:$8)-1)*99+1,99)),IFERROR(('Final Calculation Sheet'!$M$37)&amp;"",""))))&gt;0,AND(ISNUMBER(SEARCH("blank",$N$4)),NOT(ISNUMBER(SEARCH("nonblank",$N$4))),IFERROR(('Final Calculation Sheet'!$M$37)&amp;"","")=""),AND(OR(ISNUMBER(SEARCH("nonblank",$N$4)),ISNUMBER(SEARCH("&lt;&gt;",$N$4))),IFERROR(('Final Calculation Sheet'!$M$37)&amp;"","")&lt;&gt;""),AND(TRIM($N$4)="",IFERROR(('Final Calculation Sheet'!$M$37)&amp;"","")=""))))</f>
        <v>1</v>
      </c>
      <c r="CA38">
        <f>IF($O$4="",1,--(OR(SUMPRODUCT(--(TRIM(MID(SUBSTITUTE(SUBSTITUTE($O$4,"/",","),",",REPT(" ",99)),(ROW($1:$8)-1)*99+1,99))&lt;&gt;""),--ISNUMBER(SEARCH(TRIM(MID(SUBSTITUTE(SUBSTITUTE($O$4,"/",","),",",REPT(" ",99)),(ROW($1:$8)-1)*99+1,99)),IFERROR(('Final Calculation Sheet'!$N$37)&amp;"",""))))&gt;0,AND(ISNUMBER(SEARCH("blank",$O$4)),NOT(ISNUMBER(SEARCH("nonblank",$O$4))),IFERROR(('Final Calculation Sheet'!$N$37)&amp;"","")=""),AND(OR(ISNUMBER(SEARCH("nonblank",$O$4)),ISNUMBER(SEARCH("&lt;&gt;",$O$4))),IFERROR(('Final Calculation Sheet'!$N$37)&amp;"","")&lt;&gt;""),AND(TRIM($O$4)="",IFERROR(('Final Calculation Sheet'!$N$37)&amp;"","")=""))))</f>
        <v>1</v>
      </c>
      <c r="CB38">
        <f>IF($P$4="",1,--(OR(SUMPRODUCT(--(TRIM(MID(SUBSTITUTE(SUBSTITUTE($P$4,"/",","),",",REPT(" ",99)),(ROW($1:$8)-1)*99+1,99))&lt;&gt;""),--ISNUMBER(SEARCH(TRIM(MID(SUBSTITUTE(SUBSTITUTE($P$4,"/",","),",",REPT(" ",99)),(ROW($1:$8)-1)*99+1,99)),IFERROR(('Final Calculation Sheet'!$O$37)&amp;"",""))))&gt;0,AND(ISNUMBER(SEARCH("blank",$P$4)),NOT(ISNUMBER(SEARCH("nonblank",$P$4))),IFERROR(('Final Calculation Sheet'!$O$37)&amp;"","")=""),AND(OR(ISNUMBER(SEARCH("nonblank",$P$4)),ISNUMBER(SEARCH("&lt;&gt;",$P$4))),IFERROR(('Final Calculation Sheet'!$O$37)&amp;"","")&lt;&gt;""),AND(TRIM($P$4)="",IFERROR(('Final Calculation Sheet'!$O$37)&amp;"","")=""))))</f>
        <v>1</v>
      </c>
      <c r="CC38">
        <f>IF($Q$4="",1,--(OR(SUMPRODUCT(--(TRIM(MID(SUBSTITUTE(SUBSTITUTE($Q$4,"/",","),",",REPT(" ",99)),(ROW($1:$8)-1)*99+1,99))&lt;&gt;""),--ISNUMBER(SEARCH(TRIM(MID(SUBSTITUTE(SUBSTITUTE($Q$4,"/",","),",",REPT(" ",99)),(ROW($1:$8)-1)*99+1,99)),IFERROR(('Final Calculation Sheet'!$P$37)&amp;"",""))))&gt;0,AND(ISNUMBER(SEARCH("blank",$Q$4)),NOT(ISNUMBER(SEARCH("nonblank",$Q$4))),IFERROR(('Final Calculation Sheet'!$P$37)&amp;"","")=""),AND(OR(ISNUMBER(SEARCH("nonblank",$Q$4)),ISNUMBER(SEARCH("&lt;&gt;",$Q$4))),IFERROR(('Final Calculation Sheet'!$P$37)&amp;"","")&lt;&gt;""),AND(TRIM($Q$4)="",IFERROR(('Final Calculation Sheet'!$P$37)&amp;"","")=""))))</f>
        <v>1</v>
      </c>
      <c r="CD38">
        <f>IF($R$4="",1,--(OR(SUMPRODUCT(--(TRIM(MID(SUBSTITUTE(SUBSTITUTE($R$4,"/",","),",",REPT(" ",99)),(ROW($1:$8)-1)*99+1,99))&lt;&gt;""),--ISNUMBER(SEARCH(TRIM(MID(SUBSTITUTE(SUBSTITUTE($R$4,"/",","),",",REPT(" ",99)),(ROW($1:$8)-1)*99+1,99)),IFERROR(('Final Calculation Sheet'!$Q$37)&amp;"",""))))&gt;0,AND(ISNUMBER(SEARCH("blank",$R$4)),NOT(ISNUMBER(SEARCH("nonblank",$R$4))),IFERROR(('Final Calculation Sheet'!$Q$37)&amp;"","")=""),AND(OR(ISNUMBER(SEARCH("nonblank",$R$4)),ISNUMBER(SEARCH("&lt;&gt;",$R$4))),IFERROR(('Final Calculation Sheet'!$Q$37)&amp;"","")&lt;&gt;""),AND(TRIM($R$4)="",IFERROR(('Final Calculation Sheet'!$Q$37)&amp;"","")=""))))</f>
        <v>1</v>
      </c>
      <c r="CE38">
        <f>IF($S$4="",1,--(OR(SUMPRODUCT(--(TRIM(MID(SUBSTITUTE(SUBSTITUTE($S$4,"/",","),",",REPT(" ",99)),(ROW($1:$8)-1)*99+1,99))&lt;&gt;""),--ISNUMBER(SEARCH(TRIM(MID(SUBSTITUTE(SUBSTITUTE($S$4,"/",","),",",REPT(" ",99)),(ROW($1:$8)-1)*99+1,99)),IFERROR(('Final Calculation Sheet'!$R$37)&amp;"",""))))&gt;0,AND(ISNUMBER(SEARCH("blank",$S$4)),NOT(ISNUMBER(SEARCH("nonblank",$S$4))),IFERROR(('Final Calculation Sheet'!$R$37)&amp;"","")=""),AND(OR(ISNUMBER(SEARCH("nonblank",$S$4)),ISNUMBER(SEARCH("&lt;&gt;",$S$4))),IFERROR(('Final Calculation Sheet'!$R$37)&amp;"","")&lt;&gt;""),AND(TRIM($S$4)="",IFERROR(('Final Calculation Sheet'!$R$37)&amp;"","")=""))))</f>
        <v>1</v>
      </c>
      <c r="CF38">
        <f>IF($T$4="",1,--(OR(SUMPRODUCT(--(TRIM(MID(SUBSTITUTE(SUBSTITUTE($T$4,"/",","),",",REPT(" ",99)),(ROW($1:$8)-1)*99+1,99))&lt;&gt;""),--ISNUMBER(SEARCH(TRIM(MID(SUBSTITUTE(SUBSTITUTE($T$4,"/",","),",",REPT(" ",99)),(ROW($1:$8)-1)*99+1,99)),IFERROR(('Final Calculation Sheet'!$S$37)&amp;"",""))))&gt;0,AND(ISNUMBER(SEARCH("blank",$T$4)),NOT(ISNUMBER(SEARCH("nonblank",$T$4))),IFERROR(('Final Calculation Sheet'!$S$37)&amp;"","")=""),AND(OR(ISNUMBER(SEARCH("nonblank",$T$4)),ISNUMBER(SEARCH("&lt;&gt;",$T$4))),IFERROR(('Final Calculation Sheet'!$S$37)&amp;"","")&lt;&gt;""),AND(TRIM($T$4)="",IFERROR(('Final Calculation Sheet'!$S$37)&amp;"","")=""))))</f>
        <v>1</v>
      </c>
      <c r="CG38">
        <f>IF($U$4="",1,--(OR(SUMPRODUCT(--(TRIM(MID(SUBSTITUTE(SUBSTITUTE($U$4,"/",","),",",REPT(" ",99)),(ROW($1:$8)-1)*99+1,99))&lt;&gt;""),--ISNUMBER(SEARCH(TRIM(MID(SUBSTITUTE(SUBSTITUTE($U$4,"/",","),",",REPT(" ",99)),(ROW($1:$8)-1)*99+1,99)),IFERROR(('Final Calculation Sheet'!$T$37)&amp;"",""))))&gt;0,AND(ISNUMBER(SEARCH("blank",$U$4)),NOT(ISNUMBER(SEARCH("nonblank",$U$4))),IFERROR(('Final Calculation Sheet'!$T$37)&amp;"","")=""),AND(OR(ISNUMBER(SEARCH("nonblank",$U$4)),ISNUMBER(SEARCH("&lt;&gt;",$U$4))),IFERROR(('Final Calculation Sheet'!$T$37)&amp;"","")&lt;&gt;""),AND(TRIM($U$4)="",IFERROR(('Final Calculation Sheet'!$T$37)&amp;"","")=""))))</f>
        <v>1</v>
      </c>
      <c r="CH38">
        <f>IF($V$4="",1,--(OR(SUMPRODUCT(--(TRIM(MID(SUBSTITUTE(SUBSTITUTE($V$4,"/",","),",",REPT(" ",99)),(ROW($1:$8)-1)*99+1,99))&lt;&gt;""),--ISNUMBER(SEARCH(TRIM(MID(SUBSTITUTE(SUBSTITUTE($V$4,"/",","),",",REPT(" ",99)),(ROW($1:$8)-1)*99+1,99)),IFERROR(('Final Calculation Sheet'!$U$37)&amp;"",""))))&gt;0,AND(ISNUMBER(SEARCH("blank",$V$4)),NOT(ISNUMBER(SEARCH("nonblank",$V$4))),IFERROR(('Final Calculation Sheet'!$U$37)&amp;"","")=""),AND(OR(ISNUMBER(SEARCH("nonblank",$V$4)),ISNUMBER(SEARCH("&lt;&gt;",$V$4))),IFERROR(('Final Calculation Sheet'!$U$37)&amp;"","")&lt;&gt;""),AND(TRIM($V$4)="",IFERROR(('Final Calculation Sheet'!$U$37)&amp;"","")=""))))</f>
        <v>1</v>
      </c>
      <c r="CI38">
        <f>IF($W$4="",1,--(OR(SUMPRODUCT(--(TRIM(MID(SUBSTITUTE(SUBSTITUTE($W$4,"/",","),",",REPT(" ",99)),(ROW($1:$8)-1)*99+1,99))&lt;&gt;""),--ISNUMBER(SEARCH(TRIM(MID(SUBSTITUTE(SUBSTITUTE($W$4,"/",","),",",REPT(" ",99)),(ROW($1:$8)-1)*99+1,99)),IFERROR(('Final Calculation Sheet'!$V$37)&amp;"",""))))&gt;0,AND(ISNUMBER(SEARCH("blank",$W$4)),NOT(ISNUMBER(SEARCH("nonblank",$W$4))),IFERROR(('Final Calculation Sheet'!$V$37)&amp;"","")=""),AND(OR(ISNUMBER(SEARCH("nonblank",$W$4)),ISNUMBER(SEARCH("&lt;&gt;",$W$4))),IFERROR(('Final Calculation Sheet'!$V$37)&amp;"","")&lt;&gt;""),AND(TRIM($W$4)="",IFERROR(('Final Calculation Sheet'!$V$37)&amp;"","")=""))))</f>
        <v>1</v>
      </c>
      <c r="CJ38">
        <f>IF($X$4="",1,--(OR(SUMPRODUCT(--(TRIM(MID(SUBSTITUTE(SUBSTITUTE($X$4,"/",","),",",REPT(" ",99)),(ROW($1:$8)-1)*99+1,99))&lt;&gt;""),--ISNUMBER(SEARCH(TRIM(MID(SUBSTITUTE(SUBSTITUTE($X$4,"/",","),",",REPT(" ",99)),(ROW($1:$8)-1)*99+1,99)),IFERROR(('Final Calculation Sheet'!$W$37)&amp;"",""))))&gt;0,AND(ISNUMBER(SEARCH("blank",$X$4)),NOT(ISNUMBER(SEARCH("nonblank",$X$4))),IFERROR(('Final Calculation Sheet'!$W$37)&amp;"","")=""),AND(OR(ISNUMBER(SEARCH("nonblank",$X$4)),ISNUMBER(SEARCH("&lt;&gt;",$X$4))),IFERROR(('Final Calculation Sheet'!$W$37)&amp;"","")&lt;&gt;""),AND(TRIM($X$4)="",IFERROR(('Final Calculation Sheet'!$W$37)&amp;"","")=""))))</f>
        <v>1</v>
      </c>
      <c r="CK38">
        <f>IF($Y$4="",1,--(OR(SUMPRODUCT(--(TRIM(MID(SUBSTITUTE(SUBSTITUTE($Y$4,"/",","),",",REPT(" ",99)),(ROW($1:$8)-1)*99+1,99))&lt;&gt;""),--ISNUMBER(SEARCH(TRIM(MID(SUBSTITUTE(SUBSTITUTE($Y$4,"/",","),",",REPT(" ",99)),(ROW($1:$8)-1)*99+1,99)),IFERROR(('Final Calculation Sheet'!$X$37)&amp;"",""))))&gt;0,AND(ISNUMBER(SEARCH("blank",$Y$4)),NOT(ISNUMBER(SEARCH("nonblank",$Y$4))),IFERROR(('Final Calculation Sheet'!$X$37)&amp;"","")=""),AND(OR(ISNUMBER(SEARCH("nonblank",$Y$4)),ISNUMBER(SEARCH("&lt;&gt;",$Y$4))),IFERROR(('Final Calculation Sheet'!$X$37)&amp;"","")&lt;&gt;""),AND(TRIM($Y$4)="",IFERROR(('Final Calculation Sheet'!$X$37)&amp;"","")=""))))</f>
        <v>1</v>
      </c>
      <c r="CL38">
        <f>IF($Z$4="",1,--(OR(SUMPRODUCT(--(TRIM(MID(SUBSTITUTE(SUBSTITUTE($Z$4,"/",","),",",REPT(" ",99)),(ROW($1:$8)-1)*99+1,99))&lt;&gt;""),--ISNUMBER(SEARCH(TRIM(MID(SUBSTITUTE(SUBSTITUTE($Z$4,"/",","),",",REPT(" ",99)),(ROW($1:$8)-1)*99+1,99)),IFERROR(('Final Calculation Sheet'!$Y$37)&amp;"",""))))&gt;0,AND(ISNUMBER(SEARCH("blank",$Z$4)),NOT(ISNUMBER(SEARCH("nonblank",$Z$4))),IFERROR(('Final Calculation Sheet'!$Y$37)&amp;"","")=""),AND(OR(ISNUMBER(SEARCH("nonblank",$Z$4)),ISNUMBER(SEARCH("&lt;&gt;",$Z$4))),IFERROR(('Final Calculation Sheet'!$Y$37)&amp;"","")&lt;&gt;""),AND(TRIM($Z$4)="",IFERROR(('Final Calculation Sheet'!$Y$37)&amp;"","")=""))))</f>
        <v>1</v>
      </c>
      <c r="CM38">
        <f>IF($AA$4="",1,--(OR(SUMPRODUCT(--(TRIM(MID(SUBSTITUTE(SUBSTITUTE($AA$4,"/",","),",",REPT(" ",99)),(ROW($1:$8)-1)*99+1,99))&lt;&gt;""),--ISNUMBER(SEARCH(TRIM(MID(SUBSTITUTE(SUBSTITUTE($AA$4,"/",","),",",REPT(" ",99)),(ROW($1:$8)-1)*99+1,99)),IFERROR(('Final Calculation Sheet'!$Z$37)&amp;"",""))))&gt;0,AND(ISNUMBER(SEARCH("blank",$AA$4)),NOT(ISNUMBER(SEARCH("nonblank",$AA$4))),IFERROR(('Final Calculation Sheet'!$Z$37)&amp;"","")=""),AND(OR(ISNUMBER(SEARCH("nonblank",$AA$4)),ISNUMBER(SEARCH("&lt;&gt;",$AA$4))),IFERROR(('Final Calculation Sheet'!$Z$37)&amp;"","")&lt;&gt;""),AND(TRIM($AA$4)="",IFERROR(('Final Calculation Sheet'!$Z$37)&amp;"","")=""))))</f>
        <v>1</v>
      </c>
      <c r="CN38">
        <f>IF($AB$4="",1,--(OR(SUMPRODUCT(--(TRIM(MID(SUBSTITUTE(SUBSTITUTE($AB$4,"/",","),",",REPT(" ",99)),(ROW($1:$8)-1)*99+1,99))&lt;&gt;""),--ISNUMBER(SEARCH(TRIM(MID(SUBSTITUTE(SUBSTITUTE($AB$4,"/",","),",",REPT(" ",99)),(ROW($1:$8)-1)*99+1,99)),IFERROR(('Final Calculation Sheet'!$AA$37)&amp;"",""))))&gt;0,AND(ISNUMBER(SEARCH("blank",$AB$4)),NOT(ISNUMBER(SEARCH("nonblank",$AB$4))),IFERROR(('Final Calculation Sheet'!$AA$37)&amp;"","")=""),AND(OR(ISNUMBER(SEARCH("nonblank",$AB$4)),ISNUMBER(SEARCH("&lt;&gt;",$AB$4))),IFERROR(('Final Calculation Sheet'!$AA$37)&amp;"","")&lt;&gt;""),AND(TRIM($AB$4)="",IFERROR(('Final Calculation Sheet'!$AA$37)&amp;"","")=""))))</f>
        <v>1</v>
      </c>
      <c r="CO38">
        <f>IF($AC$4="",1,--(OR(SUMPRODUCT(--(TRIM(MID(SUBSTITUTE(SUBSTITUTE($AC$4,"/",","),",",REPT(" ",99)),(ROW($1:$8)-1)*99+1,99))&lt;&gt;""),--ISNUMBER(SEARCH(TRIM(MID(SUBSTITUTE(SUBSTITUTE($AC$4,"/",","),",",REPT(" ",99)),(ROW($1:$8)-1)*99+1,99)),IFERROR(('Final Calculation Sheet'!$AB$37)&amp;"",""))))&gt;0,AND(ISNUMBER(SEARCH("blank",$AC$4)),NOT(ISNUMBER(SEARCH("nonblank",$AC$4))),IFERROR(('Final Calculation Sheet'!$AB$37)&amp;"","")=""),AND(OR(ISNUMBER(SEARCH("nonblank",$AC$4)),ISNUMBER(SEARCH("&lt;&gt;",$AC$4))),IFERROR(('Final Calculation Sheet'!$AB$37)&amp;"","")&lt;&gt;""),AND(TRIM($AC$4)="",IFERROR(('Final Calculation Sheet'!$AB$37)&amp;"","")=""))))</f>
        <v>1</v>
      </c>
      <c r="CP38">
        <f>IF($AD$4="",1,--(OR(SUMPRODUCT(--(TRIM(MID(SUBSTITUTE(SUBSTITUTE($AD$4,"/",","),",",REPT(" ",99)),(ROW($1:$8)-1)*99+1,99))&lt;&gt;""),--ISNUMBER(SEARCH(TRIM(MID(SUBSTITUTE(SUBSTITUTE($AD$4,"/",","),",",REPT(" ",99)),(ROW($1:$8)-1)*99+1,99)),IFERROR(('Final Calculation Sheet'!$AC$37)&amp;"",""))))&gt;0,AND(ISNUMBER(SEARCH("blank",$AD$4)),NOT(ISNUMBER(SEARCH("nonblank",$AD$4))),IFERROR(('Final Calculation Sheet'!$AC$37)&amp;"","")=""),AND(OR(ISNUMBER(SEARCH("nonblank",$AD$4)),ISNUMBER(SEARCH("&lt;&gt;",$AD$4))),IFERROR(('Final Calculation Sheet'!$AC$37)&amp;"","")&lt;&gt;""),AND(TRIM($AD$4)="",IFERROR(('Final Calculation Sheet'!$AC$37)&amp;"","")=""))))</f>
        <v>1</v>
      </c>
      <c r="CQ38">
        <f>IF($AE$4="",1,--(OR(SUMPRODUCT(--(TRIM(MID(SUBSTITUTE(SUBSTITUTE($AE$4,"/",","),",",REPT(" ",99)),(ROW($1:$8)-1)*99+1,99))&lt;&gt;""),--ISNUMBER(SEARCH(TRIM(MID(SUBSTITUTE(SUBSTITUTE($AE$4,"/",","),",",REPT(" ",99)),(ROW($1:$8)-1)*99+1,99)),IFERROR(('Final Calculation Sheet'!$AD$37)&amp;"",""))))&gt;0,AND(ISNUMBER(SEARCH("blank",$AE$4)),NOT(ISNUMBER(SEARCH("nonblank",$AE$4))),IFERROR(('Final Calculation Sheet'!$AD$37)&amp;"","")=""),AND(OR(ISNUMBER(SEARCH("nonblank",$AE$4)),ISNUMBER(SEARCH("&lt;&gt;",$AE$4))),IFERROR(('Final Calculation Sheet'!$AD$37)&amp;"","")&lt;&gt;""),AND(TRIM($AE$4)="",IFERROR(('Final Calculation Sheet'!$AD$37)&amp;"","")=""))))</f>
        <v>1</v>
      </c>
      <c r="CR38">
        <f>IF($AF$4="",1,--(OR(SUMPRODUCT(--(TRIM(MID(SUBSTITUTE(SUBSTITUTE($AF$4,"/",","),",",REPT(" ",99)),(ROW($1:$8)-1)*99+1,99))&lt;&gt;""),--ISNUMBER(SEARCH(TRIM(MID(SUBSTITUTE(SUBSTITUTE($AF$4,"/",","),",",REPT(" ",99)),(ROW($1:$8)-1)*99+1,99)),IFERROR(('Final Calculation Sheet'!$AE$37)&amp;"",""))))&gt;0,AND(ISNUMBER(SEARCH("blank",$AF$4)),NOT(ISNUMBER(SEARCH("nonblank",$AF$4))),IFERROR(('Final Calculation Sheet'!$AE$37)&amp;"","")=""),AND(OR(ISNUMBER(SEARCH("nonblank",$AF$4)),ISNUMBER(SEARCH("&lt;&gt;",$AF$4))),IFERROR(('Final Calculation Sheet'!$AE$37)&amp;"","")&lt;&gt;""),AND(TRIM($AF$4)="",IFERROR(('Final Calculation Sheet'!$AE$37)&amp;"","")=""))))</f>
        <v>1</v>
      </c>
      <c r="CS38">
        <f>IF($AG$4="",1,--(OR(SUMPRODUCT(--(TRIM(MID(SUBSTITUTE(SUBSTITUTE($AG$4,"/",","),",",REPT(" ",99)),(ROW($1:$8)-1)*99+1,99))&lt;&gt;""),--ISNUMBER(SEARCH(TRIM(MID(SUBSTITUTE(SUBSTITUTE($AG$4,"/",","),",",REPT(" ",99)),(ROW($1:$8)-1)*99+1,99)),IFERROR(('Final Calculation Sheet'!$AF$37)&amp;"",""))))&gt;0,AND(ISNUMBER(SEARCH("blank",$AG$4)),NOT(ISNUMBER(SEARCH("nonblank",$AG$4))),IFERROR(('Final Calculation Sheet'!$AF$37)&amp;"","")=""),AND(OR(ISNUMBER(SEARCH("nonblank",$AG$4)),ISNUMBER(SEARCH("&lt;&gt;",$AG$4))),IFERROR(('Final Calculation Sheet'!$AF$37)&amp;"","")&lt;&gt;""),AND(TRIM($AG$4)="",IFERROR(('Final Calculation Sheet'!$AF$37)&amp;"","")=""))))</f>
        <v>1</v>
      </c>
      <c r="CT38">
        <f>IF($AH$4="",1,--(OR(SUMPRODUCT(--(TRIM(MID(SUBSTITUTE(SUBSTITUTE($AH$4,"/",","),",",REPT(" ",99)),(ROW($1:$8)-1)*99+1,99))&lt;&gt;""),--ISNUMBER(SEARCH(TRIM(MID(SUBSTITUTE(SUBSTITUTE($AH$4,"/",","),",",REPT(" ",99)),(ROW($1:$8)-1)*99+1,99)),IFERROR(('Final Calculation Sheet'!$AG$37)&amp;"",""))))&gt;0,AND(ISNUMBER(SEARCH("blank",$AH$4)),NOT(ISNUMBER(SEARCH("nonblank",$AH$4))),IFERROR(('Final Calculation Sheet'!$AG$37)&amp;"","")=""),AND(OR(ISNUMBER(SEARCH("nonblank",$AH$4)),ISNUMBER(SEARCH("&lt;&gt;",$AH$4))),IFERROR(('Final Calculation Sheet'!$AG$37)&amp;"","")&lt;&gt;""),AND(TRIM($AH$4)="",IFERROR(('Final Calculation Sheet'!$AG$37)&amp;"","")=""))))</f>
        <v>1</v>
      </c>
      <c r="CU38">
        <f>IF($AI$4="",1,--(OR(SUMPRODUCT(--(TRIM(MID(SUBSTITUTE(SUBSTITUTE($AI$4,"/",","),",",REPT(" ",99)),(ROW($1:$8)-1)*99+1,99))&lt;&gt;""),--ISNUMBER(SEARCH(TRIM(MID(SUBSTITUTE(SUBSTITUTE($AI$4,"/",","),",",REPT(" ",99)),(ROW($1:$8)-1)*99+1,99)),IFERROR((IF('Final Calculation Sheet'!$AD$37&lt;=5,"SETTLED","OUTSTANDING"))&amp;"",""))))&gt;0,AND(ISNUMBER(SEARCH("blank",$AI$4)),NOT(ISNUMBER(SEARCH("nonblank",$AI$4))),IFERROR((IF('Final Calculation Sheet'!$AD$37&lt;=5,"SETTLED","OUTSTANDING"))&amp;"","")=""),AND(OR(ISNUMBER(SEARCH("nonblank",$AI$4)),ISNUMBER(SEARCH("&lt;&gt;",$AI$4))),IFERROR((IF('Final Calculation Sheet'!$AD$37&lt;=5,"SETTLED","OUTSTANDING"))&amp;"","")&lt;&gt;""),AND(TRIM($AI$4)="",IFERROR((IF('Final Calculation Sheet'!$AD$37&lt;=5,"SETTLED","OUTSTANDING"))&amp;"","")=""))))</f>
        <v>1</v>
      </c>
    </row>
    <row r="39" ht="15" customHeight="1" s="137">
      <c r="A39" s="67">
        <f>IF($BJ38&gt;0,INDEX($BA$5:$BA$41,MATCH(38,$BB$5:$BB$41,0)),IF(OR($BI38=1,$BL38=1,$BH38&gt;0),"∑",""))</f>
        <v>34</v>
      </c>
      <c r="B39" s="76">
        <f>IF($BJ38&gt;0,IF(INDEX('Final Calculation Sheet'!$F$4:$F$40,$BJ38-3)="","",INDEX('Final Calculation Sheet'!$F$4:$F$40,$BJ38-3)),"")</f>
        <v>2071</v>
      </c>
      <c r="C39" s="76" t="str">
        <f>IF($BJ38&gt;0,IF(INDEX('Final Calculation Sheet'!$G$4:$G$40,$BJ38-3)="","",INDEX('Final Calculation Sheet'!$G$4:$G$40,$BJ38-3)),IF(OR($BI38=1,$BL38=1,$BH38&gt;0),IF($BI38=1,37,IF($BL38=1,37-INDEX($BD$4:$BD$13,10),INDEX($BD$4:$BD$13,$BH38)))&amp;" lot(s)",""))</f>
        <v>NATIONAL ENTERPRISES</v>
      </c>
      <c r="D39" s="80" t="str">
        <f>IF($BJ38&gt;0,IF(INDEX('Final Calculation Sheet'!$B$4:$B$40,$BJ38-3)="","",INDEX('Final Calculation Sheet'!$B$4:$B$40,$BJ38-3)),IF(OR($BI38=1,$BL38=1,$BH38&gt;0),IF($BI38=1,"GRAND TOTAL  —  matching + remaining",IF($BL38=1,"TOTAL MATCHED  —  every group together",IF($BH38=10,"REMAINING  —  did not match the search",IF($BH38=9,IF(COUNTIF($A$4:$AI$4,"&lt;&gt;")&gt;0,"FILTERED LOTS  —  column fields","ALL LOTS  —  nothing typed in the box"),"GROUP "&amp;$BH38&amp;" TOTAL  —  lots matching  "&amp;INDEX($AR$6:$AY$6,$BH38))))),""))</f>
        <v>Scrap of 66 KV Isolater</v>
      </c>
      <c r="E39" s="80">
        <f>IF($BJ38&gt;0,IF(INDEX('Final Calculation Sheet'!$D$4:$D$40,$BJ38-3)="","",INDEX('Final Calculation Sheet'!$D$4:$D$40,$BJ38-3)),IF(OR($BI38=1,$BL38=1,$BH38&gt;0),"–",""))</f>
        <v>21980</v>
      </c>
      <c r="F39" s="80">
        <f>IF($BJ38&gt;0,IF(INDEX('Final Calculation Sheet'!$A$4:$A$40,$BJ38-3)="","",INDEX('Final Calculation Sheet'!$A$4:$A$40,$BJ38-3)),IF(OR($BI38=1,$BL38=1,$BH38&gt;0),IF($BI38=1,SUM('Final Calculation Sheet'!$A$4:$A$40),IF($BL38=1,SUM('Final Calculation Sheet'!$A$4:$A$40)-SUMIFS('Final Calculation Sheet'!$A$4:$A$40,$AZ$5:$AZ$41,10),SUMIFS('Final Calculation Sheet'!$A$4:$A$40,$AZ$5:$AZ$41,$BH38))),""))</f>
        <v>3</v>
      </c>
      <c r="G39" s="80" t="str">
        <f>IF($BJ38&gt;0,IF(INDEX('Final Calculation Sheet'!$E$4:$E$40,$BJ38-3)="","",INDEX('Final Calculation Sheet'!$E$4:$E$40,$BJ38-3)),IF(OR($BI38=1,$BL38=1,$BH38&gt;0),"–",""))</f>
        <v>NO</v>
      </c>
      <c r="H39" s="70">
        <f>IF($BJ38&gt;0,IF(INDEX('Final Calculation Sheet'!$C$4:$C$40,$BJ38-3)="","",INDEX('Final Calculation Sheet'!$C$4:$C$40,$BJ38-3)),IF(OR($BI38=1,$BL38=1,$BH38&gt;0),"–",""))</f>
        <v>25001</v>
      </c>
      <c r="I39" s="70">
        <f>IF($BJ38&gt;0,IF(INDEX('Final Calculation Sheet'!$H$4:$H$40,$BJ38-3)="","",INDEX('Final Calculation Sheet'!$H$4:$H$40,$BJ38-3)),IF(OR($BI38=1,$BL38=1,$BH38&gt;0),IF($BI38=1,SUM('Final Calculation Sheet'!$H$4:$H$40),IF($BL38=1,SUM('Final Calculation Sheet'!$H$4:$H$40)-SUMIFS('Final Calculation Sheet'!$H$4:$H$40,$AZ$5:$AZ$41,10),SUMIFS('Final Calculation Sheet'!$H$4:$H$40,$AZ$5:$AZ$41,$BH38))),""))</f>
        <v>75003</v>
      </c>
      <c r="J39" s="70">
        <f>IF($BJ38&gt;0,IF(INDEX('Final Calculation Sheet'!$I$4:$I$40,$BJ38-3)="","",INDEX('Final Calculation Sheet'!$I$4:$I$40,$BJ38-3)),IF(OR($BI38=1,$BL38=1,$BH38&gt;0),IF($BI38=1,SUM('Final Calculation Sheet'!$I$4:$I$40),IF($BL38=1,SUM('Final Calculation Sheet'!$I$4:$I$40)-SUMIFS('Final Calculation Sheet'!$I$4:$I$40,$AZ$5:$AZ$41,10),SUMIFS('Final Calculation Sheet'!$I$4:$I$40,$AZ$5:$AZ$41,$BH38))),""))</f>
        <v>13501</v>
      </c>
      <c r="K39" s="70">
        <f>IF($BJ38&gt;0,IF(INDEX('Final Calculation Sheet'!$J$4:$J$40,$BJ38-3)="","",INDEX('Final Calculation Sheet'!$J$4:$J$40,$BJ38-3)),IF(OR($BI38=1,$BL38=1,$BH38&gt;0),IF($BI38=1,SUM('Final Calculation Sheet'!$J$4:$J$40),IF($BL38=1,SUM('Final Calculation Sheet'!$J$4:$J$40)-SUMIFS('Final Calculation Sheet'!$J$4:$J$40,$AZ$5:$AZ$41,10),SUMIFS('Final Calculation Sheet'!$J$4:$J$40,$AZ$5:$AZ$41,$BH38))),""))</f>
        <v>88504</v>
      </c>
      <c r="L39" s="70">
        <f>IF($BJ38&gt;0,IF(INDEX('Final Calculation Sheet'!$K$4:$K$40,$BJ38-3)="","",INDEX('Final Calculation Sheet'!$K$4:$K$40,$BJ38-3)),IF(OR($BI38=1,$BL38=1,$BH38&gt;0),IF($BI38=1,SUM('Final Calculation Sheet'!$K$4:$K$40),IF($BL38=1,SUM('Final Calculation Sheet'!$K$4:$K$40)-SUMIFS('Final Calculation Sheet'!$K$4:$K$40,$AZ$5:$AZ$41,10),SUMIFS('Final Calculation Sheet'!$K$4:$K$40,$AZ$5:$AZ$41,$BH38))),""))</f>
        <v>1770</v>
      </c>
      <c r="M39" s="70">
        <f>IF($BJ38&gt;0,IF(INDEX('Final Calculation Sheet'!$L$4:$L$40,$BJ38-3)="","",INDEX('Final Calculation Sheet'!$L$4:$L$40,$BJ38-3)),IF(OR($BI38=1,$BL38=1,$BH38&gt;0),IF($BI38=1,SUM('Final Calculation Sheet'!$L$4:$L$40),IF($BL38=1,SUM('Final Calculation Sheet'!$L$4:$L$40)-SUMIFS('Final Calculation Sheet'!$L$4:$L$40,$AZ$5:$AZ$41,10),SUMIFS('Final Calculation Sheet'!$L$4:$L$40,$AZ$5:$AZ$41,$BH38))),""))</f>
        <v>75.003</v>
      </c>
      <c r="N39" s="70">
        <f>IF($BJ38&gt;0,IF(INDEX('Final Calculation Sheet'!$M$4:$M$40,$BJ38-3)="","",INDEX('Final Calculation Sheet'!$M$4:$M$40,$BJ38-3)),IF(OR($BI38=1,$BL38=1,$BH38&gt;0),IF($BI38=1,SUM('Final Calculation Sheet'!$M$4:$M$40),IF($BL38=1,SUM('Final Calculation Sheet'!$M$4:$M$40)-SUMIFS('Final Calculation Sheet'!$M$4:$M$40,$AZ$5:$AZ$41,10),SUMIFS('Final Calculation Sheet'!$M$4:$M$40,$AZ$5:$AZ$41,$BH38))),""))</f>
        <v>1991.3296499999997</v>
      </c>
      <c r="O39" s="71">
        <f>IF($BJ38&gt;0,IF(INDEX('Final Calculation Sheet'!$N$4:$N$40,$BJ38-3)="","",INDEX('Final Calculation Sheet'!$N$4:$N$40,$BJ38-3)),IF(OR($BI38=1,$BL38=1,$BH38&gt;0),IF($BI38=1,SUM('Final Calculation Sheet'!$N$4:$N$40),IF($BL38=1,SUM('Final Calculation Sheet'!$N$4:$N$40)-SUMIFS('Final Calculation Sheet'!$N$4:$N$40,$AZ$5:$AZ$41,10),SUMIFS('Final Calculation Sheet'!$N$4:$N$40,$AZ$5:$AZ$41,$BH38))),""))</f>
        <v>33.751349999999995</v>
      </c>
      <c r="P39" s="70">
        <f>IF($BJ38&gt;0,IF(INDEX('Final Calculation Sheet'!$O$4:$O$40,$BJ38-3)="","",INDEX('Final Calculation Sheet'!$O$4:$O$40,$BJ38-3)),IF(OR($BI38=1,$BL38=1,$BH38&gt;0),IF($BI38=1,SUM('Final Calculation Sheet'!$O$4:$O$40),IF($BL38=1,SUM('Final Calculation Sheet'!$O$4:$O$40)-SUMIFS('Final Calculation Sheet'!$O$4:$O$40,$AZ$5:$AZ$41,10),SUMIFS('Final Calculation Sheet'!$O$4:$O$40,$AZ$5:$AZ$41,$BH38))),""))</f>
        <v>1957.5782999999997</v>
      </c>
      <c r="Q39" s="70">
        <f>IF($BJ38&gt;0,IF(INDEX('Final Calculation Sheet'!$P$4:$P$40,$BJ38-3)="","",INDEX('Final Calculation Sheet'!$P$4:$P$40,$BJ38-3)),IF(OR($BI38=1,$BL38=1,$BH38&gt;0),IF($BI38=1,SUM('Final Calculation Sheet'!$P$4:$P$40),IF($BL38=1,SUM('Final Calculation Sheet'!$P$4:$P$40)-SUMIFS('Final Calculation Sheet'!$P$4:$P$40,$AZ$5:$AZ$41,10),SUMIFS('Final Calculation Sheet'!$P$4:$P$40,$AZ$5:$AZ$41,$BH38))),""))</f>
        <v>2033</v>
      </c>
      <c r="R39" s="72">
        <f>IF($BJ38&gt;0,IF(INDEX('Final Calculation Sheet'!$Q$4:$Q$40,$BJ38-3)="","",INDEX('Final Calculation Sheet'!$Q$4:$Q$40,$BJ38-3)),IF(OR($BI38=1,$BL38=1,$BH38&gt;0),"–",""))</f>
        <v>0</v>
      </c>
      <c r="S39" s="70">
        <f>IF($BJ38&gt;0,IF(INDEX('Final Calculation Sheet'!$R$4:$R$40,$BJ38-3)="","",INDEX('Final Calculation Sheet'!$R$4:$R$40,$BJ38-3)),IF(OR($BI38=1,$BL38=1,$BH38&gt;0),IF($BI38=1,SUM('Final Calculation Sheet'!$R$4:$R$40),IF($BL38=1,SUM('Final Calculation Sheet'!$R$4:$R$40)-SUMIFS('Final Calculation Sheet'!$R$4:$R$40,$AZ$5:$AZ$41,10),SUMIFS('Final Calculation Sheet'!$R$4:$R$40,$AZ$5:$AZ$41,$BH38))),""))</f>
        <v>0</v>
      </c>
      <c r="T39" s="70">
        <f>IF($BJ38&gt;0,IF(INDEX('Final Calculation Sheet'!$S$4:$S$40,$BJ38-3)="","",INDEX('Final Calculation Sheet'!$S$4:$S$40,$BJ38-3)),IF(OR($BI38=1,$BL38=1,$BH38&gt;0),IF($BI38=1,SUM('Final Calculation Sheet'!$S$4:$S$40),IF($BL38=1,SUM('Final Calculation Sheet'!$S$4:$S$40)-SUMIFS('Final Calculation Sheet'!$S$4:$S$40,$AZ$5:$AZ$41,10),SUMIFS('Final Calculation Sheet'!$S$4:$S$40,$AZ$5:$AZ$41,$BH38))),""))</f>
        <v>88241</v>
      </c>
      <c r="U39" s="70">
        <f>IF($BJ38&gt;0,IF(INDEX('Final Calculation Sheet'!$T$4:$T$40,$BJ38-3)="","",INDEX('Final Calculation Sheet'!$T$4:$T$40,$BJ38-3)),IF(OR($BI38=1,$BL38=1,$BH38&gt;0),IF($BI38=1,SUM('Final Calculation Sheet'!$T$4:$T$40),IF($BL38=1,SUM('Final Calculation Sheet'!$T$4:$T$40)-SUMIFS('Final Calculation Sheet'!$T$4:$T$40,$AZ$5:$AZ$41,10),SUMIFS('Final Calculation Sheet'!$T$4:$T$40,$AZ$5:$AZ$41,$BH38))),""))</f>
        <v>18751</v>
      </c>
      <c r="V39" s="73">
        <f>IF($BJ38&gt;0,IF(INDEX('Final Calculation Sheet'!$U$4:$U$40,$BJ38-3)="","",INDEX('Final Calculation Sheet'!$U$4:$U$40,$BJ38-3)),IF(OR($BI38=1,$BL38=1,$BH38&gt;0),IF($BI38=1,SUM('Final Calculation Sheet'!$U$4:$U$40),IF($BL38=1,SUM('Final Calculation Sheet'!$U$4:$U$40)-SUMIFS('Final Calculation Sheet'!$U$4:$U$40,$AZ$5:$AZ$41,10),SUMIFS('Final Calculation Sheet'!$U$4:$U$40,$AZ$5:$AZ$41,$BH38))),""))</f>
        <v>18751</v>
      </c>
      <c r="W39" s="70" t="str">
        <f>IF($BJ38&gt;0,IF(INDEX('Final Calculation Sheet'!$V$4:$V$40,$BJ38-3)="","",INDEX('Final Calculation Sheet'!$V$4:$V$40,$BJ38-3)),IF(OR($BI38=1,$BL38=1,$BH38&gt;0),"–",""))</f>
        <v>13.08.2026</v>
      </c>
      <c r="X39" s="70">
        <f>IF($BJ38&gt;0,IF(INDEX('Final Calculation Sheet'!$W$4:$W$40,$BJ38-3)="","",INDEX('Final Calculation Sheet'!$W$4:$W$40,$BJ38-3)),IF(OR($BI38=1,$BL38=1,$BH38&gt;0),IF($BI38=1,SUM('Final Calculation Sheet'!$W$4:$W$40),IF($BL38=1,SUM('Final Calculation Sheet'!$W$4:$W$40)-SUMIFS('Final Calculation Sheet'!$W$4:$W$40,$AZ$5:$AZ$41,10),SUMIFS('Final Calculation Sheet'!$W$4:$W$40,$AZ$5:$AZ$41,$BH38))),""))</f>
        <v>69490</v>
      </c>
      <c r="Y39" s="70">
        <f>IF($BJ38&gt;0,IF(INDEX('Final Calculation Sheet'!$X$4:$X$40,$BJ38-3)="","",INDEX('Final Calculation Sheet'!$X$4:$X$40,$BJ38-3)),IF(OR($BI38=1,$BL38=1,$BH38&gt;0),IF($BI38=1,SUM('Final Calculation Sheet'!$X$4:$X$40),IF($BL38=1,SUM('Final Calculation Sheet'!$X$4:$X$40)-SUMIFS('Final Calculation Sheet'!$X$4:$X$40,$AZ$5:$AZ$41,10),SUMIFS('Final Calculation Sheet'!$X$4:$X$40,$AZ$5:$AZ$41,$BH38))),""))</f>
        <v>69491</v>
      </c>
      <c r="Z39" s="70" t="str">
        <f>IF($BJ38&gt;0,IF(INDEX('Final Calculation Sheet'!$Y$4:$Y$40,$BJ38-3)="","",INDEX('Final Calculation Sheet'!$Y$4:$Y$40,$BJ38-3)),IF(OR($BI38=1,$BL38=1,$BH38&gt;0),"–",""))</f>
        <v>24.08.2026</v>
      </c>
      <c r="AA39" s="70">
        <f>IF($BJ38&gt;0,IF(INDEX('Final Calculation Sheet'!$Z$4:$Z$40,$BJ38-3)="","",INDEX('Final Calculation Sheet'!$Z$4:$Z$40,$BJ38-3)),IF(OR($BI38=1,$BL38=1,$BH38&gt;0),IF($BI38=1,SUM('Final Calculation Sheet'!$Z$4:$Z$40),IF($BL38=1,SUM('Final Calculation Sheet'!$Z$4:$Z$40)-SUMIFS('Final Calculation Sheet'!$Z$4:$Z$40,$AZ$5:$AZ$41,10),SUMIFS('Final Calculation Sheet'!$Z$4:$Z$40,$AZ$5:$AZ$41,$BH38))),""))</f>
        <v>0</v>
      </c>
      <c r="AB39" s="70" t="str">
        <f>IF($BJ38&gt;0,IF(INDEX('Final Calculation Sheet'!$AA$4:$AA$40,$BJ38-3)="","",INDEX('Final Calculation Sheet'!$AA$4:$AA$40,$BJ38-3)),IF(OR($BI38=1,$BL38=1,$BH38&gt;0),IF($BI38=1,SUM('Final Calculation Sheet'!$AA$4:$AA$40),IF($BL38=1,SUM('Final Calculation Sheet'!$AA$4:$AA$40)-SUMIFS('Final Calculation Sheet'!$AA$4:$AA$40,$AZ$5:$AZ$41,10),SUMIFS('Final Calculation Sheet'!$AA$4:$AA$40,$AZ$5:$AZ$41,$BH38))),""))</f>
        <v/>
      </c>
      <c r="AC39" s="70" t="str">
        <f>IF($BJ38&gt;0,IF(INDEX('Final Calculation Sheet'!$AB$4:$AB$40,$BJ38-3)="","",INDEX('Final Calculation Sheet'!$AB$4:$AB$40,$BJ38-3)),IF(OR($BI38=1,$BL38=1,$BH38&gt;0),"–",""))</f>
        <v/>
      </c>
      <c r="AD39" s="70">
        <f>IF($BJ38&gt;0,IF(INDEX('Final Calculation Sheet'!$AC$4:$AC$40,$BJ38-3)="","",INDEX('Final Calculation Sheet'!$AC$4:$AC$40,$BJ38-3)),IF(OR($BI38=1,$BL38=1,$BH38&gt;0),IF($BI38=1,SUM('Final Calculation Sheet'!$AC$4:$AC$40),IF($BL38=1,SUM('Final Calculation Sheet'!$AC$4:$AC$40)-SUMIFS('Final Calculation Sheet'!$AC$4:$AC$40,$AZ$5:$AZ$41,10),SUMIFS('Final Calculation Sheet'!$AC$4:$AC$40,$AZ$5:$AZ$41,$BH38))),""))</f>
        <v>88242</v>
      </c>
      <c r="AE39" s="70">
        <f>IF($BJ38&gt;0,IF(INDEX('Final Calculation Sheet'!$AD$4:$AD$40,$BJ38-3)="","",INDEX('Final Calculation Sheet'!$AD$4:$AD$40,$BJ38-3)),IF(OR($BI38=1,$BL38=1,$BH38&gt;0),IF($BI38=1,SUM('Final Calculation Sheet'!$AD$4:$AD$40),IF($BL38=1,SUM('Final Calculation Sheet'!$AD$4:$AD$40)-SUMIFS('Final Calculation Sheet'!$AD$4:$AD$40,$AZ$5:$AZ$41,10),SUMIFS('Final Calculation Sheet'!$AD$4:$AD$40,$AZ$5:$AZ$41,$BH38))),""))</f>
        <v>-1</v>
      </c>
      <c r="AF39" s="70" t="str">
        <f>IF($BJ38&gt;0,IF(INDEX('Final Calculation Sheet'!$AE$4:$AE$40,$BJ38-3)="","",INDEX('Final Calculation Sheet'!$AE$4:$AE$40,$BJ38-3)),IF(OR($BI38=1,$BL38=1,$BH38&gt;0),"–",""))</f>
        <v>DR2640100040</v>
      </c>
      <c r="AG39" s="74">
        <f>IF($BJ38&gt;0,IF(INDEX('Final Calculation Sheet'!$AF$4:$AF$40,$BJ38-3)="","",INDEX('Final Calculation Sheet'!$AF$4:$AF$40,$BJ38-3)),IF(OR($BI38=1,$BL38=1,$BH38&gt;0),"–",""))</f>
        <v>1800003314</v>
      </c>
      <c r="AH39" s="70" t="str">
        <f>IF($BJ38&gt;0,IF(INDEX('Final Calculation Sheet'!$AG$4:$AG$40,$BJ38-3)="","",INDEX('Final Calculation Sheet'!$AG$4:$AG$40,$BJ38-3)),IF(OR($BI38=1,$BL38=1,$BH38&gt;0),"–",""))</f>
        <v>27.08.2026</v>
      </c>
      <c r="AI39" s="75" t="str">
        <f>IF($BJ38&gt;0,IF(INDEX('Final Calculation Sheet'!$AD$4:$AD$40,$BJ38-3)="","",IF(INDEX('Final Calculation Sheet'!$AD$4:$AD$40,$BJ38-3)&lt;=5,"SETTLED","OUTSTANDING")),IF(OR($BI38=1,$BL38=1,$BH38&gt;0),IF(IF($BI38=1,SUM('Final Calculation Sheet'!$AD$4:$AD$40),IF($BL38=1,SUM('Final Calculation Sheet'!$AD$4:$AD$40)-SUMIFS('Final Calculation Sheet'!$AD$4:$AD$40,$AZ$5:$AZ$41,10),SUMIFS('Final Calculation Sheet'!$AD$4:$AD$40,$AZ$5:$AZ$41,$BH38)))&lt;=5,"ALL SETTLED","OUTSTANDING"),""))</f>
        <v>SETTLED</v>
      </c>
      <c r="AK39" t="str">
        <f>IF($F$3="Lot No.",'Final Calculation Sheet'!$F$38,IF($F$3="Buyer",'Final Calculation Sheet'!$G$38,IF($F$3="Lot Name",'Final Calculation Sheet'!$B$38,IF($F$3="Bid Sheet",'Final Calculation Sheet'!$D$38,IF($F$3="Unit",'Final Calculation Sheet'!$E$38,'Final Calculation Sheet'!$F$38&amp;" "&amp;'Final Calculation Sheet'!$G$38&amp;" "&amp;'Final Calculation Sheet'!$B$38)))))</f>
        <v>2086 KASHYAP TRADING CO Scrap of 132 KV CT</v>
      </c>
      <c r="AL39">
        <f>AL38+IF($B$3="",0,--(SUMPRODUCT(--($AR$6:$AY$6&lt;&gt;""),--ISNUMBER(SEARCH($AR$6:$AY$6,$AK39)))&gt;0))</f>
        <v>0</v>
      </c>
      <c r="AM39">
        <f>IF(COUNTIF($BM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1</v>
      </c>
      <c r="AZ39">
        <f>IF($B$3="",IF(COUNTIF($A$4:$AI$4,"&lt;&gt;")=0,9,IF($AM39=1,9,10)),IF($AM39=0,10,IF(AND($AR$6&lt;&gt;"",ISNUMBER(SEARCH($AR$6,$AK39))),1,IF(AND($AS$6&lt;&gt;"",ISNUMBER(SEARCH($AS$6,$AK39))),2,IF(AND($AT$6&lt;&gt;"",ISNUMBER(SEARCH($AT$6,$AK39))),3,IF(AND($AU$6&lt;&gt;"",ISNUMBER(SEARCH($AU$6,$AK39))),4,IF(AND($AV$6&lt;&gt;"",ISNUMBER(SEARCH($AV$6,$AK39))),5,IF(AND($AW$6&lt;&gt;"",ISNUMBER(SEARCH($AW$6,$AK39))),6,IF(AND($AX$6&lt;&gt;"",ISNUMBER(SEARCH($AX$6,$AK39))),7,IF(AND($AY$6&lt;&gt;"",ISNUMBER(SEARCH($AY$6,$AK39))),8,0))))))))))</f>
        <v>9</v>
      </c>
      <c r="BA39">
        <f>SUMPRODUCT(($AZ$5:$AZ$41=$AZ39)*($BC$5:$BC$41&lt;$BC39))+1</f>
        <v>35</v>
      </c>
      <c r="BB39">
        <f>IF(INDEX($BF$4:$BF$13,$AZ39)=0,0,INDEX($BE$4:$BE$13,$AZ39)+$BA39-1)</f>
        <v>39</v>
      </c>
      <c r="BC39" t="n">
        <v>38</v>
      </c>
      <c r="BH39">
        <f>IFERROR(MATCH(39,$BF$4:$BF$13,0),0)</f>
        <v>0</v>
      </c>
      <c r="BI39">
        <f>IF(39=$BG$5,1,0)</f>
        <v>0</v>
      </c>
      <c r="BJ39">
        <f>IF(OR($BH39&gt;0,$BI39=1,$BL39=1),0,IFERROR(INDEX($BC$5:$BC$41,MATCH(39,$BB$5:$BB$41,0)),0))</f>
        <v>38</v>
      </c>
      <c r="BK39">
        <f>IF($BJ39&gt;0,IF(INDEX($AZ$5:$AZ$41,MATCH(39,$BB$5:$BB$41,0))=10,1,0),IF($BH39=10,1,0))</f>
        <v>0</v>
      </c>
      <c r="BL39">
        <f>IF(39=$BG$4,1,0)</f>
        <v>0</v>
      </c>
      <c r="BM39">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1</v>
      </c>
      <c r="BN39">
        <f>IF($B$4="",1,--(OR(SUMPRODUCT(--(TRIM(MID(SUBSTITUTE(SUBSTITUTE($B$4,"/",","),",",REPT(" ",99)),(ROW($1:$8)-1)*99+1,99))&lt;&gt;""),--ISNUMBER(SEARCH(TRIM(MID(SUBSTITUTE(SUBSTITUTE($B$4,"/",","),",",REPT(" ",99)),(ROW($1:$8)-1)*99+1,99)),IFERROR(('Final Calculation Sheet'!$F$38)&amp;"",""))))&gt;0,AND(ISNUMBER(SEARCH("blank",$B$4)),NOT(ISNUMBER(SEARCH("nonblank",$B$4))),IFERROR(('Final Calculation Sheet'!$F$38)&amp;"","")=""),AND(OR(ISNUMBER(SEARCH("nonblank",$B$4)),ISNUMBER(SEARCH("&lt;&gt;",$B$4))),IFERROR(('Final Calculation Sheet'!$F$38)&amp;"","")&lt;&gt;""),AND(TRIM($B$4)="",IFERROR(('Final Calculation Sheet'!$F$38)&amp;"","")=""))))</f>
        <v>1</v>
      </c>
      <c r="BO39">
        <f>IF($C$4="",1,--(OR(SUMPRODUCT(--(TRIM(MID(SUBSTITUTE(SUBSTITUTE($C$4,"/",","),",",REPT(" ",99)),(ROW($1:$8)-1)*99+1,99))&lt;&gt;""),--ISNUMBER(SEARCH(TRIM(MID(SUBSTITUTE(SUBSTITUTE($C$4,"/",","),",",REPT(" ",99)),(ROW($1:$8)-1)*99+1,99)),IFERROR(('Final Calculation Sheet'!$G$38)&amp;"",""))))&gt;0,AND(ISNUMBER(SEARCH("blank",$C$4)),NOT(ISNUMBER(SEARCH("nonblank",$C$4))),IFERROR(('Final Calculation Sheet'!$G$38)&amp;"","")=""),AND(OR(ISNUMBER(SEARCH("nonblank",$C$4)),ISNUMBER(SEARCH("&lt;&gt;",$C$4))),IFERROR(('Final Calculation Sheet'!$G$38)&amp;"","")&lt;&gt;""),AND(TRIM($C$4)="",IFERROR(('Final Calculation Sheet'!$G$38)&amp;"","")=""))))</f>
        <v>1</v>
      </c>
      <c r="BP39">
        <f>IF($D$4="",1,--(OR(SUMPRODUCT(--(TRIM(MID(SUBSTITUTE(SUBSTITUTE($D$4,"/",","),",",REPT(" ",99)),(ROW($1:$8)-1)*99+1,99))&lt;&gt;""),--ISNUMBER(SEARCH(TRIM(MID(SUBSTITUTE(SUBSTITUTE($D$4,"/",","),",",REPT(" ",99)),(ROW($1:$8)-1)*99+1,99)),IFERROR(('Final Calculation Sheet'!$B$38)&amp;"",""))))&gt;0,AND(ISNUMBER(SEARCH("blank",$D$4)),NOT(ISNUMBER(SEARCH("nonblank",$D$4))),IFERROR(('Final Calculation Sheet'!$B$38)&amp;"","")=""),AND(OR(ISNUMBER(SEARCH("nonblank",$D$4)),ISNUMBER(SEARCH("&lt;&gt;",$D$4))),IFERROR(('Final Calculation Sheet'!$B$38)&amp;"","")&lt;&gt;""),AND(TRIM($D$4)="",IFERROR(('Final Calculation Sheet'!$B$38)&amp;"","")=""))))</f>
        <v>1</v>
      </c>
      <c r="BQ39">
        <f>IF($E$4="",1,--(OR(SUMPRODUCT(--(TRIM(MID(SUBSTITUTE(SUBSTITUTE($E$4,"/",","),",",REPT(" ",99)),(ROW($1:$8)-1)*99+1,99))&lt;&gt;""),--ISNUMBER(SEARCH(TRIM(MID(SUBSTITUTE(SUBSTITUTE($E$4,"/",","),",",REPT(" ",99)),(ROW($1:$8)-1)*99+1,99)),IFERROR(('Final Calculation Sheet'!$D$38)&amp;"",""))))&gt;0,AND(ISNUMBER(SEARCH("blank",$E$4)),NOT(ISNUMBER(SEARCH("nonblank",$E$4))),IFERROR(('Final Calculation Sheet'!$D$38)&amp;"","")=""),AND(OR(ISNUMBER(SEARCH("nonblank",$E$4)),ISNUMBER(SEARCH("&lt;&gt;",$E$4))),IFERROR(('Final Calculation Sheet'!$D$38)&amp;"","")&lt;&gt;""),AND(TRIM($E$4)="",IFERROR(('Final Calculation Sheet'!$D$38)&amp;"","")=""))))</f>
        <v>1</v>
      </c>
      <c r="BR39">
        <f>IF($F$4="",1,--(OR(SUMPRODUCT(--(TRIM(MID(SUBSTITUTE(SUBSTITUTE($F$4,"/",","),",",REPT(" ",99)),(ROW($1:$8)-1)*99+1,99))&lt;&gt;""),--ISNUMBER(SEARCH(TRIM(MID(SUBSTITUTE(SUBSTITUTE($F$4,"/",","),",",REPT(" ",99)),(ROW($1:$8)-1)*99+1,99)),IFERROR(('Final Calculation Sheet'!$A$38)&amp;"",""))))&gt;0,AND(ISNUMBER(SEARCH("blank",$F$4)),NOT(ISNUMBER(SEARCH("nonblank",$F$4))),IFERROR(('Final Calculation Sheet'!$A$38)&amp;"","")=""),AND(OR(ISNUMBER(SEARCH("nonblank",$F$4)),ISNUMBER(SEARCH("&lt;&gt;",$F$4))),IFERROR(('Final Calculation Sheet'!$A$38)&amp;"","")&lt;&gt;""),AND(TRIM($F$4)="",IFERROR(('Final Calculation Sheet'!$A$38)&amp;"","")=""))))</f>
        <v>1</v>
      </c>
      <c r="BS39">
        <f>IF($G$4="",1,--(OR(SUMPRODUCT(--(TRIM(MID(SUBSTITUTE(SUBSTITUTE($G$4,"/",","),",",REPT(" ",99)),(ROW($1:$8)-1)*99+1,99))&lt;&gt;""),--ISNUMBER(SEARCH(TRIM(MID(SUBSTITUTE(SUBSTITUTE($G$4,"/",","),",",REPT(" ",99)),(ROW($1:$8)-1)*99+1,99)),IFERROR(('Final Calculation Sheet'!$E$38)&amp;"",""))))&gt;0,AND(ISNUMBER(SEARCH("blank",$G$4)),NOT(ISNUMBER(SEARCH("nonblank",$G$4))),IFERROR(('Final Calculation Sheet'!$E$38)&amp;"","")=""),AND(OR(ISNUMBER(SEARCH("nonblank",$G$4)),ISNUMBER(SEARCH("&lt;&gt;",$G$4))),IFERROR(('Final Calculation Sheet'!$E$38)&amp;"","")&lt;&gt;""),AND(TRIM($G$4)="",IFERROR(('Final Calculation Sheet'!$E$38)&amp;"","")=""))))</f>
        <v>1</v>
      </c>
      <c r="BT39">
        <f>IF($H$4="",1,--(OR(SUMPRODUCT(--(TRIM(MID(SUBSTITUTE(SUBSTITUTE($H$4,"/",","),",",REPT(" ",99)),(ROW($1:$8)-1)*99+1,99))&lt;&gt;""),--ISNUMBER(SEARCH(TRIM(MID(SUBSTITUTE(SUBSTITUTE($H$4,"/",","),",",REPT(" ",99)),(ROW($1:$8)-1)*99+1,99)),IFERROR(('Final Calculation Sheet'!$C$38)&amp;"",""))))&gt;0,AND(ISNUMBER(SEARCH("blank",$H$4)),NOT(ISNUMBER(SEARCH("nonblank",$H$4))),IFERROR(('Final Calculation Sheet'!$C$38)&amp;"","")=""),AND(OR(ISNUMBER(SEARCH("nonblank",$H$4)),ISNUMBER(SEARCH("&lt;&gt;",$H$4))),IFERROR(('Final Calculation Sheet'!$C$38)&amp;"","")&lt;&gt;""),AND(TRIM($H$4)="",IFERROR(('Final Calculation Sheet'!$C$38)&amp;"","")=""))))</f>
        <v>1</v>
      </c>
      <c r="BU39">
        <f>IF($I$4="",1,--(OR(SUMPRODUCT(--(TRIM(MID(SUBSTITUTE(SUBSTITUTE($I$4,"/",","),",",REPT(" ",99)),(ROW($1:$8)-1)*99+1,99))&lt;&gt;""),--ISNUMBER(SEARCH(TRIM(MID(SUBSTITUTE(SUBSTITUTE($I$4,"/",","),",",REPT(" ",99)),(ROW($1:$8)-1)*99+1,99)),IFERROR(('Final Calculation Sheet'!$H$38)&amp;"",""))))&gt;0,AND(ISNUMBER(SEARCH("blank",$I$4)),NOT(ISNUMBER(SEARCH("nonblank",$I$4))),IFERROR(('Final Calculation Sheet'!$H$38)&amp;"","")=""),AND(OR(ISNUMBER(SEARCH("nonblank",$I$4)),ISNUMBER(SEARCH("&lt;&gt;",$I$4))),IFERROR(('Final Calculation Sheet'!$H$38)&amp;"","")&lt;&gt;""),AND(TRIM($I$4)="",IFERROR(('Final Calculation Sheet'!$H$38)&amp;"","")=""))))</f>
        <v>1</v>
      </c>
      <c r="BV39">
        <f>IF($J$4="",1,--(OR(SUMPRODUCT(--(TRIM(MID(SUBSTITUTE(SUBSTITUTE($J$4,"/",","),",",REPT(" ",99)),(ROW($1:$8)-1)*99+1,99))&lt;&gt;""),--ISNUMBER(SEARCH(TRIM(MID(SUBSTITUTE(SUBSTITUTE($J$4,"/",","),",",REPT(" ",99)),(ROW($1:$8)-1)*99+1,99)),IFERROR(('Final Calculation Sheet'!$I$38)&amp;"",""))))&gt;0,AND(ISNUMBER(SEARCH("blank",$J$4)),NOT(ISNUMBER(SEARCH("nonblank",$J$4))),IFERROR(('Final Calculation Sheet'!$I$38)&amp;"","")=""),AND(OR(ISNUMBER(SEARCH("nonblank",$J$4)),ISNUMBER(SEARCH("&lt;&gt;",$J$4))),IFERROR(('Final Calculation Sheet'!$I$38)&amp;"","")&lt;&gt;""),AND(TRIM($J$4)="",IFERROR(('Final Calculation Sheet'!$I$38)&amp;"","")=""))))</f>
        <v>1</v>
      </c>
      <c r="BW39">
        <f>IF($K$4="",1,--(OR(SUMPRODUCT(--(TRIM(MID(SUBSTITUTE(SUBSTITUTE($K$4,"/",","),",",REPT(" ",99)),(ROW($1:$8)-1)*99+1,99))&lt;&gt;""),--ISNUMBER(SEARCH(TRIM(MID(SUBSTITUTE(SUBSTITUTE($K$4,"/",","),",",REPT(" ",99)),(ROW($1:$8)-1)*99+1,99)),IFERROR(('Final Calculation Sheet'!$J$38)&amp;"",""))))&gt;0,AND(ISNUMBER(SEARCH("blank",$K$4)),NOT(ISNUMBER(SEARCH("nonblank",$K$4))),IFERROR(('Final Calculation Sheet'!$J$38)&amp;"","")=""),AND(OR(ISNUMBER(SEARCH("nonblank",$K$4)),ISNUMBER(SEARCH("&lt;&gt;",$K$4))),IFERROR(('Final Calculation Sheet'!$J$38)&amp;"","")&lt;&gt;""),AND(TRIM($K$4)="",IFERROR(('Final Calculation Sheet'!$J$38)&amp;"","")=""))))</f>
        <v>1</v>
      </c>
      <c r="BX39">
        <f>IF($L$4="",1,--(OR(SUMPRODUCT(--(TRIM(MID(SUBSTITUTE(SUBSTITUTE($L$4,"/",","),",",REPT(" ",99)),(ROW($1:$8)-1)*99+1,99))&lt;&gt;""),--ISNUMBER(SEARCH(TRIM(MID(SUBSTITUTE(SUBSTITUTE($L$4,"/",","),",",REPT(" ",99)),(ROW($1:$8)-1)*99+1,99)),IFERROR(('Final Calculation Sheet'!$K$38)&amp;"",""))))&gt;0,AND(ISNUMBER(SEARCH("blank",$L$4)),NOT(ISNUMBER(SEARCH("nonblank",$L$4))),IFERROR(('Final Calculation Sheet'!$K$38)&amp;"","")=""),AND(OR(ISNUMBER(SEARCH("nonblank",$L$4)),ISNUMBER(SEARCH("&lt;&gt;",$L$4))),IFERROR(('Final Calculation Sheet'!$K$38)&amp;"","")&lt;&gt;""),AND(TRIM($L$4)="",IFERROR(('Final Calculation Sheet'!$K$38)&amp;"","")=""))))</f>
        <v>1</v>
      </c>
      <c r="BY39">
        <f>IF($M$4="",1,--(OR(SUMPRODUCT(--(TRIM(MID(SUBSTITUTE(SUBSTITUTE($M$4,"/",","),",",REPT(" ",99)),(ROW($1:$8)-1)*99+1,99))&lt;&gt;""),--ISNUMBER(SEARCH(TRIM(MID(SUBSTITUTE(SUBSTITUTE($M$4,"/",","),",",REPT(" ",99)),(ROW($1:$8)-1)*99+1,99)),IFERROR(('Final Calculation Sheet'!$L$38)&amp;"",""))))&gt;0,AND(ISNUMBER(SEARCH("blank",$M$4)),NOT(ISNUMBER(SEARCH("nonblank",$M$4))),IFERROR(('Final Calculation Sheet'!$L$38)&amp;"","")=""),AND(OR(ISNUMBER(SEARCH("nonblank",$M$4)),ISNUMBER(SEARCH("&lt;&gt;",$M$4))),IFERROR(('Final Calculation Sheet'!$L$38)&amp;"","")&lt;&gt;""),AND(TRIM($M$4)="",IFERROR(('Final Calculation Sheet'!$L$38)&amp;"","")=""))))</f>
        <v>1</v>
      </c>
      <c r="BZ39">
        <f>IF($N$4="",1,--(OR(SUMPRODUCT(--(TRIM(MID(SUBSTITUTE(SUBSTITUTE($N$4,"/",","),",",REPT(" ",99)),(ROW($1:$8)-1)*99+1,99))&lt;&gt;""),--ISNUMBER(SEARCH(TRIM(MID(SUBSTITUTE(SUBSTITUTE($N$4,"/",","),",",REPT(" ",99)),(ROW($1:$8)-1)*99+1,99)),IFERROR(('Final Calculation Sheet'!$M$38)&amp;"",""))))&gt;0,AND(ISNUMBER(SEARCH("blank",$N$4)),NOT(ISNUMBER(SEARCH("nonblank",$N$4))),IFERROR(('Final Calculation Sheet'!$M$38)&amp;"","")=""),AND(OR(ISNUMBER(SEARCH("nonblank",$N$4)),ISNUMBER(SEARCH("&lt;&gt;",$N$4))),IFERROR(('Final Calculation Sheet'!$M$38)&amp;"","")&lt;&gt;""),AND(TRIM($N$4)="",IFERROR(('Final Calculation Sheet'!$M$38)&amp;"","")=""))))</f>
        <v>1</v>
      </c>
      <c r="CA39">
        <f>IF($O$4="",1,--(OR(SUMPRODUCT(--(TRIM(MID(SUBSTITUTE(SUBSTITUTE($O$4,"/",","),",",REPT(" ",99)),(ROW($1:$8)-1)*99+1,99))&lt;&gt;""),--ISNUMBER(SEARCH(TRIM(MID(SUBSTITUTE(SUBSTITUTE($O$4,"/",","),",",REPT(" ",99)),(ROW($1:$8)-1)*99+1,99)),IFERROR(('Final Calculation Sheet'!$N$38)&amp;"",""))))&gt;0,AND(ISNUMBER(SEARCH("blank",$O$4)),NOT(ISNUMBER(SEARCH("nonblank",$O$4))),IFERROR(('Final Calculation Sheet'!$N$38)&amp;"","")=""),AND(OR(ISNUMBER(SEARCH("nonblank",$O$4)),ISNUMBER(SEARCH("&lt;&gt;",$O$4))),IFERROR(('Final Calculation Sheet'!$N$38)&amp;"","")&lt;&gt;""),AND(TRIM($O$4)="",IFERROR(('Final Calculation Sheet'!$N$38)&amp;"","")=""))))</f>
        <v>1</v>
      </c>
      <c r="CB39">
        <f>IF($P$4="",1,--(OR(SUMPRODUCT(--(TRIM(MID(SUBSTITUTE(SUBSTITUTE($P$4,"/",","),",",REPT(" ",99)),(ROW($1:$8)-1)*99+1,99))&lt;&gt;""),--ISNUMBER(SEARCH(TRIM(MID(SUBSTITUTE(SUBSTITUTE($P$4,"/",","),",",REPT(" ",99)),(ROW($1:$8)-1)*99+1,99)),IFERROR(('Final Calculation Sheet'!$O$38)&amp;"",""))))&gt;0,AND(ISNUMBER(SEARCH("blank",$P$4)),NOT(ISNUMBER(SEARCH("nonblank",$P$4))),IFERROR(('Final Calculation Sheet'!$O$38)&amp;"","")=""),AND(OR(ISNUMBER(SEARCH("nonblank",$P$4)),ISNUMBER(SEARCH("&lt;&gt;",$P$4))),IFERROR(('Final Calculation Sheet'!$O$38)&amp;"","")&lt;&gt;""),AND(TRIM($P$4)="",IFERROR(('Final Calculation Sheet'!$O$38)&amp;"","")=""))))</f>
        <v>1</v>
      </c>
      <c r="CC39">
        <f>IF($Q$4="",1,--(OR(SUMPRODUCT(--(TRIM(MID(SUBSTITUTE(SUBSTITUTE($Q$4,"/",","),",",REPT(" ",99)),(ROW($1:$8)-1)*99+1,99))&lt;&gt;""),--ISNUMBER(SEARCH(TRIM(MID(SUBSTITUTE(SUBSTITUTE($Q$4,"/",","),",",REPT(" ",99)),(ROW($1:$8)-1)*99+1,99)),IFERROR(('Final Calculation Sheet'!$P$38)&amp;"",""))))&gt;0,AND(ISNUMBER(SEARCH("blank",$Q$4)),NOT(ISNUMBER(SEARCH("nonblank",$Q$4))),IFERROR(('Final Calculation Sheet'!$P$38)&amp;"","")=""),AND(OR(ISNUMBER(SEARCH("nonblank",$Q$4)),ISNUMBER(SEARCH("&lt;&gt;",$Q$4))),IFERROR(('Final Calculation Sheet'!$P$38)&amp;"","")&lt;&gt;""),AND(TRIM($Q$4)="",IFERROR(('Final Calculation Sheet'!$P$38)&amp;"","")=""))))</f>
        <v>1</v>
      </c>
      <c r="CD39">
        <f>IF($R$4="",1,--(OR(SUMPRODUCT(--(TRIM(MID(SUBSTITUTE(SUBSTITUTE($R$4,"/",","),",",REPT(" ",99)),(ROW($1:$8)-1)*99+1,99))&lt;&gt;""),--ISNUMBER(SEARCH(TRIM(MID(SUBSTITUTE(SUBSTITUTE($R$4,"/",","),",",REPT(" ",99)),(ROW($1:$8)-1)*99+1,99)),IFERROR(('Final Calculation Sheet'!$Q$38)&amp;"",""))))&gt;0,AND(ISNUMBER(SEARCH("blank",$R$4)),NOT(ISNUMBER(SEARCH("nonblank",$R$4))),IFERROR(('Final Calculation Sheet'!$Q$38)&amp;"","")=""),AND(OR(ISNUMBER(SEARCH("nonblank",$R$4)),ISNUMBER(SEARCH("&lt;&gt;",$R$4))),IFERROR(('Final Calculation Sheet'!$Q$38)&amp;"","")&lt;&gt;""),AND(TRIM($R$4)="",IFERROR(('Final Calculation Sheet'!$Q$38)&amp;"","")=""))))</f>
        <v>1</v>
      </c>
      <c r="CE39">
        <f>IF($S$4="",1,--(OR(SUMPRODUCT(--(TRIM(MID(SUBSTITUTE(SUBSTITUTE($S$4,"/",","),",",REPT(" ",99)),(ROW($1:$8)-1)*99+1,99))&lt;&gt;""),--ISNUMBER(SEARCH(TRIM(MID(SUBSTITUTE(SUBSTITUTE($S$4,"/",","),",",REPT(" ",99)),(ROW($1:$8)-1)*99+1,99)),IFERROR(('Final Calculation Sheet'!$R$38)&amp;"",""))))&gt;0,AND(ISNUMBER(SEARCH("blank",$S$4)),NOT(ISNUMBER(SEARCH("nonblank",$S$4))),IFERROR(('Final Calculation Sheet'!$R$38)&amp;"","")=""),AND(OR(ISNUMBER(SEARCH("nonblank",$S$4)),ISNUMBER(SEARCH("&lt;&gt;",$S$4))),IFERROR(('Final Calculation Sheet'!$R$38)&amp;"","")&lt;&gt;""),AND(TRIM($S$4)="",IFERROR(('Final Calculation Sheet'!$R$38)&amp;"","")=""))))</f>
        <v>1</v>
      </c>
      <c r="CF39">
        <f>IF($T$4="",1,--(OR(SUMPRODUCT(--(TRIM(MID(SUBSTITUTE(SUBSTITUTE($T$4,"/",","),",",REPT(" ",99)),(ROW($1:$8)-1)*99+1,99))&lt;&gt;""),--ISNUMBER(SEARCH(TRIM(MID(SUBSTITUTE(SUBSTITUTE($T$4,"/",","),",",REPT(" ",99)),(ROW($1:$8)-1)*99+1,99)),IFERROR(('Final Calculation Sheet'!$S$38)&amp;"",""))))&gt;0,AND(ISNUMBER(SEARCH("blank",$T$4)),NOT(ISNUMBER(SEARCH("nonblank",$T$4))),IFERROR(('Final Calculation Sheet'!$S$38)&amp;"","")=""),AND(OR(ISNUMBER(SEARCH("nonblank",$T$4)),ISNUMBER(SEARCH("&lt;&gt;",$T$4))),IFERROR(('Final Calculation Sheet'!$S$38)&amp;"","")&lt;&gt;""),AND(TRIM($T$4)="",IFERROR(('Final Calculation Sheet'!$S$38)&amp;"","")=""))))</f>
        <v>1</v>
      </c>
      <c r="CG39">
        <f>IF($U$4="",1,--(OR(SUMPRODUCT(--(TRIM(MID(SUBSTITUTE(SUBSTITUTE($U$4,"/",","),",",REPT(" ",99)),(ROW($1:$8)-1)*99+1,99))&lt;&gt;""),--ISNUMBER(SEARCH(TRIM(MID(SUBSTITUTE(SUBSTITUTE($U$4,"/",","),",",REPT(" ",99)),(ROW($1:$8)-1)*99+1,99)),IFERROR(('Final Calculation Sheet'!$T$38)&amp;"",""))))&gt;0,AND(ISNUMBER(SEARCH("blank",$U$4)),NOT(ISNUMBER(SEARCH("nonblank",$U$4))),IFERROR(('Final Calculation Sheet'!$T$38)&amp;"","")=""),AND(OR(ISNUMBER(SEARCH("nonblank",$U$4)),ISNUMBER(SEARCH("&lt;&gt;",$U$4))),IFERROR(('Final Calculation Sheet'!$T$38)&amp;"","")&lt;&gt;""),AND(TRIM($U$4)="",IFERROR(('Final Calculation Sheet'!$T$38)&amp;"","")=""))))</f>
        <v>1</v>
      </c>
      <c r="CH39">
        <f>IF($V$4="",1,--(OR(SUMPRODUCT(--(TRIM(MID(SUBSTITUTE(SUBSTITUTE($V$4,"/",","),",",REPT(" ",99)),(ROW($1:$8)-1)*99+1,99))&lt;&gt;""),--ISNUMBER(SEARCH(TRIM(MID(SUBSTITUTE(SUBSTITUTE($V$4,"/",","),",",REPT(" ",99)),(ROW($1:$8)-1)*99+1,99)),IFERROR(('Final Calculation Sheet'!$U$38)&amp;"",""))))&gt;0,AND(ISNUMBER(SEARCH("blank",$V$4)),NOT(ISNUMBER(SEARCH("nonblank",$V$4))),IFERROR(('Final Calculation Sheet'!$U$38)&amp;"","")=""),AND(OR(ISNUMBER(SEARCH("nonblank",$V$4)),ISNUMBER(SEARCH("&lt;&gt;",$V$4))),IFERROR(('Final Calculation Sheet'!$U$38)&amp;"","")&lt;&gt;""),AND(TRIM($V$4)="",IFERROR(('Final Calculation Sheet'!$U$38)&amp;"","")=""))))</f>
        <v>1</v>
      </c>
      <c r="CI39">
        <f>IF($W$4="",1,--(OR(SUMPRODUCT(--(TRIM(MID(SUBSTITUTE(SUBSTITUTE($W$4,"/",","),",",REPT(" ",99)),(ROW($1:$8)-1)*99+1,99))&lt;&gt;""),--ISNUMBER(SEARCH(TRIM(MID(SUBSTITUTE(SUBSTITUTE($W$4,"/",","),",",REPT(" ",99)),(ROW($1:$8)-1)*99+1,99)),IFERROR(('Final Calculation Sheet'!$V$38)&amp;"",""))))&gt;0,AND(ISNUMBER(SEARCH("blank",$W$4)),NOT(ISNUMBER(SEARCH("nonblank",$W$4))),IFERROR(('Final Calculation Sheet'!$V$38)&amp;"","")=""),AND(OR(ISNUMBER(SEARCH("nonblank",$W$4)),ISNUMBER(SEARCH("&lt;&gt;",$W$4))),IFERROR(('Final Calculation Sheet'!$V$38)&amp;"","")&lt;&gt;""),AND(TRIM($W$4)="",IFERROR(('Final Calculation Sheet'!$V$38)&amp;"","")=""))))</f>
        <v>1</v>
      </c>
      <c r="CJ39">
        <f>IF($X$4="",1,--(OR(SUMPRODUCT(--(TRIM(MID(SUBSTITUTE(SUBSTITUTE($X$4,"/",","),",",REPT(" ",99)),(ROW($1:$8)-1)*99+1,99))&lt;&gt;""),--ISNUMBER(SEARCH(TRIM(MID(SUBSTITUTE(SUBSTITUTE($X$4,"/",","),",",REPT(" ",99)),(ROW($1:$8)-1)*99+1,99)),IFERROR(('Final Calculation Sheet'!$W$38)&amp;"",""))))&gt;0,AND(ISNUMBER(SEARCH("blank",$X$4)),NOT(ISNUMBER(SEARCH("nonblank",$X$4))),IFERROR(('Final Calculation Sheet'!$W$38)&amp;"","")=""),AND(OR(ISNUMBER(SEARCH("nonblank",$X$4)),ISNUMBER(SEARCH("&lt;&gt;",$X$4))),IFERROR(('Final Calculation Sheet'!$W$38)&amp;"","")&lt;&gt;""),AND(TRIM($X$4)="",IFERROR(('Final Calculation Sheet'!$W$38)&amp;"","")=""))))</f>
        <v>1</v>
      </c>
      <c r="CK39">
        <f>IF($Y$4="",1,--(OR(SUMPRODUCT(--(TRIM(MID(SUBSTITUTE(SUBSTITUTE($Y$4,"/",","),",",REPT(" ",99)),(ROW($1:$8)-1)*99+1,99))&lt;&gt;""),--ISNUMBER(SEARCH(TRIM(MID(SUBSTITUTE(SUBSTITUTE($Y$4,"/",","),",",REPT(" ",99)),(ROW($1:$8)-1)*99+1,99)),IFERROR(('Final Calculation Sheet'!$X$38)&amp;"",""))))&gt;0,AND(ISNUMBER(SEARCH("blank",$Y$4)),NOT(ISNUMBER(SEARCH("nonblank",$Y$4))),IFERROR(('Final Calculation Sheet'!$X$38)&amp;"","")=""),AND(OR(ISNUMBER(SEARCH("nonblank",$Y$4)),ISNUMBER(SEARCH("&lt;&gt;",$Y$4))),IFERROR(('Final Calculation Sheet'!$X$38)&amp;"","")&lt;&gt;""),AND(TRIM($Y$4)="",IFERROR(('Final Calculation Sheet'!$X$38)&amp;"","")=""))))</f>
        <v>1</v>
      </c>
      <c r="CL39">
        <f>IF($Z$4="",1,--(OR(SUMPRODUCT(--(TRIM(MID(SUBSTITUTE(SUBSTITUTE($Z$4,"/",","),",",REPT(" ",99)),(ROW($1:$8)-1)*99+1,99))&lt;&gt;""),--ISNUMBER(SEARCH(TRIM(MID(SUBSTITUTE(SUBSTITUTE($Z$4,"/",","),",",REPT(" ",99)),(ROW($1:$8)-1)*99+1,99)),IFERROR(('Final Calculation Sheet'!$Y$38)&amp;"",""))))&gt;0,AND(ISNUMBER(SEARCH("blank",$Z$4)),NOT(ISNUMBER(SEARCH("nonblank",$Z$4))),IFERROR(('Final Calculation Sheet'!$Y$38)&amp;"","")=""),AND(OR(ISNUMBER(SEARCH("nonblank",$Z$4)),ISNUMBER(SEARCH("&lt;&gt;",$Z$4))),IFERROR(('Final Calculation Sheet'!$Y$38)&amp;"","")&lt;&gt;""),AND(TRIM($Z$4)="",IFERROR(('Final Calculation Sheet'!$Y$38)&amp;"","")=""))))</f>
        <v>1</v>
      </c>
      <c r="CM39">
        <f>IF($AA$4="",1,--(OR(SUMPRODUCT(--(TRIM(MID(SUBSTITUTE(SUBSTITUTE($AA$4,"/",","),",",REPT(" ",99)),(ROW($1:$8)-1)*99+1,99))&lt;&gt;""),--ISNUMBER(SEARCH(TRIM(MID(SUBSTITUTE(SUBSTITUTE($AA$4,"/",","),",",REPT(" ",99)),(ROW($1:$8)-1)*99+1,99)),IFERROR(('Final Calculation Sheet'!$Z$38)&amp;"",""))))&gt;0,AND(ISNUMBER(SEARCH("blank",$AA$4)),NOT(ISNUMBER(SEARCH("nonblank",$AA$4))),IFERROR(('Final Calculation Sheet'!$Z$38)&amp;"","")=""),AND(OR(ISNUMBER(SEARCH("nonblank",$AA$4)),ISNUMBER(SEARCH("&lt;&gt;",$AA$4))),IFERROR(('Final Calculation Sheet'!$Z$38)&amp;"","")&lt;&gt;""),AND(TRIM($AA$4)="",IFERROR(('Final Calculation Sheet'!$Z$38)&amp;"","")=""))))</f>
        <v>1</v>
      </c>
      <c r="CN39">
        <f>IF($AB$4="",1,--(OR(SUMPRODUCT(--(TRIM(MID(SUBSTITUTE(SUBSTITUTE($AB$4,"/",","),",",REPT(" ",99)),(ROW($1:$8)-1)*99+1,99))&lt;&gt;""),--ISNUMBER(SEARCH(TRIM(MID(SUBSTITUTE(SUBSTITUTE($AB$4,"/",","),",",REPT(" ",99)),(ROW($1:$8)-1)*99+1,99)),IFERROR(('Final Calculation Sheet'!$AA$38)&amp;"",""))))&gt;0,AND(ISNUMBER(SEARCH("blank",$AB$4)),NOT(ISNUMBER(SEARCH("nonblank",$AB$4))),IFERROR(('Final Calculation Sheet'!$AA$38)&amp;"","")=""),AND(OR(ISNUMBER(SEARCH("nonblank",$AB$4)),ISNUMBER(SEARCH("&lt;&gt;",$AB$4))),IFERROR(('Final Calculation Sheet'!$AA$38)&amp;"","")&lt;&gt;""),AND(TRIM($AB$4)="",IFERROR(('Final Calculation Sheet'!$AA$38)&amp;"","")=""))))</f>
        <v>1</v>
      </c>
      <c r="CO39">
        <f>IF($AC$4="",1,--(OR(SUMPRODUCT(--(TRIM(MID(SUBSTITUTE(SUBSTITUTE($AC$4,"/",","),",",REPT(" ",99)),(ROW($1:$8)-1)*99+1,99))&lt;&gt;""),--ISNUMBER(SEARCH(TRIM(MID(SUBSTITUTE(SUBSTITUTE($AC$4,"/",","),",",REPT(" ",99)),(ROW($1:$8)-1)*99+1,99)),IFERROR(('Final Calculation Sheet'!$AB$38)&amp;"",""))))&gt;0,AND(ISNUMBER(SEARCH("blank",$AC$4)),NOT(ISNUMBER(SEARCH("nonblank",$AC$4))),IFERROR(('Final Calculation Sheet'!$AB$38)&amp;"","")=""),AND(OR(ISNUMBER(SEARCH("nonblank",$AC$4)),ISNUMBER(SEARCH("&lt;&gt;",$AC$4))),IFERROR(('Final Calculation Sheet'!$AB$38)&amp;"","")&lt;&gt;""),AND(TRIM($AC$4)="",IFERROR(('Final Calculation Sheet'!$AB$38)&amp;"","")=""))))</f>
        <v>1</v>
      </c>
      <c r="CP39">
        <f>IF($AD$4="",1,--(OR(SUMPRODUCT(--(TRIM(MID(SUBSTITUTE(SUBSTITUTE($AD$4,"/",","),",",REPT(" ",99)),(ROW($1:$8)-1)*99+1,99))&lt;&gt;""),--ISNUMBER(SEARCH(TRIM(MID(SUBSTITUTE(SUBSTITUTE($AD$4,"/",","),",",REPT(" ",99)),(ROW($1:$8)-1)*99+1,99)),IFERROR(('Final Calculation Sheet'!$AC$38)&amp;"",""))))&gt;0,AND(ISNUMBER(SEARCH("blank",$AD$4)),NOT(ISNUMBER(SEARCH("nonblank",$AD$4))),IFERROR(('Final Calculation Sheet'!$AC$38)&amp;"","")=""),AND(OR(ISNUMBER(SEARCH("nonblank",$AD$4)),ISNUMBER(SEARCH("&lt;&gt;",$AD$4))),IFERROR(('Final Calculation Sheet'!$AC$38)&amp;"","")&lt;&gt;""),AND(TRIM($AD$4)="",IFERROR(('Final Calculation Sheet'!$AC$38)&amp;"","")=""))))</f>
        <v>1</v>
      </c>
      <c r="CQ39">
        <f>IF($AE$4="",1,--(OR(SUMPRODUCT(--(TRIM(MID(SUBSTITUTE(SUBSTITUTE($AE$4,"/",","),",",REPT(" ",99)),(ROW($1:$8)-1)*99+1,99))&lt;&gt;""),--ISNUMBER(SEARCH(TRIM(MID(SUBSTITUTE(SUBSTITUTE($AE$4,"/",","),",",REPT(" ",99)),(ROW($1:$8)-1)*99+1,99)),IFERROR(('Final Calculation Sheet'!$AD$38)&amp;"",""))))&gt;0,AND(ISNUMBER(SEARCH("blank",$AE$4)),NOT(ISNUMBER(SEARCH("nonblank",$AE$4))),IFERROR(('Final Calculation Sheet'!$AD$38)&amp;"","")=""),AND(OR(ISNUMBER(SEARCH("nonblank",$AE$4)),ISNUMBER(SEARCH("&lt;&gt;",$AE$4))),IFERROR(('Final Calculation Sheet'!$AD$38)&amp;"","")&lt;&gt;""),AND(TRIM($AE$4)="",IFERROR(('Final Calculation Sheet'!$AD$38)&amp;"","")=""))))</f>
        <v>1</v>
      </c>
      <c r="CR39">
        <f>IF($AF$4="",1,--(OR(SUMPRODUCT(--(TRIM(MID(SUBSTITUTE(SUBSTITUTE($AF$4,"/",","),",",REPT(" ",99)),(ROW($1:$8)-1)*99+1,99))&lt;&gt;""),--ISNUMBER(SEARCH(TRIM(MID(SUBSTITUTE(SUBSTITUTE($AF$4,"/",","),",",REPT(" ",99)),(ROW($1:$8)-1)*99+1,99)),IFERROR(('Final Calculation Sheet'!$AE$38)&amp;"",""))))&gt;0,AND(ISNUMBER(SEARCH("blank",$AF$4)),NOT(ISNUMBER(SEARCH("nonblank",$AF$4))),IFERROR(('Final Calculation Sheet'!$AE$38)&amp;"","")=""),AND(OR(ISNUMBER(SEARCH("nonblank",$AF$4)),ISNUMBER(SEARCH("&lt;&gt;",$AF$4))),IFERROR(('Final Calculation Sheet'!$AE$38)&amp;"","")&lt;&gt;""),AND(TRIM($AF$4)="",IFERROR(('Final Calculation Sheet'!$AE$38)&amp;"","")=""))))</f>
        <v>1</v>
      </c>
      <c r="CS39">
        <f>IF($AG$4="",1,--(OR(SUMPRODUCT(--(TRIM(MID(SUBSTITUTE(SUBSTITUTE($AG$4,"/",","),",",REPT(" ",99)),(ROW($1:$8)-1)*99+1,99))&lt;&gt;""),--ISNUMBER(SEARCH(TRIM(MID(SUBSTITUTE(SUBSTITUTE($AG$4,"/",","),",",REPT(" ",99)),(ROW($1:$8)-1)*99+1,99)),IFERROR(('Final Calculation Sheet'!$AF$38)&amp;"",""))))&gt;0,AND(ISNUMBER(SEARCH("blank",$AG$4)),NOT(ISNUMBER(SEARCH("nonblank",$AG$4))),IFERROR(('Final Calculation Sheet'!$AF$38)&amp;"","")=""),AND(OR(ISNUMBER(SEARCH("nonblank",$AG$4)),ISNUMBER(SEARCH("&lt;&gt;",$AG$4))),IFERROR(('Final Calculation Sheet'!$AF$38)&amp;"","")&lt;&gt;""),AND(TRIM($AG$4)="",IFERROR(('Final Calculation Sheet'!$AF$38)&amp;"","")=""))))</f>
        <v>1</v>
      </c>
      <c r="CT39">
        <f>IF($AH$4="",1,--(OR(SUMPRODUCT(--(TRIM(MID(SUBSTITUTE(SUBSTITUTE($AH$4,"/",","),",",REPT(" ",99)),(ROW($1:$8)-1)*99+1,99))&lt;&gt;""),--ISNUMBER(SEARCH(TRIM(MID(SUBSTITUTE(SUBSTITUTE($AH$4,"/",","),",",REPT(" ",99)),(ROW($1:$8)-1)*99+1,99)),IFERROR(('Final Calculation Sheet'!$AG$38)&amp;"",""))))&gt;0,AND(ISNUMBER(SEARCH("blank",$AH$4)),NOT(ISNUMBER(SEARCH("nonblank",$AH$4))),IFERROR(('Final Calculation Sheet'!$AG$38)&amp;"","")=""),AND(OR(ISNUMBER(SEARCH("nonblank",$AH$4)),ISNUMBER(SEARCH("&lt;&gt;",$AH$4))),IFERROR(('Final Calculation Sheet'!$AG$38)&amp;"","")&lt;&gt;""),AND(TRIM($AH$4)="",IFERROR(('Final Calculation Sheet'!$AG$38)&amp;"","")=""))))</f>
        <v>1</v>
      </c>
      <c r="CU39">
        <f>IF($AI$4="",1,--(OR(SUMPRODUCT(--(TRIM(MID(SUBSTITUTE(SUBSTITUTE($AI$4,"/",","),",",REPT(" ",99)),(ROW($1:$8)-1)*99+1,99))&lt;&gt;""),--ISNUMBER(SEARCH(TRIM(MID(SUBSTITUTE(SUBSTITUTE($AI$4,"/",","),",",REPT(" ",99)),(ROW($1:$8)-1)*99+1,99)),IFERROR((IF('Final Calculation Sheet'!$AD$38&lt;=5,"SETTLED","OUTSTANDING"))&amp;"",""))))&gt;0,AND(ISNUMBER(SEARCH("blank",$AI$4)),NOT(ISNUMBER(SEARCH("nonblank",$AI$4))),IFERROR((IF('Final Calculation Sheet'!$AD$38&lt;=5,"SETTLED","OUTSTANDING"))&amp;"","")=""),AND(OR(ISNUMBER(SEARCH("nonblank",$AI$4)),ISNUMBER(SEARCH("&lt;&gt;",$AI$4))),IFERROR((IF('Final Calculation Sheet'!$AD$38&lt;=5,"SETTLED","OUTSTANDING"))&amp;"","")&lt;&gt;""),AND(TRIM($AI$4)="",IFERROR((IF('Final Calculation Sheet'!$AD$38&lt;=5,"SETTLED","OUTSTANDING"))&amp;"","")=""))))</f>
        <v>1</v>
      </c>
    </row>
    <row r="40" ht="15" customHeight="1" s="137">
      <c r="A40" s="67">
        <f>IF($BJ39&gt;0,INDEX($BA$5:$BA$41,MATCH(39,$BB$5:$BB$41,0)),IF(OR($BI39=1,$BL39=1,$BH39&gt;0),"∑",""))</f>
        <v>35</v>
      </c>
      <c r="B40" s="76">
        <f>IF($BJ39&gt;0,IF(INDEX('Final Calculation Sheet'!$F$4:$F$40,$BJ39-3)="","",INDEX('Final Calculation Sheet'!$F$4:$F$40,$BJ39-3)),"")</f>
        <v>2086</v>
      </c>
      <c r="C40" s="76" t="str">
        <f>IF($BJ39&gt;0,IF(INDEX('Final Calculation Sheet'!$G$4:$G$40,$BJ39-3)="","",INDEX('Final Calculation Sheet'!$G$4:$G$40,$BJ39-3)),IF(OR($BI39=1,$BL39=1,$BH39&gt;0),IF($BI39=1,37,IF($BL39=1,37-INDEX($BD$4:$BD$13,10),INDEX($BD$4:$BD$13,$BH39)))&amp;" lot(s)",""))</f>
        <v>KASHYAP TRADING CO</v>
      </c>
      <c r="D40" s="80" t="str">
        <f>IF($BJ39&gt;0,IF(INDEX('Final Calculation Sheet'!$B$4:$B$40,$BJ39-3)="","",INDEX('Final Calculation Sheet'!$B$4:$B$40,$BJ39-3)),IF(OR($BI39=1,$BL39=1,$BH39&gt;0),IF($BI39=1,"GRAND TOTAL  —  matching + remaining",IF($BL39=1,"TOTAL MATCHED  —  every group together",IF($BH39=10,"REMAINING  —  did not match the search",IF($BH39=9,IF(COUNTIF($A$4:$AI$4,"&lt;&gt;")&gt;0,"FILTERED LOTS  —  column fields","ALL LOTS  —  nothing typed in the box"),"GROUP "&amp;$BH39&amp;" TOTAL  —  lots matching  "&amp;INDEX($AR$6:$AY$6,$BH39))))),""))</f>
        <v>Scrap of 132 KV CT</v>
      </c>
      <c r="E40" s="80">
        <f>IF($BJ39&gt;0,IF(INDEX('Final Calculation Sheet'!$D$4:$D$40,$BJ39-3)="","",INDEX('Final Calculation Sheet'!$D$4:$D$40,$BJ39-3)),IF(OR($BI39=1,$BL39=1,$BH39&gt;0),"–",""))</f>
        <v>21980</v>
      </c>
      <c r="F40" s="80">
        <f>IF($BJ39&gt;0,IF(INDEX('Final Calculation Sheet'!$A$4:$A$40,$BJ39-3)="","",INDEX('Final Calculation Sheet'!$A$4:$A$40,$BJ39-3)),IF(OR($BI39=1,$BL39=1,$BH39&gt;0),IF($BI39=1,SUM('Final Calculation Sheet'!$A$4:$A$40),IF($BL39=1,SUM('Final Calculation Sheet'!$A$4:$A$40)-SUMIFS('Final Calculation Sheet'!$A$4:$A$40,$AZ$5:$AZ$41,10),SUMIFS('Final Calculation Sheet'!$A$4:$A$40,$AZ$5:$AZ$41,$BH39))),""))</f>
        <v>3</v>
      </c>
      <c r="G40" s="80" t="str">
        <f>IF($BJ39&gt;0,IF(INDEX('Final Calculation Sheet'!$E$4:$E$40,$BJ39-3)="","",INDEX('Final Calculation Sheet'!$E$4:$E$40,$BJ39-3)),IF(OR($BI39=1,$BL39=1,$BH39&gt;0),"–",""))</f>
        <v>NO</v>
      </c>
      <c r="H40" s="70">
        <f>IF($BJ39&gt;0,IF(INDEX('Final Calculation Sheet'!$C$4:$C$40,$BJ39-3)="","",INDEX('Final Calculation Sheet'!$C$4:$C$40,$BJ39-3)),IF(OR($BI39=1,$BL39=1,$BH39&gt;0),"–",""))</f>
        <v>70001</v>
      </c>
      <c r="I40" s="70">
        <f>IF($BJ39&gt;0,IF(INDEX('Final Calculation Sheet'!$H$4:$H$40,$BJ39-3)="","",INDEX('Final Calculation Sheet'!$H$4:$H$40,$BJ39-3)),IF(OR($BI39=1,$BL39=1,$BH39&gt;0),IF($BI39=1,SUM('Final Calculation Sheet'!$H$4:$H$40),IF($BL39=1,SUM('Final Calculation Sheet'!$H$4:$H$40)-SUMIFS('Final Calculation Sheet'!$H$4:$H$40,$AZ$5:$AZ$41,10),SUMIFS('Final Calculation Sheet'!$H$4:$H$40,$AZ$5:$AZ$41,$BH39))),""))</f>
        <v>210003</v>
      </c>
      <c r="J40" s="70">
        <f>IF($BJ39&gt;0,IF(INDEX('Final Calculation Sheet'!$I$4:$I$40,$BJ39-3)="","",INDEX('Final Calculation Sheet'!$I$4:$I$40,$BJ39-3)),IF(OR($BI39=1,$BL39=1,$BH39&gt;0),IF($BI39=1,SUM('Final Calculation Sheet'!$I$4:$I$40),IF($BL39=1,SUM('Final Calculation Sheet'!$I$4:$I$40)-SUMIFS('Final Calculation Sheet'!$I$4:$I$40,$AZ$5:$AZ$41,10),SUMIFS('Final Calculation Sheet'!$I$4:$I$40,$AZ$5:$AZ$41,$BH39))),""))</f>
        <v>37801</v>
      </c>
      <c r="K40" s="70">
        <f>IF($BJ39&gt;0,IF(INDEX('Final Calculation Sheet'!$J$4:$J$40,$BJ39-3)="","",INDEX('Final Calculation Sheet'!$J$4:$J$40,$BJ39-3)),IF(OR($BI39=1,$BL39=1,$BH39&gt;0),IF($BI39=1,SUM('Final Calculation Sheet'!$J$4:$J$40),IF($BL39=1,SUM('Final Calculation Sheet'!$J$4:$J$40)-SUMIFS('Final Calculation Sheet'!$J$4:$J$40,$AZ$5:$AZ$41,10),SUMIFS('Final Calculation Sheet'!$J$4:$J$40,$AZ$5:$AZ$41,$BH39))),""))</f>
        <v>247804</v>
      </c>
      <c r="L40" s="70">
        <f>IF($BJ39&gt;0,IF(INDEX('Final Calculation Sheet'!$K$4:$K$40,$BJ39-3)="","",INDEX('Final Calculation Sheet'!$K$4:$K$40,$BJ39-3)),IF(OR($BI39=1,$BL39=1,$BH39&gt;0),IF($BI39=1,SUM('Final Calculation Sheet'!$K$4:$K$40),IF($BL39=1,SUM('Final Calculation Sheet'!$K$4:$K$40)-SUMIFS('Final Calculation Sheet'!$K$4:$K$40,$AZ$5:$AZ$41,10),SUMIFS('Final Calculation Sheet'!$K$4:$K$40,$AZ$5:$AZ$41,$BH39))),""))</f>
        <v>4956</v>
      </c>
      <c r="M40" s="70">
        <f>IF($BJ39&gt;0,IF(INDEX('Final Calculation Sheet'!$L$4:$L$40,$BJ39-3)="","",INDEX('Final Calculation Sheet'!$L$4:$L$40,$BJ39-3)),IF(OR($BI39=1,$BL39=1,$BH39&gt;0),IF($BI39=1,SUM('Final Calculation Sheet'!$L$4:$L$40),IF($BL39=1,SUM('Final Calculation Sheet'!$L$4:$L$40)-SUMIFS('Final Calculation Sheet'!$L$4:$L$40,$AZ$5:$AZ$41,10),SUMIFS('Final Calculation Sheet'!$L$4:$L$40,$AZ$5:$AZ$41,$BH39))),""))</f>
        <v>210.00300000000001</v>
      </c>
      <c r="N40" s="70">
        <f>IF($BJ39&gt;0,IF(INDEX('Final Calculation Sheet'!$M$4:$M$40,$BJ39-3)="","",INDEX('Final Calculation Sheet'!$M$4:$M$40,$BJ39-3)),IF(OR($BI39=1,$BL39=1,$BH39&gt;0),IF($BI39=1,SUM('Final Calculation Sheet'!$M$4:$M$40),IF($BL39=1,SUM('Final Calculation Sheet'!$M$4:$M$40)-SUMIFS('Final Calculation Sheet'!$M$4:$M$40,$AZ$5:$AZ$41,10),SUMIFS('Final Calculation Sheet'!$M$4:$M$40,$AZ$5:$AZ$41,$BH39))),""))</f>
        <v>5575.5796499999997</v>
      </c>
      <c r="O40" s="71">
        <f>IF($BJ39&gt;0,IF(INDEX('Final Calculation Sheet'!$N$4:$N$40,$BJ39-3)="","",INDEX('Final Calculation Sheet'!$N$4:$N$40,$BJ39-3)),IF(OR($BI39=1,$BL39=1,$BH39&gt;0),IF($BI39=1,SUM('Final Calculation Sheet'!$N$4:$N$40),IF($BL39=1,SUM('Final Calculation Sheet'!$N$4:$N$40)-SUMIFS('Final Calculation Sheet'!$N$4:$N$40,$AZ$5:$AZ$41,10),SUMIFS('Final Calculation Sheet'!$N$4:$N$40,$AZ$5:$AZ$41,$BH39))),""))</f>
        <v>94.501350000000002</v>
      </c>
      <c r="P40" s="70">
        <f>IF($BJ39&gt;0,IF(INDEX('Final Calculation Sheet'!$O$4:$O$40,$BJ39-3)="","",INDEX('Final Calculation Sheet'!$O$4:$O$40,$BJ39-3)),IF(OR($BI39=1,$BL39=1,$BH39&gt;0),IF($BI39=1,SUM('Final Calculation Sheet'!$O$4:$O$40),IF($BL39=1,SUM('Final Calculation Sheet'!$O$4:$O$40)-SUMIFS('Final Calculation Sheet'!$O$4:$O$40,$AZ$5:$AZ$41,10),SUMIFS('Final Calculation Sheet'!$O$4:$O$40,$AZ$5:$AZ$41,$BH39))),""))</f>
        <v>5481.0782999999992</v>
      </c>
      <c r="Q40" s="70">
        <f>IF($BJ39&gt;0,IF(INDEX('Final Calculation Sheet'!$P$4:$P$40,$BJ39-3)="","",INDEX('Final Calculation Sheet'!$P$4:$P$40,$BJ39-3)),IF(OR($BI39=1,$BL39=1,$BH39&gt;0),IF($BI39=1,SUM('Final Calculation Sheet'!$P$4:$P$40),IF($BL39=1,SUM('Final Calculation Sheet'!$P$4:$P$40)-SUMIFS('Final Calculation Sheet'!$P$4:$P$40,$AZ$5:$AZ$41,10),SUMIFS('Final Calculation Sheet'!$P$4:$P$40,$AZ$5:$AZ$41,$BH39))),""))</f>
        <v>5691</v>
      </c>
      <c r="R40" s="72">
        <f>IF($BJ39&gt;0,IF(INDEX('Final Calculation Sheet'!$Q$4:$Q$40,$BJ39-3)="","",INDEX('Final Calculation Sheet'!$Q$4:$Q$40,$BJ39-3)),IF(OR($BI39=1,$BL39=1,$BH39&gt;0),"–",""))</f>
        <v>0</v>
      </c>
      <c r="S40" s="70">
        <f>IF($BJ39&gt;0,IF(INDEX('Final Calculation Sheet'!$R$4:$R$40,$BJ39-3)="","",INDEX('Final Calculation Sheet'!$R$4:$R$40,$BJ39-3)),IF(OR($BI39=1,$BL39=1,$BH39&gt;0),IF($BI39=1,SUM('Final Calculation Sheet'!$R$4:$R$40),IF($BL39=1,SUM('Final Calculation Sheet'!$R$4:$R$40)-SUMIFS('Final Calculation Sheet'!$R$4:$R$40,$AZ$5:$AZ$41,10),SUMIFS('Final Calculation Sheet'!$R$4:$R$40,$AZ$5:$AZ$41,$BH39))),""))</f>
        <v>0</v>
      </c>
      <c r="T40" s="70">
        <f>IF($BJ39&gt;0,IF(INDEX('Final Calculation Sheet'!$S$4:$S$40,$BJ39-3)="","",INDEX('Final Calculation Sheet'!$S$4:$S$40,$BJ39-3)),IF(OR($BI39=1,$BL39=1,$BH39&gt;0),IF($BI39=1,SUM('Final Calculation Sheet'!$S$4:$S$40),IF($BL39=1,SUM('Final Calculation Sheet'!$S$4:$S$40)-SUMIFS('Final Calculation Sheet'!$S$4:$S$40,$AZ$5:$AZ$41,10),SUMIFS('Final Calculation Sheet'!$S$4:$S$40,$AZ$5:$AZ$41,$BH39))),""))</f>
        <v>247069</v>
      </c>
      <c r="U40" s="70">
        <f>IF($BJ39&gt;0,IF(INDEX('Final Calculation Sheet'!$T$4:$T$40,$BJ39-3)="","",INDEX('Final Calculation Sheet'!$T$4:$T$40,$BJ39-3)),IF(OR($BI39=1,$BL39=1,$BH39&gt;0),IF($BI39=1,SUM('Final Calculation Sheet'!$T$4:$T$40),IF($BL39=1,SUM('Final Calculation Sheet'!$T$4:$T$40)-SUMIFS('Final Calculation Sheet'!$T$4:$T$40,$AZ$5:$AZ$41,10),SUMIFS('Final Calculation Sheet'!$T$4:$T$40,$AZ$5:$AZ$41,$BH39))),""))</f>
        <v>52501</v>
      </c>
      <c r="V40" s="73">
        <f>IF($BJ39&gt;0,IF(INDEX('Final Calculation Sheet'!$U$4:$U$40,$BJ39-3)="","",INDEX('Final Calculation Sheet'!$U$4:$U$40,$BJ39-3)),IF(OR($BI39=1,$BL39=1,$BH39&gt;0),IF($BI39=1,SUM('Final Calculation Sheet'!$U$4:$U$40),IF($BL39=1,SUM('Final Calculation Sheet'!$U$4:$U$40)-SUMIFS('Final Calculation Sheet'!$U$4:$U$40,$AZ$5:$AZ$41,10),SUMIFS('Final Calculation Sheet'!$U$4:$U$40,$AZ$5:$AZ$41,$BH39))),""))</f>
        <v>52501</v>
      </c>
      <c r="W40" s="70" t="str">
        <f>IF($BJ39&gt;0,IF(INDEX('Final Calculation Sheet'!$V$4:$V$40,$BJ39-3)="","",INDEX('Final Calculation Sheet'!$V$4:$V$40,$BJ39-3)),IF(OR($BI39=1,$BL39=1,$BH39&gt;0),"–",""))</f>
        <v>17.08.2026</v>
      </c>
      <c r="X40" s="70">
        <f>IF($BJ39&gt;0,IF(INDEX('Final Calculation Sheet'!$W$4:$W$40,$BJ39-3)="","",INDEX('Final Calculation Sheet'!$W$4:$W$40,$BJ39-3)),IF(OR($BI39=1,$BL39=1,$BH39&gt;0),IF($BI39=1,SUM('Final Calculation Sheet'!$W$4:$W$40),IF($BL39=1,SUM('Final Calculation Sheet'!$W$4:$W$40)-SUMIFS('Final Calculation Sheet'!$W$4:$W$40,$AZ$5:$AZ$41,10),SUMIFS('Final Calculation Sheet'!$W$4:$W$40,$AZ$5:$AZ$41,$BH39))),""))</f>
        <v>194568</v>
      </c>
      <c r="Y40" s="70">
        <f>IF($BJ39&gt;0,IF(INDEX('Final Calculation Sheet'!$X$4:$X$40,$BJ39-3)="","",INDEX('Final Calculation Sheet'!$X$4:$X$40,$BJ39-3)),IF(OR($BI39=1,$BL39=1,$BH39&gt;0),IF($BI39=1,SUM('Final Calculation Sheet'!$X$4:$X$40),IF($BL39=1,SUM('Final Calculation Sheet'!$X$4:$X$40)-SUMIFS('Final Calculation Sheet'!$X$4:$X$40,$AZ$5:$AZ$41,10),SUMIFS('Final Calculation Sheet'!$X$4:$X$40,$AZ$5:$AZ$41,$BH39))),""))</f>
        <v>194568</v>
      </c>
      <c r="Z40" s="70" t="str">
        <f>IF($BJ39&gt;0,IF(INDEX('Final Calculation Sheet'!$Y$4:$Y$40,$BJ39-3)="","",INDEX('Final Calculation Sheet'!$Y$4:$Y$40,$BJ39-3)),IF(OR($BI39=1,$BL39=1,$BH39&gt;0),"–",""))</f>
        <v>17.08.2026</v>
      </c>
      <c r="AA40" s="70">
        <f>IF($BJ39&gt;0,IF(INDEX('Final Calculation Sheet'!$Z$4:$Z$40,$BJ39-3)="","",INDEX('Final Calculation Sheet'!$Z$4:$Z$40,$BJ39-3)),IF(OR($BI39=1,$BL39=1,$BH39&gt;0),IF($BI39=1,SUM('Final Calculation Sheet'!$Z$4:$Z$40),IF($BL39=1,SUM('Final Calculation Sheet'!$Z$4:$Z$40)-SUMIFS('Final Calculation Sheet'!$Z$4:$Z$40,$AZ$5:$AZ$41,10),SUMIFS('Final Calculation Sheet'!$Z$4:$Z$40,$AZ$5:$AZ$41,$BH39))),""))</f>
        <v>0</v>
      </c>
      <c r="AB40" s="70" t="str">
        <f>IF($BJ39&gt;0,IF(INDEX('Final Calculation Sheet'!$AA$4:$AA$40,$BJ39-3)="","",INDEX('Final Calculation Sheet'!$AA$4:$AA$40,$BJ39-3)),IF(OR($BI39=1,$BL39=1,$BH39&gt;0),IF($BI39=1,SUM('Final Calculation Sheet'!$AA$4:$AA$40),IF($BL39=1,SUM('Final Calculation Sheet'!$AA$4:$AA$40)-SUMIFS('Final Calculation Sheet'!$AA$4:$AA$40,$AZ$5:$AZ$41,10),SUMIFS('Final Calculation Sheet'!$AA$4:$AA$40,$AZ$5:$AZ$41,$BH39))),""))</f>
        <v/>
      </c>
      <c r="AC40" s="70" t="str">
        <f>IF($BJ39&gt;0,IF(INDEX('Final Calculation Sheet'!$AB$4:$AB$40,$BJ39-3)="","",INDEX('Final Calculation Sheet'!$AB$4:$AB$40,$BJ39-3)),IF(OR($BI39=1,$BL39=1,$BH39&gt;0),"–",""))</f>
        <v/>
      </c>
      <c r="AD40" s="70">
        <f>IF($BJ39&gt;0,IF(INDEX('Final Calculation Sheet'!$AC$4:$AC$40,$BJ39-3)="","",INDEX('Final Calculation Sheet'!$AC$4:$AC$40,$BJ39-3)),IF(OR($BI39=1,$BL39=1,$BH39&gt;0),IF($BI39=1,SUM('Final Calculation Sheet'!$AC$4:$AC$40),IF($BL39=1,SUM('Final Calculation Sheet'!$AC$4:$AC$40)-SUMIFS('Final Calculation Sheet'!$AC$4:$AC$40,$AZ$5:$AZ$41,10),SUMIFS('Final Calculation Sheet'!$AC$4:$AC$40,$AZ$5:$AZ$41,$BH39))),""))</f>
        <v>247069</v>
      </c>
      <c r="AE40" s="70">
        <f>IF($BJ39&gt;0,IF(INDEX('Final Calculation Sheet'!$AD$4:$AD$40,$BJ39-3)="","",INDEX('Final Calculation Sheet'!$AD$4:$AD$40,$BJ39-3)),IF(OR($BI39=1,$BL39=1,$BH39&gt;0),IF($BI39=1,SUM('Final Calculation Sheet'!$AD$4:$AD$40),IF($BL39=1,SUM('Final Calculation Sheet'!$AD$4:$AD$40)-SUMIFS('Final Calculation Sheet'!$AD$4:$AD$40,$AZ$5:$AZ$41,10),SUMIFS('Final Calculation Sheet'!$AD$4:$AD$40,$AZ$5:$AZ$41,$BH39))),""))</f>
        <v>0</v>
      </c>
      <c r="AF40" s="70" t="str">
        <f>IF($BJ39&gt;0,IF(INDEX('Final Calculation Sheet'!$AE$4:$AE$40,$BJ39-3)="","",INDEX('Final Calculation Sheet'!$AE$4:$AE$40,$BJ39-3)),IF(OR($BI39=1,$BL39=1,$BH39&gt;0),"–",""))</f>
        <v>DR2640100025</v>
      </c>
      <c r="AG40" s="74">
        <f>IF($BJ39&gt;0,IF(INDEX('Final Calculation Sheet'!$AF$4:$AF$40,$BJ39-3)="","",INDEX('Final Calculation Sheet'!$AF$4:$AF$40,$BJ39-3)),IF(OR($BI39=1,$BL39=1,$BH39&gt;0),"–",""))</f>
        <v>1800003226</v>
      </c>
      <c r="AH40" s="70" t="str">
        <f>IF($BJ39&gt;0,IF(INDEX('Final Calculation Sheet'!$AG$4:$AG$40,$BJ39-3)="","",INDEX('Final Calculation Sheet'!$AG$4:$AG$40,$BJ39-3)),IF(OR($BI39=1,$BL39=1,$BH39&gt;0),"–",""))</f>
        <v>19.08.2026</v>
      </c>
      <c r="AI40" s="75" t="str">
        <f>IF($BJ39&gt;0,IF(INDEX('Final Calculation Sheet'!$AD$4:$AD$40,$BJ39-3)="","",IF(INDEX('Final Calculation Sheet'!$AD$4:$AD$40,$BJ39-3)&lt;=5,"SETTLED","OUTSTANDING")),IF(OR($BI39=1,$BL39=1,$BH39&gt;0),IF(IF($BI39=1,SUM('Final Calculation Sheet'!$AD$4:$AD$40),IF($BL39=1,SUM('Final Calculation Sheet'!$AD$4:$AD$40)-SUMIFS('Final Calculation Sheet'!$AD$4:$AD$40,$AZ$5:$AZ$41,10),SUMIFS('Final Calculation Sheet'!$AD$4:$AD$40,$AZ$5:$AZ$41,$BH39)))&lt;=5,"ALL SETTLED","OUTSTANDING"),""))</f>
        <v>SETTLED</v>
      </c>
      <c r="AK40" t="str">
        <f>IF($F$3="Lot No.",'Final Calculation Sheet'!$F$39,IF($F$3="Buyer",'Final Calculation Sheet'!$G$39,IF($F$3="Lot Name",'Final Calculation Sheet'!$B$39,IF($F$3="Bid Sheet",'Final Calculation Sheet'!$D$39,IF($F$3="Unit",'Final Calculation Sheet'!$E$39,'Final Calculation Sheet'!$F$39&amp;" "&amp;'Final Calculation Sheet'!$G$39&amp;" "&amp;'Final Calculation Sheet'!$B$39)))))</f>
        <v>2089 S M ENTERPRISES Scrap of 66 kv TBC C &amp; R Panel</v>
      </c>
      <c r="AL40">
        <f>AL39+IF($B$3="",0,--(SUMPRODUCT(--($AR$6:$AY$6&lt;&gt;""),--ISNUMBER(SEARCH($AR$6:$AY$6,$AK40)))&gt;0))</f>
        <v>0</v>
      </c>
      <c r="AM40">
        <f>IF(COUNTIF($BM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1</v>
      </c>
      <c r="AZ40">
        <f>IF($B$3="",IF(COUNTIF($A$4:$AI$4,"&lt;&gt;")=0,9,IF($AM40=1,9,10)),IF($AM40=0,10,IF(AND($AR$6&lt;&gt;"",ISNUMBER(SEARCH($AR$6,$AK40))),1,IF(AND($AS$6&lt;&gt;"",ISNUMBER(SEARCH($AS$6,$AK40))),2,IF(AND($AT$6&lt;&gt;"",ISNUMBER(SEARCH($AT$6,$AK40))),3,IF(AND($AU$6&lt;&gt;"",ISNUMBER(SEARCH($AU$6,$AK40))),4,IF(AND($AV$6&lt;&gt;"",ISNUMBER(SEARCH($AV$6,$AK40))),5,IF(AND($AW$6&lt;&gt;"",ISNUMBER(SEARCH($AW$6,$AK40))),6,IF(AND($AX$6&lt;&gt;"",ISNUMBER(SEARCH($AX$6,$AK40))),7,IF(AND($AY$6&lt;&gt;"",ISNUMBER(SEARCH($AY$6,$AK40))),8,0))))))))))</f>
        <v>9</v>
      </c>
      <c r="BA40">
        <f>SUMPRODUCT(($AZ$5:$AZ$41=$AZ40)*($BC$5:$BC$41&lt;$BC40))+1</f>
        <v>36</v>
      </c>
      <c r="BB40">
        <f>IF(INDEX($BF$4:$BF$13,$AZ40)=0,0,INDEX($BE$4:$BE$13,$AZ40)+$BA40-1)</f>
        <v>40</v>
      </c>
      <c r="BC40" t="n">
        <v>39</v>
      </c>
      <c r="BH40">
        <f>IFERROR(MATCH(40,$BF$4:$BF$13,0),0)</f>
        <v>0</v>
      </c>
      <c r="BI40">
        <f>IF(40=$BG$5,1,0)</f>
        <v>0</v>
      </c>
      <c r="BJ40">
        <f>IF(OR($BH40&gt;0,$BI40=1,$BL40=1),0,IFERROR(INDEX($BC$5:$BC$41,MATCH(40,$BB$5:$BB$41,0)),0))</f>
        <v>39</v>
      </c>
      <c r="BK40">
        <f>IF($BJ40&gt;0,IF(INDEX($AZ$5:$AZ$41,MATCH(40,$BB$5:$BB$41,0))=10,1,0),IF($BH40=10,1,0))</f>
        <v>0</v>
      </c>
      <c r="BL40">
        <f>IF(40=$BG$4,1,0)</f>
        <v>0</v>
      </c>
      <c r="BM40">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1</v>
      </c>
      <c r="BN40">
        <f>IF($B$4="",1,--(OR(SUMPRODUCT(--(TRIM(MID(SUBSTITUTE(SUBSTITUTE($B$4,"/",","),",",REPT(" ",99)),(ROW($1:$8)-1)*99+1,99))&lt;&gt;""),--ISNUMBER(SEARCH(TRIM(MID(SUBSTITUTE(SUBSTITUTE($B$4,"/",","),",",REPT(" ",99)),(ROW($1:$8)-1)*99+1,99)),IFERROR(('Final Calculation Sheet'!$F$39)&amp;"",""))))&gt;0,AND(ISNUMBER(SEARCH("blank",$B$4)),NOT(ISNUMBER(SEARCH("nonblank",$B$4))),IFERROR(('Final Calculation Sheet'!$F$39)&amp;"","")=""),AND(OR(ISNUMBER(SEARCH("nonblank",$B$4)),ISNUMBER(SEARCH("&lt;&gt;",$B$4))),IFERROR(('Final Calculation Sheet'!$F$39)&amp;"","")&lt;&gt;""),AND(TRIM($B$4)="",IFERROR(('Final Calculation Sheet'!$F$39)&amp;"","")=""))))</f>
        <v>1</v>
      </c>
      <c r="BO40">
        <f>IF($C$4="",1,--(OR(SUMPRODUCT(--(TRIM(MID(SUBSTITUTE(SUBSTITUTE($C$4,"/",","),",",REPT(" ",99)),(ROW($1:$8)-1)*99+1,99))&lt;&gt;""),--ISNUMBER(SEARCH(TRIM(MID(SUBSTITUTE(SUBSTITUTE($C$4,"/",","),",",REPT(" ",99)),(ROW($1:$8)-1)*99+1,99)),IFERROR(('Final Calculation Sheet'!$G$39)&amp;"",""))))&gt;0,AND(ISNUMBER(SEARCH("blank",$C$4)),NOT(ISNUMBER(SEARCH("nonblank",$C$4))),IFERROR(('Final Calculation Sheet'!$G$39)&amp;"","")=""),AND(OR(ISNUMBER(SEARCH("nonblank",$C$4)),ISNUMBER(SEARCH("&lt;&gt;",$C$4))),IFERROR(('Final Calculation Sheet'!$G$39)&amp;"","")&lt;&gt;""),AND(TRIM($C$4)="",IFERROR(('Final Calculation Sheet'!$G$39)&amp;"","")=""))))</f>
        <v>1</v>
      </c>
      <c r="BP40">
        <f>IF($D$4="",1,--(OR(SUMPRODUCT(--(TRIM(MID(SUBSTITUTE(SUBSTITUTE($D$4,"/",","),",",REPT(" ",99)),(ROW($1:$8)-1)*99+1,99))&lt;&gt;""),--ISNUMBER(SEARCH(TRIM(MID(SUBSTITUTE(SUBSTITUTE($D$4,"/",","),",",REPT(" ",99)),(ROW($1:$8)-1)*99+1,99)),IFERROR(('Final Calculation Sheet'!$B$39)&amp;"",""))))&gt;0,AND(ISNUMBER(SEARCH("blank",$D$4)),NOT(ISNUMBER(SEARCH("nonblank",$D$4))),IFERROR(('Final Calculation Sheet'!$B$39)&amp;"","")=""),AND(OR(ISNUMBER(SEARCH("nonblank",$D$4)),ISNUMBER(SEARCH("&lt;&gt;",$D$4))),IFERROR(('Final Calculation Sheet'!$B$39)&amp;"","")&lt;&gt;""),AND(TRIM($D$4)="",IFERROR(('Final Calculation Sheet'!$B$39)&amp;"","")=""))))</f>
        <v>1</v>
      </c>
      <c r="BQ40">
        <f>IF($E$4="",1,--(OR(SUMPRODUCT(--(TRIM(MID(SUBSTITUTE(SUBSTITUTE($E$4,"/",","),",",REPT(" ",99)),(ROW($1:$8)-1)*99+1,99))&lt;&gt;""),--ISNUMBER(SEARCH(TRIM(MID(SUBSTITUTE(SUBSTITUTE($E$4,"/",","),",",REPT(" ",99)),(ROW($1:$8)-1)*99+1,99)),IFERROR(('Final Calculation Sheet'!$D$39)&amp;"",""))))&gt;0,AND(ISNUMBER(SEARCH("blank",$E$4)),NOT(ISNUMBER(SEARCH("nonblank",$E$4))),IFERROR(('Final Calculation Sheet'!$D$39)&amp;"","")=""),AND(OR(ISNUMBER(SEARCH("nonblank",$E$4)),ISNUMBER(SEARCH("&lt;&gt;",$E$4))),IFERROR(('Final Calculation Sheet'!$D$39)&amp;"","")&lt;&gt;""),AND(TRIM($E$4)="",IFERROR(('Final Calculation Sheet'!$D$39)&amp;"","")=""))))</f>
        <v>1</v>
      </c>
      <c r="BR40">
        <f>IF($F$4="",1,--(OR(SUMPRODUCT(--(TRIM(MID(SUBSTITUTE(SUBSTITUTE($F$4,"/",","),",",REPT(" ",99)),(ROW($1:$8)-1)*99+1,99))&lt;&gt;""),--ISNUMBER(SEARCH(TRIM(MID(SUBSTITUTE(SUBSTITUTE($F$4,"/",","),",",REPT(" ",99)),(ROW($1:$8)-1)*99+1,99)),IFERROR(('Final Calculation Sheet'!$A$39)&amp;"",""))))&gt;0,AND(ISNUMBER(SEARCH("blank",$F$4)),NOT(ISNUMBER(SEARCH("nonblank",$F$4))),IFERROR(('Final Calculation Sheet'!$A$39)&amp;"","")=""),AND(OR(ISNUMBER(SEARCH("nonblank",$F$4)),ISNUMBER(SEARCH("&lt;&gt;",$F$4))),IFERROR(('Final Calculation Sheet'!$A$39)&amp;"","")&lt;&gt;""),AND(TRIM($F$4)="",IFERROR(('Final Calculation Sheet'!$A$39)&amp;"","")=""))))</f>
        <v>1</v>
      </c>
      <c r="BS40">
        <f>IF($G$4="",1,--(OR(SUMPRODUCT(--(TRIM(MID(SUBSTITUTE(SUBSTITUTE($G$4,"/",","),",",REPT(" ",99)),(ROW($1:$8)-1)*99+1,99))&lt;&gt;""),--ISNUMBER(SEARCH(TRIM(MID(SUBSTITUTE(SUBSTITUTE($G$4,"/",","),",",REPT(" ",99)),(ROW($1:$8)-1)*99+1,99)),IFERROR(('Final Calculation Sheet'!$E$39)&amp;"",""))))&gt;0,AND(ISNUMBER(SEARCH("blank",$G$4)),NOT(ISNUMBER(SEARCH("nonblank",$G$4))),IFERROR(('Final Calculation Sheet'!$E$39)&amp;"","")=""),AND(OR(ISNUMBER(SEARCH("nonblank",$G$4)),ISNUMBER(SEARCH("&lt;&gt;",$G$4))),IFERROR(('Final Calculation Sheet'!$E$39)&amp;"","")&lt;&gt;""),AND(TRIM($G$4)="",IFERROR(('Final Calculation Sheet'!$E$39)&amp;"","")=""))))</f>
        <v>1</v>
      </c>
      <c r="BT40">
        <f>IF($H$4="",1,--(OR(SUMPRODUCT(--(TRIM(MID(SUBSTITUTE(SUBSTITUTE($H$4,"/",","),",",REPT(" ",99)),(ROW($1:$8)-1)*99+1,99))&lt;&gt;""),--ISNUMBER(SEARCH(TRIM(MID(SUBSTITUTE(SUBSTITUTE($H$4,"/",","),",",REPT(" ",99)),(ROW($1:$8)-1)*99+1,99)),IFERROR(('Final Calculation Sheet'!$C$39)&amp;"",""))))&gt;0,AND(ISNUMBER(SEARCH("blank",$H$4)),NOT(ISNUMBER(SEARCH("nonblank",$H$4))),IFERROR(('Final Calculation Sheet'!$C$39)&amp;"","")=""),AND(OR(ISNUMBER(SEARCH("nonblank",$H$4)),ISNUMBER(SEARCH("&lt;&gt;",$H$4))),IFERROR(('Final Calculation Sheet'!$C$39)&amp;"","")&lt;&gt;""),AND(TRIM($H$4)="",IFERROR(('Final Calculation Sheet'!$C$39)&amp;"","")=""))))</f>
        <v>1</v>
      </c>
      <c r="BU40">
        <f>IF($I$4="",1,--(OR(SUMPRODUCT(--(TRIM(MID(SUBSTITUTE(SUBSTITUTE($I$4,"/",","),",",REPT(" ",99)),(ROW($1:$8)-1)*99+1,99))&lt;&gt;""),--ISNUMBER(SEARCH(TRIM(MID(SUBSTITUTE(SUBSTITUTE($I$4,"/",","),",",REPT(" ",99)),(ROW($1:$8)-1)*99+1,99)),IFERROR(('Final Calculation Sheet'!$H$39)&amp;"",""))))&gt;0,AND(ISNUMBER(SEARCH("blank",$I$4)),NOT(ISNUMBER(SEARCH("nonblank",$I$4))),IFERROR(('Final Calculation Sheet'!$H$39)&amp;"","")=""),AND(OR(ISNUMBER(SEARCH("nonblank",$I$4)),ISNUMBER(SEARCH("&lt;&gt;",$I$4))),IFERROR(('Final Calculation Sheet'!$H$39)&amp;"","")&lt;&gt;""),AND(TRIM($I$4)="",IFERROR(('Final Calculation Sheet'!$H$39)&amp;"","")=""))))</f>
        <v>1</v>
      </c>
      <c r="BV40">
        <f>IF($J$4="",1,--(OR(SUMPRODUCT(--(TRIM(MID(SUBSTITUTE(SUBSTITUTE($J$4,"/",","),",",REPT(" ",99)),(ROW($1:$8)-1)*99+1,99))&lt;&gt;""),--ISNUMBER(SEARCH(TRIM(MID(SUBSTITUTE(SUBSTITUTE($J$4,"/",","),",",REPT(" ",99)),(ROW($1:$8)-1)*99+1,99)),IFERROR(('Final Calculation Sheet'!$I$39)&amp;"",""))))&gt;0,AND(ISNUMBER(SEARCH("blank",$J$4)),NOT(ISNUMBER(SEARCH("nonblank",$J$4))),IFERROR(('Final Calculation Sheet'!$I$39)&amp;"","")=""),AND(OR(ISNUMBER(SEARCH("nonblank",$J$4)),ISNUMBER(SEARCH("&lt;&gt;",$J$4))),IFERROR(('Final Calculation Sheet'!$I$39)&amp;"","")&lt;&gt;""),AND(TRIM($J$4)="",IFERROR(('Final Calculation Sheet'!$I$39)&amp;"","")=""))))</f>
        <v>1</v>
      </c>
      <c r="BW40">
        <f>IF($K$4="",1,--(OR(SUMPRODUCT(--(TRIM(MID(SUBSTITUTE(SUBSTITUTE($K$4,"/",","),",",REPT(" ",99)),(ROW($1:$8)-1)*99+1,99))&lt;&gt;""),--ISNUMBER(SEARCH(TRIM(MID(SUBSTITUTE(SUBSTITUTE($K$4,"/",","),",",REPT(" ",99)),(ROW($1:$8)-1)*99+1,99)),IFERROR(('Final Calculation Sheet'!$J$39)&amp;"",""))))&gt;0,AND(ISNUMBER(SEARCH("blank",$K$4)),NOT(ISNUMBER(SEARCH("nonblank",$K$4))),IFERROR(('Final Calculation Sheet'!$J$39)&amp;"","")=""),AND(OR(ISNUMBER(SEARCH("nonblank",$K$4)),ISNUMBER(SEARCH("&lt;&gt;",$K$4))),IFERROR(('Final Calculation Sheet'!$J$39)&amp;"","")&lt;&gt;""),AND(TRIM($K$4)="",IFERROR(('Final Calculation Sheet'!$J$39)&amp;"","")=""))))</f>
        <v>1</v>
      </c>
      <c r="BX40">
        <f>IF($L$4="",1,--(OR(SUMPRODUCT(--(TRIM(MID(SUBSTITUTE(SUBSTITUTE($L$4,"/",","),",",REPT(" ",99)),(ROW($1:$8)-1)*99+1,99))&lt;&gt;""),--ISNUMBER(SEARCH(TRIM(MID(SUBSTITUTE(SUBSTITUTE($L$4,"/",","),",",REPT(" ",99)),(ROW($1:$8)-1)*99+1,99)),IFERROR(('Final Calculation Sheet'!$K$39)&amp;"",""))))&gt;0,AND(ISNUMBER(SEARCH("blank",$L$4)),NOT(ISNUMBER(SEARCH("nonblank",$L$4))),IFERROR(('Final Calculation Sheet'!$K$39)&amp;"","")=""),AND(OR(ISNUMBER(SEARCH("nonblank",$L$4)),ISNUMBER(SEARCH("&lt;&gt;",$L$4))),IFERROR(('Final Calculation Sheet'!$K$39)&amp;"","")&lt;&gt;""),AND(TRIM($L$4)="",IFERROR(('Final Calculation Sheet'!$K$39)&amp;"","")=""))))</f>
        <v>1</v>
      </c>
      <c r="BY40">
        <f>IF($M$4="",1,--(OR(SUMPRODUCT(--(TRIM(MID(SUBSTITUTE(SUBSTITUTE($M$4,"/",","),",",REPT(" ",99)),(ROW($1:$8)-1)*99+1,99))&lt;&gt;""),--ISNUMBER(SEARCH(TRIM(MID(SUBSTITUTE(SUBSTITUTE($M$4,"/",","),",",REPT(" ",99)),(ROW($1:$8)-1)*99+1,99)),IFERROR(('Final Calculation Sheet'!$L$39)&amp;"",""))))&gt;0,AND(ISNUMBER(SEARCH("blank",$M$4)),NOT(ISNUMBER(SEARCH("nonblank",$M$4))),IFERROR(('Final Calculation Sheet'!$L$39)&amp;"","")=""),AND(OR(ISNUMBER(SEARCH("nonblank",$M$4)),ISNUMBER(SEARCH("&lt;&gt;",$M$4))),IFERROR(('Final Calculation Sheet'!$L$39)&amp;"","")&lt;&gt;""),AND(TRIM($M$4)="",IFERROR(('Final Calculation Sheet'!$L$39)&amp;"","")=""))))</f>
        <v>1</v>
      </c>
      <c r="BZ40">
        <f>IF($N$4="",1,--(OR(SUMPRODUCT(--(TRIM(MID(SUBSTITUTE(SUBSTITUTE($N$4,"/",","),",",REPT(" ",99)),(ROW($1:$8)-1)*99+1,99))&lt;&gt;""),--ISNUMBER(SEARCH(TRIM(MID(SUBSTITUTE(SUBSTITUTE($N$4,"/",","),",",REPT(" ",99)),(ROW($1:$8)-1)*99+1,99)),IFERROR(('Final Calculation Sheet'!$M$39)&amp;"",""))))&gt;0,AND(ISNUMBER(SEARCH("blank",$N$4)),NOT(ISNUMBER(SEARCH("nonblank",$N$4))),IFERROR(('Final Calculation Sheet'!$M$39)&amp;"","")=""),AND(OR(ISNUMBER(SEARCH("nonblank",$N$4)),ISNUMBER(SEARCH("&lt;&gt;",$N$4))),IFERROR(('Final Calculation Sheet'!$M$39)&amp;"","")&lt;&gt;""),AND(TRIM($N$4)="",IFERROR(('Final Calculation Sheet'!$M$39)&amp;"","")=""))))</f>
        <v>1</v>
      </c>
      <c r="CA40">
        <f>IF($O$4="",1,--(OR(SUMPRODUCT(--(TRIM(MID(SUBSTITUTE(SUBSTITUTE($O$4,"/",","),",",REPT(" ",99)),(ROW($1:$8)-1)*99+1,99))&lt;&gt;""),--ISNUMBER(SEARCH(TRIM(MID(SUBSTITUTE(SUBSTITUTE($O$4,"/",","),",",REPT(" ",99)),(ROW($1:$8)-1)*99+1,99)),IFERROR(('Final Calculation Sheet'!$N$39)&amp;"",""))))&gt;0,AND(ISNUMBER(SEARCH("blank",$O$4)),NOT(ISNUMBER(SEARCH("nonblank",$O$4))),IFERROR(('Final Calculation Sheet'!$N$39)&amp;"","")=""),AND(OR(ISNUMBER(SEARCH("nonblank",$O$4)),ISNUMBER(SEARCH("&lt;&gt;",$O$4))),IFERROR(('Final Calculation Sheet'!$N$39)&amp;"","")&lt;&gt;""),AND(TRIM($O$4)="",IFERROR(('Final Calculation Sheet'!$N$39)&amp;"","")=""))))</f>
        <v>1</v>
      </c>
      <c r="CB40">
        <f>IF($P$4="",1,--(OR(SUMPRODUCT(--(TRIM(MID(SUBSTITUTE(SUBSTITUTE($P$4,"/",","),",",REPT(" ",99)),(ROW($1:$8)-1)*99+1,99))&lt;&gt;""),--ISNUMBER(SEARCH(TRIM(MID(SUBSTITUTE(SUBSTITUTE($P$4,"/",","),",",REPT(" ",99)),(ROW($1:$8)-1)*99+1,99)),IFERROR(('Final Calculation Sheet'!$O$39)&amp;"",""))))&gt;0,AND(ISNUMBER(SEARCH("blank",$P$4)),NOT(ISNUMBER(SEARCH("nonblank",$P$4))),IFERROR(('Final Calculation Sheet'!$O$39)&amp;"","")=""),AND(OR(ISNUMBER(SEARCH("nonblank",$P$4)),ISNUMBER(SEARCH("&lt;&gt;",$P$4))),IFERROR(('Final Calculation Sheet'!$O$39)&amp;"","")&lt;&gt;""),AND(TRIM($P$4)="",IFERROR(('Final Calculation Sheet'!$O$39)&amp;"","")=""))))</f>
        <v>1</v>
      </c>
      <c r="CC40">
        <f>IF($Q$4="",1,--(OR(SUMPRODUCT(--(TRIM(MID(SUBSTITUTE(SUBSTITUTE($Q$4,"/",","),",",REPT(" ",99)),(ROW($1:$8)-1)*99+1,99))&lt;&gt;""),--ISNUMBER(SEARCH(TRIM(MID(SUBSTITUTE(SUBSTITUTE($Q$4,"/",","),",",REPT(" ",99)),(ROW($1:$8)-1)*99+1,99)),IFERROR(('Final Calculation Sheet'!$P$39)&amp;"",""))))&gt;0,AND(ISNUMBER(SEARCH("blank",$Q$4)),NOT(ISNUMBER(SEARCH("nonblank",$Q$4))),IFERROR(('Final Calculation Sheet'!$P$39)&amp;"","")=""),AND(OR(ISNUMBER(SEARCH("nonblank",$Q$4)),ISNUMBER(SEARCH("&lt;&gt;",$Q$4))),IFERROR(('Final Calculation Sheet'!$P$39)&amp;"","")&lt;&gt;""),AND(TRIM($Q$4)="",IFERROR(('Final Calculation Sheet'!$P$39)&amp;"","")=""))))</f>
        <v>1</v>
      </c>
      <c r="CD40">
        <f>IF($R$4="",1,--(OR(SUMPRODUCT(--(TRIM(MID(SUBSTITUTE(SUBSTITUTE($R$4,"/",","),",",REPT(" ",99)),(ROW($1:$8)-1)*99+1,99))&lt;&gt;""),--ISNUMBER(SEARCH(TRIM(MID(SUBSTITUTE(SUBSTITUTE($R$4,"/",","),",",REPT(" ",99)),(ROW($1:$8)-1)*99+1,99)),IFERROR(('Final Calculation Sheet'!$Q$39)&amp;"",""))))&gt;0,AND(ISNUMBER(SEARCH("blank",$R$4)),NOT(ISNUMBER(SEARCH("nonblank",$R$4))),IFERROR(('Final Calculation Sheet'!$Q$39)&amp;"","")=""),AND(OR(ISNUMBER(SEARCH("nonblank",$R$4)),ISNUMBER(SEARCH("&lt;&gt;",$R$4))),IFERROR(('Final Calculation Sheet'!$Q$39)&amp;"","")&lt;&gt;""),AND(TRIM($R$4)="",IFERROR(('Final Calculation Sheet'!$Q$39)&amp;"","")=""))))</f>
        <v>1</v>
      </c>
      <c r="CE40">
        <f>IF($S$4="",1,--(OR(SUMPRODUCT(--(TRIM(MID(SUBSTITUTE(SUBSTITUTE($S$4,"/",","),",",REPT(" ",99)),(ROW($1:$8)-1)*99+1,99))&lt;&gt;""),--ISNUMBER(SEARCH(TRIM(MID(SUBSTITUTE(SUBSTITUTE($S$4,"/",","),",",REPT(" ",99)),(ROW($1:$8)-1)*99+1,99)),IFERROR(('Final Calculation Sheet'!$R$39)&amp;"",""))))&gt;0,AND(ISNUMBER(SEARCH("blank",$S$4)),NOT(ISNUMBER(SEARCH("nonblank",$S$4))),IFERROR(('Final Calculation Sheet'!$R$39)&amp;"","")=""),AND(OR(ISNUMBER(SEARCH("nonblank",$S$4)),ISNUMBER(SEARCH("&lt;&gt;",$S$4))),IFERROR(('Final Calculation Sheet'!$R$39)&amp;"","")&lt;&gt;""),AND(TRIM($S$4)="",IFERROR(('Final Calculation Sheet'!$R$39)&amp;"","")=""))))</f>
        <v>1</v>
      </c>
      <c r="CF40">
        <f>IF($T$4="",1,--(OR(SUMPRODUCT(--(TRIM(MID(SUBSTITUTE(SUBSTITUTE($T$4,"/",","),",",REPT(" ",99)),(ROW($1:$8)-1)*99+1,99))&lt;&gt;""),--ISNUMBER(SEARCH(TRIM(MID(SUBSTITUTE(SUBSTITUTE($T$4,"/",","),",",REPT(" ",99)),(ROW($1:$8)-1)*99+1,99)),IFERROR(('Final Calculation Sheet'!$S$39)&amp;"",""))))&gt;0,AND(ISNUMBER(SEARCH("blank",$T$4)),NOT(ISNUMBER(SEARCH("nonblank",$T$4))),IFERROR(('Final Calculation Sheet'!$S$39)&amp;"","")=""),AND(OR(ISNUMBER(SEARCH("nonblank",$T$4)),ISNUMBER(SEARCH("&lt;&gt;",$T$4))),IFERROR(('Final Calculation Sheet'!$S$39)&amp;"","")&lt;&gt;""),AND(TRIM($T$4)="",IFERROR(('Final Calculation Sheet'!$S$39)&amp;"","")=""))))</f>
        <v>1</v>
      </c>
      <c r="CG40">
        <f>IF($U$4="",1,--(OR(SUMPRODUCT(--(TRIM(MID(SUBSTITUTE(SUBSTITUTE($U$4,"/",","),",",REPT(" ",99)),(ROW($1:$8)-1)*99+1,99))&lt;&gt;""),--ISNUMBER(SEARCH(TRIM(MID(SUBSTITUTE(SUBSTITUTE($U$4,"/",","),",",REPT(" ",99)),(ROW($1:$8)-1)*99+1,99)),IFERROR(('Final Calculation Sheet'!$T$39)&amp;"",""))))&gt;0,AND(ISNUMBER(SEARCH("blank",$U$4)),NOT(ISNUMBER(SEARCH("nonblank",$U$4))),IFERROR(('Final Calculation Sheet'!$T$39)&amp;"","")=""),AND(OR(ISNUMBER(SEARCH("nonblank",$U$4)),ISNUMBER(SEARCH("&lt;&gt;",$U$4))),IFERROR(('Final Calculation Sheet'!$T$39)&amp;"","")&lt;&gt;""),AND(TRIM($U$4)="",IFERROR(('Final Calculation Sheet'!$T$39)&amp;"","")=""))))</f>
        <v>1</v>
      </c>
      <c r="CH40">
        <f>IF($V$4="",1,--(OR(SUMPRODUCT(--(TRIM(MID(SUBSTITUTE(SUBSTITUTE($V$4,"/",","),",",REPT(" ",99)),(ROW($1:$8)-1)*99+1,99))&lt;&gt;""),--ISNUMBER(SEARCH(TRIM(MID(SUBSTITUTE(SUBSTITUTE($V$4,"/",","),",",REPT(" ",99)),(ROW($1:$8)-1)*99+1,99)),IFERROR(('Final Calculation Sheet'!$U$39)&amp;"",""))))&gt;0,AND(ISNUMBER(SEARCH("blank",$V$4)),NOT(ISNUMBER(SEARCH("nonblank",$V$4))),IFERROR(('Final Calculation Sheet'!$U$39)&amp;"","")=""),AND(OR(ISNUMBER(SEARCH("nonblank",$V$4)),ISNUMBER(SEARCH("&lt;&gt;",$V$4))),IFERROR(('Final Calculation Sheet'!$U$39)&amp;"","")&lt;&gt;""),AND(TRIM($V$4)="",IFERROR(('Final Calculation Sheet'!$U$39)&amp;"","")=""))))</f>
        <v>1</v>
      </c>
      <c r="CI40">
        <f>IF($W$4="",1,--(OR(SUMPRODUCT(--(TRIM(MID(SUBSTITUTE(SUBSTITUTE($W$4,"/",","),",",REPT(" ",99)),(ROW($1:$8)-1)*99+1,99))&lt;&gt;""),--ISNUMBER(SEARCH(TRIM(MID(SUBSTITUTE(SUBSTITUTE($W$4,"/",","),",",REPT(" ",99)),(ROW($1:$8)-1)*99+1,99)),IFERROR(('Final Calculation Sheet'!$V$39)&amp;"",""))))&gt;0,AND(ISNUMBER(SEARCH("blank",$W$4)),NOT(ISNUMBER(SEARCH("nonblank",$W$4))),IFERROR(('Final Calculation Sheet'!$V$39)&amp;"","")=""),AND(OR(ISNUMBER(SEARCH("nonblank",$W$4)),ISNUMBER(SEARCH("&lt;&gt;",$W$4))),IFERROR(('Final Calculation Sheet'!$V$39)&amp;"","")&lt;&gt;""),AND(TRIM($W$4)="",IFERROR(('Final Calculation Sheet'!$V$39)&amp;"","")=""))))</f>
        <v>1</v>
      </c>
      <c r="CJ40">
        <f>IF($X$4="",1,--(OR(SUMPRODUCT(--(TRIM(MID(SUBSTITUTE(SUBSTITUTE($X$4,"/",","),",",REPT(" ",99)),(ROW($1:$8)-1)*99+1,99))&lt;&gt;""),--ISNUMBER(SEARCH(TRIM(MID(SUBSTITUTE(SUBSTITUTE($X$4,"/",","),",",REPT(" ",99)),(ROW($1:$8)-1)*99+1,99)),IFERROR(('Final Calculation Sheet'!$W$39)&amp;"",""))))&gt;0,AND(ISNUMBER(SEARCH("blank",$X$4)),NOT(ISNUMBER(SEARCH("nonblank",$X$4))),IFERROR(('Final Calculation Sheet'!$W$39)&amp;"","")=""),AND(OR(ISNUMBER(SEARCH("nonblank",$X$4)),ISNUMBER(SEARCH("&lt;&gt;",$X$4))),IFERROR(('Final Calculation Sheet'!$W$39)&amp;"","")&lt;&gt;""),AND(TRIM($X$4)="",IFERROR(('Final Calculation Sheet'!$W$39)&amp;"","")=""))))</f>
        <v>1</v>
      </c>
      <c r="CK40">
        <f>IF($Y$4="",1,--(OR(SUMPRODUCT(--(TRIM(MID(SUBSTITUTE(SUBSTITUTE($Y$4,"/",","),",",REPT(" ",99)),(ROW($1:$8)-1)*99+1,99))&lt;&gt;""),--ISNUMBER(SEARCH(TRIM(MID(SUBSTITUTE(SUBSTITUTE($Y$4,"/",","),",",REPT(" ",99)),(ROW($1:$8)-1)*99+1,99)),IFERROR(('Final Calculation Sheet'!$X$39)&amp;"",""))))&gt;0,AND(ISNUMBER(SEARCH("blank",$Y$4)),NOT(ISNUMBER(SEARCH("nonblank",$Y$4))),IFERROR(('Final Calculation Sheet'!$X$39)&amp;"","")=""),AND(OR(ISNUMBER(SEARCH("nonblank",$Y$4)),ISNUMBER(SEARCH("&lt;&gt;",$Y$4))),IFERROR(('Final Calculation Sheet'!$X$39)&amp;"","")&lt;&gt;""),AND(TRIM($Y$4)="",IFERROR(('Final Calculation Sheet'!$X$39)&amp;"","")=""))))</f>
        <v>1</v>
      </c>
      <c r="CL40">
        <f>IF($Z$4="",1,--(OR(SUMPRODUCT(--(TRIM(MID(SUBSTITUTE(SUBSTITUTE($Z$4,"/",","),",",REPT(" ",99)),(ROW($1:$8)-1)*99+1,99))&lt;&gt;""),--ISNUMBER(SEARCH(TRIM(MID(SUBSTITUTE(SUBSTITUTE($Z$4,"/",","),",",REPT(" ",99)),(ROW($1:$8)-1)*99+1,99)),IFERROR(('Final Calculation Sheet'!$Y$39)&amp;"",""))))&gt;0,AND(ISNUMBER(SEARCH("blank",$Z$4)),NOT(ISNUMBER(SEARCH("nonblank",$Z$4))),IFERROR(('Final Calculation Sheet'!$Y$39)&amp;"","")=""),AND(OR(ISNUMBER(SEARCH("nonblank",$Z$4)),ISNUMBER(SEARCH("&lt;&gt;",$Z$4))),IFERROR(('Final Calculation Sheet'!$Y$39)&amp;"","")&lt;&gt;""),AND(TRIM($Z$4)="",IFERROR(('Final Calculation Sheet'!$Y$39)&amp;"","")=""))))</f>
        <v>1</v>
      </c>
      <c r="CM40">
        <f>IF($AA$4="",1,--(OR(SUMPRODUCT(--(TRIM(MID(SUBSTITUTE(SUBSTITUTE($AA$4,"/",","),",",REPT(" ",99)),(ROW($1:$8)-1)*99+1,99))&lt;&gt;""),--ISNUMBER(SEARCH(TRIM(MID(SUBSTITUTE(SUBSTITUTE($AA$4,"/",","),",",REPT(" ",99)),(ROW($1:$8)-1)*99+1,99)),IFERROR(('Final Calculation Sheet'!$Z$39)&amp;"",""))))&gt;0,AND(ISNUMBER(SEARCH("blank",$AA$4)),NOT(ISNUMBER(SEARCH("nonblank",$AA$4))),IFERROR(('Final Calculation Sheet'!$Z$39)&amp;"","")=""),AND(OR(ISNUMBER(SEARCH("nonblank",$AA$4)),ISNUMBER(SEARCH("&lt;&gt;",$AA$4))),IFERROR(('Final Calculation Sheet'!$Z$39)&amp;"","")&lt;&gt;""),AND(TRIM($AA$4)="",IFERROR(('Final Calculation Sheet'!$Z$39)&amp;"","")=""))))</f>
        <v>1</v>
      </c>
      <c r="CN40">
        <f>IF($AB$4="",1,--(OR(SUMPRODUCT(--(TRIM(MID(SUBSTITUTE(SUBSTITUTE($AB$4,"/",","),",",REPT(" ",99)),(ROW($1:$8)-1)*99+1,99))&lt;&gt;""),--ISNUMBER(SEARCH(TRIM(MID(SUBSTITUTE(SUBSTITUTE($AB$4,"/",","),",",REPT(" ",99)),(ROW($1:$8)-1)*99+1,99)),IFERROR(('Final Calculation Sheet'!$AA$39)&amp;"",""))))&gt;0,AND(ISNUMBER(SEARCH("blank",$AB$4)),NOT(ISNUMBER(SEARCH("nonblank",$AB$4))),IFERROR(('Final Calculation Sheet'!$AA$39)&amp;"","")=""),AND(OR(ISNUMBER(SEARCH("nonblank",$AB$4)),ISNUMBER(SEARCH("&lt;&gt;",$AB$4))),IFERROR(('Final Calculation Sheet'!$AA$39)&amp;"","")&lt;&gt;""),AND(TRIM($AB$4)="",IFERROR(('Final Calculation Sheet'!$AA$39)&amp;"","")=""))))</f>
        <v>1</v>
      </c>
      <c r="CO40">
        <f>IF($AC$4="",1,--(OR(SUMPRODUCT(--(TRIM(MID(SUBSTITUTE(SUBSTITUTE($AC$4,"/",","),",",REPT(" ",99)),(ROW($1:$8)-1)*99+1,99))&lt;&gt;""),--ISNUMBER(SEARCH(TRIM(MID(SUBSTITUTE(SUBSTITUTE($AC$4,"/",","),",",REPT(" ",99)),(ROW($1:$8)-1)*99+1,99)),IFERROR(('Final Calculation Sheet'!$AB$39)&amp;"",""))))&gt;0,AND(ISNUMBER(SEARCH("blank",$AC$4)),NOT(ISNUMBER(SEARCH("nonblank",$AC$4))),IFERROR(('Final Calculation Sheet'!$AB$39)&amp;"","")=""),AND(OR(ISNUMBER(SEARCH("nonblank",$AC$4)),ISNUMBER(SEARCH("&lt;&gt;",$AC$4))),IFERROR(('Final Calculation Sheet'!$AB$39)&amp;"","")&lt;&gt;""),AND(TRIM($AC$4)="",IFERROR(('Final Calculation Sheet'!$AB$39)&amp;"","")=""))))</f>
        <v>1</v>
      </c>
      <c r="CP40">
        <f>IF($AD$4="",1,--(OR(SUMPRODUCT(--(TRIM(MID(SUBSTITUTE(SUBSTITUTE($AD$4,"/",","),",",REPT(" ",99)),(ROW($1:$8)-1)*99+1,99))&lt;&gt;""),--ISNUMBER(SEARCH(TRIM(MID(SUBSTITUTE(SUBSTITUTE($AD$4,"/",","),",",REPT(" ",99)),(ROW($1:$8)-1)*99+1,99)),IFERROR(('Final Calculation Sheet'!$AC$39)&amp;"",""))))&gt;0,AND(ISNUMBER(SEARCH("blank",$AD$4)),NOT(ISNUMBER(SEARCH("nonblank",$AD$4))),IFERROR(('Final Calculation Sheet'!$AC$39)&amp;"","")=""),AND(OR(ISNUMBER(SEARCH("nonblank",$AD$4)),ISNUMBER(SEARCH("&lt;&gt;",$AD$4))),IFERROR(('Final Calculation Sheet'!$AC$39)&amp;"","")&lt;&gt;""),AND(TRIM($AD$4)="",IFERROR(('Final Calculation Sheet'!$AC$39)&amp;"","")=""))))</f>
        <v>1</v>
      </c>
      <c r="CQ40">
        <f>IF($AE$4="",1,--(OR(SUMPRODUCT(--(TRIM(MID(SUBSTITUTE(SUBSTITUTE($AE$4,"/",","),",",REPT(" ",99)),(ROW($1:$8)-1)*99+1,99))&lt;&gt;""),--ISNUMBER(SEARCH(TRIM(MID(SUBSTITUTE(SUBSTITUTE($AE$4,"/",","),",",REPT(" ",99)),(ROW($1:$8)-1)*99+1,99)),IFERROR(('Final Calculation Sheet'!$AD$39)&amp;"",""))))&gt;0,AND(ISNUMBER(SEARCH("blank",$AE$4)),NOT(ISNUMBER(SEARCH("nonblank",$AE$4))),IFERROR(('Final Calculation Sheet'!$AD$39)&amp;"","")=""),AND(OR(ISNUMBER(SEARCH("nonblank",$AE$4)),ISNUMBER(SEARCH("&lt;&gt;",$AE$4))),IFERROR(('Final Calculation Sheet'!$AD$39)&amp;"","")&lt;&gt;""),AND(TRIM($AE$4)="",IFERROR(('Final Calculation Sheet'!$AD$39)&amp;"","")=""))))</f>
        <v>1</v>
      </c>
      <c r="CR40">
        <f>IF($AF$4="",1,--(OR(SUMPRODUCT(--(TRIM(MID(SUBSTITUTE(SUBSTITUTE($AF$4,"/",","),",",REPT(" ",99)),(ROW($1:$8)-1)*99+1,99))&lt;&gt;""),--ISNUMBER(SEARCH(TRIM(MID(SUBSTITUTE(SUBSTITUTE($AF$4,"/",","),",",REPT(" ",99)),(ROW($1:$8)-1)*99+1,99)),IFERROR(('Final Calculation Sheet'!$AE$39)&amp;"",""))))&gt;0,AND(ISNUMBER(SEARCH("blank",$AF$4)),NOT(ISNUMBER(SEARCH("nonblank",$AF$4))),IFERROR(('Final Calculation Sheet'!$AE$39)&amp;"","")=""),AND(OR(ISNUMBER(SEARCH("nonblank",$AF$4)),ISNUMBER(SEARCH("&lt;&gt;",$AF$4))),IFERROR(('Final Calculation Sheet'!$AE$39)&amp;"","")&lt;&gt;""),AND(TRIM($AF$4)="",IFERROR(('Final Calculation Sheet'!$AE$39)&amp;"","")=""))))</f>
        <v>1</v>
      </c>
      <c r="CS40">
        <f>IF($AG$4="",1,--(OR(SUMPRODUCT(--(TRIM(MID(SUBSTITUTE(SUBSTITUTE($AG$4,"/",","),",",REPT(" ",99)),(ROW($1:$8)-1)*99+1,99))&lt;&gt;""),--ISNUMBER(SEARCH(TRIM(MID(SUBSTITUTE(SUBSTITUTE($AG$4,"/",","),",",REPT(" ",99)),(ROW($1:$8)-1)*99+1,99)),IFERROR(('Final Calculation Sheet'!$AF$39)&amp;"",""))))&gt;0,AND(ISNUMBER(SEARCH("blank",$AG$4)),NOT(ISNUMBER(SEARCH("nonblank",$AG$4))),IFERROR(('Final Calculation Sheet'!$AF$39)&amp;"","")=""),AND(OR(ISNUMBER(SEARCH("nonblank",$AG$4)),ISNUMBER(SEARCH("&lt;&gt;",$AG$4))),IFERROR(('Final Calculation Sheet'!$AF$39)&amp;"","")&lt;&gt;""),AND(TRIM($AG$4)="",IFERROR(('Final Calculation Sheet'!$AF$39)&amp;"","")=""))))</f>
        <v>1</v>
      </c>
      <c r="CT40">
        <f>IF($AH$4="",1,--(OR(SUMPRODUCT(--(TRIM(MID(SUBSTITUTE(SUBSTITUTE($AH$4,"/",","),",",REPT(" ",99)),(ROW($1:$8)-1)*99+1,99))&lt;&gt;""),--ISNUMBER(SEARCH(TRIM(MID(SUBSTITUTE(SUBSTITUTE($AH$4,"/",","),",",REPT(" ",99)),(ROW($1:$8)-1)*99+1,99)),IFERROR(('Final Calculation Sheet'!$AG$39)&amp;"",""))))&gt;0,AND(ISNUMBER(SEARCH("blank",$AH$4)),NOT(ISNUMBER(SEARCH("nonblank",$AH$4))),IFERROR(('Final Calculation Sheet'!$AG$39)&amp;"","")=""),AND(OR(ISNUMBER(SEARCH("nonblank",$AH$4)),ISNUMBER(SEARCH("&lt;&gt;",$AH$4))),IFERROR(('Final Calculation Sheet'!$AG$39)&amp;"","")&lt;&gt;""),AND(TRIM($AH$4)="",IFERROR(('Final Calculation Sheet'!$AG$39)&amp;"","")=""))))</f>
        <v>1</v>
      </c>
      <c r="CU40">
        <f>IF($AI$4="",1,--(OR(SUMPRODUCT(--(TRIM(MID(SUBSTITUTE(SUBSTITUTE($AI$4,"/",","),",",REPT(" ",99)),(ROW($1:$8)-1)*99+1,99))&lt;&gt;""),--ISNUMBER(SEARCH(TRIM(MID(SUBSTITUTE(SUBSTITUTE($AI$4,"/",","),",",REPT(" ",99)),(ROW($1:$8)-1)*99+1,99)),IFERROR((IF('Final Calculation Sheet'!$AD$39&lt;=5,"SETTLED","OUTSTANDING"))&amp;"",""))))&gt;0,AND(ISNUMBER(SEARCH("blank",$AI$4)),NOT(ISNUMBER(SEARCH("nonblank",$AI$4))),IFERROR((IF('Final Calculation Sheet'!$AD$39&lt;=5,"SETTLED","OUTSTANDING"))&amp;"","")=""),AND(OR(ISNUMBER(SEARCH("nonblank",$AI$4)),ISNUMBER(SEARCH("&lt;&gt;",$AI$4))),IFERROR((IF('Final Calculation Sheet'!$AD$39&lt;=5,"SETTLED","OUTSTANDING"))&amp;"","")&lt;&gt;""),AND(TRIM($AI$4)="",IFERROR((IF('Final Calculation Sheet'!$AD$39&lt;=5,"SETTLED","OUTSTANDING"))&amp;"","")=""))))</f>
        <v>1</v>
      </c>
    </row>
    <row r="41" ht="15" customHeight="1" s="137">
      <c r="A41" s="67">
        <f>IF($BJ40&gt;0,INDEX($BA$5:$BA$41,MATCH(40,$BB$5:$BB$41,0)),IF(OR($BI40=1,$BL40=1,$BH40&gt;0),"∑",""))</f>
        <v>36</v>
      </c>
      <c r="B41" s="76">
        <f>IF($BJ40&gt;0,IF(INDEX('Final Calculation Sheet'!$F$4:$F$40,$BJ40-3)="","",INDEX('Final Calculation Sheet'!$F$4:$F$40,$BJ40-3)),"")</f>
        <v>2089</v>
      </c>
      <c r="C41" s="76" t="str">
        <f>IF($BJ40&gt;0,IF(INDEX('Final Calculation Sheet'!$G$4:$G$40,$BJ40-3)="","",INDEX('Final Calculation Sheet'!$G$4:$G$40,$BJ40-3)),IF(OR($BI40=1,$BL40=1,$BH40&gt;0),IF($BI40=1,37,IF($BL40=1,37-INDEX($BD$4:$BD$13,10),INDEX($BD$4:$BD$13,$BH40)))&amp;" lot(s)",""))</f>
        <v>S M ENTERPRISES</v>
      </c>
      <c r="D41" s="80" t="str">
        <f>IF($BJ40&gt;0,IF(INDEX('Final Calculation Sheet'!$B$4:$B$40,$BJ40-3)="","",INDEX('Final Calculation Sheet'!$B$4:$B$40,$BJ40-3)),IF(OR($BI40=1,$BL40=1,$BH40&gt;0),IF($BI40=1,"GRAND TOTAL  —  matching + remaining",IF($BL40=1,"TOTAL MATCHED  —  every group together",IF($BH40=10,"REMAINING  —  did not match the search",IF($BH40=9,IF(COUNTIF($A$4:$AI$4,"&lt;&gt;")&gt;0,"FILTERED LOTS  —  column fields","ALL LOTS  —  nothing typed in the box"),"GROUP "&amp;$BH40&amp;" TOTAL  —  lots matching  "&amp;INDEX($AR$6:$AY$6,$BH40))))),""))</f>
        <v>Scrap of 66 kv TBC C &amp; R Panel</v>
      </c>
      <c r="E41" s="80">
        <f>IF($BJ40&gt;0,IF(INDEX('Final Calculation Sheet'!$D$4:$D$40,$BJ40-3)="","",INDEX('Final Calculation Sheet'!$D$4:$D$40,$BJ40-3)),IF(OR($BI40=1,$BL40=1,$BH40&gt;0),"–",""))</f>
        <v>21980</v>
      </c>
      <c r="F41" s="80">
        <f>IF($BJ40&gt;0,IF(INDEX('Final Calculation Sheet'!$A$4:$A$40,$BJ40-3)="","",INDEX('Final Calculation Sheet'!$A$4:$A$40,$BJ40-3)),IF(OR($BI40=1,$BL40=1,$BH40&gt;0),IF($BI40=1,SUM('Final Calculation Sheet'!$A$4:$A$40),IF($BL40=1,SUM('Final Calculation Sheet'!$A$4:$A$40)-SUMIFS('Final Calculation Sheet'!$A$4:$A$40,$AZ$5:$AZ$41,10),SUMIFS('Final Calculation Sheet'!$A$4:$A$40,$AZ$5:$AZ$41,$BH40))),""))</f>
        <v>2</v>
      </c>
      <c r="G41" s="80" t="str">
        <f>IF($BJ40&gt;0,IF(INDEX('Final Calculation Sheet'!$E$4:$E$40,$BJ40-3)="","",INDEX('Final Calculation Sheet'!$E$4:$E$40,$BJ40-3)),IF(OR($BI40=1,$BL40=1,$BH40&gt;0),"–",""))</f>
        <v>NO</v>
      </c>
      <c r="H41" s="70">
        <f>IF($BJ40&gt;0,IF(INDEX('Final Calculation Sheet'!$C$4:$C$40,$BJ40-3)="","",INDEX('Final Calculation Sheet'!$C$4:$C$40,$BJ40-3)),IF(OR($BI40=1,$BL40=1,$BH40&gt;0),"–",""))</f>
        <v>15006</v>
      </c>
      <c r="I41" s="70">
        <f>IF($BJ40&gt;0,IF(INDEX('Final Calculation Sheet'!$H$4:$H$40,$BJ40-3)="","",INDEX('Final Calculation Sheet'!$H$4:$H$40,$BJ40-3)),IF(OR($BI40=1,$BL40=1,$BH40&gt;0),IF($BI40=1,SUM('Final Calculation Sheet'!$H$4:$H$40),IF($BL40=1,SUM('Final Calculation Sheet'!$H$4:$H$40)-SUMIFS('Final Calculation Sheet'!$H$4:$H$40,$AZ$5:$AZ$41,10),SUMIFS('Final Calculation Sheet'!$H$4:$H$40,$AZ$5:$AZ$41,$BH40))),""))</f>
        <v>30012</v>
      </c>
      <c r="J41" s="70">
        <f>IF($BJ40&gt;0,IF(INDEX('Final Calculation Sheet'!$I$4:$I$40,$BJ40-3)="","",INDEX('Final Calculation Sheet'!$I$4:$I$40,$BJ40-3)),IF(OR($BI40=1,$BL40=1,$BH40&gt;0),IF($BI40=1,SUM('Final Calculation Sheet'!$I$4:$I$40),IF($BL40=1,SUM('Final Calculation Sheet'!$I$4:$I$40)-SUMIFS('Final Calculation Sheet'!$I$4:$I$40,$AZ$5:$AZ$41,10),SUMIFS('Final Calculation Sheet'!$I$4:$I$40,$AZ$5:$AZ$41,$BH40))),""))</f>
        <v>5402</v>
      </c>
      <c r="K41" s="70">
        <f>IF($BJ40&gt;0,IF(INDEX('Final Calculation Sheet'!$J$4:$J$40,$BJ40-3)="","",INDEX('Final Calculation Sheet'!$J$4:$J$40,$BJ40-3)),IF(OR($BI40=1,$BL40=1,$BH40&gt;0),IF($BI40=1,SUM('Final Calculation Sheet'!$J$4:$J$40),IF($BL40=1,SUM('Final Calculation Sheet'!$J$4:$J$40)-SUMIFS('Final Calculation Sheet'!$J$4:$J$40,$AZ$5:$AZ$41,10),SUMIFS('Final Calculation Sheet'!$J$4:$J$40,$AZ$5:$AZ$41,$BH40))),""))</f>
        <v>35414</v>
      </c>
      <c r="L41" s="70">
        <f>IF($BJ40&gt;0,IF(INDEX('Final Calculation Sheet'!$K$4:$K$40,$BJ40-3)="","",INDEX('Final Calculation Sheet'!$K$4:$K$40,$BJ40-3)),IF(OR($BI40=1,$BL40=1,$BH40&gt;0),IF($BI40=1,SUM('Final Calculation Sheet'!$K$4:$K$40),IF($BL40=1,SUM('Final Calculation Sheet'!$K$4:$K$40)-SUMIFS('Final Calculation Sheet'!$K$4:$K$40,$AZ$5:$AZ$41,10),SUMIFS('Final Calculation Sheet'!$K$4:$K$40,$AZ$5:$AZ$41,$BH40))),""))</f>
        <v>708</v>
      </c>
      <c r="M41" s="70">
        <f>IF($BJ40&gt;0,IF(INDEX('Final Calculation Sheet'!$L$4:$L$40,$BJ40-3)="","",INDEX('Final Calculation Sheet'!$L$4:$L$40,$BJ40-3)),IF(OR($BI40=1,$BL40=1,$BH40&gt;0),IF($BI40=1,SUM('Final Calculation Sheet'!$L$4:$L$40),IF($BL40=1,SUM('Final Calculation Sheet'!$L$4:$L$40)-SUMIFS('Final Calculation Sheet'!$L$4:$L$40,$AZ$5:$AZ$41,10),SUMIFS('Final Calculation Sheet'!$L$4:$L$40,$AZ$5:$AZ$41,$BH40))),""))</f>
        <v>30.012</v>
      </c>
      <c r="N41" s="70">
        <f>IF($BJ40&gt;0,IF(INDEX('Final Calculation Sheet'!$M$4:$M$40,$BJ40-3)="","",INDEX('Final Calculation Sheet'!$M$4:$M$40,$BJ40-3)),IF(OR($BI40=1,$BL40=1,$BH40&gt;0),IF($BI40=1,SUM('Final Calculation Sheet'!$M$4:$M$40),IF($BL40=1,SUM('Final Calculation Sheet'!$M$4:$M$40)-SUMIFS('Final Calculation Sheet'!$M$4:$M$40,$AZ$5:$AZ$41,10),SUMIFS('Final Calculation Sheet'!$M$4:$M$40,$AZ$5:$AZ$41,$BH40))),""))</f>
        <v>796.81859999999995</v>
      </c>
      <c r="O41" s="71">
        <f>IF($BJ40&gt;0,IF(INDEX('Final Calculation Sheet'!$N$4:$N$40,$BJ40-3)="","",INDEX('Final Calculation Sheet'!$N$4:$N$40,$BJ40-3)),IF(OR($BI40=1,$BL40=1,$BH40&gt;0),IF($BI40=1,SUM('Final Calculation Sheet'!$N$4:$N$40),IF($BL40=1,SUM('Final Calculation Sheet'!$N$4:$N$40)-SUMIFS('Final Calculation Sheet'!$N$4:$N$40,$AZ$5:$AZ$41,10),SUMIFS('Final Calculation Sheet'!$N$4:$N$40,$AZ$5:$AZ$41,$BH40))),""))</f>
        <v>13.5054</v>
      </c>
      <c r="P41" s="70">
        <f>IF($BJ40&gt;0,IF(INDEX('Final Calculation Sheet'!$O$4:$O$40,$BJ40-3)="","",INDEX('Final Calculation Sheet'!$O$4:$O$40,$BJ40-3)),IF(OR($BI40=1,$BL40=1,$BH40&gt;0),IF($BI40=1,SUM('Final Calculation Sheet'!$O$4:$O$40),IF($BL40=1,SUM('Final Calculation Sheet'!$O$4:$O$40)-SUMIFS('Final Calculation Sheet'!$O$4:$O$40,$AZ$5:$AZ$41,10),SUMIFS('Final Calculation Sheet'!$O$4:$O$40,$AZ$5:$AZ$41,$BH40))),""))</f>
        <v>783.31319999999994</v>
      </c>
      <c r="Q41" s="70">
        <f>IF($BJ40&gt;0,IF(INDEX('Final Calculation Sheet'!$P$4:$P$40,$BJ40-3)="","",INDEX('Final Calculation Sheet'!$P$4:$P$40,$BJ40-3)),IF(OR($BI40=1,$BL40=1,$BH40&gt;0),IF($BI40=1,SUM('Final Calculation Sheet'!$P$4:$P$40),IF($BL40=1,SUM('Final Calculation Sheet'!$P$4:$P$40)-SUMIFS('Final Calculation Sheet'!$P$4:$P$40,$AZ$5:$AZ$41,10),SUMIFS('Final Calculation Sheet'!$P$4:$P$40,$AZ$5:$AZ$41,$BH40))),""))</f>
        <v>813</v>
      </c>
      <c r="R41" s="72">
        <f>IF($BJ40&gt;0,IF(INDEX('Final Calculation Sheet'!$Q$4:$Q$40,$BJ40-3)="","",INDEX('Final Calculation Sheet'!$Q$4:$Q$40,$BJ40-3)),IF(OR($BI40=1,$BL40=1,$BH40&gt;0),"–",""))</f>
        <v>0</v>
      </c>
      <c r="S41" s="70">
        <f>IF($BJ40&gt;0,IF(INDEX('Final Calculation Sheet'!$R$4:$R$40,$BJ40-3)="","",INDEX('Final Calculation Sheet'!$R$4:$R$40,$BJ40-3)),IF(OR($BI40=1,$BL40=1,$BH40&gt;0),IF($BI40=1,SUM('Final Calculation Sheet'!$R$4:$R$40),IF($BL40=1,SUM('Final Calculation Sheet'!$R$4:$R$40)-SUMIFS('Final Calculation Sheet'!$R$4:$R$40,$AZ$5:$AZ$41,10),SUMIFS('Final Calculation Sheet'!$R$4:$R$40,$AZ$5:$AZ$41,$BH40))),""))</f>
        <v>0</v>
      </c>
      <c r="T41" s="70">
        <f>IF($BJ40&gt;0,IF(INDEX('Final Calculation Sheet'!$S$4:$S$40,$BJ40-3)="","",INDEX('Final Calculation Sheet'!$S$4:$S$40,$BJ40-3)),IF(OR($BI40=1,$BL40=1,$BH40&gt;0),IF($BI40=1,SUM('Final Calculation Sheet'!$S$4:$S$40),IF($BL40=1,SUM('Final Calculation Sheet'!$S$4:$S$40)-SUMIFS('Final Calculation Sheet'!$S$4:$S$40,$AZ$5:$AZ$41,10),SUMIFS('Final Calculation Sheet'!$S$4:$S$40,$AZ$5:$AZ$41,$BH40))),""))</f>
        <v>35309</v>
      </c>
      <c r="U41" s="70">
        <f>IF($BJ40&gt;0,IF(INDEX('Final Calculation Sheet'!$T$4:$T$40,$BJ40-3)="","",INDEX('Final Calculation Sheet'!$T$4:$T$40,$BJ40-3)),IF(OR($BI40=1,$BL40=1,$BH40&gt;0),IF($BI40=1,SUM('Final Calculation Sheet'!$T$4:$T$40),IF($BL40=1,SUM('Final Calculation Sheet'!$T$4:$T$40)-SUMIFS('Final Calculation Sheet'!$T$4:$T$40,$AZ$5:$AZ$41,10),SUMIFS('Final Calculation Sheet'!$T$4:$T$40,$AZ$5:$AZ$41,$BH40))),""))</f>
        <v>7503</v>
      </c>
      <c r="V41" s="73">
        <f>IF($BJ40&gt;0,IF(INDEX('Final Calculation Sheet'!$U$4:$U$40,$BJ40-3)="","",INDEX('Final Calculation Sheet'!$U$4:$U$40,$BJ40-3)),IF(OR($BI40=1,$BL40=1,$BH40&gt;0),IF($BI40=1,SUM('Final Calculation Sheet'!$U$4:$U$40),IF($BL40=1,SUM('Final Calculation Sheet'!$U$4:$U$40)-SUMIFS('Final Calculation Sheet'!$U$4:$U$40,$AZ$5:$AZ$41,10),SUMIFS('Final Calculation Sheet'!$U$4:$U$40,$AZ$5:$AZ$41,$BH40))),""))</f>
        <v>7503</v>
      </c>
      <c r="W41" s="70" t="str">
        <f>IF($BJ40&gt;0,IF(INDEX('Final Calculation Sheet'!$V$4:$V$40,$BJ40-3)="","",INDEX('Final Calculation Sheet'!$V$4:$V$40,$BJ40-3)),IF(OR($BI40=1,$BL40=1,$BH40&gt;0),"–",""))</f>
        <v>14.08.2026</v>
      </c>
      <c r="X41" s="70">
        <f>IF($BJ40&gt;0,IF(INDEX('Final Calculation Sheet'!$W$4:$W$40,$BJ40-3)="","",INDEX('Final Calculation Sheet'!$W$4:$W$40,$BJ40-3)),IF(OR($BI40=1,$BL40=1,$BH40&gt;0),IF($BI40=1,SUM('Final Calculation Sheet'!$W$4:$W$40),IF($BL40=1,SUM('Final Calculation Sheet'!$W$4:$W$40)-SUMIFS('Final Calculation Sheet'!$W$4:$W$40,$AZ$5:$AZ$41,10),SUMIFS('Final Calculation Sheet'!$W$4:$W$40,$AZ$5:$AZ$41,$BH40))),""))</f>
        <v>27806</v>
      </c>
      <c r="Y41" s="70">
        <f>IF($BJ40&gt;0,IF(INDEX('Final Calculation Sheet'!$X$4:$X$40,$BJ40-3)="","",INDEX('Final Calculation Sheet'!$X$4:$X$40,$BJ40-3)),IF(OR($BI40=1,$BL40=1,$BH40&gt;0),IF($BI40=1,SUM('Final Calculation Sheet'!$X$4:$X$40),IF($BL40=1,SUM('Final Calculation Sheet'!$X$4:$X$40)-SUMIFS('Final Calculation Sheet'!$X$4:$X$40,$AZ$5:$AZ$41,10),SUMIFS('Final Calculation Sheet'!$X$4:$X$40,$AZ$5:$AZ$41,$BH40))),""))</f>
        <v>27806</v>
      </c>
      <c r="Z41" s="70" t="str">
        <f>IF($BJ40&gt;0,IF(INDEX('Final Calculation Sheet'!$Y$4:$Y$40,$BJ40-3)="","",INDEX('Final Calculation Sheet'!$Y$4:$Y$40,$BJ40-3)),IF(OR($BI40=1,$BL40=1,$BH40&gt;0),"–",""))</f>
        <v>01.09.2026</v>
      </c>
      <c r="AA41" s="70">
        <f>IF($BJ40&gt;0,IF(INDEX('Final Calculation Sheet'!$Z$4:$Z$40,$BJ40-3)="","",INDEX('Final Calculation Sheet'!$Z$4:$Z$40,$BJ40-3)),IF(OR($BI40=1,$BL40=1,$BH40&gt;0),IF($BI40=1,SUM('Final Calculation Sheet'!$Z$4:$Z$40),IF($BL40=1,SUM('Final Calculation Sheet'!$Z$4:$Z$40)-SUMIFS('Final Calculation Sheet'!$Z$4:$Z$40,$AZ$5:$AZ$41,10),SUMIFS('Final Calculation Sheet'!$Z$4:$Z$40,$AZ$5:$AZ$41,$BH40))),""))</f>
        <v>708.28319999999997</v>
      </c>
      <c r="AB41" s="70">
        <f>IF($BJ40&gt;0,IF(INDEX('Final Calculation Sheet'!$AA$4:$AA$40,$BJ40-3)="","",INDEX('Final Calculation Sheet'!$AA$4:$AA$40,$BJ40-3)),IF(OR($BI40=1,$BL40=1,$BH40&gt;0),IF($BI40=1,SUM('Final Calculation Sheet'!$AA$4:$AA$40),IF($BL40=1,SUM('Final Calculation Sheet'!$AA$4:$AA$40)-SUMIFS('Final Calculation Sheet'!$AA$4:$AA$40,$AZ$5:$AZ$41,10),SUMIFS('Final Calculation Sheet'!$AA$4:$AA$40,$AZ$5:$AZ$41,$BH40))),""))</f>
        <v>708</v>
      </c>
      <c r="AC41" s="70" t="str">
        <f>IF($BJ40&gt;0,IF(INDEX('Final Calculation Sheet'!$AB$4:$AB$40,$BJ40-3)="","",INDEX('Final Calculation Sheet'!$AB$4:$AB$40,$BJ40-3)),IF(OR($BI40=1,$BL40=1,$BH40&gt;0),"–",""))</f>
        <v>01.09.2026</v>
      </c>
      <c r="AD41" s="70">
        <f>IF($BJ40&gt;0,IF(INDEX('Final Calculation Sheet'!$AC$4:$AC$40,$BJ40-3)="","",INDEX('Final Calculation Sheet'!$AC$4:$AC$40,$BJ40-3)),IF(OR($BI40=1,$BL40=1,$BH40&gt;0),IF($BI40=1,SUM('Final Calculation Sheet'!$AC$4:$AC$40),IF($BL40=1,SUM('Final Calculation Sheet'!$AC$4:$AC$40)-SUMIFS('Final Calculation Sheet'!$AC$4:$AC$40,$AZ$5:$AZ$41,10),SUMIFS('Final Calculation Sheet'!$AC$4:$AC$40,$AZ$5:$AZ$41,$BH40))),""))</f>
        <v>36017</v>
      </c>
      <c r="AE41" s="70">
        <f>IF($BJ40&gt;0,IF(INDEX('Final Calculation Sheet'!$AD$4:$AD$40,$BJ40-3)="","",INDEX('Final Calculation Sheet'!$AD$4:$AD$40,$BJ40-3)),IF(OR($BI40=1,$BL40=1,$BH40&gt;0),IF($BI40=1,SUM('Final Calculation Sheet'!$AD$4:$AD$40),IF($BL40=1,SUM('Final Calculation Sheet'!$AD$4:$AD$40)-SUMIFS('Final Calculation Sheet'!$AD$4:$AD$40,$AZ$5:$AZ$41,10),SUMIFS('Final Calculation Sheet'!$AD$4:$AD$40,$AZ$5:$AZ$41,$BH40))),""))</f>
        <v>-708</v>
      </c>
      <c r="AF41" s="70" t="str">
        <f>IF($BJ40&gt;0,IF(INDEX('Final Calculation Sheet'!$AE$4:$AE$40,$BJ40-3)="","",INDEX('Final Calculation Sheet'!$AE$4:$AE$40,$BJ40-3)),IF(OR($BI40=1,$BL40=1,$BH40&gt;0),"–",""))</f>
        <v/>
      </c>
      <c r="AG41" s="74" t="str">
        <f>IF($BJ40&gt;0,IF(INDEX('Final Calculation Sheet'!$AF$4:$AF$40,$BJ40-3)="","",INDEX('Final Calculation Sheet'!$AF$4:$AF$40,$BJ40-3)),IF(OR($BI40=1,$BL40=1,$BH40&gt;0),"–",""))</f>
        <v/>
      </c>
      <c r="AH41" s="70" t="str">
        <f>IF($BJ40&gt;0,IF(INDEX('Final Calculation Sheet'!$AG$4:$AG$40,$BJ40-3)="","",INDEX('Final Calculation Sheet'!$AG$4:$AG$40,$BJ40-3)),IF(OR($BI40=1,$BL40=1,$BH40&gt;0),"–",""))</f>
        <v/>
      </c>
      <c r="AI41" s="75" t="str">
        <f>IF($BJ40&gt;0,IF(INDEX('Final Calculation Sheet'!$AD$4:$AD$40,$BJ40-3)="","",IF(INDEX('Final Calculation Sheet'!$AD$4:$AD$40,$BJ40-3)&lt;=5,"SETTLED","OUTSTANDING")),IF(OR($BI40=1,$BL40=1,$BH40&gt;0),IF(IF($BI40=1,SUM('Final Calculation Sheet'!$AD$4:$AD$40),IF($BL40=1,SUM('Final Calculation Sheet'!$AD$4:$AD$40)-SUMIFS('Final Calculation Sheet'!$AD$4:$AD$40,$AZ$5:$AZ$41,10),SUMIFS('Final Calculation Sheet'!$AD$4:$AD$40,$AZ$5:$AZ$41,$BH40)))&lt;=5,"ALL SETTLED","OUTSTANDING"),""))</f>
        <v>SETTLED</v>
      </c>
      <c r="AK41" t="str">
        <f>IF($F$3="Lot No.",'Final Calculation Sheet'!$F$40,IF($F$3="Buyer",'Final Calculation Sheet'!$G$40,IF($F$3="Lot Name",'Final Calculation Sheet'!$B$40,IF($F$3="Bid Sheet",'Final Calculation Sheet'!$D$40,IF($F$3="Unit",'Final Calculation Sheet'!$E$40,'Final Calculation Sheet'!$F$40&amp;" "&amp;'Final Calculation Sheet'!$G$40&amp;" "&amp;'Final Calculation Sheet'!$B$40)))))</f>
        <v>2091 S M ENTERPRISES Scrap of 132 KV CT</v>
      </c>
      <c r="AL41">
        <f>AL40+IF($B$3="",0,--(SUMPRODUCT(--($AR$6:$AY$6&lt;&gt;""),--ISNUMBER(SEARCH($AR$6:$AY$6,$AK41)))&gt;0))</f>
        <v>0</v>
      </c>
      <c r="AM41">
        <f>IF(COUNTIF($BM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1</v>
      </c>
      <c r="AZ41">
        <f>IF($B$3="",IF(COUNTIF($A$4:$AI$4,"&lt;&gt;")=0,9,IF($AM41=1,9,10)),IF($AM41=0,10,IF(AND($AR$6&lt;&gt;"",ISNUMBER(SEARCH($AR$6,$AK41))),1,IF(AND($AS$6&lt;&gt;"",ISNUMBER(SEARCH($AS$6,$AK41))),2,IF(AND($AT$6&lt;&gt;"",ISNUMBER(SEARCH($AT$6,$AK41))),3,IF(AND($AU$6&lt;&gt;"",ISNUMBER(SEARCH($AU$6,$AK41))),4,IF(AND($AV$6&lt;&gt;"",ISNUMBER(SEARCH($AV$6,$AK41))),5,IF(AND($AW$6&lt;&gt;"",ISNUMBER(SEARCH($AW$6,$AK41))),6,IF(AND($AX$6&lt;&gt;"",ISNUMBER(SEARCH($AX$6,$AK41))),7,IF(AND($AY$6&lt;&gt;"",ISNUMBER(SEARCH($AY$6,$AK41))),8,0))))))))))</f>
        <v>9</v>
      </c>
      <c r="BA41">
        <f>SUMPRODUCT(($AZ$5:$AZ$41=$AZ41)*($BC$5:$BC$41&lt;$BC41))+1</f>
        <v>37</v>
      </c>
      <c r="BB41">
        <f>IF(INDEX($BF$4:$BF$13,$AZ41)=0,0,INDEX($BE$4:$BE$13,$AZ41)+$BA41-1)</f>
        <v>41</v>
      </c>
      <c r="BC41" t="n">
        <v>40</v>
      </c>
      <c r="BH41">
        <f>IFERROR(MATCH(41,$BF$4:$BF$13,0),0)</f>
        <v>0</v>
      </c>
      <c r="BI41">
        <f>IF(41=$BG$5,1,0)</f>
        <v>0</v>
      </c>
      <c r="BJ41">
        <f>IF(OR($BH41&gt;0,$BI41=1,$BL41=1),0,IFERROR(INDEX($BC$5:$BC$41,MATCH(41,$BB$5:$BB$41,0)),0))</f>
        <v>40</v>
      </c>
      <c r="BK41">
        <f>IF($BJ41&gt;0,IF(INDEX($AZ$5:$AZ$41,MATCH(41,$BB$5:$BB$41,0))=10,1,0),IF($BH41=10,1,0))</f>
        <v>0</v>
      </c>
      <c r="BL41">
        <f>IF(41=$BG$4,1,0)</f>
        <v>0</v>
      </c>
      <c r="BM41">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1</v>
      </c>
      <c r="BN41">
        <f>IF($B$4="",1,--(OR(SUMPRODUCT(--(TRIM(MID(SUBSTITUTE(SUBSTITUTE($B$4,"/",","),",",REPT(" ",99)),(ROW($1:$8)-1)*99+1,99))&lt;&gt;""),--ISNUMBER(SEARCH(TRIM(MID(SUBSTITUTE(SUBSTITUTE($B$4,"/",","),",",REPT(" ",99)),(ROW($1:$8)-1)*99+1,99)),IFERROR(('Final Calculation Sheet'!$F$40)&amp;"",""))))&gt;0,AND(ISNUMBER(SEARCH("blank",$B$4)),NOT(ISNUMBER(SEARCH("nonblank",$B$4))),IFERROR(('Final Calculation Sheet'!$F$40)&amp;"","")=""),AND(OR(ISNUMBER(SEARCH("nonblank",$B$4)),ISNUMBER(SEARCH("&lt;&gt;",$B$4))),IFERROR(('Final Calculation Sheet'!$F$40)&amp;"","")&lt;&gt;""),AND(TRIM($B$4)="",IFERROR(('Final Calculation Sheet'!$F$40)&amp;"","")=""))))</f>
        <v>1</v>
      </c>
      <c r="BO41">
        <f>IF($C$4="",1,--(OR(SUMPRODUCT(--(TRIM(MID(SUBSTITUTE(SUBSTITUTE($C$4,"/",","),",",REPT(" ",99)),(ROW($1:$8)-1)*99+1,99))&lt;&gt;""),--ISNUMBER(SEARCH(TRIM(MID(SUBSTITUTE(SUBSTITUTE($C$4,"/",","),",",REPT(" ",99)),(ROW($1:$8)-1)*99+1,99)),IFERROR(('Final Calculation Sheet'!$G$40)&amp;"",""))))&gt;0,AND(ISNUMBER(SEARCH("blank",$C$4)),NOT(ISNUMBER(SEARCH("nonblank",$C$4))),IFERROR(('Final Calculation Sheet'!$G$40)&amp;"","")=""),AND(OR(ISNUMBER(SEARCH("nonblank",$C$4)),ISNUMBER(SEARCH("&lt;&gt;",$C$4))),IFERROR(('Final Calculation Sheet'!$G$40)&amp;"","")&lt;&gt;""),AND(TRIM($C$4)="",IFERROR(('Final Calculation Sheet'!$G$40)&amp;"","")=""))))</f>
        <v>1</v>
      </c>
      <c r="BP41">
        <f>IF($D$4="",1,--(OR(SUMPRODUCT(--(TRIM(MID(SUBSTITUTE(SUBSTITUTE($D$4,"/",","),",",REPT(" ",99)),(ROW($1:$8)-1)*99+1,99))&lt;&gt;""),--ISNUMBER(SEARCH(TRIM(MID(SUBSTITUTE(SUBSTITUTE($D$4,"/",","),",",REPT(" ",99)),(ROW($1:$8)-1)*99+1,99)),IFERROR(('Final Calculation Sheet'!$B$40)&amp;"",""))))&gt;0,AND(ISNUMBER(SEARCH("blank",$D$4)),NOT(ISNUMBER(SEARCH("nonblank",$D$4))),IFERROR(('Final Calculation Sheet'!$B$40)&amp;"","")=""),AND(OR(ISNUMBER(SEARCH("nonblank",$D$4)),ISNUMBER(SEARCH("&lt;&gt;",$D$4))),IFERROR(('Final Calculation Sheet'!$B$40)&amp;"","")&lt;&gt;""),AND(TRIM($D$4)="",IFERROR(('Final Calculation Sheet'!$B$40)&amp;"","")=""))))</f>
        <v>1</v>
      </c>
      <c r="BQ41">
        <f>IF($E$4="",1,--(OR(SUMPRODUCT(--(TRIM(MID(SUBSTITUTE(SUBSTITUTE($E$4,"/",","),",",REPT(" ",99)),(ROW($1:$8)-1)*99+1,99))&lt;&gt;""),--ISNUMBER(SEARCH(TRIM(MID(SUBSTITUTE(SUBSTITUTE($E$4,"/",","),",",REPT(" ",99)),(ROW($1:$8)-1)*99+1,99)),IFERROR(('Final Calculation Sheet'!$D$40)&amp;"",""))))&gt;0,AND(ISNUMBER(SEARCH("blank",$E$4)),NOT(ISNUMBER(SEARCH("nonblank",$E$4))),IFERROR(('Final Calculation Sheet'!$D$40)&amp;"","")=""),AND(OR(ISNUMBER(SEARCH("nonblank",$E$4)),ISNUMBER(SEARCH("&lt;&gt;",$E$4))),IFERROR(('Final Calculation Sheet'!$D$40)&amp;"","")&lt;&gt;""),AND(TRIM($E$4)="",IFERROR(('Final Calculation Sheet'!$D$40)&amp;"","")=""))))</f>
        <v>1</v>
      </c>
      <c r="BR41">
        <f>IF($F$4="",1,--(OR(SUMPRODUCT(--(TRIM(MID(SUBSTITUTE(SUBSTITUTE($F$4,"/",","),",",REPT(" ",99)),(ROW($1:$8)-1)*99+1,99))&lt;&gt;""),--ISNUMBER(SEARCH(TRIM(MID(SUBSTITUTE(SUBSTITUTE($F$4,"/",","),",",REPT(" ",99)),(ROW($1:$8)-1)*99+1,99)),IFERROR(('Final Calculation Sheet'!$A$40)&amp;"",""))))&gt;0,AND(ISNUMBER(SEARCH("blank",$F$4)),NOT(ISNUMBER(SEARCH("nonblank",$F$4))),IFERROR(('Final Calculation Sheet'!$A$40)&amp;"","")=""),AND(OR(ISNUMBER(SEARCH("nonblank",$F$4)),ISNUMBER(SEARCH("&lt;&gt;",$F$4))),IFERROR(('Final Calculation Sheet'!$A$40)&amp;"","")&lt;&gt;""),AND(TRIM($F$4)="",IFERROR(('Final Calculation Sheet'!$A$40)&amp;"","")=""))))</f>
        <v>1</v>
      </c>
      <c r="BS41">
        <f>IF($G$4="",1,--(OR(SUMPRODUCT(--(TRIM(MID(SUBSTITUTE(SUBSTITUTE($G$4,"/",","),",",REPT(" ",99)),(ROW($1:$8)-1)*99+1,99))&lt;&gt;""),--ISNUMBER(SEARCH(TRIM(MID(SUBSTITUTE(SUBSTITUTE($G$4,"/",","),",",REPT(" ",99)),(ROW($1:$8)-1)*99+1,99)),IFERROR(('Final Calculation Sheet'!$E$40)&amp;"",""))))&gt;0,AND(ISNUMBER(SEARCH("blank",$G$4)),NOT(ISNUMBER(SEARCH("nonblank",$G$4))),IFERROR(('Final Calculation Sheet'!$E$40)&amp;"","")=""),AND(OR(ISNUMBER(SEARCH("nonblank",$G$4)),ISNUMBER(SEARCH("&lt;&gt;",$G$4))),IFERROR(('Final Calculation Sheet'!$E$40)&amp;"","")&lt;&gt;""),AND(TRIM($G$4)="",IFERROR(('Final Calculation Sheet'!$E$40)&amp;"","")=""))))</f>
        <v>1</v>
      </c>
      <c r="BT41">
        <f>IF($H$4="",1,--(OR(SUMPRODUCT(--(TRIM(MID(SUBSTITUTE(SUBSTITUTE($H$4,"/",","),",",REPT(" ",99)),(ROW($1:$8)-1)*99+1,99))&lt;&gt;""),--ISNUMBER(SEARCH(TRIM(MID(SUBSTITUTE(SUBSTITUTE($H$4,"/",","),",",REPT(" ",99)),(ROW($1:$8)-1)*99+1,99)),IFERROR(('Final Calculation Sheet'!$C$40)&amp;"",""))))&gt;0,AND(ISNUMBER(SEARCH("blank",$H$4)),NOT(ISNUMBER(SEARCH("nonblank",$H$4))),IFERROR(('Final Calculation Sheet'!$C$40)&amp;"","")=""),AND(OR(ISNUMBER(SEARCH("nonblank",$H$4)),ISNUMBER(SEARCH("&lt;&gt;",$H$4))),IFERROR(('Final Calculation Sheet'!$C$40)&amp;"","")&lt;&gt;""),AND(TRIM($H$4)="",IFERROR(('Final Calculation Sheet'!$C$40)&amp;"","")=""))))</f>
        <v>1</v>
      </c>
      <c r="BU41">
        <f>IF($I$4="",1,--(OR(SUMPRODUCT(--(TRIM(MID(SUBSTITUTE(SUBSTITUTE($I$4,"/",","),",",REPT(" ",99)),(ROW($1:$8)-1)*99+1,99))&lt;&gt;""),--ISNUMBER(SEARCH(TRIM(MID(SUBSTITUTE(SUBSTITUTE($I$4,"/",","),",",REPT(" ",99)),(ROW($1:$8)-1)*99+1,99)),IFERROR(('Final Calculation Sheet'!$H$40)&amp;"",""))))&gt;0,AND(ISNUMBER(SEARCH("blank",$I$4)),NOT(ISNUMBER(SEARCH("nonblank",$I$4))),IFERROR(('Final Calculation Sheet'!$H$40)&amp;"","")=""),AND(OR(ISNUMBER(SEARCH("nonblank",$I$4)),ISNUMBER(SEARCH("&lt;&gt;",$I$4))),IFERROR(('Final Calculation Sheet'!$H$40)&amp;"","")&lt;&gt;""),AND(TRIM($I$4)="",IFERROR(('Final Calculation Sheet'!$H$40)&amp;"","")=""))))</f>
        <v>1</v>
      </c>
      <c r="BV41">
        <f>IF($J$4="",1,--(OR(SUMPRODUCT(--(TRIM(MID(SUBSTITUTE(SUBSTITUTE($J$4,"/",","),",",REPT(" ",99)),(ROW($1:$8)-1)*99+1,99))&lt;&gt;""),--ISNUMBER(SEARCH(TRIM(MID(SUBSTITUTE(SUBSTITUTE($J$4,"/",","),",",REPT(" ",99)),(ROW($1:$8)-1)*99+1,99)),IFERROR(('Final Calculation Sheet'!$I$40)&amp;"",""))))&gt;0,AND(ISNUMBER(SEARCH("blank",$J$4)),NOT(ISNUMBER(SEARCH("nonblank",$J$4))),IFERROR(('Final Calculation Sheet'!$I$40)&amp;"","")=""),AND(OR(ISNUMBER(SEARCH("nonblank",$J$4)),ISNUMBER(SEARCH("&lt;&gt;",$J$4))),IFERROR(('Final Calculation Sheet'!$I$40)&amp;"","")&lt;&gt;""),AND(TRIM($J$4)="",IFERROR(('Final Calculation Sheet'!$I$40)&amp;"","")=""))))</f>
        <v>1</v>
      </c>
      <c r="BW41">
        <f>IF($K$4="",1,--(OR(SUMPRODUCT(--(TRIM(MID(SUBSTITUTE(SUBSTITUTE($K$4,"/",","),",",REPT(" ",99)),(ROW($1:$8)-1)*99+1,99))&lt;&gt;""),--ISNUMBER(SEARCH(TRIM(MID(SUBSTITUTE(SUBSTITUTE($K$4,"/",","),",",REPT(" ",99)),(ROW($1:$8)-1)*99+1,99)),IFERROR(('Final Calculation Sheet'!$J$40)&amp;"",""))))&gt;0,AND(ISNUMBER(SEARCH("blank",$K$4)),NOT(ISNUMBER(SEARCH("nonblank",$K$4))),IFERROR(('Final Calculation Sheet'!$J$40)&amp;"","")=""),AND(OR(ISNUMBER(SEARCH("nonblank",$K$4)),ISNUMBER(SEARCH("&lt;&gt;",$K$4))),IFERROR(('Final Calculation Sheet'!$J$40)&amp;"","")&lt;&gt;""),AND(TRIM($K$4)="",IFERROR(('Final Calculation Sheet'!$J$40)&amp;"","")=""))))</f>
        <v>1</v>
      </c>
      <c r="BX41">
        <f>IF($L$4="",1,--(OR(SUMPRODUCT(--(TRIM(MID(SUBSTITUTE(SUBSTITUTE($L$4,"/",","),",",REPT(" ",99)),(ROW($1:$8)-1)*99+1,99))&lt;&gt;""),--ISNUMBER(SEARCH(TRIM(MID(SUBSTITUTE(SUBSTITUTE($L$4,"/",","),",",REPT(" ",99)),(ROW($1:$8)-1)*99+1,99)),IFERROR(('Final Calculation Sheet'!$K$40)&amp;"",""))))&gt;0,AND(ISNUMBER(SEARCH("blank",$L$4)),NOT(ISNUMBER(SEARCH("nonblank",$L$4))),IFERROR(('Final Calculation Sheet'!$K$40)&amp;"","")=""),AND(OR(ISNUMBER(SEARCH("nonblank",$L$4)),ISNUMBER(SEARCH("&lt;&gt;",$L$4))),IFERROR(('Final Calculation Sheet'!$K$40)&amp;"","")&lt;&gt;""),AND(TRIM($L$4)="",IFERROR(('Final Calculation Sheet'!$K$40)&amp;"","")=""))))</f>
        <v>1</v>
      </c>
      <c r="BY41">
        <f>IF($M$4="",1,--(OR(SUMPRODUCT(--(TRIM(MID(SUBSTITUTE(SUBSTITUTE($M$4,"/",","),",",REPT(" ",99)),(ROW($1:$8)-1)*99+1,99))&lt;&gt;""),--ISNUMBER(SEARCH(TRIM(MID(SUBSTITUTE(SUBSTITUTE($M$4,"/",","),",",REPT(" ",99)),(ROW($1:$8)-1)*99+1,99)),IFERROR(('Final Calculation Sheet'!$L$40)&amp;"",""))))&gt;0,AND(ISNUMBER(SEARCH("blank",$M$4)),NOT(ISNUMBER(SEARCH("nonblank",$M$4))),IFERROR(('Final Calculation Sheet'!$L$40)&amp;"","")=""),AND(OR(ISNUMBER(SEARCH("nonblank",$M$4)),ISNUMBER(SEARCH("&lt;&gt;",$M$4))),IFERROR(('Final Calculation Sheet'!$L$40)&amp;"","")&lt;&gt;""),AND(TRIM($M$4)="",IFERROR(('Final Calculation Sheet'!$L$40)&amp;"","")=""))))</f>
        <v>1</v>
      </c>
      <c r="BZ41">
        <f>IF($N$4="",1,--(OR(SUMPRODUCT(--(TRIM(MID(SUBSTITUTE(SUBSTITUTE($N$4,"/",","),",",REPT(" ",99)),(ROW($1:$8)-1)*99+1,99))&lt;&gt;""),--ISNUMBER(SEARCH(TRIM(MID(SUBSTITUTE(SUBSTITUTE($N$4,"/",","),",",REPT(" ",99)),(ROW($1:$8)-1)*99+1,99)),IFERROR(('Final Calculation Sheet'!$M$40)&amp;"",""))))&gt;0,AND(ISNUMBER(SEARCH("blank",$N$4)),NOT(ISNUMBER(SEARCH("nonblank",$N$4))),IFERROR(('Final Calculation Sheet'!$M$40)&amp;"","")=""),AND(OR(ISNUMBER(SEARCH("nonblank",$N$4)),ISNUMBER(SEARCH("&lt;&gt;",$N$4))),IFERROR(('Final Calculation Sheet'!$M$40)&amp;"","")&lt;&gt;""),AND(TRIM($N$4)="",IFERROR(('Final Calculation Sheet'!$M$40)&amp;"","")=""))))</f>
        <v>1</v>
      </c>
      <c r="CA41">
        <f>IF($O$4="",1,--(OR(SUMPRODUCT(--(TRIM(MID(SUBSTITUTE(SUBSTITUTE($O$4,"/",","),",",REPT(" ",99)),(ROW($1:$8)-1)*99+1,99))&lt;&gt;""),--ISNUMBER(SEARCH(TRIM(MID(SUBSTITUTE(SUBSTITUTE($O$4,"/",","),",",REPT(" ",99)),(ROW($1:$8)-1)*99+1,99)),IFERROR(('Final Calculation Sheet'!$N$40)&amp;"",""))))&gt;0,AND(ISNUMBER(SEARCH("blank",$O$4)),NOT(ISNUMBER(SEARCH("nonblank",$O$4))),IFERROR(('Final Calculation Sheet'!$N$40)&amp;"","")=""),AND(OR(ISNUMBER(SEARCH("nonblank",$O$4)),ISNUMBER(SEARCH("&lt;&gt;",$O$4))),IFERROR(('Final Calculation Sheet'!$N$40)&amp;"","")&lt;&gt;""),AND(TRIM($O$4)="",IFERROR(('Final Calculation Sheet'!$N$40)&amp;"","")=""))))</f>
        <v>1</v>
      </c>
      <c r="CB41">
        <f>IF($P$4="",1,--(OR(SUMPRODUCT(--(TRIM(MID(SUBSTITUTE(SUBSTITUTE($P$4,"/",","),",",REPT(" ",99)),(ROW($1:$8)-1)*99+1,99))&lt;&gt;""),--ISNUMBER(SEARCH(TRIM(MID(SUBSTITUTE(SUBSTITUTE($P$4,"/",","),",",REPT(" ",99)),(ROW($1:$8)-1)*99+1,99)),IFERROR(('Final Calculation Sheet'!$O$40)&amp;"",""))))&gt;0,AND(ISNUMBER(SEARCH("blank",$P$4)),NOT(ISNUMBER(SEARCH("nonblank",$P$4))),IFERROR(('Final Calculation Sheet'!$O$40)&amp;"","")=""),AND(OR(ISNUMBER(SEARCH("nonblank",$P$4)),ISNUMBER(SEARCH("&lt;&gt;",$P$4))),IFERROR(('Final Calculation Sheet'!$O$40)&amp;"","")&lt;&gt;""),AND(TRIM($P$4)="",IFERROR(('Final Calculation Sheet'!$O$40)&amp;"","")=""))))</f>
        <v>1</v>
      </c>
      <c r="CC41">
        <f>IF($Q$4="",1,--(OR(SUMPRODUCT(--(TRIM(MID(SUBSTITUTE(SUBSTITUTE($Q$4,"/",","),",",REPT(" ",99)),(ROW($1:$8)-1)*99+1,99))&lt;&gt;""),--ISNUMBER(SEARCH(TRIM(MID(SUBSTITUTE(SUBSTITUTE($Q$4,"/",","),",",REPT(" ",99)),(ROW($1:$8)-1)*99+1,99)),IFERROR(('Final Calculation Sheet'!$P$40)&amp;"",""))))&gt;0,AND(ISNUMBER(SEARCH("blank",$Q$4)),NOT(ISNUMBER(SEARCH("nonblank",$Q$4))),IFERROR(('Final Calculation Sheet'!$P$40)&amp;"","")=""),AND(OR(ISNUMBER(SEARCH("nonblank",$Q$4)),ISNUMBER(SEARCH("&lt;&gt;",$Q$4))),IFERROR(('Final Calculation Sheet'!$P$40)&amp;"","")&lt;&gt;""),AND(TRIM($Q$4)="",IFERROR(('Final Calculation Sheet'!$P$40)&amp;"","")=""))))</f>
        <v>1</v>
      </c>
      <c r="CD41">
        <f>IF($R$4="",1,--(OR(SUMPRODUCT(--(TRIM(MID(SUBSTITUTE(SUBSTITUTE($R$4,"/",","),",",REPT(" ",99)),(ROW($1:$8)-1)*99+1,99))&lt;&gt;""),--ISNUMBER(SEARCH(TRIM(MID(SUBSTITUTE(SUBSTITUTE($R$4,"/",","),",",REPT(" ",99)),(ROW($1:$8)-1)*99+1,99)),IFERROR(('Final Calculation Sheet'!$Q$40)&amp;"",""))))&gt;0,AND(ISNUMBER(SEARCH("blank",$R$4)),NOT(ISNUMBER(SEARCH("nonblank",$R$4))),IFERROR(('Final Calculation Sheet'!$Q$40)&amp;"","")=""),AND(OR(ISNUMBER(SEARCH("nonblank",$R$4)),ISNUMBER(SEARCH("&lt;&gt;",$R$4))),IFERROR(('Final Calculation Sheet'!$Q$40)&amp;"","")&lt;&gt;""),AND(TRIM($R$4)="",IFERROR(('Final Calculation Sheet'!$Q$40)&amp;"","")=""))))</f>
        <v>1</v>
      </c>
      <c r="CE41">
        <f>IF($S$4="",1,--(OR(SUMPRODUCT(--(TRIM(MID(SUBSTITUTE(SUBSTITUTE($S$4,"/",","),",",REPT(" ",99)),(ROW($1:$8)-1)*99+1,99))&lt;&gt;""),--ISNUMBER(SEARCH(TRIM(MID(SUBSTITUTE(SUBSTITUTE($S$4,"/",","),",",REPT(" ",99)),(ROW($1:$8)-1)*99+1,99)),IFERROR(('Final Calculation Sheet'!$R$40)&amp;"",""))))&gt;0,AND(ISNUMBER(SEARCH("blank",$S$4)),NOT(ISNUMBER(SEARCH("nonblank",$S$4))),IFERROR(('Final Calculation Sheet'!$R$40)&amp;"","")=""),AND(OR(ISNUMBER(SEARCH("nonblank",$S$4)),ISNUMBER(SEARCH("&lt;&gt;",$S$4))),IFERROR(('Final Calculation Sheet'!$R$40)&amp;"","")&lt;&gt;""),AND(TRIM($S$4)="",IFERROR(('Final Calculation Sheet'!$R$40)&amp;"","")=""))))</f>
        <v>1</v>
      </c>
      <c r="CF41">
        <f>IF($T$4="",1,--(OR(SUMPRODUCT(--(TRIM(MID(SUBSTITUTE(SUBSTITUTE($T$4,"/",","),",",REPT(" ",99)),(ROW($1:$8)-1)*99+1,99))&lt;&gt;""),--ISNUMBER(SEARCH(TRIM(MID(SUBSTITUTE(SUBSTITUTE($T$4,"/",","),",",REPT(" ",99)),(ROW($1:$8)-1)*99+1,99)),IFERROR(('Final Calculation Sheet'!$S$40)&amp;"",""))))&gt;0,AND(ISNUMBER(SEARCH("blank",$T$4)),NOT(ISNUMBER(SEARCH("nonblank",$T$4))),IFERROR(('Final Calculation Sheet'!$S$40)&amp;"","")=""),AND(OR(ISNUMBER(SEARCH("nonblank",$T$4)),ISNUMBER(SEARCH("&lt;&gt;",$T$4))),IFERROR(('Final Calculation Sheet'!$S$40)&amp;"","")&lt;&gt;""),AND(TRIM($T$4)="",IFERROR(('Final Calculation Sheet'!$S$40)&amp;"","")=""))))</f>
        <v>1</v>
      </c>
      <c r="CG41">
        <f>IF($U$4="",1,--(OR(SUMPRODUCT(--(TRIM(MID(SUBSTITUTE(SUBSTITUTE($U$4,"/",","),",",REPT(" ",99)),(ROW($1:$8)-1)*99+1,99))&lt;&gt;""),--ISNUMBER(SEARCH(TRIM(MID(SUBSTITUTE(SUBSTITUTE($U$4,"/",","),",",REPT(" ",99)),(ROW($1:$8)-1)*99+1,99)),IFERROR(('Final Calculation Sheet'!$T$40)&amp;"",""))))&gt;0,AND(ISNUMBER(SEARCH("blank",$U$4)),NOT(ISNUMBER(SEARCH("nonblank",$U$4))),IFERROR(('Final Calculation Sheet'!$T$40)&amp;"","")=""),AND(OR(ISNUMBER(SEARCH("nonblank",$U$4)),ISNUMBER(SEARCH("&lt;&gt;",$U$4))),IFERROR(('Final Calculation Sheet'!$T$40)&amp;"","")&lt;&gt;""),AND(TRIM($U$4)="",IFERROR(('Final Calculation Sheet'!$T$40)&amp;"","")=""))))</f>
        <v>1</v>
      </c>
      <c r="CH41">
        <f>IF($V$4="",1,--(OR(SUMPRODUCT(--(TRIM(MID(SUBSTITUTE(SUBSTITUTE($V$4,"/",","),",",REPT(" ",99)),(ROW($1:$8)-1)*99+1,99))&lt;&gt;""),--ISNUMBER(SEARCH(TRIM(MID(SUBSTITUTE(SUBSTITUTE($V$4,"/",","),",",REPT(" ",99)),(ROW($1:$8)-1)*99+1,99)),IFERROR(('Final Calculation Sheet'!$U$40)&amp;"",""))))&gt;0,AND(ISNUMBER(SEARCH("blank",$V$4)),NOT(ISNUMBER(SEARCH("nonblank",$V$4))),IFERROR(('Final Calculation Sheet'!$U$40)&amp;"","")=""),AND(OR(ISNUMBER(SEARCH("nonblank",$V$4)),ISNUMBER(SEARCH("&lt;&gt;",$V$4))),IFERROR(('Final Calculation Sheet'!$U$40)&amp;"","")&lt;&gt;""),AND(TRIM($V$4)="",IFERROR(('Final Calculation Sheet'!$U$40)&amp;"","")=""))))</f>
        <v>1</v>
      </c>
      <c r="CI41">
        <f>IF($W$4="",1,--(OR(SUMPRODUCT(--(TRIM(MID(SUBSTITUTE(SUBSTITUTE($W$4,"/",","),",",REPT(" ",99)),(ROW($1:$8)-1)*99+1,99))&lt;&gt;""),--ISNUMBER(SEARCH(TRIM(MID(SUBSTITUTE(SUBSTITUTE($W$4,"/",","),",",REPT(" ",99)),(ROW($1:$8)-1)*99+1,99)),IFERROR(('Final Calculation Sheet'!$V$40)&amp;"",""))))&gt;0,AND(ISNUMBER(SEARCH("blank",$W$4)),NOT(ISNUMBER(SEARCH("nonblank",$W$4))),IFERROR(('Final Calculation Sheet'!$V$40)&amp;"","")=""),AND(OR(ISNUMBER(SEARCH("nonblank",$W$4)),ISNUMBER(SEARCH("&lt;&gt;",$W$4))),IFERROR(('Final Calculation Sheet'!$V$40)&amp;"","")&lt;&gt;""),AND(TRIM($W$4)="",IFERROR(('Final Calculation Sheet'!$V$40)&amp;"","")=""))))</f>
        <v>1</v>
      </c>
      <c r="CJ41">
        <f>IF($X$4="",1,--(OR(SUMPRODUCT(--(TRIM(MID(SUBSTITUTE(SUBSTITUTE($X$4,"/",","),",",REPT(" ",99)),(ROW($1:$8)-1)*99+1,99))&lt;&gt;""),--ISNUMBER(SEARCH(TRIM(MID(SUBSTITUTE(SUBSTITUTE($X$4,"/",","),",",REPT(" ",99)),(ROW($1:$8)-1)*99+1,99)),IFERROR(('Final Calculation Sheet'!$W$40)&amp;"",""))))&gt;0,AND(ISNUMBER(SEARCH("blank",$X$4)),NOT(ISNUMBER(SEARCH("nonblank",$X$4))),IFERROR(('Final Calculation Sheet'!$W$40)&amp;"","")=""),AND(OR(ISNUMBER(SEARCH("nonblank",$X$4)),ISNUMBER(SEARCH("&lt;&gt;",$X$4))),IFERROR(('Final Calculation Sheet'!$W$40)&amp;"","")&lt;&gt;""),AND(TRIM($X$4)="",IFERROR(('Final Calculation Sheet'!$W$40)&amp;"","")=""))))</f>
        <v>1</v>
      </c>
      <c r="CK41">
        <f>IF($Y$4="",1,--(OR(SUMPRODUCT(--(TRIM(MID(SUBSTITUTE(SUBSTITUTE($Y$4,"/",","),",",REPT(" ",99)),(ROW($1:$8)-1)*99+1,99))&lt;&gt;""),--ISNUMBER(SEARCH(TRIM(MID(SUBSTITUTE(SUBSTITUTE($Y$4,"/",","),",",REPT(" ",99)),(ROW($1:$8)-1)*99+1,99)),IFERROR(('Final Calculation Sheet'!$X$40)&amp;"",""))))&gt;0,AND(ISNUMBER(SEARCH("blank",$Y$4)),NOT(ISNUMBER(SEARCH("nonblank",$Y$4))),IFERROR(('Final Calculation Sheet'!$X$40)&amp;"","")=""),AND(OR(ISNUMBER(SEARCH("nonblank",$Y$4)),ISNUMBER(SEARCH("&lt;&gt;",$Y$4))),IFERROR(('Final Calculation Sheet'!$X$40)&amp;"","")&lt;&gt;""),AND(TRIM($Y$4)="",IFERROR(('Final Calculation Sheet'!$X$40)&amp;"","")=""))))</f>
        <v>1</v>
      </c>
      <c r="CL41">
        <f>IF($Z$4="",1,--(OR(SUMPRODUCT(--(TRIM(MID(SUBSTITUTE(SUBSTITUTE($Z$4,"/",","),",",REPT(" ",99)),(ROW($1:$8)-1)*99+1,99))&lt;&gt;""),--ISNUMBER(SEARCH(TRIM(MID(SUBSTITUTE(SUBSTITUTE($Z$4,"/",","),",",REPT(" ",99)),(ROW($1:$8)-1)*99+1,99)),IFERROR(('Final Calculation Sheet'!$Y$40)&amp;"",""))))&gt;0,AND(ISNUMBER(SEARCH("blank",$Z$4)),NOT(ISNUMBER(SEARCH("nonblank",$Z$4))),IFERROR(('Final Calculation Sheet'!$Y$40)&amp;"","")=""),AND(OR(ISNUMBER(SEARCH("nonblank",$Z$4)),ISNUMBER(SEARCH("&lt;&gt;",$Z$4))),IFERROR(('Final Calculation Sheet'!$Y$40)&amp;"","")&lt;&gt;""),AND(TRIM($Z$4)="",IFERROR(('Final Calculation Sheet'!$Y$40)&amp;"","")=""))))</f>
        <v>1</v>
      </c>
      <c r="CM41">
        <f>IF($AA$4="",1,--(OR(SUMPRODUCT(--(TRIM(MID(SUBSTITUTE(SUBSTITUTE($AA$4,"/",","),",",REPT(" ",99)),(ROW($1:$8)-1)*99+1,99))&lt;&gt;""),--ISNUMBER(SEARCH(TRIM(MID(SUBSTITUTE(SUBSTITUTE($AA$4,"/",","),",",REPT(" ",99)),(ROW($1:$8)-1)*99+1,99)),IFERROR(('Final Calculation Sheet'!$Z$40)&amp;"",""))))&gt;0,AND(ISNUMBER(SEARCH("blank",$AA$4)),NOT(ISNUMBER(SEARCH("nonblank",$AA$4))),IFERROR(('Final Calculation Sheet'!$Z$40)&amp;"","")=""),AND(OR(ISNUMBER(SEARCH("nonblank",$AA$4)),ISNUMBER(SEARCH("&lt;&gt;",$AA$4))),IFERROR(('Final Calculation Sheet'!$Z$40)&amp;"","")&lt;&gt;""),AND(TRIM($AA$4)="",IFERROR(('Final Calculation Sheet'!$Z$40)&amp;"","")=""))))</f>
        <v>1</v>
      </c>
      <c r="CN41">
        <f>IF($AB$4="",1,--(OR(SUMPRODUCT(--(TRIM(MID(SUBSTITUTE(SUBSTITUTE($AB$4,"/",","),",",REPT(" ",99)),(ROW($1:$8)-1)*99+1,99))&lt;&gt;""),--ISNUMBER(SEARCH(TRIM(MID(SUBSTITUTE(SUBSTITUTE($AB$4,"/",","),",",REPT(" ",99)),(ROW($1:$8)-1)*99+1,99)),IFERROR(('Final Calculation Sheet'!$AA$40)&amp;"",""))))&gt;0,AND(ISNUMBER(SEARCH("blank",$AB$4)),NOT(ISNUMBER(SEARCH("nonblank",$AB$4))),IFERROR(('Final Calculation Sheet'!$AA$40)&amp;"","")=""),AND(OR(ISNUMBER(SEARCH("nonblank",$AB$4)),ISNUMBER(SEARCH("&lt;&gt;",$AB$4))),IFERROR(('Final Calculation Sheet'!$AA$40)&amp;"","")&lt;&gt;""),AND(TRIM($AB$4)="",IFERROR(('Final Calculation Sheet'!$AA$40)&amp;"","")=""))))</f>
        <v>1</v>
      </c>
      <c r="CO41">
        <f>IF($AC$4="",1,--(OR(SUMPRODUCT(--(TRIM(MID(SUBSTITUTE(SUBSTITUTE($AC$4,"/",","),",",REPT(" ",99)),(ROW($1:$8)-1)*99+1,99))&lt;&gt;""),--ISNUMBER(SEARCH(TRIM(MID(SUBSTITUTE(SUBSTITUTE($AC$4,"/",","),",",REPT(" ",99)),(ROW($1:$8)-1)*99+1,99)),IFERROR(('Final Calculation Sheet'!$AB$40)&amp;"",""))))&gt;0,AND(ISNUMBER(SEARCH("blank",$AC$4)),NOT(ISNUMBER(SEARCH("nonblank",$AC$4))),IFERROR(('Final Calculation Sheet'!$AB$40)&amp;"","")=""),AND(OR(ISNUMBER(SEARCH("nonblank",$AC$4)),ISNUMBER(SEARCH("&lt;&gt;",$AC$4))),IFERROR(('Final Calculation Sheet'!$AB$40)&amp;"","")&lt;&gt;""),AND(TRIM($AC$4)="",IFERROR(('Final Calculation Sheet'!$AB$40)&amp;"","")=""))))</f>
        <v>1</v>
      </c>
      <c r="CP41">
        <f>IF($AD$4="",1,--(OR(SUMPRODUCT(--(TRIM(MID(SUBSTITUTE(SUBSTITUTE($AD$4,"/",","),",",REPT(" ",99)),(ROW($1:$8)-1)*99+1,99))&lt;&gt;""),--ISNUMBER(SEARCH(TRIM(MID(SUBSTITUTE(SUBSTITUTE($AD$4,"/",","),",",REPT(" ",99)),(ROW($1:$8)-1)*99+1,99)),IFERROR(('Final Calculation Sheet'!$AC$40)&amp;"",""))))&gt;0,AND(ISNUMBER(SEARCH("blank",$AD$4)),NOT(ISNUMBER(SEARCH("nonblank",$AD$4))),IFERROR(('Final Calculation Sheet'!$AC$40)&amp;"","")=""),AND(OR(ISNUMBER(SEARCH("nonblank",$AD$4)),ISNUMBER(SEARCH("&lt;&gt;",$AD$4))),IFERROR(('Final Calculation Sheet'!$AC$40)&amp;"","")&lt;&gt;""),AND(TRIM($AD$4)="",IFERROR(('Final Calculation Sheet'!$AC$40)&amp;"","")=""))))</f>
        <v>1</v>
      </c>
      <c r="CQ41">
        <f>IF($AE$4="",1,--(OR(SUMPRODUCT(--(TRIM(MID(SUBSTITUTE(SUBSTITUTE($AE$4,"/",","),",",REPT(" ",99)),(ROW($1:$8)-1)*99+1,99))&lt;&gt;""),--ISNUMBER(SEARCH(TRIM(MID(SUBSTITUTE(SUBSTITUTE($AE$4,"/",","),",",REPT(" ",99)),(ROW($1:$8)-1)*99+1,99)),IFERROR(('Final Calculation Sheet'!$AD$40)&amp;"",""))))&gt;0,AND(ISNUMBER(SEARCH("blank",$AE$4)),NOT(ISNUMBER(SEARCH("nonblank",$AE$4))),IFERROR(('Final Calculation Sheet'!$AD$40)&amp;"","")=""),AND(OR(ISNUMBER(SEARCH("nonblank",$AE$4)),ISNUMBER(SEARCH("&lt;&gt;",$AE$4))),IFERROR(('Final Calculation Sheet'!$AD$40)&amp;"","")&lt;&gt;""),AND(TRIM($AE$4)="",IFERROR(('Final Calculation Sheet'!$AD$40)&amp;"","")=""))))</f>
        <v>1</v>
      </c>
      <c r="CR41">
        <f>IF($AF$4="",1,--(OR(SUMPRODUCT(--(TRIM(MID(SUBSTITUTE(SUBSTITUTE($AF$4,"/",","),",",REPT(" ",99)),(ROW($1:$8)-1)*99+1,99))&lt;&gt;""),--ISNUMBER(SEARCH(TRIM(MID(SUBSTITUTE(SUBSTITUTE($AF$4,"/",","),",",REPT(" ",99)),(ROW($1:$8)-1)*99+1,99)),IFERROR(('Final Calculation Sheet'!$AE$40)&amp;"",""))))&gt;0,AND(ISNUMBER(SEARCH("blank",$AF$4)),NOT(ISNUMBER(SEARCH("nonblank",$AF$4))),IFERROR(('Final Calculation Sheet'!$AE$40)&amp;"","")=""),AND(OR(ISNUMBER(SEARCH("nonblank",$AF$4)),ISNUMBER(SEARCH("&lt;&gt;",$AF$4))),IFERROR(('Final Calculation Sheet'!$AE$40)&amp;"","")&lt;&gt;""),AND(TRIM($AF$4)="",IFERROR(('Final Calculation Sheet'!$AE$40)&amp;"","")=""))))</f>
        <v>1</v>
      </c>
      <c r="CS41">
        <f>IF($AG$4="",1,--(OR(SUMPRODUCT(--(TRIM(MID(SUBSTITUTE(SUBSTITUTE($AG$4,"/",","),",",REPT(" ",99)),(ROW($1:$8)-1)*99+1,99))&lt;&gt;""),--ISNUMBER(SEARCH(TRIM(MID(SUBSTITUTE(SUBSTITUTE($AG$4,"/",","),",",REPT(" ",99)),(ROW($1:$8)-1)*99+1,99)),IFERROR(('Final Calculation Sheet'!$AF$40)&amp;"",""))))&gt;0,AND(ISNUMBER(SEARCH("blank",$AG$4)),NOT(ISNUMBER(SEARCH("nonblank",$AG$4))),IFERROR(('Final Calculation Sheet'!$AF$40)&amp;"","")=""),AND(OR(ISNUMBER(SEARCH("nonblank",$AG$4)),ISNUMBER(SEARCH("&lt;&gt;",$AG$4))),IFERROR(('Final Calculation Sheet'!$AF$40)&amp;"","")&lt;&gt;""),AND(TRIM($AG$4)="",IFERROR(('Final Calculation Sheet'!$AF$40)&amp;"","")=""))))</f>
        <v>1</v>
      </c>
      <c r="CT41">
        <f>IF($AH$4="",1,--(OR(SUMPRODUCT(--(TRIM(MID(SUBSTITUTE(SUBSTITUTE($AH$4,"/",","),",",REPT(" ",99)),(ROW($1:$8)-1)*99+1,99))&lt;&gt;""),--ISNUMBER(SEARCH(TRIM(MID(SUBSTITUTE(SUBSTITUTE($AH$4,"/",","),",",REPT(" ",99)),(ROW($1:$8)-1)*99+1,99)),IFERROR(('Final Calculation Sheet'!$AG$40)&amp;"",""))))&gt;0,AND(ISNUMBER(SEARCH("blank",$AH$4)),NOT(ISNUMBER(SEARCH("nonblank",$AH$4))),IFERROR(('Final Calculation Sheet'!$AG$40)&amp;"","")=""),AND(OR(ISNUMBER(SEARCH("nonblank",$AH$4)),ISNUMBER(SEARCH("&lt;&gt;",$AH$4))),IFERROR(('Final Calculation Sheet'!$AG$40)&amp;"","")&lt;&gt;""),AND(TRIM($AH$4)="",IFERROR(('Final Calculation Sheet'!$AG$40)&amp;"","")=""))))</f>
        <v>1</v>
      </c>
      <c r="CU41">
        <f>IF($AI$4="",1,--(OR(SUMPRODUCT(--(TRIM(MID(SUBSTITUTE(SUBSTITUTE($AI$4,"/",","),",",REPT(" ",99)),(ROW($1:$8)-1)*99+1,99))&lt;&gt;""),--ISNUMBER(SEARCH(TRIM(MID(SUBSTITUTE(SUBSTITUTE($AI$4,"/",","),",",REPT(" ",99)),(ROW($1:$8)-1)*99+1,99)),IFERROR((IF('Final Calculation Sheet'!$AD$40&lt;=5,"SETTLED","OUTSTANDING"))&amp;"",""))))&gt;0,AND(ISNUMBER(SEARCH("blank",$AI$4)),NOT(ISNUMBER(SEARCH("nonblank",$AI$4))),IFERROR((IF('Final Calculation Sheet'!$AD$40&lt;=5,"SETTLED","OUTSTANDING"))&amp;"","")=""),AND(OR(ISNUMBER(SEARCH("nonblank",$AI$4)),ISNUMBER(SEARCH("&lt;&gt;",$AI$4))),IFERROR((IF('Final Calculation Sheet'!$AD$40&lt;=5,"SETTLED","OUTSTANDING"))&amp;"","")&lt;&gt;""),AND(TRIM($AI$4)="",IFERROR((IF('Final Calculation Sheet'!$AD$40&lt;=5,"SETTLED","OUTSTANDING"))&amp;"","")=""))))</f>
        <v>1</v>
      </c>
    </row>
    <row r="42" ht="15" customHeight="1" s="137">
      <c r="A42" s="67">
        <f>IF($BJ41&gt;0,INDEX($BA$5:$BA$41,MATCH(41,$BB$5:$BB$41,0)),IF(OR($BI41=1,$BL41=1,$BH41&gt;0),"∑",""))</f>
        <v>37</v>
      </c>
      <c r="B42" s="76">
        <f>IF($BJ41&gt;0,IF(INDEX('Final Calculation Sheet'!$F$4:$F$40,$BJ41-3)="","",INDEX('Final Calculation Sheet'!$F$4:$F$40,$BJ41-3)),"")</f>
        <v>2091</v>
      </c>
      <c r="C42" s="76" t="str">
        <f>IF($BJ41&gt;0,IF(INDEX('Final Calculation Sheet'!$G$4:$G$40,$BJ41-3)="","",INDEX('Final Calculation Sheet'!$G$4:$G$40,$BJ41-3)),IF(OR($BI41=1,$BL41=1,$BH41&gt;0),IF($BI41=1,37,IF($BL41=1,37-INDEX($BD$4:$BD$13,10),INDEX($BD$4:$BD$13,$BH41)))&amp;" lot(s)",""))</f>
        <v>S M ENTERPRISES</v>
      </c>
      <c r="D42" s="80" t="str">
        <f>IF($BJ41&gt;0,IF(INDEX('Final Calculation Sheet'!$B$4:$B$40,$BJ41-3)="","",INDEX('Final Calculation Sheet'!$B$4:$B$40,$BJ41-3)),IF(OR($BI41=1,$BL41=1,$BH41&gt;0),IF($BI41=1,"GRAND TOTAL  —  matching + remaining",IF($BL41=1,"TOTAL MATCHED  —  every group together",IF($BH41=10,"REMAINING  —  did not match the search",IF($BH41=9,IF(COUNTIF($A$4:$AI$4,"&lt;&gt;")&gt;0,"FILTERED LOTS  —  column fields","ALL LOTS  —  nothing typed in the box"),"GROUP "&amp;$BH41&amp;" TOTAL  —  lots matching  "&amp;INDEX($AR$6:$AY$6,$BH41))))),""))</f>
        <v>Scrap of 132 KV CT</v>
      </c>
      <c r="E42" s="80">
        <f>IF($BJ41&gt;0,IF(INDEX('Final Calculation Sheet'!$D$4:$D$40,$BJ41-3)="","",INDEX('Final Calculation Sheet'!$D$4:$D$40,$BJ41-3)),IF(OR($BI41=1,$BL41=1,$BH41&gt;0),"–",""))</f>
        <v>21980</v>
      </c>
      <c r="F42" s="80">
        <f>IF($BJ41&gt;0,IF(INDEX('Final Calculation Sheet'!$A$4:$A$40,$BJ41-3)="","",INDEX('Final Calculation Sheet'!$A$4:$A$40,$BJ41-3)),IF(OR($BI41=1,$BL41=1,$BH41&gt;0),IF($BI41=1,SUM('Final Calculation Sheet'!$A$4:$A$40),IF($BL41=1,SUM('Final Calculation Sheet'!$A$4:$A$40)-SUMIFS('Final Calculation Sheet'!$A$4:$A$40,$AZ$5:$AZ$41,10),SUMIFS('Final Calculation Sheet'!$A$4:$A$40,$AZ$5:$AZ$41,$BH41))),""))</f>
        <v>3</v>
      </c>
      <c r="G42" s="80" t="str">
        <f>IF($BJ41&gt;0,IF(INDEX('Final Calculation Sheet'!$E$4:$E$40,$BJ41-3)="","",INDEX('Final Calculation Sheet'!$E$4:$E$40,$BJ41-3)),IF(OR($BI41=1,$BL41=1,$BH41&gt;0),"–",""))</f>
        <v>NO</v>
      </c>
      <c r="H42" s="70">
        <f>IF($BJ41&gt;0,IF(INDEX('Final Calculation Sheet'!$C$4:$C$40,$BJ41-3)="","",INDEX('Final Calculation Sheet'!$C$4:$C$40,$BJ41-3)),IF(OR($BI41=1,$BL41=1,$BH41&gt;0),"–",""))</f>
        <v>40003</v>
      </c>
      <c r="I42" s="70">
        <f>IF($BJ41&gt;0,IF(INDEX('Final Calculation Sheet'!$H$4:$H$40,$BJ41-3)="","",INDEX('Final Calculation Sheet'!$H$4:$H$40,$BJ41-3)),IF(OR($BI41=1,$BL41=1,$BH41&gt;0),IF($BI41=1,SUM('Final Calculation Sheet'!$H$4:$H$40),IF($BL41=1,SUM('Final Calculation Sheet'!$H$4:$H$40)-SUMIFS('Final Calculation Sheet'!$H$4:$H$40,$AZ$5:$AZ$41,10),SUMIFS('Final Calculation Sheet'!$H$4:$H$40,$AZ$5:$AZ$41,$BH41))),""))</f>
        <v>120009</v>
      </c>
      <c r="J42" s="70">
        <f>IF($BJ41&gt;0,IF(INDEX('Final Calculation Sheet'!$I$4:$I$40,$BJ41-3)="","",INDEX('Final Calculation Sheet'!$I$4:$I$40,$BJ41-3)),IF(OR($BI41=1,$BL41=1,$BH41&gt;0),IF($BI41=1,SUM('Final Calculation Sheet'!$I$4:$I$40),IF($BL41=1,SUM('Final Calculation Sheet'!$I$4:$I$40)-SUMIFS('Final Calculation Sheet'!$I$4:$I$40,$AZ$5:$AZ$41,10),SUMIFS('Final Calculation Sheet'!$I$4:$I$40,$AZ$5:$AZ$41,$BH41))),""))</f>
        <v>21602</v>
      </c>
      <c r="K42" s="70">
        <f>IF($BJ41&gt;0,IF(INDEX('Final Calculation Sheet'!$J$4:$J$40,$BJ41-3)="","",INDEX('Final Calculation Sheet'!$J$4:$J$40,$BJ41-3)),IF(OR($BI41=1,$BL41=1,$BH41&gt;0),IF($BI41=1,SUM('Final Calculation Sheet'!$J$4:$J$40),IF($BL41=1,SUM('Final Calculation Sheet'!$J$4:$J$40)-SUMIFS('Final Calculation Sheet'!$J$4:$J$40,$AZ$5:$AZ$41,10),SUMIFS('Final Calculation Sheet'!$J$4:$J$40,$AZ$5:$AZ$41,$BH41))),""))</f>
        <v>141611</v>
      </c>
      <c r="L42" s="70">
        <f>IF($BJ41&gt;0,IF(INDEX('Final Calculation Sheet'!$K$4:$K$40,$BJ41-3)="","",INDEX('Final Calculation Sheet'!$K$4:$K$40,$BJ41-3)),IF(OR($BI41=1,$BL41=1,$BH41&gt;0),IF($BI41=1,SUM('Final Calculation Sheet'!$K$4:$K$40),IF($BL41=1,SUM('Final Calculation Sheet'!$K$4:$K$40)-SUMIFS('Final Calculation Sheet'!$K$4:$K$40,$AZ$5:$AZ$41,10),SUMIFS('Final Calculation Sheet'!$K$4:$K$40,$AZ$5:$AZ$41,$BH41))),""))</f>
        <v>2832</v>
      </c>
      <c r="M42" s="70">
        <f>IF($BJ41&gt;0,IF(INDEX('Final Calculation Sheet'!$L$4:$L$40,$BJ41-3)="","",INDEX('Final Calculation Sheet'!$L$4:$L$40,$BJ41-3)),IF(OR($BI41=1,$BL41=1,$BH41&gt;0),IF($BI41=1,SUM('Final Calculation Sheet'!$L$4:$L$40),IF($BL41=1,SUM('Final Calculation Sheet'!$L$4:$L$40)-SUMIFS('Final Calculation Sheet'!$L$4:$L$40,$AZ$5:$AZ$41,10),SUMIFS('Final Calculation Sheet'!$L$4:$L$40,$AZ$5:$AZ$41,$BH41))),""))</f>
        <v>120.009</v>
      </c>
      <c r="N42" s="70">
        <f>IF($BJ41&gt;0,IF(INDEX('Final Calculation Sheet'!$M$4:$M$40,$BJ41-3)="","",INDEX('Final Calculation Sheet'!$M$4:$M$40,$BJ41-3)),IF(OR($BI41=1,$BL41=1,$BH41&gt;0),IF($BI41=1,SUM('Final Calculation Sheet'!$M$4:$M$40),IF($BL41=1,SUM('Final Calculation Sheet'!$M$4:$M$40)-SUMIFS('Final Calculation Sheet'!$M$4:$M$40,$AZ$5:$AZ$41,10),SUMIFS('Final Calculation Sheet'!$M$4:$M$40,$AZ$5:$AZ$41,$BH41))),""))</f>
        <v>3186.2389499999995</v>
      </c>
      <c r="O42" s="71">
        <f>IF($BJ41&gt;0,IF(INDEX('Final Calculation Sheet'!$N$4:$N$40,$BJ41-3)="","",INDEX('Final Calculation Sheet'!$N$4:$N$40,$BJ41-3)),IF(OR($BI41=1,$BL41=1,$BH41&gt;0),IF($BI41=1,SUM('Final Calculation Sheet'!$N$4:$N$40),IF($BL41=1,SUM('Final Calculation Sheet'!$N$4:$N$40)-SUMIFS('Final Calculation Sheet'!$N$4:$N$40,$AZ$5:$AZ$41,10),SUMIFS('Final Calculation Sheet'!$N$4:$N$40,$AZ$5:$AZ$41,$BH41))),""))</f>
        <v>54.004049999999999</v>
      </c>
      <c r="P42" s="70">
        <f>IF($BJ41&gt;0,IF(INDEX('Final Calculation Sheet'!$O$4:$O$40,$BJ41-3)="","",INDEX('Final Calculation Sheet'!$O$4:$O$40,$BJ41-3)),IF(OR($BI41=1,$BL41=1,$BH41&gt;0),IF($BI41=1,SUM('Final Calculation Sheet'!$O$4:$O$40),IF($BL41=1,SUM('Final Calculation Sheet'!$O$4:$O$40)-SUMIFS('Final Calculation Sheet'!$O$4:$O$40,$AZ$5:$AZ$41,10),SUMIFS('Final Calculation Sheet'!$O$4:$O$40,$AZ$5:$AZ$41,$BH41))),""))</f>
        <v>3132.2348999999995</v>
      </c>
      <c r="Q42" s="70">
        <f>IF($BJ41&gt;0,IF(INDEX('Final Calculation Sheet'!$P$4:$P$40,$BJ41-3)="","",INDEX('Final Calculation Sheet'!$P$4:$P$40,$BJ41-3)),IF(OR($BI41=1,$BL41=1,$BH41&gt;0),IF($BI41=1,SUM('Final Calculation Sheet'!$P$4:$P$40),IF($BL41=1,SUM('Final Calculation Sheet'!$P$4:$P$40)-SUMIFS('Final Calculation Sheet'!$P$4:$P$40,$AZ$5:$AZ$41,10),SUMIFS('Final Calculation Sheet'!$P$4:$P$40,$AZ$5:$AZ$41,$BH41))),""))</f>
        <v>3252</v>
      </c>
      <c r="R42" s="72">
        <f>IF($BJ41&gt;0,IF(INDEX('Final Calculation Sheet'!$Q$4:$Q$40,$BJ41-3)="","",INDEX('Final Calculation Sheet'!$Q$4:$Q$40,$BJ41-3)),IF(OR($BI41=1,$BL41=1,$BH41&gt;0),"–",""))</f>
        <v>0</v>
      </c>
      <c r="S42" s="70">
        <f>IF($BJ41&gt;0,IF(INDEX('Final Calculation Sheet'!$R$4:$R$40,$BJ41-3)="","",INDEX('Final Calculation Sheet'!$R$4:$R$40,$BJ41-3)),IF(OR($BI41=1,$BL41=1,$BH41&gt;0),IF($BI41=1,SUM('Final Calculation Sheet'!$R$4:$R$40),IF($BL41=1,SUM('Final Calculation Sheet'!$R$4:$R$40)-SUMIFS('Final Calculation Sheet'!$R$4:$R$40,$AZ$5:$AZ$41,10),SUMIFS('Final Calculation Sheet'!$R$4:$R$40,$AZ$5:$AZ$41,$BH41))),""))</f>
        <v>0</v>
      </c>
      <c r="T42" s="70">
        <f>IF($BJ41&gt;0,IF(INDEX('Final Calculation Sheet'!$S$4:$S$40,$BJ41-3)="","",INDEX('Final Calculation Sheet'!$S$4:$S$40,$BJ41-3)),IF(OR($BI41=1,$BL41=1,$BH41&gt;0),IF($BI41=1,SUM('Final Calculation Sheet'!$S$4:$S$40),IF($BL41=1,SUM('Final Calculation Sheet'!$S$4:$S$40)-SUMIFS('Final Calculation Sheet'!$S$4:$S$40,$AZ$5:$AZ$41,10),SUMIFS('Final Calculation Sheet'!$S$4:$S$40,$AZ$5:$AZ$41,$BH41))),""))</f>
        <v>141191</v>
      </c>
      <c r="U42" s="70">
        <f>IF($BJ41&gt;0,IF(INDEX('Final Calculation Sheet'!$T$4:$T$40,$BJ41-3)="","",INDEX('Final Calculation Sheet'!$T$4:$T$40,$BJ41-3)),IF(OR($BI41=1,$BL41=1,$BH41&gt;0),IF($BI41=1,SUM('Final Calculation Sheet'!$T$4:$T$40),IF($BL41=1,SUM('Final Calculation Sheet'!$T$4:$T$40)-SUMIFS('Final Calculation Sheet'!$T$4:$T$40,$AZ$5:$AZ$41,10),SUMIFS('Final Calculation Sheet'!$T$4:$T$40,$AZ$5:$AZ$41,$BH41))),""))</f>
        <v>30002</v>
      </c>
      <c r="V42" s="73">
        <f>IF($BJ41&gt;0,IF(INDEX('Final Calculation Sheet'!$U$4:$U$40,$BJ41-3)="","",INDEX('Final Calculation Sheet'!$U$4:$U$40,$BJ41-3)),IF(OR($BI41=1,$BL41=1,$BH41&gt;0),IF($BI41=1,SUM('Final Calculation Sheet'!$U$4:$U$40),IF($BL41=1,SUM('Final Calculation Sheet'!$U$4:$U$40)-SUMIFS('Final Calculation Sheet'!$U$4:$U$40,$AZ$5:$AZ$41,10),SUMIFS('Final Calculation Sheet'!$U$4:$U$40,$AZ$5:$AZ$41,$BH41))),""))</f>
        <v>30002</v>
      </c>
      <c r="W42" s="70" t="str">
        <f>IF($BJ41&gt;0,IF(INDEX('Final Calculation Sheet'!$V$4:$V$40,$BJ41-3)="","",INDEX('Final Calculation Sheet'!$V$4:$V$40,$BJ41-3)),IF(OR($BI41=1,$BL41=1,$BH41&gt;0),"–",""))</f>
        <v>14.08.2026</v>
      </c>
      <c r="X42" s="70">
        <f>IF($BJ41&gt;0,IF(INDEX('Final Calculation Sheet'!$W$4:$W$40,$BJ41-3)="","",INDEX('Final Calculation Sheet'!$W$4:$W$40,$BJ41-3)),IF(OR($BI41=1,$BL41=1,$BH41&gt;0),IF($BI41=1,SUM('Final Calculation Sheet'!$W$4:$W$40),IF($BL41=1,SUM('Final Calculation Sheet'!$W$4:$W$40)-SUMIFS('Final Calculation Sheet'!$W$4:$W$40,$AZ$5:$AZ$41,10),SUMIFS('Final Calculation Sheet'!$W$4:$W$40,$AZ$5:$AZ$41,$BH41))),""))</f>
        <v>111188</v>
      </c>
      <c r="Y42" s="70">
        <f>IF($BJ41&gt;0,IF(INDEX('Final Calculation Sheet'!$X$4:$X$40,$BJ41-3)="","",INDEX('Final Calculation Sheet'!$X$4:$X$40,$BJ41-3)),IF(OR($BI41=1,$BL41=1,$BH41&gt;0),IF($BI41=1,SUM('Final Calculation Sheet'!$X$4:$X$40),IF($BL41=1,SUM('Final Calculation Sheet'!$X$4:$X$40)-SUMIFS('Final Calculation Sheet'!$X$4:$X$40,$AZ$5:$AZ$41,10),SUMIFS('Final Calculation Sheet'!$X$4:$X$40,$AZ$5:$AZ$41,$BH41))),""))</f>
        <v>111189</v>
      </c>
      <c r="Z42" s="70" t="str">
        <f>IF($BJ41&gt;0,IF(INDEX('Final Calculation Sheet'!$Y$4:$Y$40,$BJ41-3)="","",INDEX('Final Calculation Sheet'!$Y$4:$Y$40,$BJ41-3)),IF(OR($BI41=1,$BL41=1,$BH41&gt;0),"–",""))</f>
        <v>01.09.2026</v>
      </c>
      <c r="AA42" s="70">
        <f>IF($BJ41&gt;0,IF(INDEX('Final Calculation Sheet'!$Z$4:$Z$40,$BJ41-3)="","",INDEX('Final Calculation Sheet'!$Z$4:$Z$40,$BJ41-3)),IF(OR($BI41=1,$BL41=1,$BH41&gt;0),IF($BI41=1,SUM('Final Calculation Sheet'!$Z$4:$Z$40),IF($BL41=1,SUM('Final Calculation Sheet'!$Z$4:$Z$40)-SUMIFS('Final Calculation Sheet'!$Z$4:$Z$40,$AZ$5:$AZ$41,10),SUMIFS('Final Calculation Sheet'!$Z$4:$Z$40,$AZ$5:$AZ$41,$BH41))),""))</f>
        <v>2832.2123999999999</v>
      </c>
      <c r="AB42" s="70">
        <f>IF($BJ41&gt;0,IF(INDEX('Final Calculation Sheet'!$AA$4:$AA$40,$BJ41-3)="","",INDEX('Final Calculation Sheet'!$AA$4:$AA$40,$BJ41-3)),IF(OR($BI41=1,$BL41=1,$BH41&gt;0),IF($BI41=1,SUM('Final Calculation Sheet'!$AA$4:$AA$40),IF($BL41=1,SUM('Final Calculation Sheet'!$AA$4:$AA$40)-SUMIFS('Final Calculation Sheet'!$AA$4:$AA$40,$AZ$5:$AZ$41,10),SUMIFS('Final Calculation Sheet'!$AA$4:$AA$40,$AZ$5:$AZ$41,$BH41))),""))</f>
        <v>2832</v>
      </c>
      <c r="AC42" s="70" t="str">
        <f>IF($BJ41&gt;0,IF(INDEX('Final Calculation Sheet'!$AB$4:$AB$40,$BJ41-3)="","",INDEX('Final Calculation Sheet'!$AB$4:$AB$40,$BJ41-3)),IF(OR($BI41=1,$BL41=1,$BH41&gt;0),"–",""))</f>
        <v>01.09.2026</v>
      </c>
      <c r="AD42" s="70">
        <f>IF($BJ41&gt;0,IF(INDEX('Final Calculation Sheet'!$AC$4:$AC$40,$BJ41-3)="","",INDEX('Final Calculation Sheet'!$AC$4:$AC$40,$BJ41-3)),IF(OR($BI41=1,$BL41=1,$BH41&gt;0),IF($BI41=1,SUM('Final Calculation Sheet'!$AC$4:$AC$40),IF($BL41=1,SUM('Final Calculation Sheet'!$AC$4:$AC$40)-SUMIFS('Final Calculation Sheet'!$AC$4:$AC$40,$AZ$5:$AZ$41,10),SUMIFS('Final Calculation Sheet'!$AC$4:$AC$40,$AZ$5:$AZ$41,$BH41))),""))</f>
        <v>144023</v>
      </c>
      <c r="AE42" s="70">
        <f>IF($BJ41&gt;0,IF(INDEX('Final Calculation Sheet'!$AD$4:$AD$40,$BJ41-3)="","",INDEX('Final Calculation Sheet'!$AD$4:$AD$40,$BJ41-3)),IF(OR($BI41=1,$BL41=1,$BH41&gt;0),IF($BI41=1,SUM('Final Calculation Sheet'!$AD$4:$AD$40),IF($BL41=1,SUM('Final Calculation Sheet'!$AD$4:$AD$40)-SUMIFS('Final Calculation Sheet'!$AD$4:$AD$40,$AZ$5:$AZ$41,10),SUMIFS('Final Calculation Sheet'!$AD$4:$AD$40,$AZ$5:$AZ$41,$BH41))),""))</f>
        <v>-2832</v>
      </c>
      <c r="AF42" s="70" t="str">
        <f>IF($BJ41&gt;0,IF(INDEX('Final Calculation Sheet'!$AE$4:$AE$40,$BJ41-3)="","",INDEX('Final Calculation Sheet'!$AE$4:$AE$40,$BJ41-3)),IF(OR($BI41=1,$BL41=1,$BH41&gt;0),"–",""))</f>
        <v/>
      </c>
      <c r="AG42" s="74" t="str">
        <f>IF($BJ41&gt;0,IF(INDEX('Final Calculation Sheet'!$AF$4:$AF$40,$BJ41-3)="","",INDEX('Final Calculation Sheet'!$AF$4:$AF$40,$BJ41-3)),IF(OR($BI41=1,$BL41=1,$BH41&gt;0),"–",""))</f>
        <v/>
      </c>
      <c r="AH42" s="70" t="str">
        <f>IF($BJ41&gt;0,IF(INDEX('Final Calculation Sheet'!$AG$4:$AG$40,$BJ41-3)="","",INDEX('Final Calculation Sheet'!$AG$4:$AG$40,$BJ41-3)),IF(OR($BI41=1,$BL41=1,$BH41&gt;0),"–",""))</f>
        <v/>
      </c>
      <c r="AI42" s="75" t="str">
        <f>IF($BJ41&gt;0,IF(INDEX('Final Calculation Sheet'!$AD$4:$AD$40,$BJ41-3)="","",IF(INDEX('Final Calculation Sheet'!$AD$4:$AD$40,$BJ41-3)&lt;=5,"SETTLED","OUTSTANDING")),IF(OR($BI41=1,$BL41=1,$BH41&gt;0),IF(IF($BI41=1,SUM('Final Calculation Sheet'!$AD$4:$AD$40),IF($BL41=1,SUM('Final Calculation Sheet'!$AD$4:$AD$40)-SUMIFS('Final Calculation Sheet'!$AD$4:$AD$40,$AZ$5:$AZ$41,10),SUMIFS('Final Calculation Sheet'!$AD$4:$AD$40,$AZ$5:$AZ$41,$BH41)))&lt;=5,"ALL SETTLED","OUTSTANDING"),""))</f>
        <v>SETTLED</v>
      </c>
      <c r="BH42">
        <f>IFERROR(MATCH(42,$BF$4:$BF$13,0),0)</f>
        <v>9</v>
      </c>
      <c r="BI42">
        <f>IF(42=$BG$5,1,0)</f>
        <v>0</v>
      </c>
      <c r="BJ42">
        <f>IF(OR($BH42&gt;0,$BI42=1,$BL42=1),0,IFERROR(INDEX($BC$5:$BC$41,MATCH(42,$BB$5:$BB$41,0)),0))</f>
        <v>0</v>
      </c>
      <c r="BK42">
        <f>IF($BJ42&gt;0,IF(INDEX($AZ$5:$AZ$41,MATCH(42,$BB$5:$BB$41,0))=10,1,0),IF($BH42=10,1,0))</f>
        <v>0</v>
      </c>
      <c r="BL42">
        <f>IF(42=$BG$4,1,0)</f>
        <v>0</v>
      </c>
    </row>
    <row r="43" ht="15" customHeight="1" s="137">
      <c r="A43" s="67" t="str">
        <f>IF($BJ42&gt;0,INDEX($BA$5:$BA$41,MATCH(42,$BB$5:$BB$41,0)),IF(OR($BI42=1,$BL42=1,$BH42&gt;0),"∑",""))</f>
        <v>∑</v>
      </c>
      <c r="B43" s="76" t="str">
        <f>IF($BJ42&gt;0,IF(INDEX('Final Calculation Sheet'!$F$4:$F$40,$BJ42-3)="","",INDEX('Final Calculation Sheet'!$F$4:$F$40,$BJ42-3)),"")</f>
        <v/>
      </c>
      <c r="C43" s="76" t="str">
        <f>IF($BJ42&gt;0,IF(INDEX('Final Calculation Sheet'!$G$4:$G$40,$BJ42-3)="","",INDEX('Final Calculation Sheet'!$G$4:$G$40,$BJ42-3)),IF(OR($BI42=1,$BL42=1,$BH42&gt;0),IF($BI42=1,37,IF($BL42=1,37-INDEX($BD$4:$BD$13,10),INDEX($BD$4:$BD$13,$BH42)))&amp;" lot(s)",""))</f>
        <v>37 lot(s)</v>
      </c>
      <c r="D43" s="80" t="str">
        <f>IF($BJ42&gt;0,IF(INDEX('Final Calculation Sheet'!$B$4:$B$40,$BJ42-3)="","",INDEX('Final Calculation Sheet'!$B$4:$B$40,$BJ42-3)),IF(OR($BI42=1,$BL42=1,$BH42&gt;0),IF($BI42=1,"GRAND TOTAL  —  matching + remaining",IF($BL42=1,"TOTAL MATCHED  —  every group together",IF($BH42=10,"REMAINING  —  did not match the search",IF($BH42=9,IF(COUNTIF($A$4:$AI$4,"&lt;&gt;")&gt;0,"FILTERED LOTS  —  column fields","ALL LOTS  —  nothing typed in the box"),"GROUP "&amp;$BH42&amp;" TOTAL  —  lots matching  "&amp;INDEX($AR$6:$AY$6,$BH42))))),""))</f>
        <v>ALL LOTS  —  nothing typed in the box</v>
      </c>
      <c r="E43" s="80" t="str">
        <f>IF($BJ42&gt;0,IF(INDEX('Final Calculation Sheet'!$D$4:$D$40,$BJ42-3)="","",INDEX('Final Calculation Sheet'!$D$4:$D$40,$BJ42-3)),IF(OR($BI42=1,$BL42=1,$BH42&gt;0),"–",""))</f>
        <v>–</v>
      </c>
      <c r="F43" s="80">
        <f>IF($BJ42&gt;0,IF(INDEX('Final Calculation Sheet'!$A$4:$A$40,$BJ42-3)="","",INDEX('Final Calculation Sheet'!$A$4:$A$40,$BJ42-3)),IF(OR($BI42=1,$BL42=1,$BH42&gt;0),IF($BI42=1,SUM('Final Calculation Sheet'!$A$4:$A$40),IF($BL42=1,SUM('Final Calculation Sheet'!$A$4:$A$40)-SUMIFS('Final Calculation Sheet'!$A$4:$A$40,$AZ$5:$AZ$41,10),SUMIFS('Final Calculation Sheet'!$A$4:$A$40,$AZ$5:$AZ$41,$BH42))),""))</f>
        <v>17157.2</v>
      </c>
      <c r="G43" s="80" t="str">
        <f>IF($BJ42&gt;0,IF(INDEX('Final Calculation Sheet'!$E$4:$E$40,$BJ42-3)="","",INDEX('Final Calculation Sheet'!$E$4:$E$40,$BJ42-3)),IF(OR($BI42=1,$BL42=1,$BH42&gt;0),"–",""))</f>
        <v>–</v>
      </c>
      <c r="H43" s="70" t="str">
        <f>IF($BJ42&gt;0,IF(INDEX('Final Calculation Sheet'!$C$4:$C$40,$BJ42-3)="","",INDEX('Final Calculation Sheet'!$C$4:$C$40,$BJ42-3)),IF(OR($BI42=1,$BL42=1,$BH42&gt;0),"–",""))</f>
        <v>–</v>
      </c>
      <c r="I43" s="70">
        <f>IF($BJ42&gt;0,IF(INDEX('Final Calculation Sheet'!$H$4:$H$40,$BJ42-3)="","",INDEX('Final Calculation Sheet'!$H$4:$H$40,$BJ42-3)),IF(OR($BI42=1,$BL42=1,$BH42&gt;0),IF($BI42=1,SUM('Final Calculation Sheet'!$H$4:$H$40),IF($BL42=1,SUM('Final Calculation Sheet'!$H$4:$H$40)-SUMIFS('Final Calculation Sheet'!$H$4:$H$40,$AZ$5:$AZ$41,10),SUMIFS('Final Calculation Sheet'!$H$4:$H$40,$AZ$5:$AZ$41,$BH42))),""))</f>
        <v>15130598</v>
      </c>
      <c r="J43" s="70">
        <f>IF($BJ42&gt;0,IF(INDEX('Final Calculation Sheet'!$I$4:$I$40,$BJ42-3)="","",INDEX('Final Calculation Sheet'!$I$4:$I$40,$BJ42-3)),IF(OR($BI42=1,$BL42=1,$BH42&gt;0),IF($BI42=1,SUM('Final Calculation Sheet'!$I$4:$I$40),IF($BL42=1,SUM('Final Calculation Sheet'!$I$4:$I$40)-SUMIFS('Final Calculation Sheet'!$I$4:$I$40,$AZ$5:$AZ$41,10),SUMIFS('Final Calculation Sheet'!$I$4:$I$40,$AZ$5:$AZ$41,$BH42))),""))</f>
        <v>2723508</v>
      </c>
      <c r="K43" s="70">
        <f>IF($BJ42&gt;0,IF(INDEX('Final Calculation Sheet'!$J$4:$J$40,$BJ42-3)="","",INDEX('Final Calculation Sheet'!$J$4:$J$40,$BJ42-3)),IF(OR($BI42=1,$BL42=1,$BH42&gt;0),IF($BI42=1,SUM('Final Calculation Sheet'!$J$4:$J$40),IF($BL42=1,SUM('Final Calculation Sheet'!$J$4:$J$40)-SUMIFS('Final Calculation Sheet'!$J$4:$J$40,$AZ$5:$AZ$41,10),SUMIFS('Final Calculation Sheet'!$J$4:$J$40,$AZ$5:$AZ$41,$BH42))),""))</f>
        <v>17854106</v>
      </c>
      <c r="L43" s="70">
        <f>IF($BJ42&gt;0,IF(INDEX('Final Calculation Sheet'!$K$4:$K$40,$BJ42-3)="","",INDEX('Final Calculation Sheet'!$K$4:$K$40,$BJ42-3)),IF(OR($BI42=1,$BL42=1,$BH42&gt;0),IF($BI42=1,SUM('Final Calculation Sheet'!$K$4:$K$40),IF($BL42=1,SUM('Final Calculation Sheet'!$K$4:$K$40)-SUMIFS('Final Calculation Sheet'!$K$4:$K$40,$AZ$5:$AZ$41,10),SUMIFS('Final Calculation Sheet'!$K$4:$K$40,$AZ$5:$AZ$41,$BH42))),""))</f>
        <v>357082</v>
      </c>
      <c r="M43" s="70">
        <f>IF($BJ42&gt;0,IF(INDEX('Final Calculation Sheet'!$L$4:$L$40,$BJ42-3)="","",INDEX('Final Calculation Sheet'!$L$4:$L$40,$BJ42-3)),IF(OR($BI42=1,$BL42=1,$BH42&gt;0),IF($BI42=1,SUM('Final Calculation Sheet'!$L$4:$L$40),IF($BL42=1,SUM('Final Calculation Sheet'!$L$4:$L$40)-SUMIFS('Final Calculation Sheet'!$L$4:$L$40,$AZ$5:$AZ$41,10),SUMIFS('Final Calculation Sheet'!$L$4:$L$40,$AZ$5:$AZ$41,$BH42))),""))</f>
        <v>15130.598000000002</v>
      </c>
      <c r="N43" s="70">
        <f>IF($BJ42&gt;0,IF(INDEX('Final Calculation Sheet'!$M$4:$M$40,$BJ42-3)="","",INDEX('Final Calculation Sheet'!$M$4:$M$40,$BJ42-3)),IF(OR($BI42=1,$BL42=1,$BH42&gt;0),IF($BI42=1,SUM('Final Calculation Sheet'!$M$4:$M$40),IF($BL42=1,SUM('Final Calculation Sheet'!$M$4:$M$40)-SUMIFS('Final Calculation Sheet'!$M$4:$M$40,$AZ$5:$AZ$41,10),SUMIFS('Final Calculation Sheet'!$M$4:$M$40,$AZ$5:$AZ$41,$BH42))),""))</f>
        <v>401717.37689999992</v>
      </c>
      <c r="O43" s="71">
        <f>IF($BJ42&gt;0,IF(INDEX('Final Calculation Sheet'!$N$4:$N$40,$BJ42-3)="","",INDEX('Final Calculation Sheet'!$N$4:$N$40,$BJ42-3)),IF(OR($BI42=1,$BL42=1,$BH42&gt;0),IF($BI42=1,SUM('Final Calculation Sheet'!$N$4:$N$40),IF($BL42=1,SUM('Final Calculation Sheet'!$N$4:$N$40)-SUMIFS('Final Calculation Sheet'!$N$4:$N$40,$AZ$5:$AZ$41,10),SUMIFS('Final Calculation Sheet'!$N$4:$N$40,$AZ$5:$AZ$41,$BH42))),""))</f>
        <v>6808.7690999999977</v>
      </c>
      <c r="P43" s="70">
        <f>IF($BJ42&gt;0,IF(INDEX('Final Calculation Sheet'!$O$4:$O$40,$BJ42-3)="","",INDEX('Final Calculation Sheet'!$O$4:$O$40,$BJ42-3)),IF(OR($BI42=1,$BL42=1,$BH42&gt;0),IF($BI42=1,SUM('Final Calculation Sheet'!$O$4:$O$40),IF($BL42=1,SUM('Final Calculation Sheet'!$O$4:$O$40)-SUMIFS('Final Calculation Sheet'!$O$4:$O$40,$AZ$5:$AZ$41,10),SUMIFS('Final Calculation Sheet'!$O$4:$O$40,$AZ$5:$AZ$41,$BH42))),""))</f>
        <v>394908.6078</v>
      </c>
      <c r="Q43" s="70">
        <f>IF($BJ42&gt;0,IF(INDEX('Final Calculation Sheet'!$P$4:$P$40,$BJ42-3)="","",INDEX('Final Calculation Sheet'!$P$4:$P$40,$BJ42-3)),IF(OR($BI42=1,$BL42=1,$BH42&gt;0),IF($BI42=1,SUM('Final Calculation Sheet'!$P$4:$P$40),IF($BL42=1,SUM('Final Calculation Sheet'!$P$4:$P$40)-SUMIFS('Final Calculation Sheet'!$P$4:$P$40,$AZ$5:$AZ$41,10),SUMIFS('Final Calculation Sheet'!$P$4:$P$40,$AZ$5:$AZ$41,$BH42))),""))</f>
        <v>410039</v>
      </c>
      <c r="R43" s="72" t="str">
        <f>IF($BJ42&gt;0,IF(INDEX('Final Calculation Sheet'!$Q$4:$Q$40,$BJ42-3)="","",INDEX('Final Calculation Sheet'!$Q$4:$Q$40,$BJ42-3)),IF(OR($BI42=1,$BL42=1,$BH42&gt;0),"–",""))</f>
        <v>–</v>
      </c>
      <c r="S43" s="70">
        <f>IF($BJ42&gt;0,IF(INDEX('Final Calculation Sheet'!$R$4:$R$40,$BJ42-3)="","",INDEX('Final Calculation Sheet'!$R$4:$R$40,$BJ42-3)),IF(OR($BI42=1,$BL42=1,$BH42&gt;0),IF($BI42=1,SUM('Final Calculation Sheet'!$R$4:$R$40),IF($BL42=1,SUM('Final Calculation Sheet'!$R$4:$R$40)-SUMIFS('Final Calculation Sheet'!$R$4:$R$40,$AZ$5:$AZ$41,10),SUMIFS('Final Calculation Sheet'!$R$4:$R$40,$AZ$5:$AZ$41,$BH42))),""))</f>
        <v>83029</v>
      </c>
      <c r="T43" s="70">
        <f>IF($BJ42&gt;0,IF(INDEX('Final Calculation Sheet'!$S$4:$S$40,$BJ42-3)="","",INDEX('Final Calculation Sheet'!$S$4:$S$40,$BJ42-3)),IF(OR($BI42=1,$BL42=1,$BH42&gt;0),IF($BI42=1,SUM('Final Calculation Sheet'!$S$4:$S$40),IF($BL42=1,SUM('Final Calculation Sheet'!$S$4:$S$40)-SUMIFS('Final Calculation Sheet'!$S$4:$S$40,$AZ$5:$AZ$41,10),SUMIFS('Final Calculation Sheet'!$S$4:$S$40,$AZ$5:$AZ$41,$BH42))),""))</f>
        <v>17718123</v>
      </c>
      <c r="U43" s="70">
        <f>IF($BJ42&gt;0,IF(INDEX('Final Calculation Sheet'!$T$4:$T$40,$BJ42-3)="","",INDEX('Final Calculation Sheet'!$T$4:$T$40,$BJ42-3)),IF(OR($BI42=1,$BL42=1,$BH42&gt;0),IF($BI42=1,SUM('Final Calculation Sheet'!$T$4:$T$40),IF($BL42=1,SUM('Final Calculation Sheet'!$T$4:$T$40)-SUMIFS('Final Calculation Sheet'!$T$4:$T$40,$AZ$5:$AZ$41,10),SUMIFS('Final Calculation Sheet'!$T$4:$T$40,$AZ$5:$AZ$41,$BH42))),""))</f>
        <v>3782654</v>
      </c>
      <c r="V43" s="73">
        <f>IF($BJ42&gt;0,IF(INDEX('Final Calculation Sheet'!$U$4:$U$40,$BJ42-3)="","",INDEX('Final Calculation Sheet'!$U$4:$U$40,$BJ42-3)),IF(OR($BI42=1,$BL42=1,$BH42&gt;0),IF($BI42=1,SUM('Final Calculation Sheet'!$U$4:$U$40),IF($BL42=1,SUM('Final Calculation Sheet'!$U$4:$U$40)-SUMIFS('Final Calculation Sheet'!$U$4:$U$40,$AZ$5:$AZ$41,10),SUMIFS('Final Calculation Sheet'!$U$4:$U$40,$AZ$5:$AZ$41,$BH42))),""))</f>
        <v>3782654</v>
      </c>
      <c r="W43" s="70" t="str">
        <f>IF($BJ42&gt;0,IF(INDEX('Final Calculation Sheet'!$V$4:$V$40,$BJ42-3)="","",INDEX('Final Calculation Sheet'!$V$4:$V$40,$BJ42-3)),IF(OR($BI42=1,$BL42=1,$BH42&gt;0),"–",""))</f>
        <v>–</v>
      </c>
      <c r="X43" s="70">
        <f>IF($BJ42&gt;0,IF(INDEX('Final Calculation Sheet'!$W$4:$W$40,$BJ42-3)="","",INDEX('Final Calculation Sheet'!$W$4:$W$40,$BJ42-3)),IF(OR($BI42=1,$BL42=1,$BH42&gt;0),IF($BI42=1,SUM('Final Calculation Sheet'!$W$4:$W$40),IF($BL42=1,SUM('Final Calculation Sheet'!$W$4:$W$40)-SUMIFS('Final Calculation Sheet'!$W$4:$W$40,$AZ$5:$AZ$41,10),SUMIFS('Final Calculation Sheet'!$W$4:$W$40,$AZ$5:$AZ$41,$BH42))),""))</f>
        <v>13935473</v>
      </c>
      <c r="Y43" s="70">
        <f>IF($BJ42&gt;0,IF(INDEX('Final Calculation Sheet'!$X$4:$X$40,$BJ42-3)="","",INDEX('Final Calculation Sheet'!$X$4:$X$40,$BJ42-3)),IF(OR($BI42=1,$BL42=1,$BH42&gt;0),IF($BI42=1,SUM('Final Calculation Sheet'!$X$4:$X$40),IF($BL42=1,SUM('Final Calculation Sheet'!$X$4:$X$40)-SUMIFS('Final Calculation Sheet'!$X$4:$X$40,$AZ$5:$AZ$41,10),SUMIFS('Final Calculation Sheet'!$X$4:$X$40,$AZ$5:$AZ$41,$BH42))),""))</f>
        <v>13137293</v>
      </c>
      <c r="Z43" s="70" t="str">
        <f>IF($BJ42&gt;0,IF(INDEX('Final Calculation Sheet'!$Y$4:$Y$40,$BJ42-3)="","",INDEX('Final Calculation Sheet'!$Y$4:$Y$40,$BJ42-3)),IF(OR($BI42=1,$BL42=1,$BH42&gt;0),"–",""))</f>
        <v>–</v>
      </c>
      <c r="AA43" s="70">
        <f>IF($BJ42&gt;0,IF(INDEX('Final Calculation Sheet'!$Z$4:$Z$40,$BJ42-3)="","",INDEX('Final Calculation Sheet'!$Z$4:$Z$40,$BJ42-3)),IF(OR($BI42=1,$BL42=1,$BH42&gt;0),IF($BI42=1,SUM('Final Calculation Sheet'!$Z$4:$Z$40),IF($BL42=1,SUM('Final Calculation Sheet'!$Z$4:$Z$40)-SUMIFS('Final Calculation Sheet'!$Z$4:$Z$40,$AZ$5:$AZ$41,10),SUMIFS('Final Calculation Sheet'!$Z$4:$Z$40,$AZ$5:$AZ$41,$BH42))),""))</f>
        <v>34459.067999999999</v>
      </c>
      <c r="AB43" s="70">
        <f>IF($BJ42&gt;0,IF(INDEX('Final Calculation Sheet'!$AA$4:$AA$40,$BJ42-3)="","",INDEX('Final Calculation Sheet'!$AA$4:$AA$40,$BJ42-3)),IF(OR($BI42=1,$BL42=1,$BH42&gt;0),IF($BI42=1,SUM('Final Calculation Sheet'!$AA$4:$AA$40),IF($BL42=1,SUM('Final Calculation Sheet'!$AA$4:$AA$40)-SUMIFS('Final Calculation Sheet'!$AA$4:$AA$40,$AZ$5:$AZ$41,10),SUMIFS('Final Calculation Sheet'!$AA$4:$AA$40,$AZ$5:$AZ$41,$BH42))),""))</f>
        <v>3540</v>
      </c>
      <c r="AC43" s="70" t="str">
        <f>IF($BJ42&gt;0,IF(INDEX('Final Calculation Sheet'!$AB$4:$AB$40,$BJ42-3)="","",INDEX('Final Calculation Sheet'!$AB$4:$AB$40,$BJ42-3)),IF(OR($BI42=1,$BL42=1,$BH42&gt;0),"–",""))</f>
        <v>–</v>
      </c>
      <c r="AD43" s="70">
        <f>IF($BJ42&gt;0,IF(INDEX('Final Calculation Sheet'!$AC$4:$AC$40,$BJ42-3)="","",INDEX('Final Calculation Sheet'!$AC$4:$AC$40,$BJ42-3)),IF(OR($BI42=1,$BL42=1,$BH42&gt;0),IF($BI42=1,SUM('Final Calculation Sheet'!$AC$4:$AC$40),IF($BL42=1,SUM('Final Calculation Sheet'!$AC$4:$AC$40)-SUMIFS('Final Calculation Sheet'!$AC$4:$AC$40,$AZ$5:$AZ$41,10),SUMIFS('Final Calculation Sheet'!$AC$4:$AC$40,$AZ$5:$AZ$41,$BH42))),""))</f>
        <v>16923487</v>
      </c>
      <c r="AE43" s="70">
        <f>IF($BJ42&gt;0,IF(INDEX('Final Calculation Sheet'!$AD$4:$AD$40,$BJ42-3)="","",INDEX('Final Calculation Sheet'!$AD$4:$AD$40,$BJ42-3)),IF(OR($BI42=1,$BL42=1,$BH42&gt;0),IF($BI42=1,SUM('Final Calculation Sheet'!$AD$4:$AD$40),IF($BL42=1,SUM('Final Calculation Sheet'!$AD$4:$AD$40)-SUMIFS('Final Calculation Sheet'!$AD$4:$AD$40,$AZ$5:$AZ$41,10),SUMIFS('Final Calculation Sheet'!$AD$4:$AD$40,$AZ$5:$AZ$41,$BH42))),""))</f>
        <v>794636.00000000047</v>
      </c>
      <c r="AF43" s="70" t="str">
        <f>IF($BJ42&gt;0,IF(INDEX('Final Calculation Sheet'!$AE$4:$AE$40,$BJ42-3)="","",INDEX('Final Calculation Sheet'!$AE$4:$AE$40,$BJ42-3)),IF(OR($BI42=1,$BL42=1,$BH42&gt;0),"–",""))</f>
        <v>–</v>
      </c>
      <c r="AG43" s="74" t="str">
        <f>IF($BJ42&gt;0,IF(INDEX('Final Calculation Sheet'!$AF$4:$AF$40,$BJ42-3)="","",INDEX('Final Calculation Sheet'!$AF$4:$AF$40,$BJ42-3)),IF(OR($BI42=1,$BL42=1,$BH42&gt;0),"–",""))</f>
        <v>–</v>
      </c>
      <c r="AH43" s="70" t="str">
        <f>IF($BJ42&gt;0,IF(INDEX('Final Calculation Sheet'!$AG$4:$AG$40,$BJ42-3)="","",INDEX('Final Calculation Sheet'!$AG$4:$AG$40,$BJ42-3)),IF(OR($BI42=1,$BL42=1,$BH42&gt;0),"–",""))</f>
        <v>–</v>
      </c>
      <c r="AI43" s="75" t="str">
        <f>IF($BJ42&gt;0,IF(INDEX('Final Calculation Sheet'!$AD$4:$AD$40,$BJ42-3)="","",IF(INDEX('Final Calculation Sheet'!$AD$4:$AD$40,$BJ42-3)&lt;=5,"SETTLED","OUTSTANDING")),IF(OR($BI42=1,$BL42=1,$BH42&gt;0),IF(IF($BI42=1,SUM('Final Calculation Sheet'!$AD$4:$AD$40),IF($BL42=1,SUM('Final Calculation Sheet'!$AD$4:$AD$40)-SUMIFS('Final Calculation Sheet'!$AD$4:$AD$40,$AZ$5:$AZ$41,10),SUMIFS('Final Calculation Sheet'!$AD$4:$AD$40,$AZ$5:$AZ$41,$BH42)))&lt;=5,"ALL SETTLED","OUTSTANDING"),""))</f>
        <v>OUTSTANDING</v>
      </c>
      <c r="BH43">
        <f>IFERROR(MATCH(43,$BF$4:$BF$13,0),0)</f>
        <v>0</v>
      </c>
      <c r="BI43">
        <f>IF(43=$BG$5,1,0)</f>
        <v>0</v>
      </c>
      <c r="BJ43">
        <f>IF(OR($BH43&gt;0,$BI43=1,$BL43=1),0,IFERROR(INDEX($BC$5:$BC$41,MATCH(43,$BB$5:$BB$41,0)),0))</f>
        <v>0</v>
      </c>
      <c r="BK43">
        <f>IF($BJ43&gt;0,IF(INDEX($AZ$5:$AZ$41,MATCH(43,$BB$5:$BB$41,0))=10,1,0),IF($BH43=10,1,0))</f>
        <v>0</v>
      </c>
      <c r="BL43">
        <f>IF(43=$BG$4,1,0)</f>
        <v>1</v>
      </c>
    </row>
    <row r="44" ht="15" customHeight="1" s="137">
      <c r="A44" s="67" t="str">
        <f>IF($BJ43&gt;0,INDEX($BA$5:$BA$41,MATCH(43,$BB$5:$BB$41,0)),IF(OR($BI43=1,$BL43=1,$BH43&gt;0),"∑",""))</f>
        <v>∑</v>
      </c>
      <c r="B44" s="76" t="str">
        <f>IF($BJ43&gt;0,IF(INDEX('Final Calculation Sheet'!$F$4:$F$40,$BJ43-3)="","",INDEX('Final Calculation Sheet'!$F$4:$F$40,$BJ43-3)),"")</f>
        <v/>
      </c>
      <c r="C44" s="76" t="str">
        <f>IF($BJ43&gt;0,IF(INDEX('Final Calculation Sheet'!$G$4:$G$40,$BJ43-3)="","",INDEX('Final Calculation Sheet'!$G$4:$G$40,$BJ43-3)),IF(OR($BI43=1,$BL43=1,$BH43&gt;0),IF($BI43=1,37,IF($BL43=1,37-INDEX($BD$4:$BD$13,10),INDEX($BD$4:$BD$13,$BH43)))&amp;" lot(s)",""))</f>
        <v>37 lot(s)</v>
      </c>
      <c r="D44" s="80" t="str">
        <f>IF($BJ43&gt;0,IF(INDEX('Final Calculation Sheet'!$B$4:$B$40,$BJ43-3)="","",INDEX('Final Calculation Sheet'!$B$4:$B$40,$BJ43-3)),IF(OR($BI43=1,$BL43=1,$BH43&gt;0),IF($BI43=1,"GRAND TOTAL  —  matching + remaining",IF($BL43=1,"TOTAL MATCHED  —  every group together",IF($BH43=10,"REMAINING  —  did not match the search",IF($BH43=9,IF(COUNTIF($A$4:$AI$4,"&lt;&gt;")&gt;0,"FILTERED LOTS  —  column fields","ALL LOTS  —  nothing typed in the box"),"GROUP "&amp;$BH43&amp;" TOTAL  —  lots matching  "&amp;INDEX($AR$6:$AY$6,$BH43))))),""))</f>
        <v>TOTAL MATCHED  —  every group together</v>
      </c>
      <c r="E44" s="80" t="str">
        <f>IF($BJ43&gt;0,IF(INDEX('Final Calculation Sheet'!$D$4:$D$40,$BJ43-3)="","",INDEX('Final Calculation Sheet'!$D$4:$D$40,$BJ43-3)),IF(OR($BI43=1,$BL43=1,$BH43&gt;0),"–",""))</f>
        <v>–</v>
      </c>
      <c r="F44" s="80">
        <f>IF($BJ43&gt;0,IF(INDEX('Final Calculation Sheet'!$A$4:$A$40,$BJ43-3)="","",INDEX('Final Calculation Sheet'!$A$4:$A$40,$BJ43-3)),IF(OR($BI43=1,$BL43=1,$BH43&gt;0),IF($BI43=1,SUM('Final Calculation Sheet'!$A$4:$A$40),IF($BL43=1,SUM('Final Calculation Sheet'!$A$4:$A$40)-SUMIFS('Final Calculation Sheet'!$A$4:$A$40,$AZ$5:$AZ$41,10),SUMIFS('Final Calculation Sheet'!$A$4:$A$40,$AZ$5:$AZ$41,$BH43))),""))</f>
        <v>17157.2</v>
      </c>
      <c r="G44" s="80" t="str">
        <f>IF($BJ43&gt;0,IF(INDEX('Final Calculation Sheet'!$E$4:$E$40,$BJ43-3)="","",INDEX('Final Calculation Sheet'!$E$4:$E$40,$BJ43-3)),IF(OR($BI43=1,$BL43=1,$BH43&gt;0),"–",""))</f>
        <v>–</v>
      </c>
      <c r="H44" s="70" t="str">
        <f>IF($BJ43&gt;0,IF(INDEX('Final Calculation Sheet'!$C$4:$C$40,$BJ43-3)="","",INDEX('Final Calculation Sheet'!$C$4:$C$40,$BJ43-3)),IF(OR($BI43=1,$BL43=1,$BH43&gt;0),"–",""))</f>
        <v>–</v>
      </c>
      <c r="I44" s="70">
        <f>IF($BJ43&gt;0,IF(INDEX('Final Calculation Sheet'!$H$4:$H$40,$BJ43-3)="","",INDEX('Final Calculation Sheet'!$H$4:$H$40,$BJ43-3)),IF(OR($BI43=1,$BL43=1,$BH43&gt;0),IF($BI43=1,SUM('Final Calculation Sheet'!$H$4:$H$40),IF($BL43=1,SUM('Final Calculation Sheet'!$H$4:$H$40)-SUMIFS('Final Calculation Sheet'!$H$4:$H$40,$AZ$5:$AZ$41,10),SUMIFS('Final Calculation Sheet'!$H$4:$H$40,$AZ$5:$AZ$41,$BH43))),""))</f>
        <v>15130598</v>
      </c>
      <c r="J44" s="70">
        <f>IF($BJ43&gt;0,IF(INDEX('Final Calculation Sheet'!$I$4:$I$40,$BJ43-3)="","",INDEX('Final Calculation Sheet'!$I$4:$I$40,$BJ43-3)),IF(OR($BI43=1,$BL43=1,$BH43&gt;0),IF($BI43=1,SUM('Final Calculation Sheet'!$I$4:$I$40),IF($BL43=1,SUM('Final Calculation Sheet'!$I$4:$I$40)-SUMIFS('Final Calculation Sheet'!$I$4:$I$40,$AZ$5:$AZ$41,10),SUMIFS('Final Calculation Sheet'!$I$4:$I$40,$AZ$5:$AZ$41,$BH43))),""))</f>
        <v>2723508</v>
      </c>
      <c r="K44" s="70">
        <f>IF($BJ43&gt;0,IF(INDEX('Final Calculation Sheet'!$J$4:$J$40,$BJ43-3)="","",INDEX('Final Calculation Sheet'!$J$4:$J$40,$BJ43-3)),IF(OR($BI43=1,$BL43=1,$BH43&gt;0),IF($BI43=1,SUM('Final Calculation Sheet'!$J$4:$J$40),IF($BL43=1,SUM('Final Calculation Sheet'!$J$4:$J$40)-SUMIFS('Final Calculation Sheet'!$J$4:$J$40,$AZ$5:$AZ$41,10),SUMIFS('Final Calculation Sheet'!$J$4:$J$40,$AZ$5:$AZ$41,$BH43))),""))</f>
        <v>17854106</v>
      </c>
      <c r="L44" s="70">
        <f>IF($BJ43&gt;0,IF(INDEX('Final Calculation Sheet'!$K$4:$K$40,$BJ43-3)="","",INDEX('Final Calculation Sheet'!$K$4:$K$40,$BJ43-3)),IF(OR($BI43=1,$BL43=1,$BH43&gt;0),IF($BI43=1,SUM('Final Calculation Sheet'!$K$4:$K$40),IF($BL43=1,SUM('Final Calculation Sheet'!$K$4:$K$40)-SUMIFS('Final Calculation Sheet'!$K$4:$K$40,$AZ$5:$AZ$41,10),SUMIFS('Final Calculation Sheet'!$K$4:$K$40,$AZ$5:$AZ$41,$BH43))),""))</f>
        <v>357082</v>
      </c>
      <c r="M44" s="70">
        <f>IF($BJ43&gt;0,IF(INDEX('Final Calculation Sheet'!$L$4:$L$40,$BJ43-3)="","",INDEX('Final Calculation Sheet'!$L$4:$L$40,$BJ43-3)),IF(OR($BI43=1,$BL43=1,$BH43&gt;0),IF($BI43=1,SUM('Final Calculation Sheet'!$L$4:$L$40),IF($BL43=1,SUM('Final Calculation Sheet'!$L$4:$L$40)-SUMIFS('Final Calculation Sheet'!$L$4:$L$40,$AZ$5:$AZ$41,10),SUMIFS('Final Calculation Sheet'!$L$4:$L$40,$AZ$5:$AZ$41,$BH43))),""))</f>
        <v>15130.598000000002</v>
      </c>
      <c r="N44" s="70">
        <f>IF($BJ43&gt;0,IF(INDEX('Final Calculation Sheet'!$M$4:$M$40,$BJ43-3)="","",INDEX('Final Calculation Sheet'!$M$4:$M$40,$BJ43-3)),IF(OR($BI43=1,$BL43=1,$BH43&gt;0),IF($BI43=1,SUM('Final Calculation Sheet'!$M$4:$M$40),IF($BL43=1,SUM('Final Calculation Sheet'!$M$4:$M$40)-SUMIFS('Final Calculation Sheet'!$M$4:$M$40,$AZ$5:$AZ$41,10),SUMIFS('Final Calculation Sheet'!$M$4:$M$40,$AZ$5:$AZ$41,$BH43))),""))</f>
        <v>401717.37689999992</v>
      </c>
      <c r="O44" s="71">
        <f>IF($BJ43&gt;0,IF(INDEX('Final Calculation Sheet'!$N$4:$N$40,$BJ43-3)="","",INDEX('Final Calculation Sheet'!$N$4:$N$40,$BJ43-3)),IF(OR($BI43=1,$BL43=1,$BH43&gt;0),IF($BI43=1,SUM('Final Calculation Sheet'!$N$4:$N$40),IF($BL43=1,SUM('Final Calculation Sheet'!$N$4:$N$40)-SUMIFS('Final Calculation Sheet'!$N$4:$N$40,$AZ$5:$AZ$41,10),SUMIFS('Final Calculation Sheet'!$N$4:$N$40,$AZ$5:$AZ$41,$BH43))),""))</f>
        <v>6808.7690999999977</v>
      </c>
      <c r="P44" s="70">
        <f>IF($BJ43&gt;0,IF(INDEX('Final Calculation Sheet'!$O$4:$O$40,$BJ43-3)="","",INDEX('Final Calculation Sheet'!$O$4:$O$40,$BJ43-3)),IF(OR($BI43=1,$BL43=1,$BH43&gt;0),IF($BI43=1,SUM('Final Calculation Sheet'!$O$4:$O$40),IF($BL43=1,SUM('Final Calculation Sheet'!$O$4:$O$40)-SUMIFS('Final Calculation Sheet'!$O$4:$O$40,$AZ$5:$AZ$41,10),SUMIFS('Final Calculation Sheet'!$O$4:$O$40,$AZ$5:$AZ$41,$BH43))),""))</f>
        <v>394908.6078</v>
      </c>
      <c r="Q44" s="70">
        <f>IF($BJ43&gt;0,IF(INDEX('Final Calculation Sheet'!$P$4:$P$40,$BJ43-3)="","",INDEX('Final Calculation Sheet'!$P$4:$P$40,$BJ43-3)),IF(OR($BI43=1,$BL43=1,$BH43&gt;0),IF($BI43=1,SUM('Final Calculation Sheet'!$P$4:$P$40),IF($BL43=1,SUM('Final Calculation Sheet'!$P$4:$P$40)-SUMIFS('Final Calculation Sheet'!$P$4:$P$40,$AZ$5:$AZ$41,10),SUMIFS('Final Calculation Sheet'!$P$4:$P$40,$AZ$5:$AZ$41,$BH43))),""))</f>
        <v>410039</v>
      </c>
      <c r="R44" s="72" t="str">
        <f>IF($BJ43&gt;0,IF(INDEX('Final Calculation Sheet'!$Q$4:$Q$40,$BJ43-3)="","",INDEX('Final Calculation Sheet'!$Q$4:$Q$40,$BJ43-3)),IF(OR($BI43=1,$BL43=1,$BH43&gt;0),"–",""))</f>
        <v>–</v>
      </c>
      <c r="S44" s="70">
        <f>IF($BJ43&gt;0,IF(INDEX('Final Calculation Sheet'!$R$4:$R$40,$BJ43-3)="","",INDEX('Final Calculation Sheet'!$R$4:$R$40,$BJ43-3)),IF(OR($BI43=1,$BL43=1,$BH43&gt;0),IF($BI43=1,SUM('Final Calculation Sheet'!$R$4:$R$40),IF($BL43=1,SUM('Final Calculation Sheet'!$R$4:$R$40)-SUMIFS('Final Calculation Sheet'!$R$4:$R$40,$AZ$5:$AZ$41,10),SUMIFS('Final Calculation Sheet'!$R$4:$R$40,$AZ$5:$AZ$41,$BH43))),""))</f>
        <v>83029</v>
      </c>
      <c r="T44" s="70">
        <f>IF($BJ43&gt;0,IF(INDEX('Final Calculation Sheet'!$S$4:$S$40,$BJ43-3)="","",INDEX('Final Calculation Sheet'!$S$4:$S$40,$BJ43-3)),IF(OR($BI43=1,$BL43=1,$BH43&gt;0),IF($BI43=1,SUM('Final Calculation Sheet'!$S$4:$S$40),IF($BL43=1,SUM('Final Calculation Sheet'!$S$4:$S$40)-SUMIFS('Final Calculation Sheet'!$S$4:$S$40,$AZ$5:$AZ$41,10),SUMIFS('Final Calculation Sheet'!$S$4:$S$40,$AZ$5:$AZ$41,$BH43))),""))</f>
        <v>17718123</v>
      </c>
      <c r="U44" s="70">
        <f>IF($BJ43&gt;0,IF(INDEX('Final Calculation Sheet'!$T$4:$T$40,$BJ43-3)="","",INDEX('Final Calculation Sheet'!$T$4:$T$40,$BJ43-3)),IF(OR($BI43=1,$BL43=1,$BH43&gt;0),IF($BI43=1,SUM('Final Calculation Sheet'!$T$4:$T$40),IF($BL43=1,SUM('Final Calculation Sheet'!$T$4:$T$40)-SUMIFS('Final Calculation Sheet'!$T$4:$T$40,$AZ$5:$AZ$41,10),SUMIFS('Final Calculation Sheet'!$T$4:$T$40,$AZ$5:$AZ$41,$BH43))),""))</f>
        <v>3782654</v>
      </c>
      <c r="V44" s="73">
        <f>IF($BJ43&gt;0,IF(INDEX('Final Calculation Sheet'!$U$4:$U$40,$BJ43-3)="","",INDEX('Final Calculation Sheet'!$U$4:$U$40,$BJ43-3)),IF(OR($BI43=1,$BL43=1,$BH43&gt;0),IF($BI43=1,SUM('Final Calculation Sheet'!$U$4:$U$40),IF($BL43=1,SUM('Final Calculation Sheet'!$U$4:$U$40)-SUMIFS('Final Calculation Sheet'!$U$4:$U$40,$AZ$5:$AZ$41,10),SUMIFS('Final Calculation Sheet'!$U$4:$U$40,$AZ$5:$AZ$41,$BH43))),""))</f>
        <v>3782654</v>
      </c>
      <c r="W44" s="70" t="str">
        <f>IF($BJ43&gt;0,IF(INDEX('Final Calculation Sheet'!$V$4:$V$40,$BJ43-3)="","",INDEX('Final Calculation Sheet'!$V$4:$V$40,$BJ43-3)),IF(OR($BI43=1,$BL43=1,$BH43&gt;0),"–",""))</f>
        <v>–</v>
      </c>
      <c r="X44" s="70">
        <f>IF($BJ43&gt;0,IF(INDEX('Final Calculation Sheet'!$W$4:$W$40,$BJ43-3)="","",INDEX('Final Calculation Sheet'!$W$4:$W$40,$BJ43-3)),IF(OR($BI43=1,$BL43=1,$BH43&gt;0),IF($BI43=1,SUM('Final Calculation Sheet'!$W$4:$W$40),IF($BL43=1,SUM('Final Calculation Sheet'!$W$4:$W$40)-SUMIFS('Final Calculation Sheet'!$W$4:$W$40,$AZ$5:$AZ$41,10),SUMIFS('Final Calculation Sheet'!$W$4:$W$40,$AZ$5:$AZ$41,$BH43))),""))</f>
        <v>13935473</v>
      </c>
      <c r="Y44" s="70">
        <f>IF($BJ43&gt;0,IF(INDEX('Final Calculation Sheet'!$X$4:$X$40,$BJ43-3)="","",INDEX('Final Calculation Sheet'!$X$4:$X$40,$BJ43-3)),IF(OR($BI43=1,$BL43=1,$BH43&gt;0),IF($BI43=1,SUM('Final Calculation Sheet'!$X$4:$X$40),IF($BL43=1,SUM('Final Calculation Sheet'!$X$4:$X$40)-SUMIFS('Final Calculation Sheet'!$X$4:$X$40,$AZ$5:$AZ$41,10),SUMIFS('Final Calculation Sheet'!$X$4:$X$40,$AZ$5:$AZ$41,$BH43))),""))</f>
        <v>13137293</v>
      </c>
      <c r="Z44" s="70" t="str">
        <f>IF($BJ43&gt;0,IF(INDEX('Final Calculation Sheet'!$Y$4:$Y$40,$BJ43-3)="","",INDEX('Final Calculation Sheet'!$Y$4:$Y$40,$BJ43-3)),IF(OR($BI43=1,$BL43=1,$BH43&gt;0),"–",""))</f>
        <v>–</v>
      </c>
      <c r="AA44" s="70">
        <f>IF($BJ43&gt;0,IF(INDEX('Final Calculation Sheet'!$Z$4:$Z$40,$BJ43-3)="","",INDEX('Final Calculation Sheet'!$Z$4:$Z$40,$BJ43-3)),IF(OR($BI43=1,$BL43=1,$BH43&gt;0),IF($BI43=1,SUM('Final Calculation Sheet'!$Z$4:$Z$40),IF($BL43=1,SUM('Final Calculation Sheet'!$Z$4:$Z$40)-SUMIFS('Final Calculation Sheet'!$Z$4:$Z$40,$AZ$5:$AZ$41,10),SUMIFS('Final Calculation Sheet'!$Z$4:$Z$40,$AZ$5:$AZ$41,$BH43))),""))</f>
        <v>34459.067999999999</v>
      </c>
      <c r="AB44" s="70">
        <f>IF($BJ43&gt;0,IF(INDEX('Final Calculation Sheet'!$AA$4:$AA$40,$BJ43-3)="","",INDEX('Final Calculation Sheet'!$AA$4:$AA$40,$BJ43-3)),IF(OR($BI43=1,$BL43=1,$BH43&gt;0),IF($BI43=1,SUM('Final Calculation Sheet'!$AA$4:$AA$40),IF($BL43=1,SUM('Final Calculation Sheet'!$AA$4:$AA$40)-SUMIFS('Final Calculation Sheet'!$AA$4:$AA$40,$AZ$5:$AZ$41,10),SUMIFS('Final Calculation Sheet'!$AA$4:$AA$40,$AZ$5:$AZ$41,$BH43))),""))</f>
        <v>3540</v>
      </c>
      <c r="AC44" s="70" t="str">
        <f>IF($BJ43&gt;0,IF(INDEX('Final Calculation Sheet'!$AB$4:$AB$40,$BJ43-3)="","",INDEX('Final Calculation Sheet'!$AB$4:$AB$40,$BJ43-3)),IF(OR($BI43=1,$BL43=1,$BH43&gt;0),"–",""))</f>
        <v>–</v>
      </c>
      <c r="AD44" s="70">
        <f>IF($BJ43&gt;0,IF(INDEX('Final Calculation Sheet'!$AC$4:$AC$40,$BJ43-3)="","",INDEX('Final Calculation Sheet'!$AC$4:$AC$40,$BJ43-3)),IF(OR($BI43=1,$BL43=1,$BH43&gt;0),IF($BI43=1,SUM('Final Calculation Sheet'!$AC$4:$AC$40),IF($BL43=1,SUM('Final Calculation Sheet'!$AC$4:$AC$40)-SUMIFS('Final Calculation Sheet'!$AC$4:$AC$40,$AZ$5:$AZ$41,10),SUMIFS('Final Calculation Sheet'!$AC$4:$AC$40,$AZ$5:$AZ$41,$BH43))),""))</f>
        <v>16923487</v>
      </c>
      <c r="AE44" s="70">
        <f>IF($BJ43&gt;0,IF(INDEX('Final Calculation Sheet'!$AD$4:$AD$40,$BJ43-3)="","",INDEX('Final Calculation Sheet'!$AD$4:$AD$40,$BJ43-3)),IF(OR($BI43=1,$BL43=1,$BH43&gt;0),IF($BI43=1,SUM('Final Calculation Sheet'!$AD$4:$AD$40),IF($BL43=1,SUM('Final Calculation Sheet'!$AD$4:$AD$40)-SUMIFS('Final Calculation Sheet'!$AD$4:$AD$40,$AZ$5:$AZ$41,10),SUMIFS('Final Calculation Sheet'!$AD$4:$AD$40,$AZ$5:$AZ$41,$BH43))),""))</f>
        <v>794636.00000000047</v>
      </c>
      <c r="AF44" s="70" t="str">
        <f>IF($BJ43&gt;0,IF(INDEX('Final Calculation Sheet'!$AE$4:$AE$40,$BJ43-3)="","",INDEX('Final Calculation Sheet'!$AE$4:$AE$40,$BJ43-3)),IF(OR($BI43=1,$BL43=1,$BH43&gt;0),"–",""))</f>
        <v>–</v>
      </c>
      <c r="AG44" s="74" t="str">
        <f>IF($BJ43&gt;0,IF(INDEX('Final Calculation Sheet'!$AF$4:$AF$40,$BJ43-3)="","",INDEX('Final Calculation Sheet'!$AF$4:$AF$40,$BJ43-3)),IF(OR($BI43=1,$BL43=1,$BH43&gt;0),"–",""))</f>
        <v>–</v>
      </c>
      <c r="AH44" s="70" t="str">
        <f>IF($BJ43&gt;0,IF(INDEX('Final Calculation Sheet'!$AG$4:$AG$40,$BJ43-3)="","",INDEX('Final Calculation Sheet'!$AG$4:$AG$40,$BJ43-3)),IF(OR($BI43=1,$BL43=1,$BH43&gt;0),"–",""))</f>
        <v>–</v>
      </c>
      <c r="AI44" s="75" t="str">
        <f>IF($BJ43&gt;0,IF(INDEX('Final Calculation Sheet'!$AD$4:$AD$40,$BJ43-3)="","",IF(INDEX('Final Calculation Sheet'!$AD$4:$AD$40,$BJ43-3)&lt;=5,"SETTLED","OUTSTANDING")),IF(OR($BI43=1,$BL43=1,$BH43&gt;0),IF(IF($BI43=1,SUM('Final Calculation Sheet'!$AD$4:$AD$40),IF($BL43=1,SUM('Final Calculation Sheet'!$AD$4:$AD$40)-SUMIFS('Final Calculation Sheet'!$AD$4:$AD$40,$AZ$5:$AZ$41,10),SUMIFS('Final Calculation Sheet'!$AD$4:$AD$40,$AZ$5:$AZ$41,$BH43)))&lt;=5,"ALL SETTLED","OUTSTANDING"),""))</f>
        <v>OUTSTANDING</v>
      </c>
      <c r="BH44">
        <f>IFERROR(MATCH(44,$BF$4:$BF$13,0),0)</f>
        <v>0</v>
      </c>
      <c r="BI44">
        <f>IF(44=$BG$5,1,0)</f>
        <v>1</v>
      </c>
      <c r="BJ44">
        <f>IF(OR($BH44&gt;0,$BI44=1,$BL44=1),0,IFERROR(INDEX($BC$5:$BC$41,MATCH(44,$BB$5:$BB$41,0)),0))</f>
        <v>0</v>
      </c>
      <c r="BK44">
        <f>IF($BJ44&gt;0,IF(INDEX($AZ$5:$AZ$41,MATCH(44,$BB$5:$BB$41,0))=10,1,0),IF($BH44=10,1,0))</f>
        <v>0</v>
      </c>
      <c r="BL44">
        <f>IF(44=$BG$4,1,0)</f>
        <v>0</v>
      </c>
    </row>
    <row r="45" ht="15" customHeight="1" s="137">
      <c r="A45" s="67" t="str">
        <f>IF($BJ44&gt;0,INDEX($BA$5:$BA$41,MATCH(44,$BB$5:$BB$41,0)),IF(OR($BI44=1,$BL44=1,$BH44&gt;0),"∑",""))</f>
        <v>∑</v>
      </c>
      <c r="B45" s="76" t="str">
        <f>IF($BJ44&gt;0,IF(INDEX('Final Calculation Sheet'!$F$4:$F$40,$BJ44-3)="","",INDEX('Final Calculation Sheet'!$F$4:$F$40,$BJ44-3)),"")</f>
        <v/>
      </c>
      <c r="C45" s="76" t="str">
        <f>IF($BJ44&gt;0,IF(INDEX('Final Calculation Sheet'!$G$4:$G$40,$BJ44-3)="","",INDEX('Final Calculation Sheet'!$G$4:$G$40,$BJ44-3)),IF(OR($BI44=1,$BL44=1,$BH44&gt;0),IF($BI44=1,37,IF($BL44=1,37-INDEX($BD$4:$BD$13,10),INDEX($BD$4:$BD$13,$BH44)))&amp;" lot(s)",""))</f>
        <v>37 lot(s)</v>
      </c>
      <c r="D45" s="80" t="str">
        <f>IF($BJ44&gt;0,IF(INDEX('Final Calculation Sheet'!$B$4:$B$40,$BJ44-3)="","",INDEX('Final Calculation Sheet'!$B$4:$B$40,$BJ44-3)),IF(OR($BI44=1,$BL44=1,$BH44&gt;0),IF($BI44=1,"GRAND TOTAL  —  matching + remaining",IF($BL44=1,"TOTAL MATCHED  —  every group together",IF($BH44=10,"REMAINING  —  did not match the search",IF($BH44=9,IF(COUNTIF($A$4:$AI$4,"&lt;&gt;")&gt;0,"FILTERED LOTS  —  column fields","ALL LOTS  —  nothing typed in the box"),"GROUP "&amp;$BH44&amp;" TOTAL  —  lots matching  "&amp;INDEX($AR$6:$AY$6,$BH44))))),""))</f>
        <v>GRAND TOTAL  —  matching + remaining</v>
      </c>
      <c r="E45" s="80" t="str">
        <f>IF($BJ44&gt;0,IF(INDEX('Final Calculation Sheet'!$D$4:$D$40,$BJ44-3)="","",INDEX('Final Calculation Sheet'!$D$4:$D$40,$BJ44-3)),IF(OR($BI44=1,$BL44=1,$BH44&gt;0),"–",""))</f>
        <v>–</v>
      </c>
      <c r="F45" s="80">
        <f>IF($BJ44&gt;0,IF(INDEX('Final Calculation Sheet'!$A$4:$A$40,$BJ44-3)="","",INDEX('Final Calculation Sheet'!$A$4:$A$40,$BJ44-3)),IF(OR($BI44=1,$BL44=1,$BH44&gt;0),IF($BI44=1,SUM('Final Calculation Sheet'!$A$4:$A$40),IF($BL44=1,SUM('Final Calculation Sheet'!$A$4:$A$40)-SUMIFS('Final Calculation Sheet'!$A$4:$A$40,$AZ$5:$AZ$41,10),SUMIFS('Final Calculation Sheet'!$A$4:$A$40,$AZ$5:$AZ$41,$BH44))),""))</f>
        <v>17157.2</v>
      </c>
      <c r="G45" s="80" t="str">
        <f>IF($BJ44&gt;0,IF(INDEX('Final Calculation Sheet'!$E$4:$E$40,$BJ44-3)="","",INDEX('Final Calculation Sheet'!$E$4:$E$40,$BJ44-3)),IF(OR($BI44=1,$BL44=1,$BH44&gt;0),"–",""))</f>
        <v>–</v>
      </c>
      <c r="H45" s="70" t="str">
        <f>IF($BJ44&gt;0,IF(INDEX('Final Calculation Sheet'!$C$4:$C$40,$BJ44-3)="","",INDEX('Final Calculation Sheet'!$C$4:$C$40,$BJ44-3)),IF(OR($BI44=1,$BL44=1,$BH44&gt;0),"–",""))</f>
        <v>–</v>
      </c>
      <c r="I45" s="70">
        <f>IF($BJ44&gt;0,IF(INDEX('Final Calculation Sheet'!$H$4:$H$40,$BJ44-3)="","",INDEX('Final Calculation Sheet'!$H$4:$H$40,$BJ44-3)),IF(OR($BI44=1,$BL44=1,$BH44&gt;0),IF($BI44=1,SUM('Final Calculation Sheet'!$H$4:$H$40),IF($BL44=1,SUM('Final Calculation Sheet'!$H$4:$H$40)-SUMIFS('Final Calculation Sheet'!$H$4:$H$40,$AZ$5:$AZ$41,10),SUMIFS('Final Calculation Sheet'!$H$4:$H$40,$AZ$5:$AZ$41,$BH44))),""))</f>
        <v>15130598</v>
      </c>
      <c r="J45" s="70">
        <f>IF($BJ44&gt;0,IF(INDEX('Final Calculation Sheet'!$I$4:$I$40,$BJ44-3)="","",INDEX('Final Calculation Sheet'!$I$4:$I$40,$BJ44-3)),IF(OR($BI44=1,$BL44=1,$BH44&gt;0),IF($BI44=1,SUM('Final Calculation Sheet'!$I$4:$I$40),IF($BL44=1,SUM('Final Calculation Sheet'!$I$4:$I$40)-SUMIFS('Final Calculation Sheet'!$I$4:$I$40,$AZ$5:$AZ$41,10),SUMIFS('Final Calculation Sheet'!$I$4:$I$40,$AZ$5:$AZ$41,$BH44))),""))</f>
        <v>2723508</v>
      </c>
      <c r="K45" s="70">
        <f>IF($BJ44&gt;0,IF(INDEX('Final Calculation Sheet'!$J$4:$J$40,$BJ44-3)="","",INDEX('Final Calculation Sheet'!$J$4:$J$40,$BJ44-3)),IF(OR($BI44=1,$BL44=1,$BH44&gt;0),IF($BI44=1,SUM('Final Calculation Sheet'!$J$4:$J$40),IF($BL44=1,SUM('Final Calculation Sheet'!$J$4:$J$40)-SUMIFS('Final Calculation Sheet'!$J$4:$J$40,$AZ$5:$AZ$41,10),SUMIFS('Final Calculation Sheet'!$J$4:$J$40,$AZ$5:$AZ$41,$BH44))),""))</f>
        <v>17854106</v>
      </c>
      <c r="L45" s="70">
        <f>IF($BJ44&gt;0,IF(INDEX('Final Calculation Sheet'!$K$4:$K$40,$BJ44-3)="","",INDEX('Final Calculation Sheet'!$K$4:$K$40,$BJ44-3)),IF(OR($BI44=1,$BL44=1,$BH44&gt;0),IF($BI44=1,SUM('Final Calculation Sheet'!$K$4:$K$40),IF($BL44=1,SUM('Final Calculation Sheet'!$K$4:$K$40)-SUMIFS('Final Calculation Sheet'!$K$4:$K$40,$AZ$5:$AZ$41,10),SUMIFS('Final Calculation Sheet'!$K$4:$K$40,$AZ$5:$AZ$41,$BH44))),""))</f>
        <v>357082</v>
      </c>
      <c r="M45" s="70">
        <f>IF($BJ44&gt;0,IF(INDEX('Final Calculation Sheet'!$L$4:$L$40,$BJ44-3)="","",INDEX('Final Calculation Sheet'!$L$4:$L$40,$BJ44-3)),IF(OR($BI44=1,$BL44=1,$BH44&gt;0),IF($BI44=1,SUM('Final Calculation Sheet'!$L$4:$L$40),IF($BL44=1,SUM('Final Calculation Sheet'!$L$4:$L$40)-SUMIFS('Final Calculation Sheet'!$L$4:$L$40,$AZ$5:$AZ$41,10),SUMIFS('Final Calculation Sheet'!$L$4:$L$40,$AZ$5:$AZ$41,$BH44))),""))</f>
        <v>15130.598000000002</v>
      </c>
      <c r="N45" s="70">
        <f>IF($BJ44&gt;0,IF(INDEX('Final Calculation Sheet'!$M$4:$M$40,$BJ44-3)="","",INDEX('Final Calculation Sheet'!$M$4:$M$40,$BJ44-3)),IF(OR($BI44=1,$BL44=1,$BH44&gt;0),IF($BI44=1,SUM('Final Calculation Sheet'!$M$4:$M$40),IF($BL44=1,SUM('Final Calculation Sheet'!$M$4:$M$40)-SUMIFS('Final Calculation Sheet'!$M$4:$M$40,$AZ$5:$AZ$41,10),SUMIFS('Final Calculation Sheet'!$M$4:$M$40,$AZ$5:$AZ$41,$BH44))),""))</f>
        <v>401717.37689999992</v>
      </c>
      <c r="O45" s="71">
        <f>IF($BJ44&gt;0,IF(INDEX('Final Calculation Sheet'!$N$4:$N$40,$BJ44-3)="","",INDEX('Final Calculation Sheet'!$N$4:$N$40,$BJ44-3)),IF(OR($BI44=1,$BL44=1,$BH44&gt;0),IF($BI44=1,SUM('Final Calculation Sheet'!$N$4:$N$40),IF($BL44=1,SUM('Final Calculation Sheet'!$N$4:$N$40)-SUMIFS('Final Calculation Sheet'!$N$4:$N$40,$AZ$5:$AZ$41,10),SUMIFS('Final Calculation Sheet'!$N$4:$N$40,$AZ$5:$AZ$41,$BH44))),""))</f>
        <v>6808.7690999999977</v>
      </c>
      <c r="P45" s="70">
        <f>IF($BJ44&gt;0,IF(INDEX('Final Calculation Sheet'!$O$4:$O$40,$BJ44-3)="","",INDEX('Final Calculation Sheet'!$O$4:$O$40,$BJ44-3)),IF(OR($BI44=1,$BL44=1,$BH44&gt;0),IF($BI44=1,SUM('Final Calculation Sheet'!$O$4:$O$40),IF($BL44=1,SUM('Final Calculation Sheet'!$O$4:$O$40)-SUMIFS('Final Calculation Sheet'!$O$4:$O$40,$AZ$5:$AZ$41,10),SUMIFS('Final Calculation Sheet'!$O$4:$O$40,$AZ$5:$AZ$41,$BH44))),""))</f>
        <v>394908.6078</v>
      </c>
      <c r="Q45" s="70">
        <f>IF($BJ44&gt;0,IF(INDEX('Final Calculation Sheet'!$P$4:$P$40,$BJ44-3)="","",INDEX('Final Calculation Sheet'!$P$4:$P$40,$BJ44-3)),IF(OR($BI44=1,$BL44=1,$BH44&gt;0),IF($BI44=1,SUM('Final Calculation Sheet'!$P$4:$P$40),IF($BL44=1,SUM('Final Calculation Sheet'!$P$4:$P$40)-SUMIFS('Final Calculation Sheet'!$P$4:$P$40,$AZ$5:$AZ$41,10),SUMIFS('Final Calculation Sheet'!$P$4:$P$40,$AZ$5:$AZ$41,$BH44))),""))</f>
        <v>410039</v>
      </c>
      <c r="R45" s="72" t="str">
        <f>IF($BJ44&gt;0,IF(INDEX('Final Calculation Sheet'!$Q$4:$Q$40,$BJ44-3)="","",INDEX('Final Calculation Sheet'!$Q$4:$Q$40,$BJ44-3)),IF(OR($BI44=1,$BL44=1,$BH44&gt;0),"–",""))</f>
        <v>–</v>
      </c>
      <c r="S45" s="70">
        <f>IF($BJ44&gt;0,IF(INDEX('Final Calculation Sheet'!$R$4:$R$40,$BJ44-3)="","",INDEX('Final Calculation Sheet'!$R$4:$R$40,$BJ44-3)),IF(OR($BI44=1,$BL44=1,$BH44&gt;0),IF($BI44=1,SUM('Final Calculation Sheet'!$R$4:$R$40),IF($BL44=1,SUM('Final Calculation Sheet'!$R$4:$R$40)-SUMIFS('Final Calculation Sheet'!$R$4:$R$40,$AZ$5:$AZ$41,10),SUMIFS('Final Calculation Sheet'!$R$4:$R$40,$AZ$5:$AZ$41,$BH44))),""))</f>
        <v>83029</v>
      </c>
      <c r="T45" s="70">
        <f>IF($BJ44&gt;0,IF(INDEX('Final Calculation Sheet'!$S$4:$S$40,$BJ44-3)="","",INDEX('Final Calculation Sheet'!$S$4:$S$40,$BJ44-3)),IF(OR($BI44=1,$BL44=1,$BH44&gt;0),IF($BI44=1,SUM('Final Calculation Sheet'!$S$4:$S$40),IF($BL44=1,SUM('Final Calculation Sheet'!$S$4:$S$40)-SUMIFS('Final Calculation Sheet'!$S$4:$S$40,$AZ$5:$AZ$41,10),SUMIFS('Final Calculation Sheet'!$S$4:$S$40,$AZ$5:$AZ$41,$BH44))),""))</f>
        <v>17718123</v>
      </c>
      <c r="U45" s="70">
        <f>IF($BJ44&gt;0,IF(INDEX('Final Calculation Sheet'!$T$4:$T$40,$BJ44-3)="","",INDEX('Final Calculation Sheet'!$T$4:$T$40,$BJ44-3)),IF(OR($BI44=1,$BL44=1,$BH44&gt;0),IF($BI44=1,SUM('Final Calculation Sheet'!$T$4:$T$40),IF($BL44=1,SUM('Final Calculation Sheet'!$T$4:$T$40)-SUMIFS('Final Calculation Sheet'!$T$4:$T$40,$AZ$5:$AZ$41,10),SUMIFS('Final Calculation Sheet'!$T$4:$T$40,$AZ$5:$AZ$41,$BH44))),""))</f>
        <v>3782654</v>
      </c>
      <c r="V45" s="73">
        <f>IF($BJ44&gt;0,IF(INDEX('Final Calculation Sheet'!$U$4:$U$40,$BJ44-3)="","",INDEX('Final Calculation Sheet'!$U$4:$U$40,$BJ44-3)),IF(OR($BI44=1,$BL44=1,$BH44&gt;0),IF($BI44=1,SUM('Final Calculation Sheet'!$U$4:$U$40),IF($BL44=1,SUM('Final Calculation Sheet'!$U$4:$U$40)-SUMIFS('Final Calculation Sheet'!$U$4:$U$40,$AZ$5:$AZ$41,10),SUMIFS('Final Calculation Sheet'!$U$4:$U$40,$AZ$5:$AZ$41,$BH44))),""))</f>
        <v>3782654</v>
      </c>
      <c r="W45" s="70" t="str">
        <f>IF($BJ44&gt;0,IF(INDEX('Final Calculation Sheet'!$V$4:$V$40,$BJ44-3)="","",INDEX('Final Calculation Sheet'!$V$4:$V$40,$BJ44-3)),IF(OR($BI44=1,$BL44=1,$BH44&gt;0),"–",""))</f>
        <v>–</v>
      </c>
      <c r="X45" s="70">
        <f>IF($BJ44&gt;0,IF(INDEX('Final Calculation Sheet'!$W$4:$W$40,$BJ44-3)="","",INDEX('Final Calculation Sheet'!$W$4:$W$40,$BJ44-3)),IF(OR($BI44=1,$BL44=1,$BH44&gt;0),IF($BI44=1,SUM('Final Calculation Sheet'!$W$4:$W$40),IF($BL44=1,SUM('Final Calculation Sheet'!$W$4:$W$40)-SUMIFS('Final Calculation Sheet'!$W$4:$W$40,$AZ$5:$AZ$41,10),SUMIFS('Final Calculation Sheet'!$W$4:$W$40,$AZ$5:$AZ$41,$BH44))),""))</f>
        <v>13935473</v>
      </c>
      <c r="Y45" s="70">
        <f>IF($BJ44&gt;0,IF(INDEX('Final Calculation Sheet'!$X$4:$X$40,$BJ44-3)="","",INDEX('Final Calculation Sheet'!$X$4:$X$40,$BJ44-3)),IF(OR($BI44=1,$BL44=1,$BH44&gt;0),IF($BI44=1,SUM('Final Calculation Sheet'!$X$4:$X$40),IF($BL44=1,SUM('Final Calculation Sheet'!$X$4:$X$40)-SUMIFS('Final Calculation Sheet'!$X$4:$X$40,$AZ$5:$AZ$41,10),SUMIFS('Final Calculation Sheet'!$X$4:$X$40,$AZ$5:$AZ$41,$BH44))),""))</f>
        <v>13137293</v>
      </c>
      <c r="Z45" s="70" t="str">
        <f>IF($BJ44&gt;0,IF(INDEX('Final Calculation Sheet'!$Y$4:$Y$40,$BJ44-3)="","",INDEX('Final Calculation Sheet'!$Y$4:$Y$40,$BJ44-3)),IF(OR($BI44=1,$BL44=1,$BH44&gt;0),"–",""))</f>
        <v>–</v>
      </c>
      <c r="AA45" s="70">
        <f>IF($BJ44&gt;0,IF(INDEX('Final Calculation Sheet'!$Z$4:$Z$40,$BJ44-3)="","",INDEX('Final Calculation Sheet'!$Z$4:$Z$40,$BJ44-3)),IF(OR($BI44=1,$BL44=1,$BH44&gt;0),IF($BI44=1,SUM('Final Calculation Sheet'!$Z$4:$Z$40),IF($BL44=1,SUM('Final Calculation Sheet'!$Z$4:$Z$40)-SUMIFS('Final Calculation Sheet'!$Z$4:$Z$40,$AZ$5:$AZ$41,10),SUMIFS('Final Calculation Sheet'!$Z$4:$Z$40,$AZ$5:$AZ$41,$BH44))),""))</f>
        <v>34459.067999999999</v>
      </c>
      <c r="AB45" s="70">
        <f>IF($BJ44&gt;0,IF(INDEX('Final Calculation Sheet'!$AA$4:$AA$40,$BJ44-3)="","",INDEX('Final Calculation Sheet'!$AA$4:$AA$40,$BJ44-3)),IF(OR($BI44=1,$BL44=1,$BH44&gt;0),IF($BI44=1,SUM('Final Calculation Sheet'!$AA$4:$AA$40),IF($BL44=1,SUM('Final Calculation Sheet'!$AA$4:$AA$40)-SUMIFS('Final Calculation Sheet'!$AA$4:$AA$40,$AZ$5:$AZ$41,10),SUMIFS('Final Calculation Sheet'!$AA$4:$AA$40,$AZ$5:$AZ$41,$BH44))),""))</f>
        <v>3540</v>
      </c>
      <c r="AC45" s="70" t="str">
        <f>IF($BJ44&gt;0,IF(INDEX('Final Calculation Sheet'!$AB$4:$AB$40,$BJ44-3)="","",INDEX('Final Calculation Sheet'!$AB$4:$AB$40,$BJ44-3)),IF(OR($BI44=1,$BL44=1,$BH44&gt;0),"–",""))</f>
        <v>–</v>
      </c>
      <c r="AD45" s="70">
        <f>IF($BJ44&gt;0,IF(INDEX('Final Calculation Sheet'!$AC$4:$AC$40,$BJ44-3)="","",INDEX('Final Calculation Sheet'!$AC$4:$AC$40,$BJ44-3)),IF(OR($BI44=1,$BL44=1,$BH44&gt;0),IF($BI44=1,SUM('Final Calculation Sheet'!$AC$4:$AC$40),IF($BL44=1,SUM('Final Calculation Sheet'!$AC$4:$AC$40)-SUMIFS('Final Calculation Sheet'!$AC$4:$AC$40,$AZ$5:$AZ$41,10),SUMIFS('Final Calculation Sheet'!$AC$4:$AC$40,$AZ$5:$AZ$41,$BH44))),""))</f>
        <v>16923487</v>
      </c>
      <c r="AE45" s="70">
        <f>IF($BJ44&gt;0,IF(INDEX('Final Calculation Sheet'!$AD$4:$AD$40,$BJ44-3)="","",INDEX('Final Calculation Sheet'!$AD$4:$AD$40,$BJ44-3)),IF(OR($BI44=1,$BL44=1,$BH44&gt;0),IF($BI44=1,SUM('Final Calculation Sheet'!$AD$4:$AD$40),IF($BL44=1,SUM('Final Calculation Sheet'!$AD$4:$AD$40)-SUMIFS('Final Calculation Sheet'!$AD$4:$AD$40,$AZ$5:$AZ$41,10),SUMIFS('Final Calculation Sheet'!$AD$4:$AD$40,$AZ$5:$AZ$41,$BH44))),""))</f>
        <v>794636.00000000047</v>
      </c>
      <c r="AF45" s="70" t="str">
        <f>IF($BJ44&gt;0,IF(INDEX('Final Calculation Sheet'!$AE$4:$AE$40,$BJ44-3)="","",INDEX('Final Calculation Sheet'!$AE$4:$AE$40,$BJ44-3)),IF(OR($BI44=1,$BL44=1,$BH44&gt;0),"–",""))</f>
        <v>–</v>
      </c>
      <c r="AG45" s="74" t="str">
        <f>IF($BJ44&gt;0,IF(INDEX('Final Calculation Sheet'!$AF$4:$AF$40,$BJ44-3)="","",INDEX('Final Calculation Sheet'!$AF$4:$AF$40,$BJ44-3)),IF(OR($BI44=1,$BL44=1,$BH44&gt;0),"–",""))</f>
        <v>–</v>
      </c>
      <c r="AH45" s="70" t="str">
        <f>IF($BJ44&gt;0,IF(INDEX('Final Calculation Sheet'!$AG$4:$AG$40,$BJ44-3)="","",INDEX('Final Calculation Sheet'!$AG$4:$AG$40,$BJ44-3)),IF(OR($BI44=1,$BL44=1,$BH44&gt;0),"–",""))</f>
        <v>–</v>
      </c>
      <c r="AI45" s="75" t="str">
        <f>IF($BJ44&gt;0,IF(INDEX('Final Calculation Sheet'!$AD$4:$AD$40,$BJ44-3)="","",IF(INDEX('Final Calculation Sheet'!$AD$4:$AD$40,$BJ44-3)&lt;=5,"SETTLED","OUTSTANDING")),IF(OR($BI44=1,$BL44=1,$BH44&gt;0),IF(IF($BI44=1,SUM('Final Calculation Sheet'!$AD$4:$AD$40),IF($BL44=1,SUM('Final Calculation Sheet'!$AD$4:$AD$40)-SUMIFS('Final Calculation Sheet'!$AD$4:$AD$40,$AZ$5:$AZ$41,10),SUMIFS('Final Calculation Sheet'!$AD$4:$AD$40,$AZ$5:$AZ$41,$BH44)))&lt;=5,"ALL SETTLED","OUTSTANDING"),""))</f>
        <v>OUTSTANDING</v>
      </c>
      <c r="BH45">
        <f>IFERROR(MATCH(45,$BF$4:$BF$13,0),0)</f>
        <v>0</v>
      </c>
      <c r="BI45">
        <f>IF(45=$BG$5,1,0)</f>
        <v>0</v>
      </c>
      <c r="BJ45">
        <f>IF(OR($BH45&gt;0,$BI45=1,$BL45=1),0,IFERROR(INDEX($BC$5:$BC$41,MATCH(45,$BB$5:$BB$41,0)),0))</f>
        <v>0</v>
      </c>
      <c r="BK45">
        <f>IF($BJ45&gt;0,IF(INDEX($AZ$5:$AZ$41,MATCH(45,$BB$5:$BB$41,0))=10,1,0),IF($BH45=10,1,0))</f>
        <v>0</v>
      </c>
      <c r="BL45">
        <f>IF(45=$BG$4,1,0)</f>
        <v>0</v>
      </c>
    </row>
    <row r="46" ht="15" customHeight="1" s="137">
      <c r="A46" s="67" t="str">
        <f>IF($BJ45&gt;0,INDEX($BA$5:$BA$41,MATCH(45,$BB$5:$BB$41,0)),IF(OR($BI45=1,$BL45=1,$BH45&gt;0),"∑",""))</f>
        <v/>
      </c>
      <c r="B46" s="76" t="str">
        <f>IF($BJ45&gt;0,IF(INDEX('Final Calculation Sheet'!$F$4:$F$40,$BJ45-3)="","",INDEX('Final Calculation Sheet'!$F$4:$F$40,$BJ45-3)),"")</f>
        <v/>
      </c>
      <c r="C46" s="76" t="str">
        <f>IF($BJ45&gt;0,IF(INDEX('Final Calculation Sheet'!$G$4:$G$40,$BJ45-3)="","",INDEX('Final Calculation Sheet'!$G$4:$G$40,$BJ45-3)),IF(OR($BI45=1,$BL45=1,$BH45&gt;0),IF($BI45=1,37,IF($BL45=1,37-INDEX($BD$4:$BD$13,10),INDEX($BD$4:$BD$13,$BH45)))&amp;" lot(s)",""))</f>
        <v/>
      </c>
      <c r="D46" s="80" t="str">
        <f>IF($BJ45&gt;0,IF(INDEX('Final Calculation Sheet'!$B$4:$B$40,$BJ45-3)="","",INDEX('Final Calculation Sheet'!$B$4:$B$40,$BJ45-3)),IF(OR($BI45=1,$BL45=1,$BH45&gt;0),IF($BI45=1,"GRAND TOTAL  —  matching + remaining",IF($BL45=1,"TOTAL MATCHED  —  every group together",IF($BH45=10,"REMAINING  —  did not match the search",IF($BH45=9,IF(COUNTIF($A$4:$AI$4,"&lt;&gt;")&gt;0,"FILTERED LOTS  —  column fields","ALL LOTS  —  nothing typed in the box"),"GROUP "&amp;$BH45&amp;" TOTAL  —  lots matching  "&amp;INDEX($AR$6:$AY$6,$BH45))))),""))</f>
        <v/>
      </c>
      <c r="E46" s="80" t="str">
        <f>IF($BJ45&gt;0,IF(INDEX('Final Calculation Sheet'!$D$4:$D$40,$BJ45-3)="","",INDEX('Final Calculation Sheet'!$D$4:$D$40,$BJ45-3)),IF(OR($BI45=1,$BL45=1,$BH45&gt;0),"–",""))</f>
        <v/>
      </c>
      <c r="F46" s="80" t="str">
        <f>IF($BJ45&gt;0,IF(INDEX('Final Calculation Sheet'!$A$4:$A$40,$BJ45-3)="","",INDEX('Final Calculation Sheet'!$A$4:$A$40,$BJ45-3)),IF(OR($BI45=1,$BL45=1,$BH45&gt;0),IF($BI45=1,SUM('Final Calculation Sheet'!$A$4:$A$40),IF($BL45=1,SUM('Final Calculation Sheet'!$A$4:$A$40)-SUMIFS('Final Calculation Sheet'!$A$4:$A$40,$AZ$5:$AZ$41,10),SUMIFS('Final Calculation Sheet'!$A$4:$A$40,$AZ$5:$AZ$41,$BH45))),""))</f>
        <v/>
      </c>
      <c r="G46" s="80" t="str">
        <f>IF($BJ45&gt;0,IF(INDEX('Final Calculation Sheet'!$E$4:$E$40,$BJ45-3)="","",INDEX('Final Calculation Sheet'!$E$4:$E$40,$BJ45-3)),IF(OR($BI45=1,$BL45=1,$BH45&gt;0),"–",""))</f>
        <v/>
      </c>
      <c r="H46" s="70" t="str">
        <f>IF($BJ45&gt;0,IF(INDEX('Final Calculation Sheet'!$C$4:$C$40,$BJ45-3)="","",INDEX('Final Calculation Sheet'!$C$4:$C$40,$BJ45-3)),IF(OR($BI45=1,$BL45=1,$BH45&gt;0),"–",""))</f>
        <v/>
      </c>
      <c r="I46" s="70" t="str">
        <f>IF($BJ45&gt;0,IF(INDEX('Final Calculation Sheet'!$H$4:$H$40,$BJ45-3)="","",INDEX('Final Calculation Sheet'!$H$4:$H$40,$BJ45-3)),IF(OR($BI45=1,$BL45=1,$BH45&gt;0),IF($BI45=1,SUM('Final Calculation Sheet'!$H$4:$H$40),IF($BL45=1,SUM('Final Calculation Sheet'!$H$4:$H$40)-SUMIFS('Final Calculation Sheet'!$H$4:$H$40,$AZ$5:$AZ$41,10),SUMIFS('Final Calculation Sheet'!$H$4:$H$40,$AZ$5:$AZ$41,$BH45))),""))</f>
        <v/>
      </c>
      <c r="J46" s="70" t="str">
        <f>IF($BJ45&gt;0,IF(INDEX('Final Calculation Sheet'!$I$4:$I$40,$BJ45-3)="","",INDEX('Final Calculation Sheet'!$I$4:$I$40,$BJ45-3)),IF(OR($BI45=1,$BL45=1,$BH45&gt;0),IF($BI45=1,SUM('Final Calculation Sheet'!$I$4:$I$40),IF($BL45=1,SUM('Final Calculation Sheet'!$I$4:$I$40)-SUMIFS('Final Calculation Sheet'!$I$4:$I$40,$AZ$5:$AZ$41,10),SUMIFS('Final Calculation Sheet'!$I$4:$I$40,$AZ$5:$AZ$41,$BH45))),""))</f>
        <v/>
      </c>
      <c r="K46" s="70" t="str">
        <f>IF($BJ45&gt;0,IF(INDEX('Final Calculation Sheet'!$J$4:$J$40,$BJ45-3)="","",INDEX('Final Calculation Sheet'!$J$4:$J$40,$BJ45-3)),IF(OR($BI45=1,$BL45=1,$BH45&gt;0),IF($BI45=1,SUM('Final Calculation Sheet'!$J$4:$J$40),IF($BL45=1,SUM('Final Calculation Sheet'!$J$4:$J$40)-SUMIFS('Final Calculation Sheet'!$J$4:$J$40,$AZ$5:$AZ$41,10),SUMIFS('Final Calculation Sheet'!$J$4:$J$40,$AZ$5:$AZ$41,$BH45))),""))</f>
        <v/>
      </c>
      <c r="L46" s="70" t="str">
        <f>IF($BJ45&gt;0,IF(INDEX('Final Calculation Sheet'!$K$4:$K$40,$BJ45-3)="","",INDEX('Final Calculation Sheet'!$K$4:$K$40,$BJ45-3)),IF(OR($BI45=1,$BL45=1,$BH45&gt;0),IF($BI45=1,SUM('Final Calculation Sheet'!$K$4:$K$40),IF($BL45=1,SUM('Final Calculation Sheet'!$K$4:$K$40)-SUMIFS('Final Calculation Sheet'!$K$4:$K$40,$AZ$5:$AZ$41,10),SUMIFS('Final Calculation Sheet'!$K$4:$K$40,$AZ$5:$AZ$41,$BH45))),""))</f>
        <v/>
      </c>
      <c r="M46" s="70" t="str">
        <f>IF($BJ45&gt;0,IF(INDEX('Final Calculation Sheet'!$L$4:$L$40,$BJ45-3)="","",INDEX('Final Calculation Sheet'!$L$4:$L$40,$BJ45-3)),IF(OR($BI45=1,$BL45=1,$BH45&gt;0),IF($BI45=1,SUM('Final Calculation Sheet'!$L$4:$L$40),IF($BL45=1,SUM('Final Calculation Sheet'!$L$4:$L$40)-SUMIFS('Final Calculation Sheet'!$L$4:$L$40,$AZ$5:$AZ$41,10),SUMIFS('Final Calculation Sheet'!$L$4:$L$40,$AZ$5:$AZ$41,$BH45))),""))</f>
        <v/>
      </c>
      <c r="N46" s="70" t="str">
        <f>IF($BJ45&gt;0,IF(INDEX('Final Calculation Sheet'!$M$4:$M$40,$BJ45-3)="","",INDEX('Final Calculation Sheet'!$M$4:$M$40,$BJ45-3)),IF(OR($BI45=1,$BL45=1,$BH45&gt;0),IF($BI45=1,SUM('Final Calculation Sheet'!$M$4:$M$40),IF($BL45=1,SUM('Final Calculation Sheet'!$M$4:$M$40)-SUMIFS('Final Calculation Sheet'!$M$4:$M$40,$AZ$5:$AZ$41,10),SUMIFS('Final Calculation Sheet'!$M$4:$M$40,$AZ$5:$AZ$41,$BH45))),""))</f>
        <v/>
      </c>
      <c r="O46" s="71" t="str">
        <f>IF($BJ45&gt;0,IF(INDEX('Final Calculation Sheet'!$N$4:$N$40,$BJ45-3)="","",INDEX('Final Calculation Sheet'!$N$4:$N$40,$BJ45-3)),IF(OR($BI45=1,$BL45=1,$BH45&gt;0),IF($BI45=1,SUM('Final Calculation Sheet'!$N$4:$N$40),IF($BL45=1,SUM('Final Calculation Sheet'!$N$4:$N$40)-SUMIFS('Final Calculation Sheet'!$N$4:$N$40,$AZ$5:$AZ$41,10),SUMIFS('Final Calculation Sheet'!$N$4:$N$40,$AZ$5:$AZ$41,$BH45))),""))</f>
        <v/>
      </c>
      <c r="P46" s="70" t="str">
        <f>IF($BJ45&gt;0,IF(INDEX('Final Calculation Sheet'!$O$4:$O$40,$BJ45-3)="","",INDEX('Final Calculation Sheet'!$O$4:$O$40,$BJ45-3)),IF(OR($BI45=1,$BL45=1,$BH45&gt;0),IF($BI45=1,SUM('Final Calculation Sheet'!$O$4:$O$40),IF($BL45=1,SUM('Final Calculation Sheet'!$O$4:$O$40)-SUMIFS('Final Calculation Sheet'!$O$4:$O$40,$AZ$5:$AZ$41,10),SUMIFS('Final Calculation Sheet'!$O$4:$O$40,$AZ$5:$AZ$41,$BH45))),""))</f>
        <v/>
      </c>
      <c r="Q46" s="70" t="str">
        <f>IF($BJ45&gt;0,IF(INDEX('Final Calculation Sheet'!$P$4:$P$40,$BJ45-3)="","",INDEX('Final Calculation Sheet'!$P$4:$P$40,$BJ45-3)),IF(OR($BI45=1,$BL45=1,$BH45&gt;0),IF($BI45=1,SUM('Final Calculation Sheet'!$P$4:$P$40),IF($BL45=1,SUM('Final Calculation Sheet'!$P$4:$P$40)-SUMIFS('Final Calculation Sheet'!$P$4:$P$40,$AZ$5:$AZ$41,10),SUMIFS('Final Calculation Sheet'!$P$4:$P$40,$AZ$5:$AZ$41,$BH45))),""))</f>
        <v/>
      </c>
      <c r="R46" s="72" t="str">
        <f>IF($BJ45&gt;0,IF(INDEX('Final Calculation Sheet'!$Q$4:$Q$40,$BJ45-3)="","",INDEX('Final Calculation Sheet'!$Q$4:$Q$40,$BJ45-3)),IF(OR($BI45=1,$BL45=1,$BH45&gt;0),"–",""))</f>
        <v/>
      </c>
      <c r="S46" s="70" t="str">
        <f>IF($BJ45&gt;0,IF(INDEX('Final Calculation Sheet'!$R$4:$R$40,$BJ45-3)="","",INDEX('Final Calculation Sheet'!$R$4:$R$40,$BJ45-3)),IF(OR($BI45=1,$BL45=1,$BH45&gt;0),IF($BI45=1,SUM('Final Calculation Sheet'!$R$4:$R$40),IF($BL45=1,SUM('Final Calculation Sheet'!$R$4:$R$40)-SUMIFS('Final Calculation Sheet'!$R$4:$R$40,$AZ$5:$AZ$41,10),SUMIFS('Final Calculation Sheet'!$R$4:$R$40,$AZ$5:$AZ$41,$BH45))),""))</f>
        <v/>
      </c>
      <c r="T46" s="70" t="str">
        <f>IF($BJ45&gt;0,IF(INDEX('Final Calculation Sheet'!$S$4:$S$40,$BJ45-3)="","",INDEX('Final Calculation Sheet'!$S$4:$S$40,$BJ45-3)),IF(OR($BI45=1,$BL45=1,$BH45&gt;0),IF($BI45=1,SUM('Final Calculation Sheet'!$S$4:$S$40),IF($BL45=1,SUM('Final Calculation Sheet'!$S$4:$S$40)-SUMIFS('Final Calculation Sheet'!$S$4:$S$40,$AZ$5:$AZ$41,10),SUMIFS('Final Calculation Sheet'!$S$4:$S$40,$AZ$5:$AZ$41,$BH45))),""))</f>
        <v/>
      </c>
      <c r="U46" s="70" t="str">
        <f>IF($BJ45&gt;0,IF(INDEX('Final Calculation Sheet'!$T$4:$T$40,$BJ45-3)="","",INDEX('Final Calculation Sheet'!$T$4:$T$40,$BJ45-3)),IF(OR($BI45=1,$BL45=1,$BH45&gt;0),IF($BI45=1,SUM('Final Calculation Sheet'!$T$4:$T$40),IF($BL45=1,SUM('Final Calculation Sheet'!$T$4:$T$40)-SUMIFS('Final Calculation Sheet'!$T$4:$T$40,$AZ$5:$AZ$41,10),SUMIFS('Final Calculation Sheet'!$T$4:$T$40,$AZ$5:$AZ$41,$BH45))),""))</f>
        <v/>
      </c>
      <c r="V46" s="73" t="str">
        <f>IF($BJ45&gt;0,IF(INDEX('Final Calculation Sheet'!$U$4:$U$40,$BJ45-3)="","",INDEX('Final Calculation Sheet'!$U$4:$U$40,$BJ45-3)),IF(OR($BI45=1,$BL45=1,$BH45&gt;0),IF($BI45=1,SUM('Final Calculation Sheet'!$U$4:$U$40),IF($BL45=1,SUM('Final Calculation Sheet'!$U$4:$U$40)-SUMIFS('Final Calculation Sheet'!$U$4:$U$40,$AZ$5:$AZ$41,10),SUMIFS('Final Calculation Sheet'!$U$4:$U$40,$AZ$5:$AZ$41,$BH45))),""))</f>
        <v/>
      </c>
      <c r="W46" s="70" t="str">
        <f>IF($BJ45&gt;0,IF(INDEX('Final Calculation Sheet'!$V$4:$V$40,$BJ45-3)="","",INDEX('Final Calculation Sheet'!$V$4:$V$40,$BJ45-3)),IF(OR($BI45=1,$BL45=1,$BH45&gt;0),"–",""))</f>
        <v/>
      </c>
      <c r="X46" s="70" t="str">
        <f>IF($BJ45&gt;0,IF(INDEX('Final Calculation Sheet'!$W$4:$W$40,$BJ45-3)="","",INDEX('Final Calculation Sheet'!$W$4:$W$40,$BJ45-3)),IF(OR($BI45=1,$BL45=1,$BH45&gt;0),IF($BI45=1,SUM('Final Calculation Sheet'!$W$4:$W$40),IF($BL45=1,SUM('Final Calculation Sheet'!$W$4:$W$40)-SUMIFS('Final Calculation Sheet'!$W$4:$W$40,$AZ$5:$AZ$41,10),SUMIFS('Final Calculation Sheet'!$W$4:$W$40,$AZ$5:$AZ$41,$BH45))),""))</f>
        <v/>
      </c>
      <c r="Y46" s="70" t="str">
        <f>IF($BJ45&gt;0,IF(INDEX('Final Calculation Sheet'!$X$4:$X$40,$BJ45-3)="","",INDEX('Final Calculation Sheet'!$X$4:$X$40,$BJ45-3)),IF(OR($BI45=1,$BL45=1,$BH45&gt;0),IF($BI45=1,SUM('Final Calculation Sheet'!$X$4:$X$40),IF($BL45=1,SUM('Final Calculation Sheet'!$X$4:$X$40)-SUMIFS('Final Calculation Sheet'!$X$4:$X$40,$AZ$5:$AZ$41,10),SUMIFS('Final Calculation Sheet'!$X$4:$X$40,$AZ$5:$AZ$41,$BH45))),""))</f>
        <v/>
      </c>
      <c r="Z46" s="70" t="str">
        <f>IF($BJ45&gt;0,IF(INDEX('Final Calculation Sheet'!$Y$4:$Y$40,$BJ45-3)="","",INDEX('Final Calculation Sheet'!$Y$4:$Y$40,$BJ45-3)),IF(OR($BI45=1,$BL45=1,$BH45&gt;0),"–",""))</f>
        <v/>
      </c>
      <c r="AA46" s="70" t="str">
        <f>IF($BJ45&gt;0,IF(INDEX('Final Calculation Sheet'!$Z$4:$Z$40,$BJ45-3)="","",INDEX('Final Calculation Sheet'!$Z$4:$Z$40,$BJ45-3)),IF(OR($BI45=1,$BL45=1,$BH45&gt;0),IF($BI45=1,SUM('Final Calculation Sheet'!$Z$4:$Z$40),IF($BL45=1,SUM('Final Calculation Sheet'!$Z$4:$Z$40)-SUMIFS('Final Calculation Sheet'!$Z$4:$Z$40,$AZ$5:$AZ$41,10),SUMIFS('Final Calculation Sheet'!$Z$4:$Z$40,$AZ$5:$AZ$41,$BH45))),""))</f>
        <v/>
      </c>
      <c r="AB46" s="70" t="str">
        <f>IF($BJ45&gt;0,IF(INDEX('Final Calculation Sheet'!$AA$4:$AA$40,$BJ45-3)="","",INDEX('Final Calculation Sheet'!$AA$4:$AA$40,$BJ45-3)),IF(OR($BI45=1,$BL45=1,$BH45&gt;0),IF($BI45=1,SUM('Final Calculation Sheet'!$AA$4:$AA$40),IF($BL45=1,SUM('Final Calculation Sheet'!$AA$4:$AA$40)-SUMIFS('Final Calculation Sheet'!$AA$4:$AA$40,$AZ$5:$AZ$41,10),SUMIFS('Final Calculation Sheet'!$AA$4:$AA$40,$AZ$5:$AZ$41,$BH45))),""))</f>
        <v/>
      </c>
      <c r="AC46" s="70" t="str">
        <f>IF($BJ45&gt;0,IF(INDEX('Final Calculation Sheet'!$AB$4:$AB$40,$BJ45-3)="","",INDEX('Final Calculation Sheet'!$AB$4:$AB$40,$BJ45-3)),IF(OR($BI45=1,$BL45=1,$BH45&gt;0),"–",""))</f>
        <v/>
      </c>
      <c r="AD46" s="70" t="str">
        <f>IF($BJ45&gt;0,IF(INDEX('Final Calculation Sheet'!$AC$4:$AC$40,$BJ45-3)="","",INDEX('Final Calculation Sheet'!$AC$4:$AC$40,$BJ45-3)),IF(OR($BI45=1,$BL45=1,$BH45&gt;0),IF($BI45=1,SUM('Final Calculation Sheet'!$AC$4:$AC$40),IF($BL45=1,SUM('Final Calculation Sheet'!$AC$4:$AC$40)-SUMIFS('Final Calculation Sheet'!$AC$4:$AC$40,$AZ$5:$AZ$41,10),SUMIFS('Final Calculation Sheet'!$AC$4:$AC$40,$AZ$5:$AZ$41,$BH45))),""))</f>
        <v/>
      </c>
      <c r="AE46" s="70" t="str">
        <f>IF($BJ45&gt;0,IF(INDEX('Final Calculation Sheet'!$AD$4:$AD$40,$BJ45-3)="","",INDEX('Final Calculation Sheet'!$AD$4:$AD$40,$BJ45-3)),IF(OR($BI45=1,$BL45=1,$BH45&gt;0),IF($BI45=1,SUM('Final Calculation Sheet'!$AD$4:$AD$40),IF($BL45=1,SUM('Final Calculation Sheet'!$AD$4:$AD$40)-SUMIFS('Final Calculation Sheet'!$AD$4:$AD$40,$AZ$5:$AZ$41,10),SUMIFS('Final Calculation Sheet'!$AD$4:$AD$40,$AZ$5:$AZ$41,$BH45))),""))</f>
        <v/>
      </c>
      <c r="AF46" s="70" t="str">
        <f>IF($BJ45&gt;0,IF(INDEX('Final Calculation Sheet'!$AE$4:$AE$40,$BJ45-3)="","",INDEX('Final Calculation Sheet'!$AE$4:$AE$40,$BJ45-3)),IF(OR($BI45=1,$BL45=1,$BH45&gt;0),"–",""))</f>
        <v/>
      </c>
      <c r="AG46" s="74" t="str">
        <f>IF($BJ45&gt;0,IF(INDEX('Final Calculation Sheet'!$AF$4:$AF$40,$BJ45-3)="","",INDEX('Final Calculation Sheet'!$AF$4:$AF$40,$BJ45-3)),IF(OR($BI45=1,$BL45=1,$BH45&gt;0),"–",""))</f>
        <v/>
      </c>
      <c r="AH46" s="70" t="str">
        <f>IF($BJ45&gt;0,IF(INDEX('Final Calculation Sheet'!$AG$4:$AG$40,$BJ45-3)="","",INDEX('Final Calculation Sheet'!$AG$4:$AG$40,$BJ45-3)),IF(OR($BI45=1,$BL45=1,$BH45&gt;0),"–",""))</f>
        <v/>
      </c>
      <c r="AI46" s="75" t="str">
        <f>IF($BJ45&gt;0,IF(INDEX('Final Calculation Sheet'!$AD$4:$AD$40,$BJ45-3)="","",IF(INDEX('Final Calculation Sheet'!$AD$4:$AD$40,$BJ45-3)&lt;=5,"SETTLED","OUTSTANDING")),IF(OR($BI45=1,$BL45=1,$BH45&gt;0),IF(IF($BI45=1,SUM('Final Calculation Sheet'!$AD$4:$AD$40),IF($BL45=1,SUM('Final Calculation Sheet'!$AD$4:$AD$40)-SUMIFS('Final Calculation Sheet'!$AD$4:$AD$40,$AZ$5:$AZ$41,10),SUMIFS('Final Calculation Sheet'!$AD$4:$AD$40,$AZ$5:$AZ$41,$BH45)))&lt;=5,"ALL SETTLED","OUTSTANDING"),""))</f>
        <v/>
      </c>
      <c r="BH46">
        <f>IFERROR(MATCH(46,$BF$4:$BF$13,0),0)</f>
        <v>0</v>
      </c>
      <c r="BI46">
        <f>IF(46=$BG$5,1,0)</f>
        <v>0</v>
      </c>
      <c r="BJ46">
        <f>IF(OR($BH46&gt;0,$BI46=1,$BL46=1),0,IFERROR(INDEX($BC$5:$BC$41,MATCH(46,$BB$5:$BB$41,0)),0))</f>
        <v>0</v>
      </c>
      <c r="BK46">
        <f>IF($BJ46&gt;0,IF(INDEX($AZ$5:$AZ$41,MATCH(46,$BB$5:$BB$41,0))=10,1,0),IF($BH46=10,1,0))</f>
        <v>0</v>
      </c>
      <c r="BL46">
        <f>IF(46=$BG$4,1,0)</f>
        <v>0</v>
      </c>
    </row>
    <row r="47" ht="15" customHeight="1" s="137">
      <c r="A47" s="67" t="str">
        <f>IF($BJ46&gt;0,INDEX($BA$5:$BA$41,MATCH(46,$BB$5:$BB$41,0)),IF(OR($BI46=1,$BL46=1,$BH46&gt;0),"∑",""))</f>
        <v/>
      </c>
      <c r="B47" s="76" t="str">
        <f>IF($BJ46&gt;0,IF(INDEX('Final Calculation Sheet'!$F$4:$F$40,$BJ46-3)="","",INDEX('Final Calculation Sheet'!$F$4:$F$40,$BJ46-3)),"")</f>
        <v/>
      </c>
      <c r="C47" s="76" t="str">
        <f>IF($BJ46&gt;0,IF(INDEX('Final Calculation Sheet'!$G$4:$G$40,$BJ46-3)="","",INDEX('Final Calculation Sheet'!$G$4:$G$40,$BJ46-3)),IF(OR($BI46=1,$BL46=1,$BH46&gt;0),IF($BI46=1,37,IF($BL46=1,37-INDEX($BD$4:$BD$13,10),INDEX($BD$4:$BD$13,$BH46)))&amp;" lot(s)",""))</f>
        <v/>
      </c>
      <c r="D47" s="80" t="str">
        <f>IF($BJ46&gt;0,IF(INDEX('Final Calculation Sheet'!$B$4:$B$40,$BJ46-3)="","",INDEX('Final Calculation Sheet'!$B$4:$B$40,$BJ46-3)),IF(OR($BI46=1,$BL46=1,$BH46&gt;0),IF($BI46=1,"GRAND TOTAL  —  matching + remaining",IF($BL46=1,"TOTAL MATCHED  —  every group together",IF($BH46=10,"REMAINING  —  did not match the search",IF($BH46=9,IF(COUNTIF($A$4:$AI$4,"&lt;&gt;")&gt;0,"FILTERED LOTS  —  column fields","ALL LOTS  —  nothing typed in the box"),"GROUP "&amp;$BH46&amp;" TOTAL  —  lots matching  "&amp;INDEX($AR$6:$AY$6,$BH46))))),""))</f>
        <v/>
      </c>
      <c r="E47" s="80" t="str">
        <f>IF($BJ46&gt;0,IF(INDEX('Final Calculation Sheet'!$D$4:$D$40,$BJ46-3)="","",INDEX('Final Calculation Sheet'!$D$4:$D$40,$BJ46-3)),IF(OR($BI46=1,$BL46=1,$BH46&gt;0),"–",""))</f>
        <v/>
      </c>
      <c r="F47" s="80" t="str">
        <f>IF($BJ46&gt;0,IF(INDEX('Final Calculation Sheet'!$A$4:$A$40,$BJ46-3)="","",INDEX('Final Calculation Sheet'!$A$4:$A$40,$BJ46-3)),IF(OR($BI46=1,$BL46=1,$BH46&gt;0),IF($BI46=1,SUM('Final Calculation Sheet'!$A$4:$A$40),IF($BL46=1,SUM('Final Calculation Sheet'!$A$4:$A$40)-SUMIFS('Final Calculation Sheet'!$A$4:$A$40,$AZ$5:$AZ$41,10),SUMIFS('Final Calculation Sheet'!$A$4:$A$40,$AZ$5:$AZ$41,$BH46))),""))</f>
        <v/>
      </c>
      <c r="G47" s="80" t="str">
        <f>IF($BJ46&gt;0,IF(INDEX('Final Calculation Sheet'!$E$4:$E$40,$BJ46-3)="","",INDEX('Final Calculation Sheet'!$E$4:$E$40,$BJ46-3)),IF(OR($BI46=1,$BL46=1,$BH46&gt;0),"–",""))</f>
        <v/>
      </c>
      <c r="H47" s="70" t="str">
        <f>IF($BJ46&gt;0,IF(INDEX('Final Calculation Sheet'!$C$4:$C$40,$BJ46-3)="","",INDEX('Final Calculation Sheet'!$C$4:$C$40,$BJ46-3)),IF(OR($BI46=1,$BL46=1,$BH46&gt;0),"–",""))</f>
        <v/>
      </c>
      <c r="I47" s="70" t="str">
        <f>IF($BJ46&gt;0,IF(INDEX('Final Calculation Sheet'!$H$4:$H$40,$BJ46-3)="","",INDEX('Final Calculation Sheet'!$H$4:$H$40,$BJ46-3)),IF(OR($BI46=1,$BL46=1,$BH46&gt;0),IF($BI46=1,SUM('Final Calculation Sheet'!$H$4:$H$40),IF($BL46=1,SUM('Final Calculation Sheet'!$H$4:$H$40)-SUMIFS('Final Calculation Sheet'!$H$4:$H$40,$AZ$5:$AZ$41,10),SUMIFS('Final Calculation Sheet'!$H$4:$H$40,$AZ$5:$AZ$41,$BH46))),""))</f>
        <v/>
      </c>
      <c r="J47" s="70" t="str">
        <f>IF($BJ46&gt;0,IF(INDEX('Final Calculation Sheet'!$I$4:$I$40,$BJ46-3)="","",INDEX('Final Calculation Sheet'!$I$4:$I$40,$BJ46-3)),IF(OR($BI46=1,$BL46=1,$BH46&gt;0),IF($BI46=1,SUM('Final Calculation Sheet'!$I$4:$I$40),IF($BL46=1,SUM('Final Calculation Sheet'!$I$4:$I$40)-SUMIFS('Final Calculation Sheet'!$I$4:$I$40,$AZ$5:$AZ$41,10),SUMIFS('Final Calculation Sheet'!$I$4:$I$40,$AZ$5:$AZ$41,$BH46))),""))</f>
        <v/>
      </c>
      <c r="K47" s="70" t="str">
        <f>IF($BJ46&gt;0,IF(INDEX('Final Calculation Sheet'!$J$4:$J$40,$BJ46-3)="","",INDEX('Final Calculation Sheet'!$J$4:$J$40,$BJ46-3)),IF(OR($BI46=1,$BL46=1,$BH46&gt;0),IF($BI46=1,SUM('Final Calculation Sheet'!$J$4:$J$40),IF($BL46=1,SUM('Final Calculation Sheet'!$J$4:$J$40)-SUMIFS('Final Calculation Sheet'!$J$4:$J$40,$AZ$5:$AZ$41,10),SUMIFS('Final Calculation Sheet'!$J$4:$J$40,$AZ$5:$AZ$41,$BH46))),""))</f>
        <v/>
      </c>
      <c r="L47" s="70" t="str">
        <f>IF($BJ46&gt;0,IF(INDEX('Final Calculation Sheet'!$K$4:$K$40,$BJ46-3)="","",INDEX('Final Calculation Sheet'!$K$4:$K$40,$BJ46-3)),IF(OR($BI46=1,$BL46=1,$BH46&gt;0),IF($BI46=1,SUM('Final Calculation Sheet'!$K$4:$K$40),IF($BL46=1,SUM('Final Calculation Sheet'!$K$4:$K$40)-SUMIFS('Final Calculation Sheet'!$K$4:$K$40,$AZ$5:$AZ$41,10),SUMIFS('Final Calculation Sheet'!$K$4:$K$40,$AZ$5:$AZ$41,$BH46))),""))</f>
        <v/>
      </c>
      <c r="M47" s="70" t="str">
        <f>IF($BJ46&gt;0,IF(INDEX('Final Calculation Sheet'!$L$4:$L$40,$BJ46-3)="","",INDEX('Final Calculation Sheet'!$L$4:$L$40,$BJ46-3)),IF(OR($BI46=1,$BL46=1,$BH46&gt;0),IF($BI46=1,SUM('Final Calculation Sheet'!$L$4:$L$40),IF($BL46=1,SUM('Final Calculation Sheet'!$L$4:$L$40)-SUMIFS('Final Calculation Sheet'!$L$4:$L$40,$AZ$5:$AZ$41,10),SUMIFS('Final Calculation Sheet'!$L$4:$L$40,$AZ$5:$AZ$41,$BH46))),""))</f>
        <v/>
      </c>
      <c r="N47" s="70" t="str">
        <f>IF($BJ46&gt;0,IF(INDEX('Final Calculation Sheet'!$M$4:$M$40,$BJ46-3)="","",INDEX('Final Calculation Sheet'!$M$4:$M$40,$BJ46-3)),IF(OR($BI46=1,$BL46=1,$BH46&gt;0),IF($BI46=1,SUM('Final Calculation Sheet'!$M$4:$M$40),IF($BL46=1,SUM('Final Calculation Sheet'!$M$4:$M$40)-SUMIFS('Final Calculation Sheet'!$M$4:$M$40,$AZ$5:$AZ$41,10),SUMIFS('Final Calculation Sheet'!$M$4:$M$40,$AZ$5:$AZ$41,$BH46))),""))</f>
        <v/>
      </c>
      <c r="O47" s="71" t="str">
        <f>IF($BJ46&gt;0,IF(INDEX('Final Calculation Sheet'!$N$4:$N$40,$BJ46-3)="","",INDEX('Final Calculation Sheet'!$N$4:$N$40,$BJ46-3)),IF(OR($BI46=1,$BL46=1,$BH46&gt;0),IF($BI46=1,SUM('Final Calculation Sheet'!$N$4:$N$40),IF($BL46=1,SUM('Final Calculation Sheet'!$N$4:$N$40)-SUMIFS('Final Calculation Sheet'!$N$4:$N$40,$AZ$5:$AZ$41,10),SUMIFS('Final Calculation Sheet'!$N$4:$N$40,$AZ$5:$AZ$41,$BH46))),""))</f>
        <v/>
      </c>
      <c r="P47" s="70" t="str">
        <f>IF($BJ46&gt;0,IF(INDEX('Final Calculation Sheet'!$O$4:$O$40,$BJ46-3)="","",INDEX('Final Calculation Sheet'!$O$4:$O$40,$BJ46-3)),IF(OR($BI46=1,$BL46=1,$BH46&gt;0),IF($BI46=1,SUM('Final Calculation Sheet'!$O$4:$O$40),IF($BL46=1,SUM('Final Calculation Sheet'!$O$4:$O$40)-SUMIFS('Final Calculation Sheet'!$O$4:$O$40,$AZ$5:$AZ$41,10),SUMIFS('Final Calculation Sheet'!$O$4:$O$40,$AZ$5:$AZ$41,$BH46))),""))</f>
        <v/>
      </c>
      <c r="Q47" s="70" t="str">
        <f>IF($BJ46&gt;0,IF(INDEX('Final Calculation Sheet'!$P$4:$P$40,$BJ46-3)="","",INDEX('Final Calculation Sheet'!$P$4:$P$40,$BJ46-3)),IF(OR($BI46=1,$BL46=1,$BH46&gt;0),IF($BI46=1,SUM('Final Calculation Sheet'!$P$4:$P$40),IF($BL46=1,SUM('Final Calculation Sheet'!$P$4:$P$40)-SUMIFS('Final Calculation Sheet'!$P$4:$P$40,$AZ$5:$AZ$41,10),SUMIFS('Final Calculation Sheet'!$P$4:$P$40,$AZ$5:$AZ$41,$BH46))),""))</f>
        <v/>
      </c>
      <c r="R47" s="72" t="str">
        <f>IF($BJ46&gt;0,IF(INDEX('Final Calculation Sheet'!$Q$4:$Q$40,$BJ46-3)="","",INDEX('Final Calculation Sheet'!$Q$4:$Q$40,$BJ46-3)),IF(OR($BI46=1,$BL46=1,$BH46&gt;0),"–",""))</f>
        <v/>
      </c>
      <c r="S47" s="70" t="str">
        <f>IF($BJ46&gt;0,IF(INDEX('Final Calculation Sheet'!$R$4:$R$40,$BJ46-3)="","",INDEX('Final Calculation Sheet'!$R$4:$R$40,$BJ46-3)),IF(OR($BI46=1,$BL46=1,$BH46&gt;0),IF($BI46=1,SUM('Final Calculation Sheet'!$R$4:$R$40),IF($BL46=1,SUM('Final Calculation Sheet'!$R$4:$R$40)-SUMIFS('Final Calculation Sheet'!$R$4:$R$40,$AZ$5:$AZ$41,10),SUMIFS('Final Calculation Sheet'!$R$4:$R$40,$AZ$5:$AZ$41,$BH46))),""))</f>
        <v/>
      </c>
      <c r="T47" s="70" t="str">
        <f>IF($BJ46&gt;0,IF(INDEX('Final Calculation Sheet'!$S$4:$S$40,$BJ46-3)="","",INDEX('Final Calculation Sheet'!$S$4:$S$40,$BJ46-3)),IF(OR($BI46=1,$BL46=1,$BH46&gt;0),IF($BI46=1,SUM('Final Calculation Sheet'!$S$4:$S$40),IF($BL46=1,SUM('Final Calculation Sheet'!$S$4:$S$40)-SUMIFS('Final Calculation Sheet'!$S$4:$S$40,$AZ$5:$AZ$41,10),SUMIFS('Final Calculation Sheet'!$S$4:$S$40,$AZ$5:$AZ$41,$BH46))),""))</f>
        <v/>
      </c>
      <c r="U47" s="70" t="str">
        <f>IF($BJ46&gt;0,IF(INDEX('Final Calculation Sheet'!$T$4:$T$40,$BJ46-3)="","",INDEX('Final Calculation Sheet'!$T$4:$T$40,$BJ46-3)),IF(OR($BI46=1,$BL46=1,$BH46&gt;0),IF($BI46=1,SUM('Final Calculation Sheet'!$T$4:$T$40),IF($BL46=1,SUM('Final Calculation Sheet'!$T$4:$T$40)-SUMIFS('Final Calculation Sheet'!$T$4:$T$40,$AZ$5:$AZ$41,10),SUMIFS('Final Calculation Sheet'!$T$4:$T$40,$AZ$5:$AZ$41,$BH46))),""))</f>
        <v/>
      </c>
      <c r="V47" s="73" t="str">
        <f>IF($BJ46&gt;0,IF(INDEX('Final Calculation Sheet'!$U$4:$U$40,$BJ46-3)="","",INDEX('Final Calculation Sheet'!$U$4:$U$40,$BJ46-3)),IF(OR($BI46=1,$BL46=1,$BH46&gt;0),IF($BI46=1,SUM('Final Calculation Sheet'!$U$4:$U$40),IF($BL46=1,SUM('Final Calculation Sheet'!$U$4:$U$40)-SUMIFS('Final Calculation Sheet'!$U$4:$U$40,$AZ$5:$AZ$41,10),SUMIFS('Final Calculation Sheet'!$U$4:$U$40,$AZ$5:$AZ$41,$BH46))),""))</f>
        <v/>
      </c>
      <c r="W47" s="70" t="str">
        <f>IF($BJ46&gt;0,IF(INDEX('Final Calculation Sheet'!$V$4:$V$40,$BJ46-3)="","",INDEX('Final Calculation Sheet'!$V$4:$V$40,$BJ46-3)),IF(OR($BI46=1,$BL46=1,$BH46&gt;0),"–",""))</f>
        <v/>
      </c>
      <c r="X47" s="70" t="str">
        <f>IF($BJ46&gt;0,IF(INDEX('Final Calculation Sheet'!$W$4:$W$40,$BJ46-3)="","",INDEX('Final Calculation Sheet'!$W$4:$W$40,$BJ46-3)),IF(OR($BI46=1,$BL46=1,$BH46&gt;0),IF($BI46=1,SUM('Final Calculation Sheet'!$W$4:$W$40),IF($BL46=1,SUM('Final Calculation Sheet'!$W$4:$W$40)-SUMIFS('Final Calculation Sheet'!$W$4:$W$40,$AZ$5:$AZ$41,10),SUMIFS('Final Calculation Sheet'!$W$4:$W$40,$AZ$5:$AZ$41,$BH46))),""))</f>
        <v/>
      </c>
      <c r="Y47" s="70" t="str">
        <f>IF($BJ46&gt;0,IF(INDEX('Final Calculation Sheet'!$X$4:$X$40,$BJ46-3)="","",INDEX('Final Calculation Sheet'!$X$4:$X$40,$BJ46-3)),IF(OR($BI46=1,$BL46=1,$BH46&gt;0),IF($BI46=1,SUM('Final Calculation Sheet'!$X$4:$X$40),IF($BL46=1,SUM('Final Calculation Sheet'!$X$4:$X$40)-SUMIFS('Final Calculation Sheet'!$X$4:$X$40,$AZ$5:$AZ$41,10),SUMIFS('Final Calculation Sheet'!$X$4:$X$40,$AZ$5:$AZ$41,$BH46))),""))</f>
        <v/>
      </c>
      <c r="Z47" s="70" t="str">
        <f>IF($BJ46&gt;0,IF(INDEX('Final Calculation Sheet'!$Y$4:$Y$40,$BJ46-3)="","",INDEX('Final Calculation Sheet'!$Y$4:$Y$40,$BJ46-3)),IF(OR($BI46=1,$BL46=1,$BH46&gt;0),"–",""))</f>
        <v/>
      </c>
      <c r="AA47" s="70" t="str">
        <f>IF($BJ46&gt;0,IF(INDEX('Final Calculation Sheet'!$Z$4:$Z$40,$BJ46-3)="","",INDEX('Final Calculation Sheet'!$Z$4:$Z$40,$BJ46-3)),IF(OR($BI46=1,$BL46=1,$BH46&gt;0),IF($BI46=1,SUM('Final Calculation Sheet'!$Z$4:$Z$40),IF($BL46=1,SUM('Final Calculation Sheet'!$Z$4:$Z$40)-SUMIFS('Final Calculation Sheet'!$Z$4:$Z$40,$AZ$5:$AZ$41,10),SUMIFS('Final Calculation Sheet'!$Z$4:$Z$40,$AZ$5:$AZ$41,$BH46))),""))</f>
        <v/>
      </c>
      <c r="AB47" s="70" t="str">
        <f>IF($BJ46&gt;0,IF(INDEX('Final Calculation Sheet'!$AA$4:$AA$40,$BJ46-3)="","",INDEX('Final Calculation Sheet'!$AA$4:$AA$40,$BJ46-3)),IF(OR($BI46=1,$BL46=1,$BH46&gt;0),IF($BI46=1,SUM('Final Calculation Sheet'!$AA$4:$AA$40),IF($BL46=1,SUM('Final Calculation Sheet'!$AA$4:$AA$40)-SUMIFS('Final Calculation Sheet'!$AA$4:$AA$40,$AZ$5:$AZ$41,10),SUMIFS('Final Calculation Sheet'!$AA$4:$AA$40,$AZ$5:$AZ$41,$BH46))),""))</f>
        <v/>
      </c>
      <c r="AC47" s="70" t="str">
        <f>IF($BJ46&gt;0,IF(INDEX('Final Calculation Sheet'!$AB$4:$AB$40,$BJ46-3)="","",INDEX('Final Calculation Sheet'!$AB$4:$AB$40,$BJ46-3)),IF(OR($BI46=1,$BL46=1,$BH46&gt;0),"–",""))</f>
        <v/>
      </c>
      <c r="AD47" s="70" t="str">
        <f>IF($BJ46&gt;0,IF(INDEX('Final Calculation Sheet'!$AC$4:$AC$40,$BJ46-3)="","",INDEX('Final Calculation Sheet'!$AC$4:$AC$40,$BJ46-3)),IF(OR($BI46=1,$BL46=1,$BH46&gt;0),IF($BI46=1,SUM('Final Calculation Sheet'!$AC$4:$AC$40),IF($BL46=1,SUM('Final Calculation Sheet'!$AC$4:$AC$40)-SUMIFS('Final Calculation Sheet'!$AC$4:$AC$40,$AZ$5:$AZ$41,10),SUMIFS('Final Calculation Sheet'!$AC$4:$AC$40,$AZ$5:$AZ$41,$BH46))),""))</f>
        <v/>
      </c>
      <c r="AE47" s="70" t="str">
        <f>IF($BJ46&gt;0,IF(INDEX('Final Calculation Sheet'!$AD$4:$AD$40,$BJ46-3)="","",INDEX('Final Calculation Sheet'!$AD$4:$AD$40,$BJ46-3)),IF(OR($BI46=1,$BL46=1,$BH46&gt;0),IF($BI46=1,SUM('Final Calculation Sheet'!$AD$4:$AD$40),IF($BL46=1,SUM('Final Calculation Sheet'!$AD$4:$AD$40)-SUMIFS('Final Calculation Sheet'!$AD$4:$AD$40,$AZ$5:$AZ$41,10),SUMIFS('Final Calculation Sheet'!$AD$4:$AD$40,$AZ$5:$AZ$41,$BH46))),""))</f>
        <v/>
      </c>
      <c r="AF47" s="70" t="str">
        <f>IF($BJ46&gt;0,IF(INDEX('Final Calculation Sheet'!$AE$4:$AE$40,$BJ46-3)="","",INDEX('Final Calculation Sheet'!$AE$4:$AE$40,$BJ46-3)),IF(OR($BI46=1,$BL46=1,$BH46&gt;0),"–",""))</f>
        <v/>
      </c>
      <c r="AG47" s="74" t="str">
        <f>IF($BJ46&gt;0,IF(INDEX('Final Calculation Sheet'!$AF$4:$AF$40,$BJ46-3)="","",INDEX('Final Calculation Sheet'!$AF$4:$AF$40,$BJ46-3)),IF(OR($BI46=1,$BL46=1,$BH46&gt;0),"–",""))</f>
        <v/>
      </c>
      <c r="AH47" s="70" t="str">
        <f>IF($BJ46&gt;0,IF(INDEX('Final Calculation Sheet'!$AG$4:$AG$40,$BJ46-3)="","",INDEX('Final Calculation Sheet'!$AG$4:$AG$40,$BJ46-3)),IF(OR($BI46=1,$BL46=1,$BH46&gt;0),"–",""))</f>
        <v/>
      </c>
      <c r="AI47" s="75" t="str">
        <f>IF($BJ46&gt;0,IF(INDEX('Final Calculation Sheet'!$AD$4:$AD$40,$BJ46-3)="","",IF(INDEX('Final Calculation Sheet'!$AD$4:$AD$40,$BJ46-3)&lt;=5,"SETTLED","OUTSTANDING")),IF(OR($BI46=1,$BL46=1,$BH46&gt;0),IF(IF($BI46=1,SUM('Final Calculation Sheet'!$AD$4:$AD$40),IF($BL46=1,SUM('Final Calculation Sheet'!$AD$4:$AD$40)-SUMIFS('Final Calculation Sheet'!$AD$4:$AD$40,$AZ$5:$AZ$41,10),SUMIFS('Final Calculation Sheet'!$AD$4:$AD$40,$AZ$5:$AZ$41,$BH46)))&lt;=5,"ALL SETTLED","OUTSTANDING"),""))</f>
        <v/>
      </c>
      <c r="BH47">
        <f>IFERROR(MATCH(47,$BF$4:$BF$13,0),0)</f>
        <v>0</v>
      </c>
      <c r="BI47">
        <f>IF(47=$BG$5,1,0)</f>
        <v>0</v>
      </c>
      <c r="BJ47">
        <f>IF(OR($BH47&gt;0,$BI47=1,$BL47=1),0,IFERROR(INDEX($BC$5:$BC$41,MATCH(47,$BB$5:$BB$41,0)),0))</f>
        <v>0</v>
      </c>
      <c r="BK47">
        <f>IF($BJ47&gt;0,IF(INDEX($AZ$5:$AZ$41,MATCH(47,$BB$5:$BB$41,0))=10,1,0),IF($BH47=10,1,0))</f>
        <v>0</v>
      </c>
      <c r="BL47">
        <f>IF(47=$BG$4,1,0)</f>
        <v>0</v>
      </c>
    </row>
    <row r="48" ht="15" customHeight="1" s="137">
      <c r="A48" s="67" t="str">
        <f>IF($BJ47&gt;0,INDEX($BA$5:$BA$41,MATCH(47,$BB$5:$BB$41,0)),IF(OR($BI47=1,$BL47=1,$BH47&gt;0),"∑",""))</f>
        <v/>
      </c>
      <c r="B48" s="76" t="str">
        <f>IF($BJ47&gt;0,IF(INDEX('Final Calculation Sheet'!$F$4:$F$40,$BJ47-3)="","",INDEX('Final Calculation Sheet'!$F$4:$F$40,$BJ47-3)),"")</f>
        <v/>
      </c>
      <c r="C48" s="76" t="str">
        <f>IF($BJ47&gt;0,IF(INDEX('Final Calculation Sheet'!$G$4:$G$40,$BJ47-3)="","",INDEX('Final Calculation Sheet'!$G$4:$G$40,$BJ47-3)),IF(OR($BI47=1,$BL47=1,$BH47&gt;0),IF($BI47=1,37,IF($BL47=1,37-INDEX($BD$4:$BD$13,10),INDEX($BD$4:$BD$13,$BH47)))&amp;" lot(s)",""))</f>
        <v/>
      </c>
      <c r="D48" s="80" t="str">
        <f>IF($BJ47&gt;0,IF(INDEX('Final Calculation Sheet'!$B$4:$B$40,$BJ47-3)="","",INDEX('Final Calculation Sheet'!$B$4:$B$40,$BJ47-3)),IF(OR($BI47=1,$BL47=1,$BH47&gt;0),IF($BI47=1,"GRAND TOTAL  —  matching + remaining",IF($BL47=1,"TOTAL MATCHED  —  every group together",IF($BH47=10,"REMAINING  —  did not match the search",IF($BH47=9,IF(COUNTIF($A$4:$AI$4,"&lt;&gt;")&gt;0,"FILTERED LOTS  —  column fields","ALL LOTS  —  nothing typed in the box"),"GROUP "&amp;$BH47&amp;" TOTAL  —  lots matching  "&amp;INDEX($AR$6:$AY$6,$BH47))))),""))</f>
        <v/>
      </c>
      <c r="E48" s="80" t="str">
        <f>IF($BJ47&gt;0,IF(INDEX('Final Calculation Sheet'!$D$4:$D$40,$BJ47-3)="","",INDEX('Final Calculation Sheet'!$D$4:$D$40,$BJ47-3)),IF(OR($BI47=1,$BL47=1,$BH47&gt;0),"–",""))</f>
        <v/>
      </c>
      <c r="F48" s="80" t="str">
        <f>IF($BJ47&gt;0,IF(INDEX('Final Calculation Sheet'!$A$4:$A$40,$BJ47-3)="","",INDEX('Final Calculation Sheet'!$A$4:$A$40,$BJ47-3)),IF(OR($BI47=1,$BL47=1,$BH47&gt;0),IF($BI47=1,SUM('Final Calculation Sheet'!$A$4:$A$40),IF($BL47=1,SUM('Final Calculation Sheet'!$A$4:$A$40)-SUMIFS('Final Calculation Sheet'!$A$4:$A$40,$AZ$5:$AZ$41,10),SUMIFS('Final Calculation Sheet'!$A$4:$A$40,$AZ$5:$AZ$41,$BH47))),""))</f>
        <v/>
      </c>
      <c r="G48" s="80" t="str">
        <f>IF($BJ47&gt;0,IF(INDEX('Final Calculation Sheet'!$E$4:$E$40,$BJ47-3)="","",INDEX('Final Calculation Sheet'!$E$4:$E$40,$BJ47-3)),IF(OR($BI47=1,$BL47=1,$BH47&gt;0),"–",""))</f>
        <v/>
      </c>
      <c r="H48" s="70" t="str">
        <f>IF($BJ47&gt;0,IF(INDEX('Final Calculation Sheet'!$C$4:$C$40,$BJ47-3)="","",INDEX('Final Calculation Sheet'!$C$4:$C$40,$BJ47-3)),IF(OR($BI47=1,$BL47=1,$BH47&gt;0),"–",""))</f>
        <v/>
      </c>
      <c r="I48" s="70" t="str">
        <f>IF($BJ47&gt;0,IF(INDEX('Final Calculation Sheet'!$H$4:$H$40,$BJ47-3)="","",INDEX('Final Calculation Sheet'!$H$4:$H$40,$BJ47-3)),IF(OR($BI47=1,$BL47=1,$BH47&gt;0),IF($BI47=1,SUM('Final Calculation Sheet'!$H$4:$H$40),IF($BL47=1,SUM('Final Calculation Sheet'!$H$4:$H$40)-SUMIFS('Final Calculation Sheet'!$H$4:$H$40,$AZ$5:$AZ$41,10),SUMIFS('Final Calculation Sheet'!$H$4:$H$40,$AZ$5:$AZ$41,$BH47))),""))</f>
        <v/>
      </c>
      <c r="J48" s="70" t="str">
        <f>IF($BJ47&gt;0,IF(INDEX('Final Calculation Sheet'!$I$4:$I$40,$BJ47-3)="","",INDEX('Final Calculation Sheet'!$I$4:$I$40,$BJ47-3)),IF(OR($BI47=1,$BL47=1,$BH47&gt;0),IF($BI47=1,SUM('Final Calculation Sheet'!$I$4:$I$40),IF($BL47=1,SUM('Final Calculation Sheet'!$I$4:$I$40)-SUMIFS('Final Calculation Sheet'!$I$4:$I$40,$AZ$5:$AZ$41,10),SUMIFS('Final Calculation Sheet'!$I$4:$I$40,$AZ$5:$AZ$41,$BH47))),""))</f>
        <v/>
      </c>
      <c r="K48" s="70" t="str">
        <f>IF($BJ47&gt;0,IF(INDEX('Final Calculation Sheet'!$J$4:$J$40,$BJ47-3)="","",INDEX('Final Calculation Sheet'!$J$4:$J$40,$BJ47-3)),IF(OR($BI47=1,$BL47=1,$BH47&gt;0),IF($BI47=1,SUM('Final Calculation Sheet'!$J$4:$J$40),IF($BL47=1,SUM('Final Calculation Sheet'!$J$4:$J$40)-SUMIFS('Final Calculation Sheet'!$J$4:$J$40,$AZ$5:$AZ$41,10),SUMIFS('Final Calculation Sheet'!$J$4:$J$40,$AZ$5:$AZ$41,$BH47))),""))</f>
        <v/>
      </c>
      <c r="L48" s="70" t="str">
        <f>IF($BJ47&gt;0,IF(INDEX('Final Calculation Sheet'!$K$4:$K$40,$BJ47-3)="","",INDEX('Final Calculation Sheet'!$K$4:$K$40,$BJ47-3)),IF(OR($BI47=1,$BL47=1,$BH47&gt;0),IF($BI47=1,SUM('Final Calculation Sheet'!$K$4:$K$40),IF($BL47=1,SUM('Final Calculation Sheet'!$K$4:$K$40)-SUMIFS('Final Calculation Sheet'!$K$4:$K$40,$AZ$5:$AZ$41,10),SUMIFS('Final Calculation Sheet'!$K$4:$K$40,$AZ$5:$AZ$41,$BH47))),""))</f>
        <v/>
      </c>
      <c r="M48" s="70" t="str">
        <f>IF($BJ47&gt;0,IF(INDEX('Final Calculation Sheet'!$L$4:$L$40,$BJ47-3)="","",INDEX('Final Calculation Sheet'!$L$4:$L$40,$BJ47-3)),IF(OR($BI47=1,$BL47=1,$BH47&gt;0),IF($BI47=1,SUM('Final Calculation Sheet'!$L$4:$L$40),IF($BL47=1,SUM('Final Calculation Sheet'!$L$4:$L$40)-SUMIFS('Final Calculation Sheet'!$L$4:$L$40,$AZ$5:$AZ$41,10),SUMIFS('Final Calculation Sheet'!$L$4:$L$40,$AZ$5:$AZ$41,$BH47))),""))</f>
        <v/>
      </c>
      <c r="N48" s="70" t="str">
        <f>IF($BJ47&gt;0,IF(INDEX('Final Calculation Sheet'!$M$4:$M$40,$BJ47-3)="","",INDEX('Final Calculation Sheet'!$M$4:$M$40,$BJ47-3)),IF(OR($BI47=1,$BL47=1,$BH47&gt;0),IF($BI47=1,SUM('Final Calculation Sheet'!$M$4:$M$40),IF($BL47=1,SUM('Final Calculation Sheet'!$M$4:$M$40)-SUMIFS('Final Calculation Sheet'!$M$4:$M$40,$AZ$5:$AZ$41,10),SUMIFS('Final Calculation Sheet'!$M$4:$M$40,$AZ$5:$AZ$41,$BH47))),""))</f>
        <v/>
      </c>
      <c r="O48" s="71" t="str">
        <f>IF($BJ47&gt;0,IF(INDEX('Final Calculation Sheet'!$N$4:$N$40,$BJ47-3)="","",INDEX('Final Calculation Sheet'!$N$4:$N$40,$BJ47-3)),IF(OR($BI47=1,$BL47=1,$BH47&gt;0),IF($BI47=1,SUM('Final Calculation Sheet'!$N$4:$N$40),IF($BL47=1,SUM('Final Calculation Sheet'!$N$4:$N$40)-SUMIFS('Final Calculation Sheet'!$N$4:$N$40,$AZ$5:$AZ$41,10),SUMIFS('Final Calculation Sheet'!$N$4:$N$40,$AZ$5:$AZ$41,$BH47))),""))</f>
        <v/>
      </c>
      <c r="P48" s="70" t="str">
        <f>IF($BJ47&gt;0,IF(INDEX('Final Calculation Sheet'!$O$4:$O$40,$BJ47-3)="","",INDEX('Final Calculation Sheet'!$O$4:$O$40,$BJ47-3)),IF(OR($BI47=1,$BL47=1,$BH47&gt;0),IF($BI47=1,SUM('Final Calculation Sheet'!$O$4:$O$40),IF($BL47=1,SUM('Final Calculation Sheet'!$O$4:$O$40)-SUMIFS('Final Calculation Sheet'!$O$4:$O$40,$AZ$5:$AZ$41,10),SUMIFS('Final Calculation Sheet'!$O$4:$O$40,$AZ$5:$AZ$41,$BH47))),""))</f>
        <v/>
      </c>
      <c r="Q48" s="70" t="str">
        <f>IF($BJ47&gt;0,IF(INDEX('Final Calculation Sheet'!$P$4:$P$40,$BJ47-3)="","",INDEX('Final Calculation Sheet'!$P$4:$P$40,$BJ47-3)),IF(OR($BI47=1,$BL47=1,$BH47&gt;0),IF($BI47=1,SUM('Final Calculation Sheet'!$P$4:$P$40),IF($BL47=1,SUM('Final Calculation Sheet'!$P$4:$P$40)-SUMIFS('Final Calculation Sheet'!$P$4:$P$40,$AZ$5:$AZ$41,10),SUMIFS('Final Calculation Sheet'!$P$4:$P$40,$AZ$5:$AZ$41,$BH47))),""))</f>
        <v/>
      </c>
      <c r="R48" s="72" t="str">
        <f>IF($BJ47&gt;0,IF(INDEX('Final Calculation Sheet'!$Q$4:$Q$40,$BJ47-3)="","",INDEX('Final Calculation Sheet'!$Q$4:$Q$40,$BJ47-3)),IF(OR($BI47=1,$BL47=1,$BH47&gt;0),"–",""))</f>
        <v/>
      </c>
      <c r="S48" s="70" t="str">
        <f>IF($BJ47&gt;0,IF(INDEX('Final Calculation Sheet'!$R$4:$R$40,$BJ47-3)="","",INDEX('Final Calculation Sheet'!$R$4:$R$40,$BJ47-3)),IF(OR($BI47=1,$BL47=1,$BH47&gt;0),IF($BI47=1,SUM('Final Calculation Sheet'!$R$4:$R$40),IF($BL47=1,SUM('Final Calculation Sheet'!$R$4:$R$40)-SUMIFS('Final Calculation Sheet'!$R$4:$R$40,$AZ$5:$AZ$41,10),SUMIFS('Final Calculation Sheet'!$R$4:$R$40,$AZ$5:$AZ$41,$BH47))),""))</f>
        <v/>
      </c>
      <c r="T48" s="70" t="str">
        <f>IF($BJ47&gt;0,IF(INDEX('Final Calculation Sheet'!$S$4:$S$40,$BJ47-3)="","",INDEX('Final Calculation Sheet'!$S$4:$S$40,$BJ47-3)),IF(OR($BI47=1,$BL47=1,$BH47&gt;0),IF($BI47=1,SUM('Final Calculation Sheet'!$S$4:$S$40),IF($BL47=1,SUM('Final Calculation Sheet'!$S$4:$S$40)-SUMIFS('Final Calculation Sheet'!$S$4:$S$40,$AZ$5:$AZ$41,10),SUMIFS('Final Calculation Sheet'!$S$4:$S$40,$AZ$5:$AZ$41,$BH47))),""))</f>
        <v/>
      </c>
      <c r="U48" s="70" t="str">
        <f>IF($BJ47&gt;0,IF(INDEX('Final Calculation Sheet'!$T$4:$T$40,$BJ47-3)="","",INDEX('Final Calculation Sheet'!$T$4:$T$40,$BJ47-3)),IF(OR($BI47=1,$BL47=1,$BH47&gt;0),IF($BI47=1,SUM('Final Calculation Sheet'!$T$4:$T$40),IF($BL47=1,SUM('Final Calculation Sheet'!$T$4:$T$40)-SUMIFS('Final Calculation Sheet'!$T$4:$T$40,$AZ$5:$AZ$41,10),SUMIFS('Final Calculation Sheet'!$T$4:$T$40,$AZ$5:$AZ$41,$BH47))),""))</f>
        <v/>
      </c>
      <c r="V48" s="73" t="str">
        <f>IF($BJ47&gt;0,IF(INDEX('Final Calculation Sheet'!$U$4:$U$40,$BJ47-3)="","",INDEX('Final Calculation Sheet'!$U$4:$U$40,$BJ47-3)),IF(OR($BI47=1,$BL47=1,$BH47&gt;0),IF($BI47=1,SUM('Final Calculation Sheet'!$U$4:$U$40),IF($BL47=1,SUM('Final Calculation Sheet'!$U$4:$U$40)-SUMIFS('Final Calculation Sheet'!$U$4:$U$40,$AZ$5:$AZ$41,10),SUMIFS('Final Calculation Sheet'!$U$4:$U$40,$AZ$5:$AZ$41,$BH47))),""))</f>
        <v/>
      </c>
      <c r="W48" s="70" t="str">
        <f>IF($BJ47&gt;0,IF(INDEX('Final Calculation Sheet'!$V$4:$V$40,$BJ47-3)="","",INDEX('Final Calculation Sheet'!$V$4:$V$40,$BJ47-3)),IF(OR($BI47=1,$BL47=1,$BH47&gt;0),"–",""))</f>
        <v/>
      </c>
      <c r="X48" s="70" t="str">
        <f>IF($BJ47&gt;0,IF(INDEX('Final Calculation Sheet'!$W$4:$W$40,$BJ47-3)="","",INDEX('Final Calculation Sheet'!$W$4:$W$40,$BJ47-3)),IF(OR($BI47=1,$BL47=1,$BH47&gt;0),IF($BI47=1,SUM('Final Calculation Sheet'!$W$4:$W$40),IF($BL47=1,SUM('Final Calculation Sheet'!$W$4:$W$40)-SUMIFS('Final Calculation Sheet'!$W$4:$W$40,$AZ$5:$AZ$41,10),SUMIFS('Final Calculation Sheet'!$W$4:$W$40,$AZ$5:$AZ$41,$BH47))),""))</f>
        <v/>
      </c>
      <c r="Y48" s="70" t="str">
        <f>IF($BJ47&gt;0,IF(INDEX('Final Calculation Sheet'!$X$4:$X$40,$BJ47-3)="","",INDEX('Final Calculation Sheet'!$X$4:$X$40,$BJ47-3)),IF(OR($BI47=1,$BL47=1,$BH47&gt;0),IF($BI47=1,SUM('Final Calculation Sheet'!$X$4:$X$40),IF($BL47=1,SUM('Final Calculation Sheet'!$X$4:$X$40)-SUMIFS('Final Calculation Sheet'!$X$4:$X$40,$AZ$5:$AZ$41,10),SUMIFS('Final Calculation Sheet'!$X$4:$X$40,$AZ$5:$AZ$41,$BH47))),""))</f>
        <v/>
      </c>
      <c r="Z48" s="70" t="str">
        <f>IF($BJ47&gt;0,IF(INDEX('Final Calculation Sheet'!$Y$4:$Y$40,$BJ47-3)="","",INDEX('Final Calculation Sheet'!$Y$4:$Y$40,$BJ47-3)),IF(OR($BI47=1,$BL47=1,$BH47&gt;0),"–",""))</f>
        <v/>
      </c>
      <c r="AA48" s="70" t="str">
        <f>IF($BJ47&gt;0,IF(INDEX('Final Calculation Sheet'!$Z$4:$Z$40,$BJ47-3)="","",INDEX('Final Calculation Sheet'!$Z$4:$Z$40,$BJ47-3)),IF(OR($BI47=1,$BL47=1,$BH47&gt;0),IF($BI47=1,SUM('Final Calculation Sheet'!$Z$4:$Z$40),IF($BL47=1,SUM('Final Calculation Sheet'!$Z$4:$Z$40)-SUMIFS('Final Calculation Sheet'!$Z$4:$Z$40,$AZ$5:$AZ$41,10),SUMIFS('Final Calculation Sheet'!$Z$4:$Z$40,$AZ$5:$AZ$41,$BH47))),""))</f>
        <v/>
      </c>
      <c r="AB48" s="70" t="str">
        <f>IF($BJ47&gt;0,IF(INDEX('Final Calculation Sheet'!$AA$4:$AA$40,$BJ47-3)="","",INDEX('Final Calculation Sheet'!$AA$4:$AA$40,$BJ47-3)),IF(OR($BI47=1,$BL47=1,$BH47&gt;0),IF($BI47=1,SUM('Final Calculation Sheet'!$AA$4:$AA$40),IF($BL47=1,SUM('Final Calculation Sheet'!$AA$4:$AA$40)-SUMIFS('Final Calculation Sheet'!$AA$4:$AA$40,$AZ$5:$AZ$41,10),SUMIFS('Final Calculation Sheet'!$AA$4:$AA$40,$AZ$5:$AZ$41,$BH47))),""))</f>
        <v/>
      </c>
      <c r="AC48" s="70" t="str">
        <f>IF($BJ47&gt;0,IF(INDEX('Final Calculation Sheet'!$AB$4:$AB$40,$BJ47-3)="","",INDEX('Final Calculation Sheet'!$AB$4:$AB$40,$BJ47-3)),IF(OR($BI47=1,$BL47=1,$BH47&gt;0),"–",""))</f>
        <v/>
      </c>
      <c r="AD48" s="70" t="str">
        <f>IF($BJ47&gt;0,IF(INDEX('Final Calculation Sheet'!$AC$4:$AC$40,$BJ47-3)="","",INDEX('Final Calculation Sheet'!$AC$4:$AC$40,$BJ47-3)),IF(OR($BI47=1,$BL47=1,$BH47&gt;0),IF($BI47=1,SUM('Final Calculation Sheet'!$AC$4:$AC$40),IF($BL47=1,SUM('Final Calculation Sheet'!$AC$4:$AC$40)-SUMIFS('Final Calculation Sheet'!$AC$4:$AC$40,$AZ$5:$AZ$41,10),SUMIFS('Final Calculation Sheet'!$AC$4:$AC$40,$AZ$5:$AZ$41,$BH47))),""))</f>
        <v/>
      </c>
      <c r="AE48" s="70" t="str">
        <f>IF($BJ47&gt;0,IF(INDEX('Final Calculation Sheet'!$AD$4:$AD$40,$BJ47-3)="","",INDEX('Final Calculation Sheet'!$AD$4:$AD$40,$BJ47-3)),IF(OR($BI47=1,$BL47=1,$BH47&gt;0),IF($BI47=1,SUM('Final Calculation Sheet'!$AD$4:$AD$40),IF($BL47=1,SUM('Final Calculation Sheet'!$AD$4:$AD$40)-SUMIFS('Final Calculation Sheet'!$AD$4:$AD$40,$AZ$5:$AZ$41,10),SUMIFS('Final Calculation Sheet'!$AD$4:$AD$40,$AZ$5:$AZ$41,$BH47))),""))</f>
        <v/>
      </c>
      <c r="AF48" s="70" t="str">
        <f>IF($BJ47&gt;0,IF(INDEX('Final Calculation Sheet'!$AE$4:$AE$40,$BJ47-3)="","",INDEX('Final Calculation Sheet'!$AE$4:$AE$40,$BJ47-3)),IF(OR($BI47=1,$BL47=1,$BH47&gt;0),"–",""))</f>
        <v/>
      </c>
      <c r="AG48" s="74" t="str">
        <f>IF($BJ47&gt;0,IF(INDEX('Final Calculation Sheet'!$AF$4:$AF$40,$BJ47-3)="","",INDEX('Final Calculation Sheet'!$AF$4:$AF$40,$BJ47-3)),IF(OR($BI47=1,$BL47=1,$BH47&gt;0),"–",""))</f>
        <v/>
      </c>
      <c r="AH48" s="70" t="str">
        <f>IF($BJ47&gt;0,IF(INDEX('Final Calculation Sheet'!$AG$4:$AG$40,$BJ47-3)="","",INDEX('Final Calculation Sheet'!$AG$4:$AG$40,$BJ47-3)),IF(OR($BI47=1,$BL47=1,$BH47&gt;0),"–",""))</f>
        <v/>
      </c>
      <c r="AI48" s="75" t="str">
        <f>IF($BJ47&gt;0,IF(INDEX('Final Calculation Sheet'!$AD$4:$AD$40,$BJ47-3)="","",IF(INDEX('Final Calculation Sheet'!$AD$4:$AD$40,$BJ47-3)&lt;=5,"SETTLED","OUTSTANDING")),IF(OR($BI47=1,$BL47=1,$BH47&gt;0),IF(IF($BI47=1,SUM('Final Calculation Sheet'!$AD$4:$AD$40),IF($BL47=1,SUM('Final Calculation Sheet'!$AD$4:$AD$40)-SUMIFS('Final Calculation Sheet'!$AD$4:$AD$40,$AZ$5:$AZ$41,10),SUMIFS('Final Calculation Sheet'!$AD$4:$AD$40,$AZ$5:$AZ$41,$BH47)))&lt;=5,"ALL SETTLED","OUTSTANDING"),""))</f>
        <v/>
      </c>
      <c r="BH48">
        <f>IFERROR(MATCH(48,$BF$4:$BF$13,0),0)</f>
        <v>0</v>
      </c>
      <c r="BI48">
        <f>IF(48=$BG$5,1,0)</f>
        <v>0</v>
      </c>
      <c r="BJ48">
        <f>IF(OR($BH48&gt;0,$BI48=1,$BL48=1),0,IFERROR(INDEX($BC$5:$BC$41,MATCH(48,$BB$5:$BB$41,0)),0))</f>
        <v>0</v>
      </c>
      <c r="BK48">
        <f>IF($BJ48&gt;0,IF(INDEX($AZ$5:$AZ$41,MATCH(48,$BB$5:$BB$41,0))=10,1,0),IF($BH48=10,1,0))</f>
        <v>0</v>
      </c>
      <c r="BL48">
        <f>IF(48=$BG$4,1,0)</f>
        <v>0</v>
      </c>
    </row>
    <row r="49" ht="15" customHeight="1" s="137">
      <c r="A49" s="67" t="str">
        <f>IF($BJ48&gt;0,INDEX($BA$5:$BA$41,MATCH(48,$BB$5:$BB$41,0)),IF(OR($BI48=1,$BL48=1,$BH48&gt;0),"∑",""))</f>
        <v/>
      </c>
      <c r="B49" s="76" t="str">
        <f>IF($BJ48&gt;0,IF(INDEX('Final Calculation Sheet'!$F$4:$F$40,$BJ48-3)="","",INDEX('Final Calculation Sheet'!$F$4:$F$40,$BJ48-3)),"")</f>
        <v/>
      </c>
      <c r="C49" s="76" t="str">
        <f>IF($BJ48&gt;0,IF(INDEX('Final Calculation Sheet'!$G$4:$G$40,$BJ48-3)="","",INDEX('Final Calculation Sheet'!$G$4:$G$40,$BJ48-3)),IF(OR($BI48=1,$BL48=1,$BH48&gt;0),IF($BI48=1,37,IF($BL48=1,37-INDEX($BD$4:$BD$13,10),INDEX($BD$4:$BD$13,$BH48)))&amp;" lot(s)",""))</f>
        <v/>
      </c>
      <c r="D49" s="80" t="str">
        <f>IF($BJ48&gt;0,IF(INDEX('Final Calculation Sheet'!$B$4:$B$40,$BJ48-3)="","",INDEX('Final Calculation Sheet'!$B$4:$B$40,$BJ48-3)),IF(OR($BI48=1,$BL48=1,$BH48&gt;0),IF($BI48=1,"GRAND TOTAL  —  matching + remaining",IF($BL48=1,"TOTAL MATCHED  —  every group together",IF($BH48=10,"REMAINING  —  did not match the search",IF($BH48=9,IF(COUNTIF($A$4:$AI$4,"&lt;&gt;")&gt;0,"FILTERED LOTS  —  column fields","ALL LOTS  —  nothing typed in the box"),"GROUP "&amp;$BH48&amp;" TOTAL  —  lots matching  "&amp;INDEX($AR$6:$AY$6,$BH48))))),""))</f>
        <v/>
      </c>
      <c r="E49" s="80" t="str">
        <f>IF($BJ48&gt;0,IF(INDEX('Final Calculation Sheet'!$D$4:$D$40,$BJ48-3)="","",INDEX('Final Calculation Sheet'!$D$4:$D$40,$BJ48-3)),IF(OR($BI48=1,$BL48=1,$BH48&gt;0),"–",""))</f>
        <v/>
      </c>
      <c r="F49" s="80" t="str">
        <f>IF($BJ48&gt;0,IF(INDEX('Final Calculation Sheet'!$A$4:$A$40,$BJ48-3)="","",INDEX('Final Calculation Sheet'!$A$4:$A$40,$BJ48-3)),IF(OR($BI48=1,$BL48=1,$BH48&gt;0),IF($BI48=1,SUM('Final Calculation Sheet'!$A$4:$A$40),IF($BL48=1,SUM('Final Calculation Sheet'!$A$4:$A$40)-SUMIFS('Final Calculation Sheet'!$A$4:$A$40,$AZ$5:$AZ$41,10),SUMIFS('Final Calculation Sheet'!$A$4:$A$40,$AZ$5:$AZ$41,$BH48))),""))</f>
        <v/>
      </c>
      <c r="G49" s="80" t="str">
        <f>IF($BJ48&gt;0,IF(INDEX('Final Calculation Sheet'!$E$4:$E$40,$BJ48-3)="","",INDEX('Final Calculation Sheet'!$E$4:$E$40,$BJ48-3)),IF(OR($BI48=1,$BL48=1,$BH48&gt;0),"–",""))</f>
        <v/>
      </c>
      <c r="H49" s="70" t="str">
        <f>IF($BJ48&gt;0,IF(INDEX('Final Calculation Sheet'!$C$4:$C$40,$BJ48-3)="","",INDEX('Final Calculation Sheet'!$C$4:$C$40,$BJ48-3)),IF(OR($BI48=1,$BL48=1,$BH48&gt;0),"–",""))</f>
        <v/>
      </c>
      <c r="I49" s="70" t="str">
        <f>IF($BJ48&gt;0,IF(INDEX('Final Calculation Sheet'!$H$4:$H$40,$BJ48-3)="","",INDEX('Final Calculation Sheet'!$H$4:$H$40,$BJ48-3)),IF(OR($BI48=1,$BL48=1,$BH48&gt;0),IF($BI48=1,SUM('Final Calculation Sheet'!$H$4:$H$40),IF($BL48=1,SUM('Final Calculation Sheet'!$H$4:$H$40)-SUMIFS('Final Calculation Sheet'!$H$4:$H$40,$AZ$5:$AZ$41,10),SUMIFS('Final Calculation Sheet'!$H$4:$H$40,$AZ$5:$AZ$41,$BH48))),""))</f>
        <v/>
      </c>
      <c r="J49" s="70" t="str">
        <f>IF($BJ48&gt;0,IF(INDEX('Final Calculation Sheet'!$I$4:$I$40,$BJ48-3)="","",INDEX('Final Calculation Sheet'!$I$4:$I$40,$BJ48-3)),IF(OR($BI48=1,$BL48=1,$BH48&gt;0),IF($BI48=1,SUM('Final Calculation Sheet'!$I$4:$I$40),IF($BL48=1,SUM('Final Calculation Sheet'!$I$4:$I$40)-SUMIFS('Final Calculation Sheet'!$I$4:$I$40,$AZ$5:$AZ$41,10),SUMIFS('Final Calculation Sheet'!$I$4:$I$40,$AZ$5:$AZ$41,$BH48))),""))</f>
        <v/>
      </c>
      <c r="K49" s="70" t="str">
        <f>IF($BJ48&gt;0,IF(INDEX('Final Calculation Sheet'!$J$4:$J$40,$BJ48-3)="","",INDEX('Final Calculation Sheet'!$J$4:$J$40,$BJ48-3)),IF(OR($BI48=1,$BL48=1,$BH48&gt;0),IF($BI48=1,SUM('Final Calculation Sheet'!$J$4:$J$40),IF($BL48=1,SUM('Final Calculation Sheet'!$J$4:$J$40)-SUMIFS('Final Calculation Sheet'!$J$4:$J$40,$AZ$5:$AZ$41,10),SUMIFS('Final Calculation Sheet'!$J$4:$J$40,$AZ$5:$AZ$41,$BH48))),""))</f>
        <v/>
      </c>
      <c r="L49" s="70" t="str">
        <f>IF($BJ48&gt;0,IF(INDEX('Final Calculation Sheet'!$K$4:$K$40,$BJ48-3)="","",INDEX('Final Calculation Sheet'!$K$4:$K$40,$BJ48-3)),IF(OR($BI48=1,$BL48=1,$BH48&gt;0),IF($BI48=1,SUM('Final Calculation Sheet'!$K$4:$K$40),IF($BL48=1,SUM('Final Calculation Sheet'!$K$4:$K$40)-SUMIFS('Final Calculation Sheet'!$K$4:$K$40,$AZ$5:$AZ$41,10),SUMIFS('Final Calculation Sheet'!$K$4:$K$40,$AZ$5:$AZ$41,$BH48))),""))</f>
        <v/>
      </c>
      <c r="M49" s="70" t="str">
        <f>IF($BJ48&gt;0,IF(INDEX('Final Calculation Sheet'!$L$4:$L$40,$BJ48-3)="","",INDEX('Final Calculation Sheet'!$L$4:$L$40,$BJ48-3)),IF(OR($BI48=1,$BL48=1,$BH48&gt;0),IF($BI48=1,SUM('Final Calculation Sheet'!$L$4:$L$40),IF($BL48=1,SUM('Final Calculation Sheet'!$L$4:$L$40)-SUMIFS('Final Calculation Sheet'!$L$4:$L$40,$AZ$5:$AZ$41,10),SUMIFS('Final Calculation Sheet'!$L$4:$L$40,$AZ$5:$AZ$41,$BH48))),""))</f>
        <v/>
      </c>
      <c r="N49" s="70" t="str">
        <f>IF($BJ48&gt;0,IF(INDEX('Final Calculation Sheet'!$M$4:$M$40,$BJ48-3)="","",INDEX('Final Calculation Sheet'!$M$4:$M$40,$BJ48-3)),IF(OR($BI48=1,$BL48=1,$BH48&gt;0),IF($BI48=1,SUM('Final Calculation Sheet'!$M$4:$M$40),IF($BL48=1,SUM('Final Calculation Sheet'!$M$4:$M$40)-SUMIFS('Final Calculation Sheet'!$M$4:$M$40,$AZ$5:$AZ$41,10),SUMIFS('Final Calculation Sheet'!$M$4:$M$40,$AZ$5:$AZ$41,$BH48))),""))</f>
        <v/>
      </c>
      <c r="O49" s="71" t="str">
        <f>IF($BJ48&gt;0,IF(INDEX('Final Calculation Sheet'!$N$4:$N$40,$BJ48-3)="","",INDEX('Final Calculation Sheet'!$N$4:$N$40,$BJ48-3)),IF(OR($BI48=1,$BL48=1,$BH48&gt;0),IF($BI48=1,SUM('Final Calculation Sheet'!$N$4:$N$40),IF($BL48=1,SUM('Final Calculation Sheet'!$N$4:$N$40)-SUMIFS('Final Calculation Sheet'!$N$4:$N$40,$AZ$5:$AZ$41,10),SUMIFS('Final Calculation Sheet'!$N$4:$N$40,$AZ$5:$AZ$41,$BH48))),""))</f>
        <v/>
      </c>
      <c r="P49" s="70" t="str">
        <f>IF($BJ48&gt;0,IF(INDEX('Final Calculation Sheet'!$O$4:$O$40,$BJ48-3)="","",INDEX('Final Calculation Sheet'!$O$4:$O$40,$BJ48-3)),IF(OR($BI48=1,$BL48=1,$BH48&gt;0),IF($BI48=1,SUM('Final Calculation Sheet'!$O$4:$O$40),IF($BL48=1,SUM('Final Calculation Sheet'!$O$4:$O$40)-SUMIFS('Final Calculation Sheet'!$O$4:$O$40,$AZ$5:$AZ$41,10),SUMIFS('Final Calculation Sheet'!$O$4:$O$40,$AZ$5:$AZ$41,$BH48))),""))</f>
        <v/>
      </c>
      <c r="Q49" s="70" t="str">
        <f>IF($BJ48&gt;0,IF(INDEX('Final Calculation Sheet'!$P$4:$P$40,$BJ48-3)="","",INDEX('Final Calculation Sheet'!$P$4:$P$40,$BJ48-3)),IF(OR($BI48=1,$BL48=1,$BH48&gt;0),IF($BI48=1,SUM('Final Calculation Sheet'!$P$4:$P$40),IF($BL48=1,SUM('Final Calculation Sheet'!$P$4:$P$40)-SUMIFS('Final Calculation Sheet'!$P$4:$P$40,$AZ$5:$AZ$41,10),SUMIFS('Final Calculation Sheet'!$P$4:$P$40,$AZ$5:$AZ$41,$BH48))),""))</f>
        <v/>
      </c>
      <c r="R49" s="72" t="str">
        <f>IF($BJ48&gt;0,IF(INDEX('Final Calculation Sheet'!$Q$4:$Q$40,$BJ48-3)="","",INDEX('Final Calculation Sheet'!$Q$4:$Q$40,$BJ48-3)),IF(OR($BI48=1,$BL48=1,$BH48&gt;0),"–",""))</f>
        <v/>
      </c>
      <c r="S49" s="70" t="str">
        <f>IF($BJ48&gt;0,IF(INDEX('Final Calculation Sheet'!$R$4:$R$40,$BJ48-3)="","",INDEX('Final Calculation Sheet'!$R$4:$R$40,$BJ48-3)),IF(OR($BI48=1,$BL48=1,$BH48&gt;0),IF($BI48=1,SUM('Final Calculation Sheet'!$R$4:$R$40),IF($BL48=1,SUM('Final Calculation Sheet'!$R$4:$R$40)-SUMIFS('Final Calculation Sheet'!$R$4:$R$40,$AZ$5:$AZ$41,10),SUMIFS('Final Calculation Sheet'!$R$4:$R$40,$AZ$5:$AZ$41,$BH48))),""))</f>
        <v/>
      </c>
      <c r="T49" s="70" t="str">
        <f>IF($BJ48&gt;0,IF(INDEX('Final Calculation Sheet'!$S$4:$S$40,$BJ48-3)="","",INDEX('Final Calculation Sheet'!$S$4:$S$40,$BJ48-3)),IF(OR($BI48=1,$BL48=1,$BH48&gt;0),IF($BI48=1,SUM('Final Calculation Sheet'!$S$4:$S$40),IF($BL48=1,SUM('Final Calculation Sheet'!$S$4:$S$40)-SUMIFS('Final Calculation Sheet'!$S$4:$S$40,$AZ$5:$AZ$41,10),SUMIFS('Final Calculation Sheet'!$S$4:$S$40,$AZ$5:$AZ$41,$BH48))),""))</f>
        <v/>
      </c>
      <c r="U49" s="70" t="str">
        <f>IF($BJ48&gt;0,IF(INDEX('Final Calculation Sheet'!$T$4:$T$40,$BJ48-3)="","",INDEX('Final Calculation Sheet'!$T$4:$T$40,$BJ48-3)),IF(OR($BI48=1,$BL48=1,$BH48&gt;0),IF($BI48=1,SUM('Final Calculation Sheet'!$T$4:$T$40),IF($BL48=1,SUM('Final Calculation Sheet'!$T$4:$T$40)-SUMIFS('Final Calculation Sheet'!$T$4:$T$40,$AZ$5:$AZ$41,10),SUMIFS('Final Calculation Sheet'!$T$4:$T$40,$AZ$5:$AZ$41,$BH48))),""))</f>
        <v/>
      </c>
      <c r="V49" s="73" t="str">
        <f>IF($BJ48&gt;0,IF(INDEX('Final Calculation Sheet'!$U$4:$U$40,$BJ48-3)="","",INDEX('Final Calculation Sheet'!$U$4:$U$40,$BJ48-3)),IF(OR($BI48=1,$BL48=1,$BH48&gt;0),IF($BI48=1,SUM('Final Calculation Sheet'!$U$4:$U$40),IF($BL48=1,SUM('Final Calculation Sheet'!$U$4:$U$40)-SUMIFS('Final Calculation Sheet'!$U$4:$U$40,$AZ$5:$AZ$41,10),SUMIFS('Final Calculation Sheet'!$U$4:$U$40,$AZ$5:$AZ$41,$BH48))),""))</f>
        <v/>
      </c>
      <c r="W49" s="70" t="str">
        <f>IF($BJ48&gt;0,IF(INDEX('Final Calculation Sheet'!$V$4:$V$40,$BJ48-3)="","",INDEX('Final Calculation Sheet'!$V$4:$V$40,$BJ48-3)),IF(OR($BI48=1,$BL48=1,$BH48&gt;0),"–",""))</f>
        <v/>
      </c>
      <c r="X49" s="70" t="str">
        <f>IF($BJ48&gt;0,IF(INDEX('Final Calculation Sheet'!$W$4:$W$40,$BJ48-3)="","",INDEX('Final Calculation Sheet'!$W$4:$W$40,$BJ48-3)),IF(OR($BI48=1,$BL48=1,$BH48&gt;0),IF($BI48=1,SUM('Final Calculation Sheet'!$W$4:$W$40),IF($BL48=1,SUM('Final Calculation Sheet'!$W$4:$W$40)-SUMIFS('Final Calculation Sheet'!$W$4:$W$40,$AZ$5:$AZ$41,10),SUMIFS('Final Calculation Sheet'!$W$4:$W$40,$AZ$5:$AZ$41,$BH48))),""))</f>
        <v/>
      </c>
      <c r="Y49" s="70" t="str">
        <f>IF($BJ48&gt;0,IF(INDEX('Final Calculation Sheet'!$X$4:$X$40,$BJ48-3)="","",INDEX('Final Calculation Sheet'!$X$4:$X$40,$BJ48-3)),IF(OR($BI48=1,$BL48=1,$BH48&gt;0),IF($BI48=1,SUM('Final Calculation Sheet'!$X$4:$X$40),IF($BL48=1,SUM('Final Calculation Sheet'!$X$4:$X$40)-SUMIFS('Final Calculation Sheet'!$X$4:$X$40,$AZ$5:$AZ$41,10),SUMIFS('Final Calculation Sheet'!$X$4:$X$40,$AZ$5:$AZ$41,$BH48))),""))</f>
        <v/>
      </c>
      <c r="Z49" s="70" t="str">
        <f>IF($BJ48&gt;0,IF(INDEX('Final Calculation Sheet'!$Y$4:$Y$40,$BJ48-3)="","",INDEX('Final Calculation Sheet'!$Y$4:$Y$40,$BJ48-3)),IF(OR($BI48=1,$BL48=1,$BH48&gt;0),"–",""))</f>
        <v/>
      </c>
      <c r="AA49" s="70" t="str">
        <f>IF($BJ48&gt;0,IF(INDEX('Final Calculation Sheet'!$Z$4:$Z$40,$BJ48-3)="","",INDEX('Final Calculation Sheet'!$Z$4:$Z$40,$BJ48-3)),IF(OR($BI48=1,$BL48=1,$BH48&gt;0),IF($BI48=1,SUM('Final Calculation Sheet'!$Z$4:$Z$40),IF($BL48=1,SUM('Final Calculation Sheet'!$Z$4:$Z$40)-SUMIFS('Final Calculation Sheet'!$Z$4:$Z$40,$AZ$5:$AZ$41,10),SUMIFS('Final Calculation Sheet'!$Z$4:$Z$40,$AZ$5:$AZ$41,$BH48))),""))</f>
        <v/>
      </c>
      <c r="AB49" s="70" t="str">
        <f>IF($BJ48&gt;0,IF(INDEX('Final Calculation Sheet'!$AA$4:$AA$40,$BJ48-3)="","",INDEX('Final Calculation Sheet'!$AA$4:$AA$40,$BJ48-3)),IF(OR($BI48=1,$BL48=1,$BH48&gt;0),IF($BI48=1,SUM('Final Calculation Sheet'!$AA$4:$AA$40),IF($BL48=1,SUM('Final Calculation Sheet'!$AA$4:$AA$40)-SUMIFS('Final Calculation Sheet'!$AA$4:$AA$40,$AZ$5:$AZ$41,10),SUMIFS('Final Calculation Sheet'!$AA$4:$AA$40,$AZ$5:$AZ$41,$BH48))),""))</f>
        <v/>
      </c>
      <c r="AC49" s="70" t="str">
        <f>IF($BJ48&gt;0,IF(INDEX('Final Calculation Sheet'!$AB$4:$AB$40,$BJ48-3)="","",INDEX('Final Calculation Sheet'!$AB$4:$AB$40,$BJ48-3)),IF(OR($BI48=1,$BL48=1,$BH48&gt;0),"–",""))</f>
        <v/>
      </c>
      <c r="AD49" s="70" t="str">
        <f>IF($BJ48&gt;0,IF(INDEX('Final Calculation Sheet'!$AC$4:$AC$40,$BJ48-3)="","",INDEX('Final Calculation Sheet'!$AC$4:$AC$40,$BJ48-3)),IF(OR($BI48=1,$BL48=1,$BH48&gt;0),IF($BI48=1,SUM('Final Calculation Sheet'!$AC$4:$AC$40),IF($BL48=1,SUM('Final Calculation Sheet'!$AC$4:$AC$40)-SUMIFS('Final Calculation Sheet'!$AC$4:$AC$40,$AZ$5:$AZ$41,10),SUMIFS('Final Calculation Sheet'!$AC$4:$AC$40,$AZ$5:$AZ$41,$BH48))),""))</f>
        <v/>
      </c>
      <c r="AE49" s="70" t="str">
        <f>IF($BJ48&gt;0,IF(INDEX('Final Calculation Sheet'!$AD$4:$AD$40,$BJ48-3)="","",INDEX('Final Calculation Sheet'!$AD$4:$AD$40,$BJ48-3)),IF(OR($BI48=1,$BL48=1,$BH48&gt;0),IF($BI48=1,SUM('Final Calculation Sheet'!$AD$4:$AD$40),IF($BL48=1,SUM('Final Calculation Sheet'!$AD$4:$AD$40)-SUMIFS('Final Calculation Sheet'!$AD$4:$AD$40,$AZ$5:$AZ$41,10),SUMIFS('Final Calculation Sheet'!$AD$4:$AD$40,$AZ$5:$AZ$41,$BH48))),""))</f>
        <v/>
      </c>
      <c r="AF49" s="70" t="str">
        <f>IF($BJ48&gt;0,IF(INDEX('Final Calculation Sheet'!$AE$4:$AE$40,$BJ48-3)="","",INDEX('Final Calculation Sheet'!$AE$4:$AE$40,$BJ48-3)),IF(OR($BI48=1,$BL48=1,$BH48&gt;0),"–",""))</f>
        <v/>
      </c>
      <c r="AG49" s="74" t="str">
        <f>IF($BJ48&gt;0,IF(INDEX('Final Calculation Sheet'!$AF$4:$AF$40,$BJ48-3)="","",INDEX('Final Calculation Sheet'!$AF$4:$AF$40,$BJ48-3)),IF(OR($BI48=1,$BL48=1,$BH48&gt;0),"–",""))</f>
        <v/>
      </c>
      <c r="AH49" s="70" t="str">
        <f>IF($BJ48&gt;0,IF(INDEX('Final Calculation Sheet'!$AG$4:$AG$40,$BJ48-3)="","",INDEX('Final Calculation Sheet'!$AG$4:$AG$40,$BJ48-3)),IF(OR($BI48=1,$BL48=1,$BH48&gt;0),"–",""))</f>
        <v/>
      </c>
      <c r="AI49" s="75" t="str">
        <f>IF($BJ48&gt;0,IF(INDEX('Final Calculation Sheet'!$AD$4:$AD$40,$BJ48-3)="","",IF(INDEX('Final Calculation Sheet'!$AD$4:$AD$40,$BJ48-3)&lt;=5,"SETTLED","OUTSTANDING")),IF(OR($BI48=1,$BL48=1,$BH48&gt;0),IF(IF($BI48=1,SUM('Final Calculation Sheet'!$AD$4:$AD$40),IF($BL48=1,SUM('Final Calculation Sheet'!$AD$4:$AD$40)-SUMIFS('Final Calculation Sheet'!$AD$4:$AD$40,$AZ$5:$AZ$41,10),SUMIFS('Final Calculation Sheet'!$AD$4:$AD$40,$AZ$5:$AZ$41,$BH48)))&lt;=5,"ALL SETTLED","OUTSTANDING"),""))</f>
        <v/>
      </c>
      <c r="BH49">
        <f>IFERROR(MATCH(49,$BF$4:$BF$13,0),0)</f>
        <v>0</v>
      </c>
      <c r="BI49">
        <f>IF(49=$BG$5,1,0)</f>
        <v>0</v>
      </c>
      <c r="BJ49">
        <f>IF(OR($BH49&gt;0,$BI49=1,$BL49=1),0,IFERROR(INDEX($BC$5:$BC$41,MATCH(49,$BB$5:$BB$41,0)),0))</f>
        <v>0</v>
      </c>
      <c r="BK49">
        <f>IF($BJ49&gt;0,IF(INDEX($AZ$5:$AZ$41,MATCH(49,$BB$5:$BB$41,0))=10,1,0),IF($BH49=10,1,0))</f>
        <v>0</v>
      </c>
      <c r="BL49">
        <f>IF(49=$BG$4,1,0)</f>
        <v>0</v>
      </c>
    </row>
    <row r="50" ht="15" customHeight="1" s="137">
      <c r="A50" s="67" t="str">
        <f>IF($BJ49&gt;0,INDEX($BA$5:$BA$41,MATCH(49,$BB$5:$BB$41,0)),IF(OR($BI49=1,$BL49=1,$BH49&gt;0),"∑",""))</f>
        <v/>
      </c>
      <c r="B50" s="76" t="str">
        <f>IF($BJ49&gt;0,IF(INDEX('Final Calculation Sheet'!$F$4:$F$40,$BJ49-3)="","",INDEX('Final Calculation Sheet'!$F$4:$F$40,$BJ49-3)),"")</f>
        <v/>
      </c>
      <c r="C50" s="76" t="str">
        <f>IF($BJ49&gt;0,IF(INDEX('Final Calculation Sheet'!$G$4:$G$40,$BJ49-3)="","",INDEX('Final Calculation Sheet'!$G$4:$G$40,$BJ49-3)),IF(OR($BI49=1,$BL49=1,$BH49&gt;0),IF($BI49=1,37,IF($BL49=1,37-INDEX($BD$4:$BD$13,10),INDEX($BD$4:$BD$13,$BH49)))&amp;" lot(s)",""))</f>
        <v/>
      </c>
      <c r="D50" s="80" t="str">
        <f>IF($BJ49&gt;0,IF(INDEX('Final Calculation Sheet'!$B$4:$B$40,$BJ49-3)="","",INDEX('Final Calculation Sheet'!$B$4:$B$40,$BJ49-3)),IF(OR($BI49=1,$BL49=1,$BH49&gt;0),IF($BI49=1,"GRAND TOTAL  —  matching + remaining",IF($BL49=1,"TOTAL MATCHED  —  every group together",IF($BH49=10,"REMAINING  —  did not match the search",IF($BH49=9,IF(COUNTIF($A$4:$AI$4,"&lt;&gt;")&gt;0,"FILTERED LOTS  —  column fields","ALL LOTS  —  nothing typed in the box"),"GROUP "&amp;$BH49&amp;" TOTAL  —  lots matching  "&amp;INDEX($AR$6:$AY$6,$BH49))))),""))</f>
        <v/>
      </c>
      <c r="E50" s="80" t="str">
        <f>IF($BJ49&gt;0,IF(INDEX('Final Calculation Sheet'!$D$4:$D$40,$BJ49-3)="","",INDEX('Final Calculation Sheet'!$D$4:$D$40,$BJ49-3)),IF(OR($BI49=1,$BL49=1,$BH49&gt;0),"–",""))</f>
        <v/>
      </c>
      <c r="F50" s="80" t="str">
        <f>IF($BJ49&gt;0,IF(INDEX('Final Calculation Sheet'!$A$4:$A$40,$BJ49-3)="","",INDEX('Final Calculation Sheet'!$A$4:$A$40,$BJ49-3)),IF(OR($BI49=1,$BL49=1,$BH49&gt;0),IF($BI49=1,SUM('Final Calculation Sheet'!$A$4:$A$40),IF($BL49=1,SUM('Final Calculation Sheet'!$A$4:$A$40)-SUMIFS('Final Calculation Sheet'!$A$4:$A$40,$AZ$5:$AZ$41,10),SUMIFS('Final Calculation Sheet'!$A$4:$A$40,$AZ$5:$AZ$41,$BH49))),""))</f>
        <v/>
      </c>
      <c r="G50" s="80" t="str">
        <f>IF($BJ49&gt;0,IF(INDEX('Final Calculation Sheet'!$E$4:$E$40,$BJ49-3)="","",INDEX('Final Calculation Sheet'!$E$4:$E$40,$BJ49-3)),IF(OR($BI49=1,$BL49=1,$BH49&gt;0),"–",""))</f>
        <v/>
      </c>
      <c r="H50" s="70" t="str">
        <f>IF($BJ49&gt;0,IF(INDEX('Final Calculation Sheet'!$C$4:$C$40,$BJ49-3)="","",INDEX('Final Calculation Sheet'!$C$4:$C$40,$BJ49-3)),IF(OR($BI49=1,$BL49=1,$BH49&gt;0),"–",""))</f>
        <v/>
      </c>
      <c r="I50" s="70" t="str">
        <f>IF($BJ49&gt;0,IF(INDEX('Final Calculation Sheet'!$H$4:$H$40,$BJ49-3)="","",INDEX('Final Calculation Sheet'!$H$4:$H$40,$BJ49-3)),IF(OR($BI49=1,$BL49=1,$BH49&gt;0),IF($BI49=1,SUM('Final Calculation Sheet'!$H$4:$H$40),IF($BL49=1,SUM('Final Calculation Sheet'!$H$4:$H$40)-SUMIFS('Final Calculation Sheet'!$H$4:$H$40,$AZ$5:$AZ$41,10),SUMIFS('Final Calculation Sheet'!$H$4:$H$40,$AZ$5:$AZ$41,$BH49))),""))</f>
        <v/>
      </c>
      <c r="J50" s="70" t="str">
        <f>IF($BJ49&gt;0,IF(INDEX('Final Calculation Sheet'!$I$4:$I$40,$BJ49-3)="","",INDEX('Final Calculation Sheet'!$I$4:$I$40,$BJ49-3)),IF(OR($BI49=1,$BL49=1,$BH49&gt;0),IF($BI49=1,SUM('Final Calculation Sheet'!$I$4:$I$40),IF($BL49=1,SUM('Final Calculation Sheet'!$I$4:$I$40)-SUMIFS('Final Calculation Sheet'!$I$4:$I$40,$AZ$5:$AZ$41,10),SUMIFS('Final Calculation Sheet'!$I$4:$I$40,$AZ$5:$AZ$41,$BH49))),""))</f>
        <v/>
      </c>
      <c r="K50" s="70" t="str">
        <f>IF($BJ49&gt;0,IF(INDEX('Final Calculation Sheet'!$J$4:$J$40,$BJ49-3)="","",INDEX('Final Calculation Sheet'!$J$4:$J$40,$BJ49-3)),IF(OR($BI49=1,$BL49=1,$BH49&gt;0),IF($BI49=1,SUM('Final Calculation Sheet'!$J$4:$J$40),IF($BL49=1,SUM('Final Calculation Sheet'!$J$4:$J$40)-SUMIFS('Final Calculation Sheet'!$J$4:$J$40,$AZ$5:$AZ$41,10),SUMIFS('Final Calculation Sheet'!$J$4:$J$40,$AZ$5:$AZ$41,$BH49))),""))</f>
        <v/>
      </c>
      <c r="L50" s="70" t="str">
        <f>IF($BJ49&gt;0,IF(INDEX('Final Calculation Sheet'!$K$4:$K$40,$BJ49-3)="","",INDEX('Final Calculation Sheet'!$K$4:$K$40,$BJ49-3)),IF(OR($BI49=1,$BL49=1,$BH49&gt;0),IF($BI49=1,SUM('Final Calculation Sheet'!$K$4:$K$40),IF($BL49=1,SUM('Final Calculation Sheet'!$K$4:$K$40)-SUMIFS('Final Calculation Sheet'!$K$4:$K$40,$AZ$5:$AZ$41,10),SUMIFS('Final Calculation Sheet'!$K$4:$K$40,$AZ$5:$AZ$41,$BH49))),""))</f>
        <v/>
      </c>
      <c r="M50" s="70" t="str">
        <f>IF($BJ49&gt;0,IF(INDEX('Final Calculation Sheet'!$L$4:$L$40,$BJ49-3)="","",INDEX('Final Calculation Sheet'!$L$4:$L$40,$BJ49-3)),IF(OR($BI49=1,$BL49=1,$BH49&gt;0),IF($BI49=1,SUM('Final Calculation Sheet'!$L$4:$L$40),IF($BL49=1,SUM('Final Calculation Sheet'!$L$4:$L$40)-SUMIFS('Final Calculation Sheet'!$L$4:$L$40,$AZ$5:$AZ$41,10),SUMIFS('Final Calculation Sheet'!$L$4:$L$40,$AZ$5:$AZ$41,$BH49))),""))</f>
        <v/>
      </c>
      <c r="N50" s="70" t="str">
        <f>IF($BJ49&gt;0,IF(INDEX('Final Calculation Sheet'!$M$4:$M$40,$BJ49-3)="","",INDEX('Final Calculation Sheet'!$M$4:$M$40,$BJ49-3)),IF(OR($BI49=1,$BL49=1,$BH49&gt;0),IF($BI49=1,SUM('Final Calculation Sheet'!$M$4:$M$40),IF($BL49=1,SUM('Final Calculation Sheet'!$M$4:$M$40)-SUMIFS('Final Calculation Sheet'!$M$4:$M$40,$AZ$5:$AZ$41,10),SUMIFS('Final Calculation Sheet'!$M$4:$M$40,$AZ$5:$AZ$41,$BH49))),""))</f>
        <v/>
      </c>
      <c r="O50" s="71" t="str">
        <f>IF($BJ49&gt;0,IF(INDEX('Final Calculation Sheet'!$N$4:$N$40,$BJ49-3)="","",INDEX('Final Calculation Sheet'!$N$4:$N$40,$BJ49-3)),IF(OR($BI49=1,$BL49=1,$BH49&gt;0),IF($BI49=1,SUM('Final Calculation Sheet'!$N$4:$N$40),IF($BL49=1,SUM('Final Calculation Sheet'!$N$4:$N$40)-SUMIFS('Final Calculation Sheet'!$N$4:$N$40,$AZ$5:$AZ$41,10),SUMIFS('Final Calculation Sheet'!$N$4:$N$40,$AZ$5:$AZ$41,$BH49))),""))</f>
        <v/>
      </c>
      <c r="P50" s="70" t="str">
        <f>IF($BJ49&gt;0,IF(INDEX('Final Calculation Sheet'!$O$4:$O$40,$BJ49-3)="","",INDEX('Final Calculation Sheet'!$O$4:$O$40,$BJ49-3)),IF(OR($BI49=1,$BL49=1,$BH49&gt;0),IF($BI49=1,SUM('Final Calculation Sheet'!$O$4:$O$40),IF($BL49=1,SUM('Final Calculation Sheet'!$O$4:$O$40)-SUMIFS('Final Calculation Sheet'!$O$4:$O$40,$AZ$5:$AZ$41,10),SUMIFS('Final Calculation Sheet'!$O$4:$O$40,$AZ$5:$AZ$41,$BH49))),""))</f>
        <v/>
      </c>
      <c r="Q50" s="70" t="str">
        <f>IF($BJ49&gt;0,IF(INDEX('Final Calculation Sheet'!$P$4:$P$40,$BJ49-3)="","",INDEX('Final Calculation Sheet'!$P$4:$P$40,$BJ49-3)),IF(OR($BI49=1,$BL49=1,$BH49&gt;0),IF($BI49=1,SUM('Final Calculation Sheet'!$P$4:$P$40),IF($BL49=1,SUM('Final Calculation Sheet'!$P$4:$P$40)-SUMIFS('Final Calculation Sheet'!$P$4:$P$40,$AZ$5:$AZ$41,10),SUMIFS('Final Calculation Sheet'!$P$4:$P$40,$AZ$5:$AZ$41,$BH49))),""))</f>
        <v/>
      </c>
      <c r="R50" s="72" t="str">
        <f>IF($BJ49&gt;0,IF(INDEX('Final Calculation Sheet'!$Q$4:$Q$40,$BJ49-3)="","",INDEX('Final Calculation Sheet'!$Q$4:$Q$40,$BJ49-3)),IF(OR($BI49=1,$BL49=1,$BH49&gt;0),"–",""))</f>
        <v/>
      </c>
      <c r="S50" s="70" t="str">
        <f>IF($BJ49&gt;0,IF(INDEX('Final Calculation Sheet'!$R$4:$R$40,$BJ49-3)="","",INDEX('Final Calculation Sheet'!$R$4:$R$40,$BJ49-3)),IF(OR($BI49=1,$BL49=1,$BH49&gt;0),IF($BI49=1,SUM('Final Calculation Sheet'!$R$4:$R$40),IF($BL49=1,SUM('Final Calculation Sheet'!$R$4:$R$40)-SUMIFS('Final Calculation Sheet'!$R$4:$R$40,$AZ$5:$AZ$41,10),SUMIFS('Final Calculation Sheet'!$R$4:$R$40,$AZ$5:$AZ$41,$BH49))),""))</f>
        <v/>
      </c>
      <c r="T50" s="70" t="str">
        <f>IF($BJ49&gt;0,IF(INDEX('Final Calculation Sheet'!$S$4:$S$40,$BJ49-3)="","",INDEX('Final Calculation Sheet'!$S$4:$S$40,$BJ49-3)),IF(OR($BI49=1,$BL49=1,$BH49&gt;0),IF($BI49=1,SUM('Final Calculation Sheet'!$S$4:$S$40),IF($BL49=1,SUM('Final Calculation Sheet'!$S$4:$S$40)-SUMIFS('Final Calculation Sheet'!$S$4:$S$40,$AZ$5:$AZ$41,10),SUMIFS('Final Calculation Sheet'!$S$4:$S$40,$AZ$5:$AZ$41,$BH49))),""))</f>
        <v/>
      </c>
      <c r="U50" s="70" t="str">
        <f>IF($BJ49&gt;0,IF(INDEX('Final Calculation Sheet'!$T$4:$T$40,$BJ49-3)="","",INDEX('Final Calculation Sheet'!$T$4:$T$40,$BJ49-3)),IF(OR($BI49=1,$BL49=1,$BH49&gt;0),IF($BI49=1,SUM('Final Calculation Sheet'!$T$4:$T$40),IF($BL49=1,SUM('Final Calculation Sheet'!$T$4:$T$40)-SUMIFS('Final Calculation Sheet'!$T$4:$T$40,$AZ$5:$AZ$41,10),SUMIFS('Final Calculation Sheet'!$T$4:$T$40,$AZ$5:$AZ$41,$BH49))),""))</f>
        <v/>
      </c>
      <c r="V50" s="73" t="str">
        <f>IF($BJ49&gt;0,IF(INDEX('Final Calculation Sheet'!$U$4:$U$40,$BJ49-3)="","",INDEX('Final Calculation Sheet'!$U$4:$U$40,$BJ49-3)),IF(OR($BI49=1,$BL49=1,$BH49&gt;0),IF($BI49=1,SUM('Final Calculation Sheet'!$U$4:$U$40),IF($BL49=1,SUM('Final Calculation Sheet'!$U$4:$U$40)-SUMIFS('Final Calculation Sheet'!$U$4:$U$40,$AZ$5:$AZ$41,10),SUMIFS('Final Calculation Sheet'!$U$4:$U$40,$AZ$5:$AZ$41,$BH49))),""))</f>
        <v/>
      </c>
      <c r="W50" s="70" t="str">
        <f>IF($BJ49&gt;0,IF(INDEX('Final Calculation Sheet'!$V$4:$V$40,$BJ49-3)="","",INDEX('Final Calculation Sheet'!$V$4:$V$40,$BJ49-3)),IF(OR($BI49=1,$BL49=1,$BH49&gt;0),"–",""))</f>
        <v/>
      </c>
      <c r="X50" s="70" t="str">
        <f>IF($BJ49&gt;0,IF(INDEX('Final Calculation Sheet'!$W$4:$W$40,$BJ49-3)="","",INDEX('Final Calculation Sheet'!$W$4:$W$40,$BJ49-3)),IF(OR($BI49=1,$BL49=1,$BH49&gt;0),IF($BI49=1,SUM('Final Calculation Sheet'!$W$4:$W$40),IF($BL49=1,SUM('Final Calculation Sheet'!$W$4:$W$40)-SUMIFS('Final Calculation Sheet'!$W$4:$W$40,$AZ$5:$AZ$41,10),SUMIFS('Final Calculation Sheet'!$W$4:$W$40,$AZ$5:$AZ$41,$BH49))),""))</f>
        <v/>
      </c>
      <c r="Y50" s="70" t="str">
        <f>IF($BJ49&gt;0,IF(INDEX('Final Calculation Sheet'!$X$4:$X$40,$BJ49-3)="","",INDEX('Final Calculation Sheet'!$X$4:$X$40,$BJ49-3)),IF(OR($BI49=1,$BL49=1,$BH49&gt;0),IF($BI49=1,SUM('Final Calculation Sheet'!$X$4:$X$40),IF($BL49=1,SUM('Final Calculation Sheet'!$X$4:$X$40)-SUMIFS('Final Calculation Sheet'!$X$4:$X$40,$AZ$5:$AZ$41,10),SUMIFS('Final Calculation Sheet'!$X$4:$X$40,$AZ$5:$AZ$41,$BH49))),""))</f>
        <v/>
      </c>
      <c r="Z50" s="70" t="str">
        <f>IF($BJ49&gt;0,IF(INDEX('Final Calculation Sheet'!$Y$4:$Y$40,$BJ49-3)="","",INDEX('Final Calculation Sheet'!$Y$4:$Y$40,$BJ49-3)),IF(OR($BI49=1,$BL49=1,$BH49&gt;0),"–",""))</f>
        <v/>
      </c>
      <c r="AA50" s="70" t="str">
        <f>IF($BJ49&gt;0,IF(INDEX('Final Calculation Sheet'!$Z$4:$Z$40,$BJ49-3)="","",INDEX('Final Calculation Sheet'!$Z$4:$Z$40,$BJ49-3)),IF(OR($BI49=1,$BL49=1,$BH49&gt;0),IF($BI49=1,SUM('Final Calculation Sheet'!$Z$4:$Z$40),IF($BL49=1,SUM('Final Calculation Sheet'!$Z$4:$Z$40)-SUMIFS('Final Calculation Sheet'!$Z$4:$Z$40,$AZ$5:$AZ$41,10),SUMIFS('Final Calculation Sheet'!$Z$4:$Z$40,$AZ$5:$AZ$41,$BH49))),""))</f>
        <v/>
      </c>
      <c r="AB50" s="70" t="str">
        <f>IF($BJ49&gt;0,IF(INDEX('Final Calculation Sheet'!$AA$4:$AA$40,$BJ49-3)="","",INDEX('Final Calculation Sheet'!$AA$4:$AA$40,$BJ49-3)),IF(OR($BI49=1,$BL49=1,$BH49&gt;0),IF($BI49=1,SUM('Final Calculation Sheet'!$AA$4:$AA$40),IF($BL49=1,SUM('Final Calculation Sheet'!$AA$4:$AA$40)-SUMIFS('Final Calculation Sheet'!$AA$4:$AA$40,$AZ$5:$AZ$41,10),SUMIFS('Final Calculation Sheet'!$AA$4:$AA$40,$AZ$5:$AZ$41,$BH49))),""))</f>
        <v/>
      </c>
      <c r="AC50" s="70" t="str">
        <f>IF($BJ49&gt;0,IF(INDEX('Final Calculation Sheet'!$AB$4:$AB$40,$BJ49-3)="","",INDEX('Final Calculation Sheet'!$AB$4:$AB$40,$BJ49-3)),IF(OR($BI49=1,$BL49=1,$BH49&gt;0),"–",""))</f>
        <v/>
      </c>
      <c r="AD50" s="70" t="str">
        <f>IF($BJ49&gt;0,IF(INDEX('Final Calculation Sheet'!$AC$4:$AC$40,$BJ49-3)="","",INDEX('Final Calculation Sheet'!$AC$4:$AC$40,$BJ49-3)),IF(OR($BI49=1,$BL49=1,$BH49&gt;0),IF($BI49=1,SUM('Final Calculation Sheet'!$AC$4:$AC$40),IF($BL49=1,SUM('Final Calculation Sheet'!$AC$4:$AC$40)-SUMIFS('Final Calculation Sheet'!$AC$4:$AC$40,$AZ$5:$AZ$41,10),SUMIFS('Final Calculation Sheet'!$AC$4:$AC$40,$AZ$5:$AZ$41,$BH49))),""))</f>
        <v/>
      </c>
      <c r="AE50" s="70" t="str">
        <f>IF($BJ49&gt;0,IF(INDEX('Final Calculation Sheet'!$AD$4:$AD$40,$BJ49-3)="","",INDEX('Final Calculation Sheet'!$AD$4:$AD$40,$BJ49-3)),IF(OR($BI49=1,$BL49=1,$BH49&gt;0),IF($BI49=1,SUM('Final Calculation Sheet'!$AD$4:$AD$40),IF($BL49=1,SUM('Final Calculation Sheet'!$AD$4:$AD$40)-SUMIFS('Final Calculation Sheet'!$AD$4:$AD$40,$AZ$5:$AZ$41,10),SUMIFS('Final Calculation Sheet'!$AD$4:$AD$40,$AZ$5:$AZ$41,$BH49))),""))</f>
        <v/>
      </c>
      <c r="AF50" s="70" t="str">
        <f>IF($BJ49&gt;0,IF(INDEX('Final Calculation Sheet'!$AE$4:$AE$40,$BJ49-3)="","",INDEX('Final Calculation Sheet'!$AE$4:$AE$40,$BJ49-3)),IF(OR($BI49=1,$BL49=1,$BH49&gt;0),"–",""))</f>
        <v/>
      </c>
      <c r="AG50" s="74" t="str">
        <f>IF($BJ49&gt;0,IF(INDEX('Final Calculation Sheet'!$AF$4:$AF$40,$BJ49-3)="","",INDEX('Final Calculation Sheet'!$AF$4:$AF$40,$BJ49-3)),IF(OR($BI49=1,$BL49=1,$BH49&gt;0),"–",""))</f>
        <v/>
      </c>
      <c r="AH50" s="70" t="str">
        <f>IF($BJ49&gt;0,IF(INDEX('Final Calculation Sheet'!$AG$4:$AG$40,$BJ49-3)="","",INDEX('Final Calculation Sheet'!$AG$4:$AG$40,$BJ49-3)),IF(OR($BI49=1,$BL49=1,$BH49&gt;0),"–",""))</f>
        <v/>
      </c>
      <c r="AI50" s="75" t="str">
        <f>IF($BJ49&gt;0,IF(INDEX('Final Calculation Sheet'!$AD$4:$AD$40,$BJ49-3)="","",IF(INDEX('Final Calculation Sheet'!$AD$4:$AD$40,$BJ49-3)&lt;=5,"SETTLED","OUTSTANDING")),IF(OR($BI49=1,$BL49=1,$BH49&gt;0),IF(IF($BI49=1,SUM('Final Calculation Sheet'!$AD$4:$AD$40),IF($BL49=1,SUM('Final Calculation Sheet'!$AD$4:$AD$40)-SUMIFS('Final Calculation Sheet'!$AD$4:$AD$40,$AZ$5:$AZ$41,10),SUMIFS('Final Calculation Sheet'!$AD$4:$AD$40,$AZ$5:$AZ$41,$BH49)))&lt;=5,"ALL SETTLED","OUTSTANDING"),""))</f>
        <v/>
      </c>
      <c r="BH50">
        <f>IFERROR(MATCH(50,$BF$4:$BF$13,0),0)</f>
        <v>0</v>
      </c>
      <c r="BI50">
        <f>IF(50=$BG$5,1,0)</f>
        <v>0</v>
      </c>
      <c r="BJ50">
        <f>IF(OR($BH50&gt;0,$BI50=1,$BL50=1),0,IFERROR(INDEX($BC$5:$BC$41,MATCH(50,$BB$5:$BB$41,0)),0))</f>
        <v>0</v>
      </c>
      <c r="BK50">
        <f>IF($BJ50&gt;0,IF(INDEX($AZ$5:$AZ$41,MATCH(50,$BB$5:$BB$41,0))=10,1,0),IF($BH50=10,1,0))</f>
        <v>0</v>
      </c>
      <c r="BL50">
        <f>IF(50=$BG$4,1,0)</f>
        <v>0</v>
      </c>
    </row>
    <row r="51" ht="15" customHeight="1" s="137">
      <c r="A51" s="67" t="str">
        <f>IF($BJ50&gt;0,INDEX($BA$5:$BA$41,MATCH(50,$BB$5:$BB$41,0)),IF(OR($BI50=1,$BL50=1,$BH50&gt;0),"∑",""))</f>
        <v/>
      </c>
      <c r="B51" s="76" t="str">
        <f>IF($BJ50&gt;0,IF(INDEX('Final Calculation Sheet'!$F$4:$F$40,$BJ50-3)="","",INDEX('Final Calculation Sheet'!$F$4:$F$40,$BJ50-3)),"")</f>
        <v/>
      </c>
      <c r="C51" s="76" t="str">
        <f>IF($BJ50&gt;0,IF(INDEX('Final Calculation Sheet'!$G$4:$G$40,$BJ50-3)="","",INDEX('Final Calculation Sheet'!$G$4:$G$40,$BJ50-3)),IF(OR($BI50=1,$BL50=1,$BH50&gt;0),IF($BI50=1,37,IF($BL50=1,37-INDEX($BD$4:$BD$13,10),INDEX($BD$4:$BD$13,$BH50)))&amp;" lot(s)",""))</f>
        <v/>
      </c>
      <c r="D51" s="80" t="str">
        <f>IF($BJ50&gt;0,IF(INDEX('Final Calculation Sheet'!$B$4:$B$40,$BJ50-3)="","",INDEX('Final Calculation Sheet'!$B$4:$B$40,$BJ50-3)),IF(OR($BI50=1,$BL50=1,$BH50&gt;0),IF($BI50=1,"GRAND TOTAL  —  matching + remaining",IF($BL50=1,"TOTAL MATCHED  —  every group together",IF($BH50=10,"REMAINING  —  did not match the search",IF($BH50=9,IF(COUNTIF($A$4:$AI$4,"&lt;&gt;")&gt;0,"FILTERED LOTS  —  column fields","ALL LOTS  —  nothing typed in the box"),"GROUP "&amp;$BH50&amp;" TOTAL  —  lots matching  "&amp;INDEX($AR$6:$AY$6,$BH50))))),""))</f>
        <v/>
      </c>
      <c r="E51" s="80" t="str">
        <f>IF($BJ50&gt;0,IF(INDEX('Final Calculation Sheet'!$D$4:$D$40,$BJ50-3)="","",INDEX('Final Calculation Sheet'!$D$4:$D$40,$BJ50-3)),IF(OR($BI50=1,$BL50=1,$BH50&gt;0),"–",""))</f>
        <v/>
      </c>
      <c r="F51" s="80" t="str">
        <f>IF($BJ50&gt;0,IF(INDEX('Final Calculation Sheet'!$A$4:$A$40,$BJ50-3)="","",INDEX('Final Calculation Sheet'!$A$4:$A$40,$BJ50-3)),IF(OR($BI50=1,$BL50=1,$BH50&gt;0),IF($BI50=1,SUM('Final Calculation Sheet'!$A$4:$A$40),IF($BL50=1,SUM('Final Calculation Sheet'!$A$4:$A$40)-SUMIFS('Final Calculation Sheet'!$A$4:$A$40,$AZ$5:$AZ$41,10),SUMIFS('Final Calculation Sheet'!$A$4:$A$40,$AZ$5:$AZ$41,$BH50))),""))</f>
        <v/>
      </c>
      <c r="G51" s="80" t="str">
        <f>IF($BJ50&gt;0,IF(INDEX('Final Calculation Sheet'!$E$4:$E$40,$BJ50-3)="","",INDEX('Final Calculation Sheet'!$E$4:$E$40,$BJ50-3)),IF(OR($BI50=1,$BL50=1,$BH50&gt;0),"–",""))</f>
        <v/>
      </c>
      <c r="H51" s="70" t="str">
        <f>IF($BJ50&gt;0,IF(INDEX('Final Calculation Sheet'!$C$4:$C$40,$BJ50-3)="","",INDEX('Final Calculation Sheet'!$C$4:$C$40,$BJ50-3)),IF(OR($BI50=1,$BL50=1,$BH50&gt;0),"–",""))</f>
        <v/>
      </c>
      <c r="I51" s="70" t="str">
        <f>IF($BJ50&gt;0,IF(INDEX('Final Calculation Sheet'!$H$4:$H$40,$BJ50-3)="","",INDEX('Final Calculation Sheet'!$H$4:$H$40,$BJ50-3)),IF(OR($BI50=1,$BL50=1,$BH50&gt;0),IF($BI50=1,SUM('Final Calculation Sheet'!$H$4:$H$40),IF($BL50=1,SUM('Final Calculation Sheet'!$H$4:$H$40)-SUMIFS('Final Calculation Sheet'!$H$4:$H$40,$AZ$5:$AZ$41,10),SUMIFS('Final Calculation Sheet'!$H$4:$H$40,$AZ$5:$AZ$41,$BH50))),""))</f>
        <v/>
      </c>
      <c r="J51" s="70" t="str">
        <f>IF($BJ50&gt;0,IF(INDEX('Final Calculation Sheet'!$I$4:$I$40,$BJ50-3)="","",INDEX('Final Calculation Sheet'!$I$4:$I$40,$BJ50-3)),IF(OR($BI50=1,$BL50=1,$BH50&gt;0),IF($BI50=1,SUM('Final Calculation Sheet'!$I$4:$I$40),IF($BL50=1,SUM('Final Calculation Sheet'!$I$4:$I$40)-SUMIFS('Final Calculation Sheet'!$I$4:$I$40,$AZ$5:$AZ$41,10),SUMIFS('Final Calculation Sheet'!$I$4:$I$40,$AZ$5:$AZ$41,$BH50))),""))</f>
        <v/>
      </c>
      <c r="K51" s="70" t="str">
        <f>IF($BJ50&gt;0,IF(INDEX('Final Calculation Sheet'!$J$4:$J$40,$BJ50-3)="","",INDEX('Final Calculation Sheet'!$J$4:$J$40,$BJ50-3)),IF(OR($BI50=1,$BL50=1,$BH50&gt;0),IF($BI50=1,SUM('Final Calculation Sheet'!$J$4:$J$40),IF($BL50=1,SUM('Final Calculation Sheet'!$J$4:$J$40)-SUMIFS('Final Calculation Sheet'!$J$4:$J$40,$AZ$5:$AZ$41,10),SUMIFS('Final Calculation Sheet'!$J$4:$J$40,$AZ$5:$AZ$41,$BH50))),""))</f>
        <v/>
      </c>
      <c r="L51" s="70" t="str">
        <f>IF($BJ50&gt;0,IF(INDEX('Final Calculation Sheet'!$K$4:$K$40,$BJ50-3)="","",INDEX('Final Calculation Sheet'!$K$4:$K$40,$BJ50-3)),IF(OR($BI50=1,$BL50=1,$BH50&gt;0),IF($BI50=1,SUM('Final Calculation Sheet'!$K$4:$K$40),IF($BL50=1,SUM('Final Calculation Sheet'!$K$4:$K$40)-SUMIFS('Final Calculation Sheet'!$K$4:$K$40,$AZ$5:$AZ$41,10),SUMIFS('Final Calculation Sheet'!$K$4:$K$40,$AZ$5:$AZ$41,$BH50))),""))</f>
        <v/>
      </c>
      <c r="M51" s="70" t="str">
        <f>IF($BJ50&gt;0,IF(INDEX('Final Calculation Sheet'!$L$4:$L$40,$BJ50-3)="","",INDEX('Final Calculation Sheet'!$L$4:$L$40,$BJ50-3)),IF(OR($BI50=1,$BL50=1,$BH50&gt;0),IF($BI50=1,SUM('Final Calculation Sheet'!$L$4:$L$40),IF($BL50=1,SUM('Final Calculation Sheet'!$L$4:$L$40)-SUMIFS('Final Calculation Sheet'!$L$4:$L$40,$AZ$5:$AZ$41,10),SUMIFS('Final Calculation Sheet'!$L$4:$L$40,$AZ$5:$AZ$41,$BH50))),""))</f>
        <v/>
      </c>
      <c r="N51" s="70" t="str">
        <f>IF($BJ50&gt;0,IF(INDEX('Final Calculation Sheet'!$M$4:$M$40,$BJ50-3)="","",INDEX('Final Calculation Sheet'!$M$4:$M$40,$BJ50-3)),IF(OR($BI50=1,$BL50=1,$BH50&gt;0),IF($BI50=1,SUM('Final Calculation Sheet'!$M$4:$M$40),IF($BL50=1,SUM('Final Calculation Sheet'!$M$4:$M$40)-SUMIFS('Final Calculation Sheet'!$M$4:$M$40,$AZ$5:$AZ$41,10),SUMIFS('Final Calculation Sheet'!$M$4:$M$40,$AZ$5:$AZ$41,$BH50))),""))</f>
        <v/>
      </c>
      <c r="O51" s="71" t="str">
        <f>IF($BJ50&gt;0,IF(INDEX('Final Calculation Sheet'!$N$4:$N$40,$BJ50-3)="","",INDEX('Final Calculation Sheet'!$N$4:$N$40,$BJ50-3)),IF(OR($BI50=1,$BL50=1,$BH50&gt;0),IF($BI50=1,SUM('Final Calculation Sheet'!$N$4:$N$40),IF($BL50=1,SUM('Final Calculation Sheet'!$N$4:$N$40)-SUMIFS('Final Calculation Sheet'!$N$4:$N$40,$AZ$5:$AZ$41,10),SUMIFS('Final Calculation Sheet'!$N$4:$N$40,$AZ$5:$AZ$41,$BH50))),""))</f>
        <v/>
      </c>
      <c r="P51" s="70" t="str">
        <f>IF($BJ50&gt;0,IF(INDEX('Final Calculation Sheet'!$O$4:$O$40,$BJ50-3)="","",INDEX('Final Calculation Sheet'!$O$4:$O$40,$BJ50-3)),IF(OR($BI50=1,$BL50=1,$BH50&gt;0),IF($BI50=1,SUM('Final Calculation Sheet'!$O$4:$O$40),IF($BL50=1,SUM('Final Calculation Sheet'!$O$4:$O$40)-SUMIFS('Final Calculation Sheet'!$O$4:$O$40,$AZ$5:$AZ$41,10),SUMIFS('Final Calculation Sheet'!$O$4:$O$40,$AZ$5:$AZ$41,$BH50))),""))</f>
        <v/>
      </c>
      <c r="Q51" s="70" t="str">
        <f>IF($BJ50&gt;0,IF(INDEX('Final Calculation Sheet'!$P$4:$P$40,$BJ50-3)="","",INDEX('Final Calculation Sheet'!$P$4:$P$40,$BJ50-3)),IF(OR($BI50=1,$BL50=1,$BH50&gt;0),IF($BI50=1,SUM('Final Calculation Sheet'!$P$4:$P$40),IF($BL50=1,SUM('Final Calculation Sheet'!$P$4:$P$40)-SUMIFS('Final Calculation Sheet'!$P$4:$P$40,$AZ$5:$AZ$41,10),SUMIFS('Final Calculation Sheet'!$P$4:$P$40,$AZ$5:$AZ$41,$BH50))),""))</f>
        <v/>
      </c>
      <c r="R51" s="72" t="str">
        <f>IF($BJ50&gt;0,IF(INDEX('Final Calculation Sheet'!$Q$4:$Q$40,$BJ50-3)="","",INDEX('Final Calculation Sheet'!$Q$4:$Q$40,$BJ50-3)),IF(OR($BI50=1,$BL50=1,$BH50&gt;0),"–",""))</f>
        <v/>
      </c>
      <c r="S51" s="70" t="str">
        <f>IF($BJ50&gt;0,IF(INDEX('Final Calculation Sheet'!$R$4:$R$40,$BJ50-3)="","",INDEX('Final Calculation Sheet'!$R$4:$R$40,$BJ50-3)),IF(OR($BI50=1,$BL50=1,$BH50&gt;0),IF($BI50=1,SUM('Final Calculation Sheet'!$R$4:$R$40),IF($BL50=1,SUM('Final Calculation Sheet'!$R$4:$R$40)-SUMIFS('Final Calculation Sheet'!$R$4:$R$40,$AZ$5:$AZ$41,10),SUMIFS('Final Calculation Sheet'!$R$4:$R$40,$AZ$5:$AZ$41,$BH50))),""))</f>
        <v/>
      </c>
      <c r="T51" s="70" t="str">
        <f>IF($BJ50&gt;0,IF(INDEX('Final Calculation Sheet'!$S$4:$S$40,$BJ50-3)="","",INDEX('Final Calculation Sheet'!$S$4:$S$40,$BJ50-3)),IF(OR($BI50=1,$BL50=1,$BH50&gt;0),IF($BI50=1,SUM('Final Calculation Sheet'!$S$4:$S$40),IF($BL50=1,SUM('Final Calculation Sheet'!$S$4:$S$40)-SUMIFS('Final Calculation Sheet'!$S$4:$S$40,$AZ$5:$AZ$41,10),SUMIFS('Final Calculation Sheet'!$S$4:$S$40,$AZ$5:$AZ$41,$BH50))),""))</f>
        <v/>
      </c>
      <c r="U51" s="70" t="str">
        <f>IF($BJ50&gt;0,IF(INDEX('Final Calculation Sheet'!$T$4:$T$40,$BJ50-3)="","",INDEX('Final Calculation Sheet'!$T$4:$T$40,$BJ50-3)),IF(OR($BI50=1,$BL50=1,$BH50&gt;0),IF($BI50=1,SUM('Final Calculation Sheet'!$T$4:$T$40),IF($BL50=1,SUM('Final Calculation Sheet'!$T$4:$T$40)-SUMIFS('Final Calculation Sheet'!$T$4:$T$40,$AZ$5:$AZ$41,10),SUMIFS('Final Calculation Sheet'!$T$4:$T$40,$AZ$5:$AZ$41,$BH50))),""))</f>
        <v/>
      </c>
      <c r="V51" s="73" t="str">
        <f>IF($BJ50&gt;0,IF(INDEX('Final Calculation Sheet'!$U$4:$U$40,$BJ50-3)="","",INDEX('Final Calculation Sheet'!$U$4:$U$40,$BJ50-3)),IF(OR($BI50=1,$BL50=1,$BH50&gt;0),IF($BI50=1,SUM('Final Calculation Sheet'!$U$4:$U$40),IF($BL50=1,SUM('Final Calculation Sheet'!$U$4:$U$40)-SUMIFS('Final Calculation Sheet'!$U$4:$U$40,$AZ$5:$AZ$41,10),SUMIFS('Final Calculation Sheet'!$U$4:$U$40,$AZ$5:$AZ$41,$BH50))),""))</f>
        <v/>
      </c>
      <c r="W51" s="70" t="str">
        <f>IF($BJ50&gt;0,IF(INDEX('Final Calculation Sheet'!$V$4:$V$40,$BJ50-3)="","",INDEX('Final Calculation Sheet'!$V$4:$V$40,$BJ50-3)),IF(OR($BI50=1,$BL50=1,$BH50&gt;0),"–",""))</f>
        <v/>
      </c>
      <c r="X51" s="70" t="str">
        <f>IF($BJ50&gt;0,IF(INDEX('Final Calculation Sheet'!$W$4:$W$40,$BJ50-3)="","",INDEX('Final Calculation Sheet'!$W$4:$W$40,$BJ50-3)),IF(OR($BI50=1,$BL50=1,$BH50&gt;0),IF($BI50=1,SUM('Final Calculation Sheet'!$W$4:$W$40),IF($BL50=1,SUM('Final Calculation Sheet'!$W$4:$W$40)-SUMIFS('Final Calculation Sheet'!$W$4:$W$40,$AZ$5:$AZ$41,10),SUMIFS('Final Calculation Sheet'!$W$4:$W$40,$AZ$5:$AZ$41,$BH50))),""))</f>
        <v/>
      </c>
      <c r="Y51" s="70" t="str">
        <f>IF($BJ50&gt;0,IF(INDEX('Final Calculation Sheet'!$X$4:$X$40,$BJ50-3)="","",INDEX('Final Calculation Sheet'!$X$4:$X$40,$BJ50-3)),IF(OR($BI50=1,$BL50=1,$BH50&gt;0),IF($BI50=1,SUM('Final Calculation Sheet'!$X$4:$X$40),IF($BL50=1,SUM('Final Calculation Sheet'!$X$4:$X$40)-SUMIFS('Final Calculation Sheet'!$X$4:$X$40,$AZ$5:$AZ$41,10),SUMIFS('Final Calculation Sheet'!$X$4:$X$40,$AZ$5:$AZ$41,$BH50))),""))</f>
        <v/>
      </c>
      <c r="Z51" s="70" t="str">
        <f>IF($BJ50&gt;0,IF(INDEX('Final Calculation Sheet'!$Y$4:$Y$40,$BJ50-3)="","",INDEX('Final Calculation Sheet'!$Y$4:$Y$40,$BJ50-3)),IF(OR($BI50=1,$BL50=1,$BH50&gt;0),"–",""))</f>
        <v/>
      </c>
      <c r="AA51" s="70" t="str">
        <f>IF($BJ50&gt;0,IF(INDEX('Final Calculation Sheet'!$Z$4:$Z$40,$BJ50-3)="","",INDEX('Final Calculation Sheet'!$Z$4:$Z$40,$BJ50-3)),IF(OR($BI50=1,$BL50=1,$BH50&gt;0),IF($BI50=1,SUM('Final Calculation Sheet'!$Z$4:$Z$40),IF($BL50=1,SUM('Final Calculation Sheet'!$Z$4:$Z$40)-SUMIFS('Final Calculation Sheet'!$Z$4:$Z$40,$AZ$5:$AZ$41,10),SUMIFS('Final Calculation Sheet'!$Z$4:$Z$40,$AZ$5:$AZ$41,$BH50))),""))</f>
        <v/>
      </c>
      <c r="AB51" s="70" t="str">
        <f>IF($BJ50&gt;0,IF(INDEX('Final Calculation Sheet'!$AA$4:$AA$40,$BJ50-3)="","",INDEX('Final Calculation Sheet'!$AA$4:$AA$40,$BJ50-3)),IF(OR($BI50=1,$BL50=1,$BH50&gt;0),IF($BI50=1,SUM('Final Calculation Sheet'!$AA$4:$AA$40),IF($BL50=1,SUM('Final Calculation Sheet'!$AA$4:$AA$40)-SUMIFS('Final Calculation Sheet'!$AA$4:$AA$40,$AZ$5:$AZ$41,10),SUMIFS('Final Calculation Sheet'!$AA$4:$AA$40,$AZ$5:$AZ$41,$BH50))),""))</f>
        <v/>
      </c>
      <c r="AC51" s="70" t="str">
        <f>IF($BJ50&gt;0,IF(INDEX('Final Calculation Sheet'!$AB$4:$AB$40,$BJ50-3)="","",INDEX('Final Calculation Sheet'!$AB$4:$AB$40,$BJ50-3)),IF(OR($BI50=1,$BL50=1,$BH50&gt;0),"–",""))</f>
        <v/>
      </c>
      <c r="AD51" s="70" t="str">
        <f>IF($BJ50&gt;0,IF(INDEX('Final Calculation Sheet'!$AC$4:$AC$40,$BJ50-3)="","",INDEX('Final Calculation Sheet'!$AC$4:$AC$40,$BJ50-3)),IF(OR($BI50=1,$BL50=1,$BH50&gt;0),IF($BI50=1,SUM('Final Calculation Sheet'!$AC$4:$AC$40),IF($BL50=1,SUM('Final Calculation Sheet'!$AC$4:$AC$40)-SUMIFS('Final Calculation Sheet'!$AC$4:$AC$40,$AZ$5:$AZ$41,10),SUMIFS('Final Calculation Sheet'!$AC$4:$AC$40,$AZ$5:$AZ$41,$BH50))),""))</f>
        <v/>
      </c>
      <c r="AE51" s="70" t="str">
        <f>IF($BJ50&gt;0,IF(INDEX('Final Calculation Sheet'!$AD$4:$AD$40,$BJ50-3)="","",INDEX('Final Calculation Sheet'!$AD$4:$AD$40,$BJ50-3)),IF(OR($BI50=1,$BL50=1,$BH50&gt;0),IF($BI50=1,SUM('Final Calculation Sheet'!$AD$4:$AD$40),IF($BL50=1,SUM('Final Calculation Sheet'!$AD$4:$AD$40)-SUMIFS('Final Calculation Sheet'!$AD$4:$AD$40,$AZ$5:$AZ$41,10),SUMIFS('Final Calculation Sheet'!$AD$4:$AD$40,$AZ$5:$AZ$41,$BH50))),""))</f>
        <v/>
      </c>
      <c r="AF51" s="70" t="str">
        <f>IF($BJ50&gt;0,IF(INDEX('Final Calculation Sheet'!$AE$4:$AE$40,$BJ50-3)="","",INDEX('Final Calculation Sheet'!$AE$4:$AE$40,$BJ50-3)),IF(OR($BI50=1,$BL50=1,$BH50&gt;0),"–",""))</f>
        <v/>
      </c>
      <c r="AG51" s="74" t="str">
        <f>IF($BJ50&gt;0,IF(INDEX('Final Calculation Sheet'!$AF$4:$AF$40,$BJ50-3)="","",INDEX('Final Calculation Sheet'!$AF$4:$AF$40,$BJ50-3)),IF(OR($BI50=1,$BL50=1,$BH50&gt;0),"–",""))</f>
        <v/>
      </c>
      <c r="AH51" s="70" t="str">
        <f>IF($BJ50&gt;0,IF(INDEX('Final Calculation Sheet'!$AG$4:$AG$40,$BJ50-3)="","",INDEX('Final Calculation Sheet'!$AG$4:$AG$40,$BJ50-3)),IF(OR($BI50=1,$BL50=1,$BH50&gt;0),"–",""))</f>
        <v/>
      </c>
      <c r="AI51" s="75" t="str">
        <f>IF($BJ50&gt;0,IF(INDEX('Final Calculation Sheet'!$AD$4:$AD$40,$BJ50-3)="","",IF(INDEX('Final Calculation Sheet'!$AD$4:$AD$40,$BJ50-3)&lt;=5,"SETTLED","OUTSTANDING")),IF(OR($BI50=1,$BL50=1,$BH50&gt;0),IF(IF($BI50=1,SUM('Final Calculation Sheet'!$AD$4:$AD$40),IF($BL50=1,SUM('Final Calculation Sheet'!$AD$4:$AD$40)-SUMIFS('Final Calculation Sheet'!$AD$4:$AD$40,$AZ$5:$AZ$41,10),SUMIFS('Final Calculation Sheet'!$AD$4:$AD$40,$AZ$5:$AZ$41,$BH50)))&lt;=5,"ALL SETTLED","OUTSTANDING"),""))</f>
        <v/>
      </c>
      <c r="BH51">
        <f>IFERROR(MATCH(51,$BF$4:$BF$13,0),0)</f>
        <v>0</v>
      </c>
      <c r="BI51">
        <f>IF(51=$BG$5,1,0)</f>
        <v>0</v>
      </c>
      <c r="BJ51">
        <f>IF(OR($BH51&gt;0,$BI51=1,$BL51=1),0,IFERROR(INDEX($BC$5:$BC$41,MATCH(51,$BB$5:$BB$41,0)),0))</f>
        <v>0</v>
      </c>
      <c r="BK51">
        <f>IF($BJ51&gt;0,IF(INDEX($AZ$5:$AZ$41,MATCH(51,$BB$5:$BB$41,0))=10,1,0),IF($BH51=10,1,0))</f>
        <v>0</v>
      </c>
      <c r="BL51">
        <f>IF(51=$BG$4,1,0)</f>
        <v>0</v>
      </c>
    </row>
    <row r="52" ht="15" customHeight="1" s="137">
      <c r="A52" s="67" t="str">
        <f>IF($BJ51&gt;0,INDEX($BA$5:$BA$41,MATCH(51,$BB$5:$BB$41,0)),IF(OR($BI51=1,$BL51=1,$BH51&gt;0),"∑",""))</f>
        <v/>
      </c>
      <c r="B52" s="76" t="str">
        <f>IF($BJ51&gt;0,IF(INDEX('Final Calculation Sheet'!$F$4:$F$40,$BJ51-3)="","",INDEX('Final Calculation Sheet'!$F$4:$F$40,$BJ51-3)),"")</f>
        <v/>
      </c>
      <c r="C52" s="76" t="str">
        <f>IF($BJ51&gt;0,IF(INDEX('Final Calculation Sheet'!$G$4:$G$40,$BJ51-3)="","",INDEX('Final Calculation Sheet'!$G$4:$G$40,$BJ51-3)),IF(OR($BI51=1,$BL51=1,$BH51&gt;0),IF($BI51=1,37,IF($BL51=1,37-INDEX($BD$4:$BD$13,10),INDEX($BD$4:$BD$13,$BH51)))&amp;" lot(s)",""))</f>
        <v/>
      </c>
      <c r="D52" s="80" t="str">
        <f>IF($BJ51&gt;0,IF(INDEX('Final Calculation Sheet'!$B$4:$B$40,$BJ51-3)="","",INDEX('Final Calculation Sheet'!$B$4:$B$40,$BJ51-3)),IF(OR($BI51=1,$BL51=1,$BH51&gt;0),IF($BI51=1,"GRAND TOTAL  —  matching + remaining",IF($BL51=1,"TOTAL MATCHED  —  every group together",IF($BH51=10,"REMAINING  —  did not match the search",IF($BH51=9,IF(COUNTIF($A$4:$AI$4,"&lt;&gt;")&gt;0,"FILTERED LOTS  —  column fields","ALL LOTS  —  nothing typed in the box"),"GROUP "&amp;$BH51&amp;" TOTAL  —  lots matching  "&amp;INDEX($AR$6:$AY$6,$BH51))))),""))</f>
        <v/>
      </c>
      <c r="E52" s="80" t="str">
        <f>IF($BJ51&gt;0,IF(INDEX('Final Calculation Sheet'!$D$4:$D$40,$BJ51-3)="","",INDEX('Final Calculation Sheet'!$D$4:$D$40,$BJ51-3)),IF(OR($BI51=1,$BL51=1,$BH51&gt;0),"–",""))</f>
        <v/>
      </c>
      <c r="F52" s="80" t="str">
        <f>IF($BJ51&gt;0,IF(INDEX('Final Calculation Sheet'!$A$4:$A$40,$BJ51-3)="","",INDEX('Final Calculation Sheet'!$A$4:$A$40,$BJ51-3)),IF(OR($BI51=1,$BL51=1,$BH51&gt;0),IF($BI51=1,SUM('Final Calculation Sheet'!$A$4:$A$40),IF($BL51=1,SUM('Final Calculation Sheet'!$A$4:$A$40)-SUMIFS('Final Calculation Sheet'!$A$4:$A$40,$AZ$5:$AZ$41,10),SUMIFS('Final Calculation Sheet'!$A$4:$A$40,$AZ$5:$AZ$41,$BH51))),""))</f>
        <v/>
      </c>
      <c r="G52" s="80" t="str">
        <f>IF($BJ51&gt;0,IF(INDEX('Final Calculation Sheet'!$E$4:$E$40,$BJ51-3)="","",INDEX('Final Calculation Sheet'!$E$4:$E$40,$BJ51-3)),IF(OR($BI51=1,$BL51=1,$BH51&gt;0),"–",""))</f>
        <v/>
      </c>
      <c r="H52" s="70" t="str">
        <f>IF($BJ51&gt;0,IF(INDEX('Final Calculation Sheet'!$C$4:$C$40,$BJ51-3)="","",INDEX('Final Calculation Sheet'!$C$4:$C$40,$BJ51-3)),IF(OR($BI51=1,$BL51=1,$BH51&gt;0),"–",""))</f>
        <v/>
      </c>
      <c r="I52" s="70" t="str">
        <f>IF($BJ51&gt;0,IF(INDEX('Final Calculation Sheet'!$H$4:$H$40,$BJ51-3)="","",INDEX('Final Calculation Sheet'!$H$4:$H$40,$BJ51-3)),IF(OR($BI51=1,$BL51=1,$BH51&gt;0),IF($BI51=1,SUM('Final Calculation Sheet'!$H$4:$H$40),IF($BL51=1,SUM('Final Calculation Sheet'!$H$4:$H$40)-SUMIFS('Final Calculation Sheet'!$H$4:$H$40,$AZ$5:$AZ$41,10),SUMIFS('Final Calculation Sheet'!$H$4:$H$40,$AZ$5:$AZ$41,$BH51))),""))</f>
        <v/>
      </c>
      <c r="J52" s="70" t="str">
        <f>IF($BJ51&gt;0,IF(INDEX('Final Calculation Sheet'!$I$4:$I$40,$BJ51-3)="","",INDEX('Final Calculation Sheet'!$I$4:$I$40,$BJ51-3)),IF(OR($BI51=1,$BL51=1,$BH51&gt;0),IF($BI51=1,SUM('Final Calculation Sheet'!$I$4:$I$40),IF($BL51=1,SUM('Final Calculation Sheet'!$I$4:$I$40)-SUMIFS('Final Calculation Sheet'!$I$4:$I$40,$AZ$5:$AZ$41,10),SUMIFS('Final Calculation Sheet'!$I$4:$I$40,$AZ$5:$AZ$41,$BH51))),""))</f>
        <v/>
      </c>
      <c r="K52" s="70" t="str">
        <f>IF($BJ51&gt;0,IF(INDEX('Final Calculation Sheet'!$J$4:$J$40,$BJ51-3)="","",INDEX('Final Calculation Sheet'!$J$4:$J$40,$BJ51-3)),IF(OR($BI51=1,$BL51=1,$BH51&gt;0),IF($BI51=1,SUM('Final Calculation Sheet'!$J$4:$J$40),IF($BL51=1,SUM('Final Calculation Sheet'!$J$4:$J$40)-SUMIFS('Final Calculation Sheet'!$J$4:$J$40,$AZ$5:$AZ$41,10),SUMIFS('Final Calculation Sheet'!$J$4:$J$40,$AZ$5:$AZ$41,$BH51))),""))</f>
        <v/>
      </c>
      <c r="L52" s="70" t="str">
        <f>IF($BJ51&gt;0,IF(INDEX('Final Calculation Sheet'!$K$4:$K$40,$BJ51-3)="","",INDEX('Final Calculation Sheet'!$K$4:$K$40,$BJ51-3)),IF(OR($BI51=1,$BL51=1,$BH51&gt;0),IF($BI51=1,SUM('Final Calculation Sheet'!$K$4:$K$40),IF($BL51=1,SUM('Final Calculation Sheet'!$K$4:$K$40)-SUMIFS('Final Calculation Sheet'!$K$4:$K$40,$AZ$5:$AZ$41,10),SUMIFS('Final Calculation Sheet'!$K$4:$K$40,$AZ$5:$AZ$41,$BH51))),""))</f>
        <v/>
      </c>
      <c r="M52" s="70" t="str">
        <f>IF($BJ51&gt;0,IF(INDEX('Final Calculation Sheet'!$L$4:$L$40,$BJ51-3)="","",INDEX('Final Calculation Sheet'!$L$4:$L$40,$BJ51-3)),IF(OR($BI51=1,$BL51=1,$BH51&gt;0),IF($BI51=1,SUM('Final Calculation Sheet'!$L$4:$L$40),IF($BL51=1,SUM('Final Calculation Sheet'!$L$4:$L$40)-SUMIFS('Final Calculation Sheet'!$L$4:$L$40,$AZ$5:$AZ$41,10),SUMIFS('Final Calculation Sheet'!$L$4:$L$40,$AZ$5:$AZ$41,$BH51))),""))</f>
        <v/>
      </c>
      <c r="N52" s="70" t="str">
        <f>IF($BJ51&gt;0,IF(INDEX('Final Calculation Sheet'!$M$4:$M$40,$BJ51-3)="","",INDEX('Final Calculation Sheet'!$M$4:$M$40,$BJ51-3)),IF(OR($BI51=1,$BL51=1,$BH51&gt;0),IF($BI51=1,SUM('Final Calculation Sheet'!$M$4:$M$40),IF($BL51=1,SUM('Final Calculation Sheet'!$M$4:$M$40)-SUMIFS('Final Calculation Sheet'!$M$4:$M$40,$AZ$5:$AZ$41,10),SUMIFS('Final Calculation Sheet'!$M$4:$M$40,$AZ$5:$AZ$41,$BH51))),""))</f>
        <v/>
      </c>
      <c r="O52" s="71" t="str">
        <f>IF($BJ51&gt;0,IF(INDEX('Final Calculation Sheet'!$N$4:$N$40,$BJ51-3)="","",INDEX('Final Calculation Sheet'!$N$4:$N$40,$BJ51-3)),IF(OR($BI51=1,$BL51=1,$BH51&gt;0),IF($BI51=1,SUM('Final Calculation Sheet'!$N$4:$N$40),IF($BL51=1,SUM('Final Calculation Sheet'!$N$4:$N$40)-SUMIFS('Final Calculation Sheet'!$N$4:$N$40,$AZ$5:$AZ$41,10),SUMIFS('Final Calculation Sheet'!$N$4:$N$40,$AZ$5:$AZ$41,$BH51))),""))</f>
        <v/>
      </c>
      <c r="P52" s="70" t="str">
        <f>IF($BJ51&gt;0,IF(INDEX('Final Calculation Sheet'!$O$4:$O$40,$BJ51-3)="","",INDEX('Final Calculation Sheet'!$O$4:$O$40,$BJ51-3)),IF(OR($BI51=1,$BL51=1,$BH51&gt;0),IF($BI51=1,SUM('Final Calculation Sheet'!$O$4:$O$40),IF($BL51=1,SUM('Final Calculation Sheet'!$O$4:$O$40)-SUMIFS('Final Calculation Sheet'!$O$4:$O$40,$AZ$5:$AZ$41,10),SUMIFS('Final Calculation Sheet'!$O$4:$O$40,$AZ$5:$AZ$41,$BH51))),""))</f>
        <v/>
      </c>
      <c r="Q52" s="70" t="str">
        <f>IF($BJ51&gt;0,IF(INDEX('Final Calculation Sheet'!$P$4:$P$40,$BJ51-3)="","",INDEX('Final Calculation Sheet'!$P$4:$P$40,$BJ51-3)),IF(OR($BI51=1,$BL51=1,$BH51&gt;0),IF($BI51=1,SUM('Final Calculation Sheet'!$P$4:$P$40),IF($BL51=1,SUM('Final Calculation Sheet'!$P$4:$P$40)-SUMIFS('Final Calculation Sheet'!$P$4:$P$40,$AZ$5:$AZ$41,10),SUMIFS('Final Calculation Sheet'!$P$4:$P$40,$AZ$5:$AZ$41,$BH51))),""))</f>
        <v/>
      </c>
      <c r="R52" s="72" t="str">
        <f>IF($BJ51&gt;0,IF(INDEX('Final Calculation Sheet'!$Q$4:$Q$40,$BJ51-3)="","",INDEX('Final Calculation Sheet'!$Q$4:$Q$40,$BJ51-3)),IF(OR($BI51=1,$BL51=1,$BH51&gt;0),"–",""))</f>
        <v/>
      </c>
      <c r="S52" s="70" t="str">
        <f>IF($BJ51&gt;0,IF(INDEX('Final Calculation Sheet'!$R$4:$R$40,$BJ51-3)="","",INDEX('Final Calculation Sheet'!$R$4:$R$40,$BJ51-3)),IF(OR($BI51=1,$BL51=1,$BH51&gt;0),IF($BI51=1,SUM('Final Calculation Sheet'!$R$4:$R$40),IF($BL51=1,SUM('Final Calculation Sheet'!$R$4:$R$40)-SUMIFS('Final Calculation Sheet'!$R$4:$R$40,$AZ$5:$AZ$41,10),SUMIFS('Final Calculation Sheet'!$R$4:$R$40,$AZ$5:$AZ$41,$BH51))),""))</f>
        <v/>
      </c>
      <c r="T52" s="70" t="str">
        <f>IF($BJ51&gt;0,IF(INDEX('Final Calculation Sheet'!$S$4:$S$40,$BJ51-3)="","",INDEX('Final Calculation Sheet'!$S$4:$S$40,$BJ51-3)),IF(OR($BI51=1,$BL51=1,$BH51&gt;0),IF($BI51=1,SUM('Final Calculation Sheet'!$S$4:$S$40),IF($BL51=1,SUM('Final Calculation Sheet'!$S$4:$S$40)-SUMIFS('Final Calculation Sheet'!$S$4:$S$40,$AZ$5:$AZ$41,10),SUMIFS('Final Calculation Sheet'!$S$4:$S$40,$AZ$5:$AZ$41,$BH51))),""))</f>
        <v/>
      </c>
      <c r="U52" s="70" t="str">
        <f>IF($BJ51&gt;0,IF(INDEX('Final Calculation Sheet'!$T$4:$T$40,$BJ51-3)="","",INDEX('Final Calculation Sheet'!$T$4:$T$40,$BJ51-3)),IF(OR($BI51=1,$BL51=1,$BH51&gt;0),IF($BI51=1,SUM('Final Calculation Sheet'!$T$4:$T$40),IF($BL51=1,SUM('Final Calculation Sheet'!$T$4:$T$40)-SUMIFS('Final Calculation Sheet'!$T$4:$T$40,$AZ$5:$AZ$41,10),SUMIFS('Final Calculation Sheet'!$T$4:$T$40,$AZ$5:$AZ$41,$BH51))),""))</f>
        <v/>
      </c>
      <c r="V52" s="73" t="str">
        <f>IF($BJ51&gt;0,IF(INDEX('Final Calculation Sheet'!$U$4:$U$40,$BJ51-3)="","",INDEX('Final Calculation Sheet'!$U$4:$U$40,$BJ51-3)),IF(OR($BI51=1,$BL51=1,$BH51&gt;0),IF($BI51=1,SUM('Final Calculation Sheet'!$U$4:$U$40),IF($BL51=1,SUM('Final Calculation Sheet'!$U$4:$U$40)-SUMIFS('Final Calculation Sheet'!$U$4:$U$40,$AZ$5:$AZ$41,10),SUMIFS('Final Calculation Sheet'!$U$4:$U$40,$AZ$5:$AZ$41,$BH51))),""))</f>
        <v/>
      </c>
      <c r="W52" s="70" t="str">
        <f>IF($BJ51&gt;0,IF(INDEX('Final Calculation Sheet'!$V$4:$V$40,$BJ51-3)="","",INDEX('Final Calculation Sheet'!$V$4:$V$40,$BJ51-3)),IF(OR($BI51=1,$BL51=1,$BH51&gt;0),"–",""))</f>
        <v/>
      </c>
      <c r="X52" s="70" t="str">
        <f>IF($BJ51&gt;0,IF(INDEX('Final Calculation Sheet'!$W$4:$W$40,$BJ51-3)="","",INDEX('Final Calculation Sheet'!$W$4:$W$40,$BJ51-3)),IF(OR($BI51=1,$BL51=1,$BH51&gt;0),IF($BI51=1,SUM('Final Calculation Sheet'!$W$4:$W$40),IF($BL51=1,SUM('Final Calculation Sheet'!$W$4:$W$40)-SUMIFS('Final Calculation Sheet'!$W$4:$W$40,$AZ$5:$AZ$41,10),SUMIFS('Final Calculation Sheet'!$W$4:$W$40,$AZ$5:$AZ$41,$BH51))),""))</f>
        <v/>
      </c>
      <c r="Y52" s="70" t="str">
        <f>IF($BJ51&gt;0,IF(INDEX('Final Calculation Sheet'!$X$4:$X$40,$BJ51-3)="","",INDEX('Final Calculation Sheet'!$X$4:$X$40,$BJ51-3)),IF(OR($BI51=1,$BL51=1,$BH51&gt;0),IF($BI51=1,SUM('Final Calculation Sheet'!$X$4:$X$40),IF($BL51=1,SUM('Final Calculation Sheet'!$X$4:$X$40)-SUMIFS('Final Calculation Sheet'!$X$4:$X$40,$AZ$5:$AZ$41,10),SUMIFS('Final Calculation Sheet'!$X$4:$X$40,$AZ$5:$AZ$41,$BH51))),""))</f>
        <v/>
      </c>
      <c r="Z52" s="70" t="str">
        <f>IF($BJ51&gt;0,IF(INDEX('Final Calculation Sheet'!$Y$4:$Y$40,$BJ51-3)="","",INDEX('Final Calculation Sheet'!$Y$4:$Y$40,$BJ51-3)),IF(OR($BI51=1,$BL51=1,$BH51&gt;0),"–",""))</f>
        <v/>
      </c>
      <c r="AA52" s="70" t="str">
        <f>IF($BJ51&gt;0,IF(INDEX('Final Calculation Sheet'!$Z$4:$Z$40,$BJ51-3)="","",INDEX('Final Calculation Sheet'!$Z$4:$Z$40,$BJ51-3)),IF(OR($BI51=1,$BL51=1,$BH51&gt;0),IF($BI51=1,SUM('Final Calculation Sheet'!$Z$4:$Z$40),IF($BL51=1,SUM('Final Calculation Sheet'!$Z$4:$Z$40)-SUMIFS('Final Calculation Sheet'!$Z$4:$Z$40,$AZ$5:$AZ$41,10),SUMIFS('Final Calculation Sheet'!$Z$4:$Z$40,$AZ$5:$AZ$41,$BH51))),""))</f>
        <v/>
      </c>
      <c r="AB52" s="70" t="str">
        <f>IF($BJ51&gt;0,IF(INDEX('Final Calculation Sheet'!$AA$4:$AA$40,$BJ51-3)="","",INDEX('Final Calculation Sheet'!$AA$4:$AA$40,$BJ51-3)),IF(OR($BI51=1,$BL51=1,$BH51&gt;0),IF($BI51=1,SUM('Final Calculation Sheet'!$AA$4:$AA$40),IF($BL51=1,SUM('Final Calculation Sheet'!$AA$4:$AA$40)-SUMIFS('Final Calculation Sheet'!$AA$4:$AA$40,$AZ$5:$AZ$41,10),SUMIFS('Final Calculation Sheet'!$AA$4:$AA$40,$AZ$5:$AZ$41,$BH51))),""))</f>
        <v/>
      </c>
      <c r="AC52" s="70" t="str">
        <f>IF($BJ51&gt;0,IF(INDEX('Final Calculation Sheet'!$AB$4:$AB$40,$BJ51-3)="","",INDEX('Final Calculation Sheet'!$AB$4:$AB$40,$BJ51-3)),IF(OR($BI51=1,$BL51=1,$BH51&gt;0),"–",""))</f>
        <v/>
      </c>
      <c r="AD52" s="70" t="str">
        <f>IF($BJ51&gt;0,IF(INDEX('Final Calculation Sheet'!$AC$4:$AC$40,$BJ51-3)="","",INDEX('Final Calculation Sheet'!$AC$4:$AC$40,$BJ51-3)),IF(OR($BI51=1,$BL51=1,$BH51&gt;0),IF($BI51=1,SUM('Final Calculation Sheet'!$AC$4:$AC$40),IF($BL51=1,SUM('Final Calculation Sheet'!$AC$4:$AC$40)-SUMIFS('Final Calculation Sheet'!$AC$4:$AC$40,$AZ$5:$AZ$41,10),SUMIFS('Final Calculation Sheet'!$AC$4:$AC$40,$AZ$5:$AZ$41,$BH51))),""))</f>
        <v/>
      </c>
      <c r="AE52" s="70" t="str">
        <f>IF($BJ51&gt;0,IF(INDEX('Final Calculation Sheet'!$AD$4:$AD$40,$BJ51-3)="","",INDEX('Final Calculation Sheet'!$AD$4:$AD$40,$BJ51-3)),IF(OR($BI51=1,$BL51=1,$BH51&gt;0),IF($BI51=1,SUM('Final Calculation Sheet'!$AD$4:$AD$40),IF($BL51=1,SUM('Final Calculation Sheet'!$AD$4:$AD$40)-SUMIFS('Final Calculation Sheet'!$AD$4:$AD$40,$AZ$5:$AZ$41,10),SUMIFS('Final Calculation Sheet'!$AD$4:$AD$40,$AZ$5:$AZ$41,$BH51))),""))</f>
        <v/>
      </c>
      <c r="AF52" s="70" t="str">
        <f>IF($BJ51&gt;0,IF(INDEX('Final Calculation Sheet'!$AE$4:$AE$40,$BJ51-3)="","",INDEX('Final Calculation Sheet'!$AE$4:$AE$40,$BJ51-3)),IF(OR($BI51=1,$BL51=1,$BH51&gt;0),"–",""))</f>
        <v/>
      </c>
      <c r="AG52" s="74" t="str">
        <f>IF($BJ51&gt;0,IF(INDEX('Final Calculation Sheet'!$AF$4:$AF$40,$BJ51-3)="","",INDEX('Final Calculation Sheet'!$AF$4:$AF$40,$BJ51-3)),IF(OR($BI51=1,$BL51=1,$BH51&gt;0),"–",""))</f>
        <v/>
      </c>
      <c r="AH52" s="70" t="str">
        <f>IF($BJ51&gt;0,IF(INDEX('Final Calculation Sheet'!$AG$4:$AG$40,$BJ51-3)="","",INDEX('Final Calculation Sheet'!$AG$4:$AG$40,$BJ51-3)),IF(OR($BI51=1,$BL51=1,$BH51&gt;0),"–",""))</f>
        <v/>
      </c>
      <c r="AI52" s="75" t="str">
        <f>IF($BJ51&gt;0,IF(INDEX('Final Calculation Sheet'!$AD$4:$AD$40,$BJ51-3)="","",IF(INDEX('Final Calculation Sheet'!$AD$4:$AD$40,$BJ51-3)&lt;=5,"SETTLED","OUTSTANDING")),IF(OR($BI51=1,$BL51=1,$BH51&gt;0),IF(IF($BI51=1,SUM('Final Calculation Sheet'!$AD$4:$AD$40),IF($BL51=1,SUM('Final Calculation Sheet'!$AD$4:$AD$40)-SUMIFS('Final Calculation Sheet'!$AD$4:$AD$40,$AZ$5:$AZ$41,10),SUMIFS('Final Calculation Sheet'!$AD$4:$AD$40,$AZ$5:$AZ$41,$BH51)))&lt;=5,"ALL SETTLED","OUTSTANDING"),""))</f>
        <v/>
      </c>
      <c r="BH52">
        <f>IFERROR(MATCH(52,$BF$4:$BF$13,0),0)</f>
        <v>0</v>
      </c>
      <c r="BI52">
        <f>IF(52=$BG$5,1,0)</f>
        <v>0</v>
      </c>
      <c r="BJ52">
        <f>IF(OR($BH52&gt;0,$BI52=1,$BL52=1),0,IFERROR(INDEX($BC$5:$BC$41,MATCH(52,$BB$5:$BB$41,0)),0))</f>
        <v>0</v>
      </c>
      <c r="BK52">
        <f>IF($BJ52&gt;0,IF(INDEX($AZ$5:$AZ$41,MATCH(52,$BB$5:$BB$41,0))=10,1,0),IF($BH52=10,1,0))</f>
        <v>0</v>
      </c>
      <c r="BL52">
        <f>IF(52=$BG$4,1,0)</f>
        <v>0</v>
      </c>
    </row>
    <row r="53" ht="15" customHeight="1" s="137">
      <c r="A53" s="67" t="str">
        <f>IF($BJ52&gt;0,INDEX($BA$5:$BA$41,MATCH(52,$BB$5:$BB$41,0)),IF(OR($BI52=1,$BL52=1,$BH52&gt;0),"∑",""))</f>
        <v/>
      </c>
      <c r="B53" s="76" t="str">
        <f>IF($BJ52&gt;0,IF(INDEX('Final Calculation Sheet'!$F$4:$F$40,$BJ52-3)="","",INDEX('Final Calculation Sheet'!$F$4:$F$40,$BJ52-3)),"")</f>
        <v/>
      </c>
      <c r="C53" s="76" t="str">
        <f>IF($BJ52&gt;0,IF(INDEX('Final Calculation Sheet'!$G$4:$G$40,$BJ52-3)="","",INDEX('Final Calculation Sheet'!$G$4:$G$40,$BJ52-3)),IF(OR($BI52=1,$BL52=1,$BH52&gt;0),IF($BI52=1,37,IF($BL52=1,37-INDEX($BD$4:$BD$13,10),INDEX($BD$4:$BD$13,$BH52)))&amp;" lot(s)",""))</f>
        <v/>
      </c>
      <c r="D53" s="80" t="str">
        <f>IF($BJ52&gt;0,IF(INDEX('Final Calculation Sheet'!$B$4:$B$40,$BJ52-3)="","",INDEX('Final Calculation Sheet'!$B$4:$B$40,$BJ52-3)),IF(OR($BI52=1,$BL52=1,$BH52&gt;0),IF($BI52=1,"GRAND TOTAL  —  matching + remaining",IF($BL52=1,"TOTAL MATCHED  —  every group together",IF($BH52=10,"REMAINING  —  did not match the search",IF($BH52=9,IF(COUNTIF($A$4:$AI$4,"&lt;&gt;")&gt;0,"FILTERED LOTS  —  column fields","ALL LOTS  —  nothing typed in the box"),"GROUP "&amp;$BH52&amp;" TOTAL  —  lots matching  "&amp;INDEX($AR$6:$AY$6,$BH52))))),""))</f>
        <v/>
      </c>
      <c r="E53" s="80" t="str">
        <f>IF($BJ52&gt;0,IF(INDEX('Final Calculation Sheet'!$D$4:$D$40,$BJ52-3)="","",INDEX('Final Calculation Sheet'!$D$4:$D$40,$BJ52-3)),IF(OR($BI52=1,$BL52=1,$BH52&gt;0),"–",""))</f>
        <v/>
      </c>
      <c r="F53" s="80" t="str">
        <f>IF($BJ52&gt;0,IF(INDEX('Final Calculation Sheet'!$A$4:$A$40,$BJ52-3)="","",INDEX('Final Calculation Sheet'!$A$4:$A$40,$BJ52-3)),IF(OR($BI52=1,$BL52=1,$BH52&gt;0),IF($BI52=1,SUM('Final Calculation Sheet'!$A$4:$A$40),IF($BL52=1,SUM('Final Calculation Sheet'!$A$4:$A$40)-SUMIFS('Final Calculation Sheet'!$A$4:$A$40,$AZ$5:$AZ$41,10),SUMIFS('Final Calculation Sheet'!$A$4:$A$40,$AZ$5:$AZ$41,$BH52))),""))</f>
        <v/>
      </c>
      <c r="G53" s="80" t="str">
        <f>IF($BJ52&gt;0,IF(INDEX('Final Calculation Sheet'!$E$4:$E$40,$BJ52-3)="","",INDEX('Final Calculation Sheet'!$E$4:$E$40,$BJ52-3)),IF(OR($BI52=1,$BL52=1,$BH52&gt;0),"–",""))</f>
        <v/>
      </c>
      <c r="H53" s="70" t="str">
        <f>IF($BJ52&gt;0,IF(INDEX('Final Calculation Sheet'!$C$4:$C$40,$BJ52-3)="","",INDEX('Final Calculation Sheet'!$C$4:$C$40,$BJ52-3)),IF(OR($BI52=1,$BL52=1,$BH52&gt;0),"–",""))</f>
        <v/>
      </c>
      <c r="I53" s="70" t="str">
        <f>IF($BJ52&gt;0,IF(INDEX('Final Calculation Sheet'!$H$4:$H$40,$BJ52-3)="","",INDEX('Final Calculation Sheet'!$H$4:$H$40,$BJ52-3)),IF(OR($BI52=1,$BL52=1,$BH52&gt;0),IF($BI52=1,SUM('Final Calculation Sheet'!$H$4:$H$40),IF($BL52=1,SUM('Final Calculation Sheet'!$H$4:$H$40)-SUMIFS('Final Calculation Sheet'!$H$4:$H$40,$AZ$5:$AZ$41,10),SUMIFS('Final Calculation Sheet'!$H$4:$H$40,$AZ$5:$AZ$41,$BH52))),""))</f>
        <v/>
      </c>
      <c r="J53" s="70" t="str">
        <f>IF($BJ52&gt;0,IF(INDEX('Final Calculation Sheet'!$I$4:$I$40,$BJ52-3)="","",INDEX('Final Calculation Sheet'!$I$4:$I$40,$BJ52-3)),IF(OR($BI52=1,$BL52=1,$BH52&gt;0),IF($BI52=1,SUM('Final Calculation Sheet'!$I$4:$I$40),IF($BL52=1,SUM('Final Calculation Sheet'!$I$4:$I$40)-SUMIFS('Final Calculation Sheet'!$I$4:$I$40,$AZ$5:$AZ$41,10),SUMIFS('Final Calculation Sheet'!$I$4:$I$40,$AZ$5:$AZ$41,$BH52))),""))</f>
        <v/>
      </c>
      <c r="K53" s="70" t="str">
        <f>IF($BJ52&gt;0,IF(INDEX('Final Calculation Sheet'!$J$4:$J$40,$BJ52-3)="","",INDEX('Final Calculation Sheet'!$J$4:$J$40,$BJ52-3)),IF(OR($BI52=1,$BL52=1,$BH52&gt;0),IF($BI52=1,SUM('Final Calculation Sheet'!$J$4:$J$40),IF($BL52=1,SUM('Final Calculation Sheet'!$J$4:$J$40)-SUMIFS('Final Calculation Sheet'!$J$4:$J$40,$AZ$5:$AZ$41,10),SUMIFS('Final Calculation Sheet'!$J$4:$J$40,$AZ$5:$AZ$41,$BH52))),""))</f>
        <v/>
      </c>
      <c r="L53" s="70" t="str">
        <f>IF($BJ52&gt;0,IF(INDEX('Final Calculation Sheet'!$K$4:$K$40,$BJ52-3)="","",INDEX('Final Calculation Sheet'!$K$4:$K$40,$BJ52-3)),IF(OR($BI52=1,$BL52=1,$BH52&gt;0),IF($BI52=1,SUM('Final Calculation Sheet'!$K$4:$K$40),IF($BL52=1,SUM('Final Calculation Sheet'!$K$4:$K$40)-SUMIFS('Final Calculation Sheet'!$K$4:$K$40,$AZ$5:$AZ$41,10),SUMIFS('Final Calculation Sheet'!$K$4:$K$40,$AZ$5:$AZ$41,$BH52))),""))</f>
        <v/>
      </c>
      <c r="M53" s="70" t="str">
        <f>IF($BJ52&gt;0,IF(INDEX('Final Calculation Sheet'!$L$4:$L$40,$BJ52-3)="","",INDEX('Final Calculation Sheet'!$L$4:$L$40,$BJ52-3)),IF(OR($BI52=1,$BL52=1,$BH52&gt;0),IF($BI52=1,SUM('Final Calculation Sheet'!$L$4:$L$40),IF($BL52=1,SUM('Final Calculation Sheet'!$L$4:$L$40)-SUMIFS('Final Calculation Sheet'!$L$4:$L$40,$AZ$5:$AZ$41,10),SUMIFS('Final Calculation Sheet'!$L$4:$L$40,$AZ$5:$AZ$41,$BH52))),""))</f>
        <v/>
      </c>
      <c r="N53" s="70" t="str">
        <f>IF($BJ52&gt;0,IF(INDEX('Final Calculation Sheet'!$M$4:$M$40,$BJ52-3)="","",INDEX('Final Calculation Sheet'!$M$4:$M$40,$BJ52-3)),IF(OR($BI52=1,$BL52=1,$BH52&gt;0),IF($BI52=1,SUM('Final Calculation Sheet'!$M$4:$M$40),IF($BL52=1,SUM('Final Calculation Sheet'!$M$4:$M$40)-SUMIFS('Final Calculation Sheet'!$M$4:$M$40,$AZ$5:$AZ$41,10),SUMIFS('Final Calculation Sheet'!$M$4:$M$40,$AZ$5:$AZ$41,$BH52))),""))</f>
        <v/>
      </c>
      <c r="O53" s="71" t="str">
        <f>IF($BJ52&gt;0,IF(INDEX('Final Calculation Sheet'!$N$4:$N$40,$BJ52-3)="","",INDEX('Final Calculation Sheet'!$N$4:$N$40,$BJ52-3)),IF(OR($BI52=1,$BL52=1,$BH52&gt;0),IF($BI52=1,SUM('Final Calculation Sheet'!$N$4:$N$40),IF($BL52=1,SUM('Final Calculation Sheet'!$N$4:$N$40)-SUMIFS('Final Calculation Sheet'!$N$4:$N$40,$AZ$5:$AZ$41,10),SUMIFS('Final Calculation Sheet'!$N$4:$N$40,$AZ$5:$AZ$41,$BH52))),""))</f>
        <v/>
      </c>
      <c r="P53" s="70" t="str">
        <f>IF($BJ52&gt;0,IF(INDEX('Final Calculation Sheet'!$O$4:$O$40,$BJ52-3)="","",INDEX('Final Calculation Sheet'!$O$4:$O$40,$BJ52-3)),IF(OR($BI52=1,$BL52=1,$BH52&gt;0),IF($BI52=1,SUM('Final Calculation Sheet'!$O$4:$O$40),IF($BL52=1,SUM('Final Calculation Sheet'!$O$4:$O$40)-SUMIFS('Final Calculation Sheet'!$O$4:$O$40,$AZ$5:$AZ$41,10),SUMIFS('Final Calculation Sheet'!$O$4:$O$40,$AZ$5:$AZ$41,$BH52))),""))</f>
        <v/>
      </c>
      <c r="Q53" s="70" t="str">
        <f>IF($BJ52&gt;0,IF(INDEX('Final Calculation Sheet'!$P$4:$P$40,$BJ52-3)="","",INDEX('Final Calculation Sheet'!$P$4:$P$40,$BJ52-3)),IF(OR($BI52=1,$BL52=1,$BH52&gt;0),IF($BI52=1,SUM('Final Calculation Sheet'!$P$4:$P$40),IF($BL52=1,SUM('Final Calculation Sheet'!$P$4:$P$40)-SUMIFS('Final Calculation Sheet'!$P$4:$P$40,$AZ$5:$AZ$41,10),SUMIFS('Final Calculation Sheet'!$P$4:$P$40,$AZ$5:$AZ$41,$BH52))),""))</f>
        <v/>
      </c>
      <c r="R53" s="72" t="str">
        <f>IF($BJ52&gt;0,IF(INDEX('Final Calculation Sheet'!$Q$4:$Q$40,$BJ52-3)="","",INDEX('Final Calculation Sheet'!$Q$4:$Q$40,$BJ52-3)),IF(OR($BI52=1,$BL52=1,$BH52&gt;0),"–",""))</f>
        <v/>
      </c>
      <c r="S53" s="70" t="str">
        <f>IF($BJ52&gt;0,IF(INDEX('Final Calculation Sheet'!$R$4:$R$40,$BJ52-3)="","",INDEX('Final Calculation Sheet'!$R$4:$R$40,$BJ52-3)),IF(OR($BI52=1,$BL52=1,$BH52&gt;0),IF($BI52=1,SUM('Final Calculation Sheet'!$R$4:$R$40),IF($BL52=1,SUM('Final Calculation Sheet'!$R$4:$R$40)-SUMIFS('Final Calculation Sheet'!$R$4:$R$40,$AZ$5:$AZ$41,10),SUMIFS('Final Calculation Sheet'!$R$4:$R$40,$AZ$5:$AZ$41,$BH52))),""))</f>
        <v/>
      </c>
      <c r="T53" s="70" t="str">
        <f>IF($BJ52&gt;0,IF(INDEX('Final Calculation Sheet'!$S$4:$S$40,$BJ52-3)="","",INDEX('Final Calculation Sheet'!$S$4:$S$40,$BJ52-3)),IF(OR($BI52=1,$BL52=1,$BH52&gt;0),IF($BI52=1,SUM('Final Calculation Sheet'!$S$4:$S$40),IF($BL52=1,SUM('Final Calculation Sheet'!$S$4:$S$40)-SUMIFS('Final Calculation Sheet'!$S$4:$S$40,$AZ$5:$AZ$41,10),SUMIFS('Final Calculation Sheet'!$S$4:$S$40,$AZ$5:$AZ$41,$BH52))),""))</f>
        <v/>
      </c>
      <c r="U53" s="70" t="str">
        <f>IF($BJ52&gt;0,IF(INDEX('Final Calculation Sheet'!$T$4:$T$40,$BJ52-3)="","",INDEX('Final Calculation Sheet'!$T$4:$T$40,$BJ52-3)),IF(OR($BI52=1,$BL52=1,$BH52&gt;0),IF($BI52=1,SUM('Final Calculation Sheet'!$T$4:$T$40),IF($BL52=1,SUM('Final Calculation Sheet'!$T$4:$T$40)-SUMIFS('Final Calculation Sheet'!$T$4:$T$40,$AZ$5:$AZ$41,10),SUMIFS('Final Calculation Sheet'!$T$4:$T$40,$AZ$5:$AZ$41,$BH52))),""))</f>
        <v/>
      </c>
      <c r="V53" s="73" t="str">
        <f>IF($BJ52&gt;0,IF(INDEX('Final Calculation Sheet'!$U$4:$U$40,$BJ52-3)="","",INDEX('Final Calculation Sheet'!$U$4:$U$40,$BJ52-3)),IF(OR($BI52=1,$BL52=1,$BH52&gt;0),IF($BI52=1,SUM('Final Calculation Sheet'!$U$4:$U$40),IF($BL52=1,SUM('Final Calculation Sheet'!$U$4:$U$40)-SUMIFS('Final Calculation Sheet'!$U$4:$U$40,$AZ$5:$AZ$41,10),SUMIFS('Final Calculation Sheet'!$U$4:$U$40,$AZ$5:$AZ$41,$BH52))),""))</f>
        <v/>
      </c>
      <c r="W53" s="70" t="str">
        <f>IF($BJ52&gt;0,IF(INDEX('Final Calculation Sheet'!$V$4:$V$40,$BJ52-3)="","",INDEX('Final Calculation Sheet'!$V$4:$V$40,$BJ52-3)),IF(OR($BI52=1,$BL52=1,$BH52&gt;0),"–",""))</f>
        <v/>
      </c>
      <c r="X53" s="70" t="str">
        <f>IF($BJ52&gt;0,IF(INDEX('Final Calculation Sheet'!$W$4:$W$40,$BJ52-3)="","",INDEX('Final Calculation Sheet'!$W$4:$W$40,$BJ52-3)),IF(OR($BI52=1,$BL52=1,$BH52&gt;0),IF($BI52=1,SUM('Final Calculation Sheet'!$W$4:$W$40),IF($BL52=1,SUM('Final Calculation Sheet'!$W$4:$W$40)-SUMIFS('Final Calculation Sheet'!$W$4:$W$40,$AZ$5:$AZ$41,10),SUMIFS('Final Calculation Sheet'!$W$4:$W$40,$AZ$5:$AZ$41,$BH52))),""))</f>
        <v/>
      </c>
      <c r="Y53" s="70" t="str">
        <f>IF($BJ52&gt;0,IF(INDEX('Final Calculation Sheet'!$X$4:$X$40,$BJ52-3)="","",INDEX('Final Calculation Sheet'!$X$4:$X$40,$BJ52-3)),IF(OR($BI52=1,$BL52=1,$BH52&gt;0),IF($BI52=1,SUM('Final Calculation Sheet'!$X$4:$X$40),IF($BL52=1,SUM('Final Calculation Sheet'!$X$4:$X$40)-SUMIFS('Final Calculation Sheet'!$X$4:$X$40,$AZ$5:$AZ$41,10),SUMIFS('Final Calculation Sheet'!$X$4:$X$40,$AZ$5:$AZ$41,$BH52))),""))</f>
        <v/>
      </c>
      <c r="Z53" s="70" t="str">
        <f>IF($BJ52&gt;0,IF(INDEX('Final Calculation Sheet'!$Y$4:$Y$40,$BJ52-3)="","",INDEX('Final Calculation Sheet'!$Y$4:$Y$40,$BJ52-3)),IF(OR($BI52=1,$BL52=1,$BH52&gt;0),"–",""))</f>
        <v/>
      </c>
      <c r="AA53" s="70" t="str">
        <f>IF($BJ52&gt;0,IF(INDEX('Final Calculation Sheet'!$Z$4:$Z$40,$BJ52-3)="","",INDEX('Final Calculation Sheet'!$Z$4:$Z$40,$BJ52-3)),IF(OR($BI52=1,$BL52=1,$BH52&gt;0),IF($BI52=1,SUM('Final Calculation Sheet'!$Z$4:$Z$40),IF($BL52=1,SUM('Final Calculation Sheet'!$Z$4:$Z$40)-SUMIFS('Final Calculation Sheet'!$Z$4:$Z$40,$AZ$5:$AZ$41,10),SUMIFS('Final Calculation Sheet'!$Z$4:$Z$40,$AZ$5:$AZ$41,$BH52))),""))</f>
        <v/>
      </c>
      <c r="AB53" s="70" t="str">
        <f>IF($BJ52&gt;0,IF(INDEX('Final Calculation Sheet'!$AA$4:$AA$40,$BJ52-3)="","",INDEX('Final Calculation Sheet'!$AA$4:$AA$40,$BJ52-3)),IF(OR($BI52=1,$BL52=1,$BH52&gt;0),IF($BI52=1,SUM('Final Calculation Sheet'!$AA$4:$AA$40),IF($BL52=1,SUM('Final Calculation Sheet'!$AA$4:$AA$40)-SUMIFS('Final Calculation Sheet'!$AA$4:$AA$40,$AZ$5:$AZ$41,10),SUMIFS('Final Calculation Sheet'!$AA$4:$AA$40,$AZ$5:$AZ$41,$BH52))),""))</f>
        <v/>
      </c>
      <c r="AC53" s="70" t="str">
        <f>IF($BJ52&gt;0,IF(INDEX('Final Calculation Sheet'!$AB$4:$AB$40,$BJ52-3)="","",INDEX('Final Calculation Sheet'!$AB$4:$AB$40,$BJ52-3)),IF(OR($BI52=1,$BL52=1,$BH52&gt;0),"–",""))</f>
        <v/>
      </c>
      <c r="AD53" s="70" t="str">
        <f>IF($BJ52&gt;0,IF(INDEX('Final Calculation Sheet'!$AC$4:$AC$40,$BJ52-3)="","",INDEX('Final Calculation Sheet'!$AC$4:$AC$40,$BJ52-3)),IF(OR($BI52=1,$BL52=1,$BH52&gt;0),IF($BI52=1,SUM('Final Calculation Sheet'!$AC$4:$AC$40),IF($BL52=1,SUM('Final Calculation Sheet'!$AC$4:$AC$40)-SUMIFS('Final Calculation Sheet'!$AC$4:$AC$40,$AZ$5:$AZ$41,10),SUMIFS('Final Calculation Sheet'!$AC$4:$AC$40,$AZ$5:$AZ$41,$BH52))),""))</f>
        <v/>
      </c>
      <c r="AE53" s="70" t="str">
        <f>IF($BJ52&gt;0,IF(INDEX('Final Calculation Sheet'!$AD$4:$AD$40,$BJ52-3)="","",INDEX('Final Calculation Sheet'!$AD$4:$AD$40,$BJ52-3)),IF(OR($BI52=1,$BL52=1,$BH52&gt;0),IF($BI52=1,SUM('Final Calculation Sheet'!$AD$4:$AD$40),IF($BL52=1,SUM('Final Calculation Sheet'!$AD$4:$AD$40)-SUMIFS('Final Calculation Sheet'!$AD$4:$AD$40,$AZ$5:$AZ$41,10),SUMIFS('Final Calculation Sheet'!$AD$4:$AD$40,$AZ$5:$AZ$41,$BH52))),""))</f>
        <v/>
      </c>
      <c r="AF53" s="70" t="str">
        <f>IF($BJ52&gt;0,IF(INDEX('Final Calculation Sheet'!$AE$4:$AE$40,$BJ52-3)="","",INDEX('Final Calculation Sheet'!$AE$4:$AE$40,$BJ52-3)),IF(OR($BI52=1,$BL52=1,$BH52&gt;0),"–",""))</f>
        <v/>
      </c>
      <c r="AG53" s="74" t="str">
        <f>IF($BJ52&gt;0,IF(INDEX('Final Calculation Sheet'!$AF$4:$AF$40,$BJ52-3)="","",INDEX('Final Calculation Sheet'!$AF$4:$AF$40,$BJ52-3)),IF(OR($BI52=1,$BL52=1,$BH52&gt;0),"–",""))</f>
        <v/>
      </c>
      <c r="AH53" s="70" t="str">
        <f>IF($BJ52&gt;0,IF(INDEX('Final Calculation Sheet'!$AG$4:$AG$40,$BJ52-3)="","",INDEX('Final Calculation Sheet'!$AG$4:$AG$40,$BJ52-3)),IF(OR($BI52=1,$BL52=1,$BH52&gt;0),"–",""))</f>
        <v/>
      </c>
      <c r="AI53" s="75" t="str">
        <f>IF($BJ52&gt;0,IF(INDEX('Final Calculation Sheet'!$AD$4:$AD$40,$BJ52-3)="","",IF(INDEX('Final Calculation Sheet'!$AD$4:$AD$40,$BJ52-3)&lt;=5,"SETTLED","OUTSTANDING")),IF(OR($BI52=1,$BL52=1,$BH52&gt;0),IF(IF($BI52=1,SUM('Final Calculation Sheet'!$AD$4:$AD$40),IF($BL52=1,SUM('Final Calculation Sheet'!$AD$4:$AD$40)-SUMIFS('Final Calculation Sheet'!$AD$4:$AD$40,$AZ$5:$AZ$41,10),SUMIFS('Final Calculation Sheet'!$AD$4:$AD$40,$AZ$5:$AZ$41,$BH52)))&lt;=5,"ALL SETTLED","OUTSTANDING"),""))</f>
        <v/>
      </c>
      <c r="BH53">
        <f>IFERROR(MATCH(53,$BF$4:$BF$13,0),0)</f>
        <v>0</v>
      </c>
      <c r="BI53">
        <f>IF(53=$BG$5,1,0)</f>
        <v>0</v>
      </c>
      <c r="BJ53">
        <f>IF(OR($BH53&gt;0,$BI53=1,$BL53=1),0,IFERROR(INDEX($BC$5:$BC$41,MATCH(53,$BB$5:$BB$41,0)),0))</f>
        <v>0</v>
      </c>
      <c r="BK53">
        <f>IF($BJ53&gt;0,IF(INDEX($AZ$5:$AZ$41,MATCH(53,$BB$5:$BB$41,0))=10,1,0),IF($BH53=10,1,0))</f>
        <v>0</v>
      </c>
      <c r="BL53">
        <f>IF(53=$BG$4,1,0)</f>
        <v>0</v>
      </c>
    </row>
    <row r="54" ht="15" customHeight="1" s="137">
      <c r="A54" s="67" t="str">
        <f>IF($BJ53&gt;0,INDEX($BA$5:$BA$41,MATCH(53,$BB$5:$BB$41,0)),IF(OR($BI53=1,$BL53=1,$BH53&gt;0),"∑",""))</f>
        <v/>
      </c>
      <c r="B54" s="76" t="str">
        <f>IF($BJ53&gt;0,IF(INDEX('Final Calculation Sheet'!$F$4:$F$40,$BJ53-3)="","",INDEX('Final Calculation Sheet'!$F$4:$F$40,$BJ53-3)),"")</f>
        <v/>
      </c>
      <c r="C54" s="76" t="str">
        <f>IF($BJ53&gt;0,IF(INDEX('Final Calculation Sheet'!$G$4:$G$40,$BJ53-3)="","",INDEX('Final Calculation Sheet'!$G$4:$G$40,$BJ53-3)),IF(OR($BI53=1,$BL53=1,$BH53&gt;0),IF($BI53=1,37,IF($BL53=1,37-INDEX($BD$4:$BD$13,10),INDEX($BD$4:$BD$13,$BH53)))&amp;" lot(s)",""))</f>
        <v/>
      </c>
      <c r="D54" s="80" t="str">
        <f>IF($BJ53&gt;0,IF(INDEX('Final Calculation Sheet'!$B$4:$B$40,$BJ53-3)="","",INDEX('Final Calculation Sheet'!$B$4:$B$40,$BJ53-3)),IF(OR($BI53=1,$BL53=1,$BH53&gt;0),IF($BI53=1,"GRAND TOTAL  —  matching + remaining",IF($BL53=1,"TOTAL MATCHED  —  every group together",IF($BH53=10,"REMAINING  —  did not match the search",IF($BH53=9,IF(COUNTIF($A$4:$AI$4,"&lt;&gt;")&gt;0,"FILTERED LOTS  —  column fields","ALL LOTS  —  nothing typed in the box"),"GROUP "&amp;$BH53&amp;" TOTAL  —  lots matching  "&amp;INDEX($AR$6:$AY$6,$BH53))))),""))</f>
        <v/>
      </c>
      <c r="E54" s="80" t="str">
        <f>IF($BJ53&gt;0,IF(INDEX('Final Calculation Sheet'!$D$4:$D$40,$BJ53-3)="","",INDEX('Final Calculation Sheet'!$D$4:$D$40,$BJ53-3)),IF(OR($BI53=1,$BL53=1,$BH53&gt;0),"–",""))</f>
        <v/>
      </c>
      <c r="F54" s="80" t="str">
        <f>IF($BJ53&gt;0,IF(INDEX('Final Calculation Sheet'!$A$4:$A$40,$BJ53-3)="","",INDEX('Final Calculation Sheet'!$A$4:$A$40,$BJ53-3)),IF(OR($BI53=1,$BL53=1,$BH53&gt;0),IF($BI53=1,SUM('Final Calculation Sheet'!$A$4:$A$40),IF($BL53=1,SUM('Final Calculation Sheet'!$A$4:$A$40)-SUMIFS('Final Calculation Sheet'!$A$4:$A$40,$AZ$5:$AZ$41,10),SUMIFS('Final Calculation Sheet'!$A$4:$A$40,$AZ$5:$AZ$41,$BH53))),""))</f>
        <v/>
      </c>
      <c r="G54" s="80" t="str">
        <f>IF($BJ53&gt;0,IF(INDEX('Final Calculation Sheet'!$E$4:$E$40,$BJ53-3)="","",INDEX('Final Calculation Sheet'!$E$4:$E$40,$BJ53-3)),IF(OR($BI53=1,$BL53=1,$BH53&gt;0),"–",""))</f>
        <v/>
      </c>
      <c r="H54" s="70" t="str">
        <f>IF($BJ53&gt;0,IF(INDEX('Final Calculation Sheet'!$C$4:$C$40,$BJ53-3)="","",INDEX('Final Calculation Sheet'!$C$4:$C$40,$BJ53-3)),IF(OR($BI53=1,$BL53=1,$BH53&gt;0),"–",""))</f>
        <v/>
      </c>
      <c r="I54" s="70" t="str">
        <f>IF($BJ53&gt;0,IF(INDEX('Final Calculation Sheet'!$H$4:$H$40,$BJ53-3)="","",INDEX('Final Calculation Sheet'!$H$4:$H$40,$BJ53-3)),IF(OR($BI53=1,$BL53=1,$BH53&gt;0),IF($BI53=1,SUM('Final Calculation Sheet'!$H$4:$H$40),IF($BL53=1,SUM('Final Calculation Sheet'!$H$4:$H$40)-SUMIFS('Final Calculation Sheet'!$H$4:$H$40,$AZ$5:$AZ$41,10),SUMIFS('Final Calculation Sheet'!$H$4:$H$40,$AZ$5:$AZ$41,$BH53))),""))</f>
        <v/>
      </c>
      <c r="J54" s="70" t="str">
        <f>IF($BJ53&gt;0,IF(INDEX('Final Calculation Sheet'!$I$4:$I$40,$BJ53-3)="","",INDEX('Final Calculation Sheet'!$I$4:$I$40,$BJ53-3)),IF(OR($BI53=1,$BL53=1,$BH53&gt;0),IF($BI53=1,SUM('Final Calculation Sheet'!$I$4:$I$40),IF($BL53=1,SUM('Final Calculation Sheet'!$I$4:$I$40)-SUMIFS('Final Calculation Sheet'!$I$4:$I$40,$AZ$5:$AZ$41,10),SUMIFS('Final Calculation Sheet'!$I$4:$I$40,$AZ$5:$AZ$41,$BH53))),""))</f>
        <v/>
      </c>
      <c r="K54" s="70" t="str">
        <f>IF($BJ53&gt;0,IF(INDEX('Final Calculation Sheet'!$J$4:$J$40,$BJ53-3)="","",INDEX('Final Calculation Sheet'!$J$4:$J$40,$BJ53-3)),IF(OR($BI53=1,$BL53=1,$BH53&gt;0),IF($BI53=1,SUM('Final Calculation Sheet'!$J$4:$J$40),IF($BL53=1,SUM('Final Calculation Sheet'!$J$4:$J$40)-SUMIFS('Final Calculation Sheet'!$J$4:$J$40,$AZ$5:$AZ$41,10),SUMIFS('Final Calculation Sheet'!$J$4:$J$40,$AZ$5:$AZ$41,$BH53))),""))</f>
        <v/>
      </c>
      <c r="L54" s="70" t="str">
        <f>IF($BJ53&gt;0,IF(INDEX('Final Calculation Sheet'!$K$4:$K$40,$BJ53-3)="","",INDEX('Final Calculation Sheet'!$K$4:$K$40,$BJ53-3)),IF(OR($BI53=1,$BL53=1,$BH53&gt;0),IF($BI53=1,SUM('Final Calculation Sheet'!$K$4:$K$40),IF($BL53=1,SUM('Final Calculation Sheet'!$K$4:$K$40)-SUMIFS('Final Calculation Sheet'!$K$4:$K$40,$AZ$5:$AZ$41,10),SUMIFS('Final Calculation Sheet'!$K$4:$K$40,$AZ$5:$AZ$41,$BH53))),""))</f>
        <v/>
      </c>
      <c r="M54" s="70" t="str">
        <f>IF($BJ53&gt;0,IF(INDEX('Final Calculation Sheet'!$L$4:$L$40,$BJ53-3)="","",INDEX('Final Calculation Sheet'!$L$4:$L$40,$BJ53-3)),IF(OR($BI53=1,$BL53=1,$BH53&gt;0),IF($BI53=1,SUM('Final Calculation Sheet'!$L$4:$L$40),IF($BL53=1,SUM('Final Calculation Sheet'!$L$4:$L$40)-SUMIFS('Final Calculation Sheet'!$L$4:$L$40,$AZ$5:$AZ$41,10),SUMIFS('Final Calculation Sheet'!$L$4:$L$40,$AZ$5:$AZ$41,$BH53))),""))</f>
        <v/>
      </c>
      <c r="N54" s="70" t="str">
        <f>IF($BJ53&gt;0,IF(INDEX('Final Calculation Sheet'!$M$4:$M$40,$BJ53-3)="","",INDEX('Final Calculation Sheet'!$M$4:$M$40,$BJ53-3)),IF(OR($BI53=1,$BL53=1,$BH53&gt;0),IF($BI53=1,SUM('Final Calculation Sheet'!$M$4:$M$40),IF($BL53=1,SUM('Final Calculation Sheet'!$M$4:$M$40)-SUMIFS('Final Calculation Sheet'!$M$4:$M$40,$AZ$5:$AZ$41,10),SUMIFS('Final Calculation Sheet'!$M$4:$M$40,$AZ$5:$AZ$41,$BH53))),""))</f>
        <v/>
      </c>
      <c r="O54" s="71" t="str">
        <f>IF($BJ53&gt;0,IF(INDEX('Final Calculation Sheet'!$N$4:$N$40,$BJ53-3)="","",INDEX('Final Calculation Sheet'!$N$4:$N$40,$BJ53-3)),IF(OR($BI53=1,$BL53=1,$BH53&gt;0),IF($BI53=1,SUM('Final Calculation Sheet'!$N$4:$N$40),IF($BL53=1,SUM('Final Calculation Sheet'!$N$4:$N$40)-SUMIFS('Final Calculation Sheet'!$N$4:$N$40,$AZ$5:$AZ$41,10),SUMIFS('Final Calculation Sheet'!$N$4:$N$40,$AZ$5:$AZ$41,$BH53))),""))</f>
        <v/>
      </c>
      <c r="P54" s="70" t="str">
        <f>IF($BJ53&gt;0,IF(INDEX('Final Calculation Sheet'!$O$4:$O$40,$BJ53-3)="","",INDEX('Final Calculation Sheet'!$O$4:$O$40,$BJ53-3)),IF(OR($BI53=1,$BL53=1,$BH53&gt;0),IF($BI53=1,SUM('Final Calculation Sheet'!$O$4:$O$40),IF($BL53=1,SUM('Final Calculation Sheet'!$O$4:$O$40)-SUMIFS('Final Calculation Sheet'!$O$4:$O$40,$AZ$5:$AZ$41,10),SUMIFS('Final Calculation Sheet'!$O$4:$O$40,$AZ$5:$AZ$41,$BH53))),""))</f>
        <v/>
      </c>
      <c r="Q54" s="70" t="str">
        <f>IF($BJ53&gt;0,IF(INDEX('Final Calculation Sheet'!$P$4:$P$40,$BJ53-3)="","",INDEX('Final Calculation Sheet'!$P$4:$P$40,$BJ53-3)),IF(OR($BI53=1,$BL53=1,$BH53&gt;0),IF($BI53=1,SUM('Final Calculation Sheet'!$P$4:$P$40),IF($BL53=1,SUM('Final Calculation Sheet'!$P$4:$P$40)-SUMIFS('Final Calculation Sheet'!$P$4:$P$40,$AZ$5:$AZ$41,10),SUMIFS('Final Calculation Sheet'!$P$4:$P$40,$AZ$5:$AZ$41,$BH53))),""))</f>
        <v/>
      </c>
      <c r="R54" s="72" t="str">
        <f>IF($BJ53&gt;0,IF(INDEX('Final Calculation Sheet'!$Q$4:$Q$40,$BJ53-3)="","",INDEX('Final Calculation Sheet'!$Q$4:$Q$40,$BJ53-3)),IF(OR($BI53=1,$BL53=1,$BH53&gt;0),"–",""))</f>
        <v/>
      </c>
      <c r="S54" s="70" t="str">
        <f>IF($BJ53&gt;0,IF(INDEX('Final Calculation Sheet'!$R$4:$R$40,$BJ53-3)="","",INDEX('Final Calculation Sheet'!$R$4:$R$40,$BJ53-3)),IF(OR($BI53=1,$BL53=1,$BH53&gt;0),IF($BI53=1,SUM('Final Calculation Sheet'!$R$4:$R$40),IF($BL53=1,SUM('Final Calculation Sheet'!$R$4:$R$40)-SUMIFS('Final Calculation Sheet'!$R$4:$R$40,$AZ$5:$AZ$41,10),SUMIFS('Final Calculation Sheet'!$R$4:$R$40,$AZ$5:$AZ$41,$BH53))),""))</f>
        <v/>
      </c>
      <c r="T54" s="70" t="str">
        <f>IF($BJ53&gt;0,IF(INDEX('Final Calculation Sheet'!$S$4:$S$40,$BJ53-3)="","",INDEX('Final Calculation Sheet'!$S$4:$S$40,$BJ53-3)),IF(OR($BI53=1,$BL53=1,$BH53&gt;0),IF($BI53=1,SUM('Final Calculation Sheet'!$S$4:$S$40),IF($BL53=1,SUM('Final Calculation Sheet'!$S$4:$S$40)-SUMIFS('Final Calculation Sheet'!$S$4:$S$40,$AZ$5:$AZ$41,10),SUMIFS('Final Calculation Sheet'!$S$4:$S$40,$AZ$5:$AZ$41,$BH53))),""))</f>
        <v/>
      </c>
      <c r="U54" s="70" t="str">
        <f>IF($BJ53&gt;0,IF(INDEX('Final Calculation Sheet'!$T$4:$T$40,$BJ53-3)="","",INDEX('Final Calculation Sheet'!$T$4:$T$40,$BJ53-3)),IF(OR($BI53=1,$BL53=1,$BH53&gt;0),IF($BI53=1,SUM('Final Calculation Sheet'!$T$4:$T$40),IF($BL53=1,SUM('Final Calculation Sheet'!$T$4:$T$40)-SUMIFS('Final Calculation Sheet'!$T$4:$T$40,$AZ$5:$AZ$41,10),SUMIFS('Final Calculation Sheet'!$T$4:$T$40,$AZ$5:$AZ$41,$BH53))),""))</f>
        <v/>
      </c>
      <c r="V54" s="73" t="str">
        <f>IF($BJ53&gt;0,IF(INDEX('Final Calculation Sheet'!$U$4:$U$40,$BJ53-3)="","",INDEX('Final Calculation Sheet'!$U$4:$U$40,$BJ53-3)),IF(OR($BI53=1,$BL53=1,$BH53&gt;0),IF($BI53=1,SUM('Final Calculation Sheet'!$U$4:$U$40),IF($BL53=1,SUM('Final Calculation Sheet'!$U$4:$U$40)-SUMIFS('Final Calculation Sheet'!$U$4:$U$40,$AZ$5:$AZ$41,10),SUMIFS('Final Calculation Sheet'!$U$4:$U$40,$AZ$5:$AZ$41,$BH53))),""))</f>
        <v/>
      </c>
      <c r="W54" s="70" t="str">
        <f>IF($BJ53&gt;0,IF(INDEX('Final Calculation Sheet'!$V$4:$V$40,$BJ53-3)="","",INDEX('Final Calculation Sheet'!$V$4:$V$40,$BJ53-3)),IF(OR($BI53=1,$BL53=1,$BH53&gt;0),"–",""))</f>
        <v/>
      </c>
      <c r="X54" s="70" t="str">
        <f>IF($BJ53&gt;0,IF(INDEX('Final Calculation Sheet'!$W$4:$W$40,$BJ53-3)="","",INDEX('Final Calculation Sheet'!$W$4:$W$40,$BJ53-3)),IF(OR($BI53=1,$BL53=1,$BH53&gt;0),IF($BI53=1,SUM('Final Calculation Sheet'!$W$4:$W$40),IF($BL53=1,SUM('Final Calculation Sheet'!$W$4:$W$40)-SUMIFS('Final Calculation Sheet'!$W$4:$W$40,$AZ$5:$AZ$41,10),SUMIFS('Final Calculation Sheet'!$W$4:$W$40,$AZ$5:$AZ$41,$BH53))),""))</f>
        <v/>
      </c>
      <c r="Y54" s="70" t="str">
        <f>IF($BJ53&gt;0,IF(INDEX('Final Calculation Sheet'!$X$4:$X$40,$BJ53-3)="","",INDEX('Final Calculation Sheet'!$X$4:$X$40,$BJ53-3)),IF(OR($BI53=1,$BL53=1,$BH53&gt;0),IF($BI53=1,SUM('Final Calculation Sheet'!$X$4:$X$40),IF($BL53=1,SUM('Final Calculation Sheet'!$X$4:$X$40)-SUMIFS('Final Calculation Sheet'!$X$4:$X$40,$AZ$5:$AZ$41,10),SUMIFS('Final Calculation Sheet'!$X$4:$X$40,$AZ$5:$AZ$41,$BH53))),""))</f>
        <v/>
      </c>
      <c r="Z54" s="70" t="str">
        <f>IF($BJ53&gt;0,IF(INDEX('Final Calculation Sheet'!$Y$4:$Y$40,$BJ53-3)="","",INDEX('Final Calculation Sheet'!$Y$4:$Y$40,$BJ53-3)),IF(OR($BI53=1,$BL53=1,$BH53&gt;0),"–",""))</f>
        <v/>
      </c>
      <c r="AA54" s="70" t="str">
        <f>IF($BJ53&gt;0,IF(INDEX('Final Calculation Sheet'!$Z$4:$Z$40,$BJ53-3)="","",INDEX('Final Calculation Sheet'!$Z$4:$Z$40,$BJ53-3)),IF(OR($BI53=1,$BL53=1,$BH53&gt;0),IF($BI53=1,SUM('Final Calculation Sheet'!$Z$4:$Z$40),IF($BL53=1,SUM('Final Calculation Sheet'!$Z$4:$Z$40)-SUMIFS('Final Calculation Sheet'!$Z$4:$Z$40,$AZ$5:$AZ$41,10),SUMIFS('Final Calculation Sheet'!$Z$4:$Z$40,$AZ$5:$AZ$41,$BH53))),""))</f>
        <v/>
      </c>
      <c r="AB54" s="70" t="str">
        <f>IF($BJ53&gt;0,IF(INDEX('Final Calculation Sheet'!$AA$4:$AA$40,$BJ53-3)="","",INDEX('Final Calculation Sheet'!$AA$4:$AA$40,$BJ53-3)),IF(OR($BI53=1,$BL53=1,$BH53&gt;0),IF($BI53=1,SUM('Final Calculation Sheet'!$AA$4:$AA$40),IF($BL53=1,SUM('Final Calculation Sheet'!$AA$4:$AA$40)-SUMIFS('Final Calculation Sheet'!$AA$4:$AA$40,$AZ$5:$AZ$41,10),SUMIFS('Final Calculation Sheet'!$AA$4:$AA$40,$AZ$5:$AZ$41,$BH53))),""))</f>
        <v/>
      </c>
      <c r="AC54" s="70" t="str">
        <f>IF($BJ53&gt;0,IF(INDEX('Final Calculation Sheet'!$AB$4:$AB$40,$BJ53-3)="","",INDEX('Final Calculation Sheet'!$AB$4:$AB$40,$BJ53-3)),IF(OR($BI53=1,$BL53=1,$BH53&gt;0),"–",""))</f>
        <v/>
      </c>
      <c r="AD54" s="70" t="str">
        <f>IF($BJ53&gt;0,IF(INDEX('Final Calculation Sheet'!$AC$4:$AC$40,$BJ53-3)="","",INDEX('Final Calculation Sheet'!$AC$4:$AC$40,$BJ53-3)),IF(OR($BI53=1,$BL53=1,$BH53&gt;0),IF($BI53=1,SUM('Final Calculation Sheet'!$AC$4:$AC$40),IF($BL53=1,SUM('Final Calculation Sheet'!$AC$4:$AC$40)-SUMIFS('Final Calculation Sheet'!$AC$4:$AC$40,$AZ$5:$AZ$41,10),SUMIFS('Final Calculation Sheet'!$AC$4:$AC$40,$AZ$5:$AZ$41,$BH53))),""))</f>
        <v/>
      </c>
      <c r="AE54" s="70" t="str">
        <f>IF($BJ53&gt;0,IF(INDEX('Final Calculation Sheet'!$AD$4:$AD$40,$BJ53-3)="","",INDEX('Final Calculation Sheet'!$AD$4:$AD$40,$BJ53-3)),IF(OR($BI53=1,$BL53=1,$BH53&gt;0),IF($BI53=1,SUM('Final Calculation Sheet'!$AD$4:$AD$40),IF($BL53=1,SUM('Final Calculation Sheet'!$AD$4:$AD$40)-SUMIFS('Final Calculation Sheet'!$AD$4:$AD$40,$AZ$5:$AZ$41,10),SUMIFS('Final Calculation Sheet'!$AD$4:$AD$40,$AZ$5:$AZ$41,$BH53))),""))</f>
        <v/>
      </c>
      <c r="AF54" s="70" t="str">
        <f>IF($BJ53&gt;0,IF(INDEX('Final Calculation Sheet'!$AE$4:$AE$40,$BJ53-3)="","",INDEX('Final Calculation Sheet'!$AE$4:$AE$40,$BJ53-3)),IF(OR($BI53=1,$BL53=1,$BH53&gt;0),"–",""))</f>
        <v/>
      </c>
      <c r="AG54" s="74" t="str">
        <f>IF($BJ53&gt;0,IF(INDEX('Final Calculation Sheet'!$AF$4:$AF$40,$BJ53-3)="","",INDEX('Final Calculation Sheet'!$AF$4:$AF$40,$BJ53-3)),IF(OR($BI53=1,$BL53=1,$BH53&gt;0),"–",""))</f>
        <v/>
      </c>
      <c r="AH54" s="70" t="str">
        <f>IF($BJ53&gt;0,IF(INDEX('Final Calculation Sheet'!$AG$4:$AG$40,$BJ53-3)="","",INDEX('Final Calculation Sheet'!$AG$4:$AG$40,$BJ53-3)),IF(OR($BI53=1,$BL53=1,$BH53&gt;0),"–",""))</f>
        <v/>
      </c>
      <c r="AI54" s="75" t="str">
        <f>IF($BJ53&gt;0,IF(INDEX('Final Calculation Sheet'!$AD$4:$AD$40,$BJ53-3)="","",IF(INDEX('Final Calculation Sheet'!$AD$4:$AD$40,$BJ53-3)&lt;=5,"SETTLED","OUTSTANDING")),IF(OR($BI53=1,$BL53=1,$BH53&gt;0),IF(IF($BI53=1,SUM('Final Calculation Sheet'!$AD$4:$AD$40),IF($BL53=1,SUM('Final Calculation Sheet'!$AD$4:$AD$40)-SUMIFS('Final Calculation Sheet'!$AD$4:$AD$40,$AZ$5:$AZ$41,10),SUMIFS('Final Calculation Sheet'!$AD$4:$AD$40,$AZ$5:$AZ$41,$BH53)))&lt;=5,"ALL SETTLED","OUTSTANDING"),""))</f>
        <v/>
      </c>
    </row>
  </sheetData>
  <mergeCells count="4">
    <mergeCell ref="A2:AI2"/>
    <mergeCell ref="B3:D3"/>
    <mergeCell ref="I3:AI3"/>
    <mergeCell ref="A1:AI1"/>
  </mergeCells>
  <conditionalFormatting sqref="A6:AH54">
    <cfRule type="expression" priority="2" dxfId="50">
      <formula>AND($B$3&lt;&gt;"",$BK5=1,$BH5=0,$BI5=0)</formula>
    </cfRule>
    <cfRule type="expression" priority="3" dxfId="49">
      <formula>$BH5=10</formula>
    </cfRule>
    <cfRule type="expression" priority="4" dxfId="48">
      <formula>$BI5=1</formula>
    </cfRule>
    <cfRule type="expression" priority="5" dxfId="47">
      <formula>$BL5=1</formula>
    </cfRule>
    <cfRule type="expression" priority="6" dxfId="46">
      <formula>$BH5&gt;0</formula>
    </cfRule>
    <cfRule type="expression" priority="7" dxfId="3">
      <formula>AND($B$3&lt;&gt;"",$BJ5&gt;0,$BK5=0)</formula>
    </cfRule>
    <cfRule type="expression" priority="8" dxfId="44">
      <formula>AND($BJ5&gt;0,MOD($BJ5,2)=0)</formula>
    </cfRule>
  </conditionalFormatting>
  <conditionalFormatting sqref="AE6:AE54">
    <cfRule type="cellIs" priority="9" operator="greaterThan" dxfId="0">
      <formula>5</formula>
    </cfRule>
  </conditionalFormatting>
  <conditionalFormatting sqref="AI6:AI54">
    <cfRule type="cellIs" priority="10" operator="equal" dxfId="2">
      <formula>"SETTLED"</formula>
    </cfRule>
    <cfRule type="cellIs" priority="11" operator="equal" dxfId="0">
      <formula>"OUTSTANDING"</formula>
    </cfRule>
  </conditionalFormatting>
  <conditionalFormatting sqref="A6:AI54">
    <cfRule type="expression" priority="12" dxfId="40">
      <formula>OR($BJ5&gt;0,$BH5&gt;0,$BI5=1,$BL5=1)</formula>
    </cfRule>
  </conditionalFormatting>
  <dataValidations count="37">
    <dataValidation sqref="F3" showDropDown="0" showInputMessage="0" showErrorMessage="0" allowBlank="0" type="list">
      <formula1>$AO$4:$AO$9</formula1>
      <formula2>0</formula2>
    </dataValidation>
    <dataValidation sqref="B3" showDropDown="0" showInputMessage="0" showErrorMessage="0" allowBlank="0" type="list">
      <formula1>SUG_MAIN</formula1>
      <formula2>0</formula2>
    </dataValidation>
    <dataValidation sqref="A4" showDropDown="0" showInputMessage="0" showErrorMessage="0" allowBlank="0" type="list">
      <formula1>SUG_A</formula1>
      <formula2>0</formula2>
    </dataValidation>
    <dataValidation sqref="B4" showDropDown="0" showInputMessage="0" showErrorMessage="0" allowBlank="0" type="list">
      <formula1>SUG_B</formula1>
      <formula2>0</formula2>
    </dataValidation>
    <dataValidation sqref="C4" showDropDown="0" showInputMessage="0" showErrorMessage="0" allowBlank="0" type="list">
      <formula1>SUG_C</formula1>
      <formula2>0</formula2>
    </dataValidation>
    <dataValidation sqref="D4" showDropDown="0" showInputMessage="0" showErrorMessage="0" allowBlank="0" type="list">
      <formula1>SUG_D</formula1>
      <formula2>0</formula2>
    </dataValidation>
    <dataValidation sqref="E4" showDropDown="0" showInputMessage="0" showErrorMessage="0" allowBlank="0" type="list">
      <formula1>SUG_E</formula1>
      <formula2>0</formula2>
    </dataValidation>
    <dataValidation sqref="F4" showDropDown="0" showInputMessage="0" showErrorMessage="0" allowBlank="0" type="list">
      <formula1>SUG_F</formula1>
      <formula2>0</formula2>
    </dataValidation>
    <dataValidation sqref="G4" showDropDown="0" showInputMessage="0" showErrorMessage="0" allowBlank="0" type="list">
      <formula1>SUG_G</formula1>
      <formula2>0</formula2>
    </dataValidation>
    <dataValidation sqref="H4" showDropDown="0" showInputMessage="0" showErrorMessage="0" allowBlank="0" type="list">
      <formula1>SUG_H</formula1>
      <formula2>0</formula2>
    </dataValidation>
    <dataValidation sqref="I4" showDropDown="0" showInputMessage="0" showErrorMessage="0" allowBlank="0" type="list">
      <formula1>SUG_I</formula1>
      <formula2>0</formula2>
    </dataValidation>
    <dataValidation sqref="J4" showDropDown="0" showInputMessage="0" showErrorMessage="0" allowBlank="0" type="list">
      <formula1>SUG_J</formula1>
      <formula2>0</formula2>
    </dataValidation>
    <dataValidation sqref="K4" showDropDown="0" showInputMessage="0" showErrorMessage="0" allowBlank="0" type="list">
      <formula1>SUG_K</formula1>
      <formula2>0</formula2>
    </dataValidation>
    <dataValidation sqref="L4" showDropDown="0" showInputMessage="0" showErrorMessage="0" allowBlank="0" type="list">
      <formula1>SUG_L</formula1>
      <formula2>0</formula2>
    </dataValidation>
    <dataValidation sqref="M4" showDropDown="0" showInputMessage="0" showErrorMessage="0" allowBlank="0" type="list">
      <formula1>SUG_M</formula1>
      <formula2>0</formula2>
    </dataValidation>
    <dataValidation sqref="N4" showDropDown="0" showInputMessage="0" showErrorMessage="0" allowBlank="0" type="list">
      <formula1>SUG_N</formula1>
      <formula2>0</formula2>
    </dataValidation>
    <dataValidation sqref="O4" showDropDown="0" showInputMessage="0" showErrorMessage="0" allowBlank="0" type="list">
      <formula1>SUG_O</formula1>
      <formula2>0</formula2>
    </dataValidation>
    <dataValidation sqref="P4" showDropDown="0" showInputMessage="0" showErrorMessage="0" allowBlank="0" type="list">
      <formula1>SUG_P</formula1>
      <formula2>0</formula2>
    </dataValidation>
    <dataValidation sqref="Q4" showDropDown="0" showInputMessage="0" showErrorMessage="0" allowBlank="0" type="list">
      <formula1>SUG_Q</formula1>
      <formula2>0</formula2>
    </dataValidation>
    <dataValidation sqref="R4" showDropDown="0" showInputMessage="0" showErrorMessage="0" allowBlank="0" type="list">
      <formula1>SUG_R</formula1>
      <formula2>0</formula2>
    </dataValidation>
    <dataValidation sqref="S4" showDropDown="0" showInputMessage="0" showErrorMessage="0" allowBlank="0" type="list">
      <formula1>SUG_S</formula1>
      <formula2>0</formula2>
    </dataValidation>
    <dataValidation sqref="T4" showDropDown="0" showInputMessage="0" showErrorMessage="0" allowBlank="0" type="list">
      <formula1>SUG_T</formula1>
      <formula2>0</formula2>
    </dataValidation>
    <dataValidation sqref="U4" showDropDown="0" showInputMessage="0" showErrorMessage="0" allowBlank="0" type="list">
      <formula1>SUG_U</formula1>
      <formula2>0</formula2>
    </dataValidation>
    <dataValidation sqref="V4" showDropDown="0" showInputMessage="0" showErrorMessage="0" allowBlank="0" type="list">
      <formula1>SUG_V</formula1>
      <formula2>0</formula2>
    </dataValidation>
    <dataValidation sqref="W4" showDropDown="0" showInputMessage="0" showErrorMessage="0" allowBlank="0" type="list">
      <formula1>SUG_W</formula1>
      <formula2>0</formula2>
    </dataValidation>
    <dataValidation sqref="X4" showDropDown="0" showInputMessage="0" showErrorMessage="0" allowBlank="0" type="list">
      <formula1>SUG_X</formula1>
      <formula2>0</formula2>
    </dataValidation>
    <dataValidation sqref="Y4" showDropDown="0" showInputMessage="0" showErrorMessage="0" allowBlank="0" type="list">
      <formula1>SUG_Y</formula1>
      <formula2>0</formula2>
    </dataValidation>
    <dataValidation sqref="Z4" showDropDown="0" showInputMessage="0" showErrorMessage="0" allowBlank="0" type="list">
      <formula1>SUG_Z</formula1>
      <formula2>0</formula2>
    </dataValidation>
    <dataValidation sqref="AA4" showDropDown="0" showInputMessage="0" showErrorMessage="0" allowBlank="0" type="list">
      <formula1>SUG_AA</formula1>
      <formula2>0</formula2>
    </dataValidation>
    <dataValidation sqref="AB4" showDropDown="0" showInputMessage="0" showErrorMessage="0" allowBlank="0" type="list">
      <formula1>SUG_AB</formula1>
      <formula2>0</formula2>
    </dataValidation>
    <dataValidation sqref="AC4" showDropDown="0" showInputMessage="0" showErrorMessage="0" allowBlank="0" type="list">
      <formula1>SUG_AC</formula1>
      <formula2>0</formula2>
    </dataValidation>
    <dataValidation sqref="AD4" showDropDown="0" showInputMessage="0" showErrorMessage="0" allowBlank="0" type="list">
      <formula1>SUG_AD</formula1>
      <formula2>0</formula2>
    </dataValidation>
    <dataValidation sqref="AE4" showDropDown="0" showInputMessage="0" showErrorMessage="0" allowBlank="0" type="list">
      <formula1>SUG_AE</formula1>
      <formula2>0</formula2>
    </dataValidation>
    <dataValidation sqref="AF4" showDropDown="0" showInputMessage="0" showErrorMessage="0" allowBlank="0" type="list">
      <formula1>SUG_AF</formula1>
      <formula2>0</formula2>
    </dataValidation>
    <dataValidation sqref="AG4" showDropDown="0" showInputMessage="0" showErrorMessage="0" allowBlank="0" type="list">
      <formula1>SUG_AG</formula1>
      <formula2>0</formula2>
    </dataValidation>
    <dataValidation sqref="AH4" showDropDown="0" showInputMessage="0" showErrorMessage="0" allowBlank="0" type="list">
      <formula1>SUG_AH</formula1>
      <formula2>0</formula2>
    </dataValidation>
    <dataValidation sqref="AI4" showDropDown="0" showInputMessage="0" showErrorMessage="0" allowBlank="0" type="list">
      <formula1>SUG_AI</formula1>
      <formula2>0</formula2>
    </dataValidation>
  </dataValidations>
  <pageMargins left="0.75" right="0.75" top="1" bottom="1" header="0.511811023622047" footer="0.511811023622047"/>
  <pageSetup orientation="landscape" fitToHeight="0" horizontalDpi="300" verticalDpi="300"/>
</worksheet>
</file>

<file path=xl/worksheets/sheet3.xml><?xml version="1.0" encoding="utf-8"?>
<worksheet xmlns="http://schemas.openxmlformats.org/spreadsheetml/2006/main">
  <sheetPr codeName="Sheet3">
    <tabColor rgb="FF2E75B6"/>
    <outlinePr summaryBelow="1" summaryRight="1"/>
    <pageSetUpPr/>
  </sheetPr>
  <dimension ref="A1:DB96"/>
  <sheetViews>
    <sheetView zoomScaleNormal="100" workbookViewId="0">
      <pane xSplit="2" ySplit="5" topLeftCell="C6" activePane="bottomRight" state="frozen"/>
      <selection pane="topRight" activeCell="C1" sqref="C1"/>
      <selection pane="bottomLeft" activeCell="A6" sqref="A6"/>
      <selection pane="bottomRight" activeCell="C28" sqref="C28"/>
    </sheetView>
  </sheetViews>
  <sheetFormatPr baseColWidth="8" defaultColWidth="8.7109375" defaultRowHeight="15" outlineLevelRow="1"/>
  <cols>
    <col hidden="1" width="14.85546875" customWidth="1" style="137" min="1" max="1"/>
    <col width="10" customWidth="1" style="137" min="2" max="2"/>
    <col width="30" customWidth="1" style="137" min="3" max="3"/>
    <col outlineLevel="1" width="42" customWidth="1" style="137" min="4" max="4"/>
    <col outlineLevel="1" width="11.7109375" customWidth="1" style="137" min="5" max="5"/>
    <col outlineLevel="1" width="12" customWidth="1" style="137" min="6" max="6"/>
    <col outlineLevel="1" width="11" customWidth="1" style="137" min="7" max="7"/>
    <col outlineLevel="1" width="8.85546875" customWidth="1" style="137" min="8" max="8"/>
    <col width="10.28515625" customWidth="1" style="137" min="9" max="9"/>
    <col outlineLevel="1" width="8.85546875" customWidth="1" style="137" min="10" max="10"/>
    <col outlineLevel="1" width="13.42578125" customWidth="1" style="137" min="11" max="11"/>
    <col outlineLevel="1" width="13" customWidth="1" style="137" min="12" max="16"/>
    <col outlineLevel="1" width="13" customWidth="1" style="137" min="13" max="13"/>
    <col width="13" customWidth="1" style="137" min="14" max="14"/>
    <col width="13.42578125" customWidth="1" style="137" min="17" max="19"/>
    <col outlineLevel="1" width="13" customWidth="1" style="137" min="18" max="18"/>
    <col width="13" customWidth="1" style="137" min="20" max="20"/>
    <col outlineLevel="1" width="13.42578125" customWidth="1" style="137" min="21" max="21"/>
    <col width="13.42578125" customWidth="1" style="137" min="22" max="22"/>
    <col width="13" customWidth="1" style="137" min="23" max="23"/>
    <col outlineLevel="1" width="13" customWidth="1" style="137" min="24" max="24"/>
    <col width="13" customWidth="1" style="137" min="25" max="26"/>
    <col outlineLevel="1" width="13" customWidth="1" style="137" min="27" max="27"/>
    <col width="13" customWidth="1" style="137" min="28" max="35"/>
    <col hidden="1" width="13" customWidth="1" style="137" min="36" max="106"/>
  </cols>
  <sheetData>
    <row r="1" ht="30" customHeight="1" s="137">
      <c r="A1" s="142" t="inlineStr">
        <is>
          <t>MSTC LIMITED  •  BUYER-WISE GROUPS   (each buyer’s lots in one block with a shaded ∑ subtotal beneath it, a blue TOTAL of every buyer and a green GRAND TOTAL cross-checked to the source at the foot)</t>
        </is>
      </c>
    </row>
    <row r="2" ht="43.5" customHeight="1" s="137">
      <c r="A2" s="143" t="inlineStr">
        <is>
          <t>HOW TO READ  ▶  lots are grouped alphabetically by buyer; the navy ∑ row beneath each block subtotals that buyer only.  •  TOTAL adds the buyer subtotals; GRAND TOTAL sums Final Calculation Sheet directly — the two must always agree.  •  nothing here is typed in: every figure is a live link to Final Calculation Sheet.  •  use the +/- outline control above columns D:H to expand/collapse Lot Name through Rate, and above columns J:M to expand/collapse GST through TDS u/s 194(O) under Service Charge to MSTC, and above column R to collapse GST TDS Rate.  •  ROW GROUPS - use the +/- buttons at the left of each navy subtotal row to collapse/expand that buyer’s lots; the 1 / 2 buttons above collapse all blocks or expand everything.  •  the (Expected) columns of Security Deposit, Final Payment and LPP each collapse via their own +/- button above the column.   •   SETTLED TOLERANCE - a lot received short by up to Rs. 5 counts as SETTLED (rounding tolerance); only shortfalls above Rs. 5 show OUTSTANDING.  •  COLUMN SEARCH — type in the yellow SEARCH row (row 4) above any column to highlight every match in that column (contains-text, case-insensitive; works for numbers and dates too). Use (blank) / (nonblank) to find empty or filled cells. Totals and subtotals never highlight. Clear the cell to reset.  •  FUNNEL FILTERS — every header in row 5 has a filter funnel: click it and use its search box to narrow the list down to matching lots. Note: subtotals, TOTAL and GRAND always show FULL (unfiltered) sums even while a filter is on.  •  SEARCH DROPDOWNS — every yellow search cell has a Live-Search-style dropdown (same lists, alphabetical order): click a search cell and press Alt+↓ to pick a value from its alphabetical list instead of typing.  •  MATCHED LOTS — the block beneath GRAND TOTAL lists every lot matching the SEARCH row (same rule as the yellow highlight: contains-text per column, AND across columns, (blank)/(nonblank) supported). Picking a dropdown value renders its matches here with a live count; for multi-value ANY (comma) or wildcards use Live Search.  •  NARROWING DROPDOWNS — type a few letters in any yellow search cell, then press Alt+↓: the dropdown lists only values containing what you typed (same contains rule as the highlight). Clear the cell for the full alphabetical list again.</t>
        </is>
      </c>
    </row>
    <row r="3" ht="21.75" customHeight="1" s="137">
      <c r="A3" s="59" t="inlineStr">
        <is>
          <t>BUYERS  ▸</t>
        </is>
      </c>
      <c r="B3" s="62">
        <f>SUMPRODUCT(1/COUNTIF('Final Calculation Sheet'!$G$4:$G$40,'Final Calculation Sheet'!$G$4:$G$40))</f>
        <v>12.999999999999998</v>
      </c>
      <c r="C3" s="59" t="inlineStr">
        <is>
          <t>LOTS  ▸</t>
        </is>
      </c>
      <c r="D3" s="62">
        <f>COUNTA('Final Calculation Sheet'!$G$4:$G$40)</f>
        <v>37</v>
      </c>
    </row>
    <row r="4" ht="18" customHeight="1" s="137">
      <c r="A4" s="77" t="inlineStr">
        <is>
          <t>SEARCH ▸</t>
        </is>
      </c>
      <c r="B4" s="78" t="n"/>
      <c r="C4" s="78" t="n"/>
      <c r="D4" s="78" t="n"/>
      <c r="E4" s="78" t="n"/>
      <c r="F4" s="78" t="n"/>
      <c r="G4" s="78" t="n"/>
      <c r="H4" s="78" t="n"/>
      <c r="I4" s="78" t="n"/>
      <c r="J4" s="78" t="n"/>
      <c r="K4" s="78" t="n"/>
      <c r="L4" s="78" t="n"/>
      <c r="M4" s="78" t="n"/>
      <c r="N4" s="78" t="n"/>
      <c r="O4" s="78" t="n"/>
      <c r="P4" s="78" t="n"/>
      <c r="Q4" s="78" t="n"/>
      <c r="R4" s="78" t="n"/>
      <c r="S4" s="78" t="n"/>
      <c r="T4" s="78" t="n"/>
      <c r="U4" s="78" t="n"/>
      <c r="V4" s="78" t="n"/>
      <c r="W4" s="78" t="n"/>
      <c r="X4" s="78" t="n"/>
      <c r="Y4" s="78" t="n"/>
      <c r="Z4" s="78" t="n"/>
      <c r="AA4" s="78" t="n"/>
      <c r="AB4" s="78" t="n"/>
      <c r="AC4" s="78" t="n"/>
      <c r="AD4" s="78" t="n"/>
      <c r="AE4" s="78" t="n"/>
      <c r="AF4" s="78" t="n"/>
      <c r="AG4" s="78" t="n"/>
      <c r="AH4" s="78" t="n"/>
      <c r="AI4" s="78" t="n"/>
      <c r="AM4">
        <f>IF(AND(Lists!$O$4&lt;&gt;"",ISNUMBER(SEARCH($B$4,Lists!$O$4))),1,0)</f>
        <v>1</v>
      </c>
      <c r="AN4">
        <f>IF(ROW()-3&gt;MAX($AM$4:$AM$42),"",INDEX(Lists!$O$4:$O$42,MATCH(ROW()-3,$AM$4:$AM$42,0)))</f>
        <v>1763</v>
      </c>
      <c r="AO4">
        <f>IF(AND(Lists!$T$4&lt;&gt;"",ISNUMBER(SEARCH($C$4,Lists!$T$4))),1,0)</f>
        <v>1</v>
      </c>
      <c r="AP4" t="str">
        <f>IF(ROW()-3&gt;MAX($AO$4:$AO$42),"",INDEX(Lists!$T$4:$T$42,MATCH(ROW()-3,$AO$4:$AO$42,0)))</f>
        <v>AL HAMD TRADE CORPORATION</v>
      </c>
      <c r="AQ4">
        <f>IF(AND(Lists!$Y$4&lt;&gt;"",ISNUMBER(SEARCH($D$4,Lists!$Y$4))),1,0)</f>
        <v>1</v>
      </c>
      <c r="AR4" t="str">
        <f>IF(ROW()-3&gt;MAX($AQ$4:$AQ$42),"",INDEX(Lists!$Y$4:$Y$42,MATCH(ROW()-3,$AQ$4:$AQ$42,0)))</f>
        <v>Mix Scrap (Tower angles &amp; 0.2 ACSR Condutor pieces)</v>
      </c>
      <c r="AS4">
        <f>IF(AND(Lists!$AD$4&lt;&gt;"",ISNUMBER(SEARCH($E$4,Lists!$AD$4))),1,0)</f>
        <v>1</v>
      </c>
      <c r="AT4">
        <f>IF(ROW()-3&gt;MAX($AS$4:$AS$42),"",INDEX(Lists!$AD$4:$AD$42,MATCH(ROW()-3,$AS$4:$AS$42,0)))</f>
        <v>21977</v>
      </c>
      <c r="AU4">
        <f>IF(AND(Lists!$AI$4&lt;&gt;"",ISNUMBER(SEARCH($F$4,Lists!$AI$4))),1,0)</f>
        <v>1</v>
      </c>
      <c r="AV4">
        <f>IF(ROW()-3&gt;MAX($AU$4:$AU$42),"",INDEX(Lists!$AI$4:$AI$42,MATCH(ROW()-3,$AU$4:$AU$42,0)))</f>
        <v>1</v>
      </c>
      <c r="AW4">
        <f>IF(AND(Lists!$AN$4&lt;&gt;"",ISNUMBER(SEARCH($G$4,Lists!$AN$4))),1,0)</f>
        <v>1</v>
      </c>
      <c r="AX4" t="str">
        <f>IF(ROW()-3&gt;MAX($AW$4:$AW$42),"",INDEX(Lists!$AN$4:$AN$42,MATCH(ROW()-3,$AW$4:$AW$42,0)))</f>
        <v>KG</v>
      </c>
      <c r="AY4">
        <f>IF(AND(Lists!$AS$4&lt;&gt;"",ISNUMBER(SEARCH($H$4,Lists!$AS$4))),1,0)</f>
        <v>1</v>
      </c>
      <c r="AZ4">
        <f>IF(ROW()-3&gt;MAX($AY$4:$AY$42),"",INDEX(Lists!$AS$4:$AS$42,MATCH(ROW()-3,$AY$4:$AY$42,0)))</f>
        <v>66</v>
      </c>
      <c r="BA4">
        <f>IF(AND(Lists!$AX$4&lt;&gt;"",ISNUMBER(SEARCH($I$4,Lists!$AX$4))),1,0)</f>
        <v>1</v>
      </c>
      <c r="BB4">
        <f>IF(ROW()-3&gt;MAX($BA$4:$BA$42),"",INDEX(Lists!$AX$4:$AX$42,MATCH(ROW()-3,$BA$4:$BA$42,0)))</f>
        <v>15400</v>
      </c>
      <c r="BC4">
        <f>IF(AND(Lists!$BC$4&lt;&gt;"",ISNUMBER(SEARCH($J$4,Lists!$BC$4))),1,0)</f>
        <v>1</v>
      </c>
      <c r="BD4">
        <f>IF(ROW()-3&gt;MAX($BC$4:$BC$42),"",INDEX(Lists!$BC$4:$BC$42,MATCH(ROW()-3,$BC$4:$BC$42,0)))</f>
        <v>2772</v>
      </c>
      <c r="BE4">
        <f>IF(AND(Lists!$BH$4&lt;&gt;"",ISNUMBER(SEARCH($K$4,Lists!$BH$4))),1,0)</f>
        <v>1</v>
      </c>
      <c r="BF4">
        <f>IF(ROW()-3&gt;MAX($BE$4:$BE$42),"",INDEX(Lists!$BH$4:$BH$42,MATCH(ROW()-3,$BE$4:$BE$42,0)))</f>
        <v>18172</v>
      </c>
      <c r="BG4">
        <f>IF(AND(Lists!$BM$4&lt;&gt;"",ISNUMBER(SEARCH($L$4,Lists!$BM$4))),1,0)</f>
        <v>1</v>
      </c>
      <c r="BH4">
        <f>IF(ROW()-3&gt;MAX($BG$4:$BG$42),"",INDEX(Lists!$BM$4:$BM$42,MATCH(ROW()-3,$BG$4:$BG$42,0)))</f>
        <v>363</v>
      </c>
      <c r="BI4">
        <f>IF(AND(Lists!$BR$4&lt;&gt;"",ISNUMBER(SEARCH($M$4,Lists!$BR$4))),1,0)</f>
        <v>1</v>
      </c>
      <c r="BJ4">
        <f>IF(ROW()-3&gt;MAX($BI$4:$BI$42),"",INDEX(Lists!$BR$4:$BR$42,MATCH(ROW()-3,$BI$4:$BI$42,0)))</f>
        <v>15.4</v>
      </c>
      <c r="BK4">
        <f>IF(AND(Lists!$BW$4&lt;&gt;"",ISNUMBER(SEARCH($N$4,Lists!$BW$4))),1,0)</f>
        <v>1</v>
      </c>
      <c r="BL4">
        <f>IF(ROW()-3&gt;MAX($BK$4:$BK$42),"",INDEX(Lists!$BW$4:$BW$42,MATCH(ROW()-3,$BK$4:$BK$42,0)))</f>
        <v>408.87</v>
      </c>
      <c r="BM4">
        <f>IF(AND(Lists!$CB$4&lt;&gt;"",ISNUMBER(SEARCH($O$4,Lists!$CB$4))),1,0)</f>
        <v>1</v>
      </c>
      <c r="BN4">
        <f>IF(ROW()-3&gt;MAX($BM$4:$BM$42),"",INDEX(Lists!$CB$4:$CB$42,MATCH(ROW()-3,$BM$4:$BM$42,0)))</f>
        <v>6.93</v>
      </c>
      <c r="BO4">
        <f>IF(AND(Lists!$CG$4&lt;&gt;"",ISNUMBER(SEARCH($P$4,Lists!$CG$4))),1,0)</f>
        <v>1</v>
      </c>
      <c r="BP4">
        <f>IF(ROW()-3&gt;MAX($BO$4:$BO$42),"",INDEX(Lists!$CG$4:$CG$42,MATCH(ROW()-3,$BO$4:$BO$42,0)))</f>
        <v>401.94</v>
      </c>
      <c r="BQ4">
        <f>IF(AND(Lists!$CL$4&lt;&gt;"",ISNUMBER(SEARCH($Q$4,Lists!$CL$4))),1,0)</f>
        <v>1</v>
      </c>
      <c r="BR4">
        <f>IF(ROW()-3&gt;MAX($BQ$4:$BQ$42),"",INDEX(Lists!$CL$4:$CL$42,MATCH(ROW()-3,$BQ$4:$BQ$42,0)))</f>
        <v>417</v>
      </c>
      <c r="BS4">
        <f>IF(AND(Lists!$CQ$4&lt;&gt;"",ISNUMBER(SEARCH($R$4,Lists!$CQ$4))),1,0)</f>
        <v>1</v>
      </c>
      <c r="BT4">
        <f>IF(ROW()-3&gt;MAX($BS$4:$BS$42),"",INDEX(Lists!$CQ$4:$CQ$42,MATCH(ROW()-3,$BS$4:$BS$42,0)))</f>
        <v>0</v>
      </c>
      <c r="BU4">
        <f>IF(AND(Lists!$CV$4&lt;&gt;"",ISNUMBER(SEARCH($S$4,Lists!$CV$4))),1,0)</f>
        <v>1</v>
      </c>
      <c r="BV4">
        <f>IF(ROW()-3&gt;MAX($BU$4:$BU$42),"",INDEX(Lists!$CV$4:$CV$42,MATCH(ROW()-3,$BU$4:$BU$42,0)))</f>
        <v>0</v>
      </c>
      <c r="BW4">
        <f>IF(AND(Lists!$DA$4&lt;&gt;"",ISNUMBER(SEARCH($T$4,Lists!$DA$4))),1,0)</f>
        <v>1</v>
      </c>
      <c r="BX4">
        <f>IF(ROW()-3&gt;MAX($BW$4:$BW$42),"",INDEX(Lists!$DA$4:$DA$42,MATCH(ROW()-3,$BW$4:$BW$42,0)))</f>
        <v>18118</v>
      </c>
      <c r="BY4">
        <f>IF(AND(Lists!$DF$4&lt;&gt;"",ISNUMBER(SEARCH($U$4,Lists!$DF$4))),1,0)</f>
        <v>1</v>
      </c>
      <c r="BZ4">
        <f>IF(ROW()-3&gt;MAX($BY$4:$BY$42),"",INDEX(Lists!$DF$4:$DF$42,MATCH(ROW()-3,$BY$4:$BY$42,0)))</f>
        <v>3850</v>
      </c>
      <c r="CA4">
        <f>IF(AND(Lists!$DK$4&lt;&gt;"",ISNUMBER(SEARCH($V$4,Lists!$DK$4))),1,0)</f>
        <v>1</v>
      </c>
      <c r="CB4">
        <f>IF(ROW()-3&gt;MAX($CA$4:$CA$42),"",INDEX(Lists!$DK$4:$DK$42,MATCH(ROW()-3,$CA$4:$CA$42,0)))</f>
        <v>3850</v>
      </c>
      <c r="CC4">
        <f>IF(AND(Lists!$DP$4&lt;&gt;"",ISNUMBER(SEARCH($W$4,Lists!$DP$4))),1,0)</f>
        <v>1</v>
      </c>
      <c r="CD4" t="str">
        <f>IF(ROW()-3&gt;MAX($CC$4:$CC$42),"",INDEX(Lists!$DP$4:$DP$42,MATCH(ROW()-3,$CC$4:$CC$42,0)))</f>
        <v>10.08.2026</v>
      </c>
      <c r="CE4">
        <f>IF(AND(Lists!$DU$4&lt;&gt;"",ISNUMBER(SEARCH($X$4,Lists!$DU$4))),1,0)</f>
        <v>1</v>
      </c>
      <c r="CF4">
        <f>IF(ROW()-3&gt;MAX($CE$4:$CE$42),"",INDEX(Lists!$DU$4:$DU$42,MATCH(ROW()-3,$CE$4:$CE$42,0)))</f>
        <v>14268</v>
      </c>
      <c r="CG4" t="e">
        <f>IF(AND(Lists!$DZ$4&lt;&gt;"",ISNUMBER(SEARCH($Y$4,Lists!$DZ$4))),1,0)</f>
        <v>#N/A</v>
      </c>
      <c r="CH4" t="e">
        <f>IF(ROW()-3&gt;MAX($CG$4:$CG$42),"",INDEX(Lists!$DZ$4:$DZ$42,MATCH(ROW()-3,$CG$4:$CG$42,0)))</f>
        <v>#N/A</v>
      </c>
      <c r="CI4" t="e">
        <f>IF(AND(Lists!$EE$4&lt;&gt;"",ISNUMBER(SEARCH($Z$4,Lists!$EE$4))),1,0)</f>
        <v>#N/A</v>
      </c>
      <c r="CJ4" t="e">
        <f>IF(ROW()-3&gt;MAX($CI$4:$CI$42),"",INDEX(Lists!$EE$4:$EE$42,MATCH(ROW()-3,$CI$4:$CI$42,0)))</f>
        <v>#N/A</v>
      </c>
      <c r="CK4">
        <f>IF(AND(Lists!$EJ$4&lt;&gt;"",ISNUMBER(SEARCH($AA$4,Lists!$EJ$4))),1,0)</f>
        <v>1</v>
      </c>
      <c r="CL4">
        <f>IF(ROW()-3&gt;MAX($CK$4:$CK$42),"",INDEX(Lists!$EJ$4:$EJ$42,MATCH(ROW()-3,$CK$4:$CK$42,0)))</f>
        <v>0</v>
      </c>
      <c r="CM4" t="e">
        <f>IF(AND(Lists!$EO$4&lt;&gt;"",ISNUMBER(SEARCH($AB$4,Lists!$EO$4))),1,0)</f>
        <v>#N/A</v>
      </c>
      <c r="CN4" t="e">
        <f>IF(ROW()-3&gt;MAX($CM$4:$CM$42),"",INDEX(Lists!$EO$4:$EO$42,MATCH(ROW()-3,$CM$4:$CM$42,0)))</f>
        <v>#N/A</v>
      </c>
      <c r="CO4" t="e">
        <f>IF(AND(Lists!$ET$4&lt;&gt;"",ISNUMBER(SEARCH($AC$4,Lists!$ET$4))),1,0)</f>
        <v>#N/A</v>
      </c>
      <c r="CP4" t="e">
        <f>IF(ROW()-3&gt;MAX($CO$4:$CO$42),"",INDEX(Lists!$ET$4:$ET$42,MATCH(ROW()-3,$CO$4:$CO$42,0)))</f>
        <v>#N/A</v>
      </c>
      <c r="CQ4">
        <f>IF(AND(Lists!$EY$4&lt;&gt;"",ISNUMBER(SEARCH($AD$4,Lists!$EY$4))),1,0)</f>
        <v>1</v>
      </c>
      <c r="CR4">
        <f>IF(ROW()-3&gt;MAX($CQ$4:$CQ$42),"",INDEX(Lists!$EY$4:$EY$42,MATCH(ROW()-3,$CQ$4:$CQ$42,0)))</f>
        <v>13500</v>
      </c>
      <c r="CS4" t="e">
        <f>IF(AND(Lists!$FD$4&lt;&gt;"",ISNUMBER(SEARCH($AE$4,Lists!$FD$4))),1,0)</f>
        <v>#N/A</v>
      </c>
      <c r="CT4" t="e">
        <f>IF(ROW()-3&gt;MAX($CS$4:$CS$42),"",INDEX(Lists!$FD$4:$FD$42,MATCH(ROW()-3,$CS$4:$CS$42,0)))</f>
        <v>#N/A</v>
      </c>
      <c r="CU4" t="e">
        <f>IF(AND(Lists!$FI$4&lt;&gt;"",ISNUMBER(SEARCH($AF$4,Lists!$FI$4))),1,0)</f>
        <v>#N/A</v>
      </c>
      <c r="CV4" t="e">
        <f>IF(ROW()-3&gt;MAX($CU$4:$CU$42),"",INDEX(Lists!$FI$4:$FI$42,MATCH(ROW()-3,$CU$4:$CU$42,0)))</f>
        <v>#N/A</v>
      </c>
      <c r="CW4" t="e">
        <f>IF(AND(Lists!$FN$4&lt;&gt;"",ISNUMBER(SEARCH($AG$4,Lists!$FN$4))),1,0)</f>
        <v>#N/A</v>
      </c>
      <c r="CX4" t="e">
        <f>IF(ROW()-3&gt;MAX($CW$4:$CW$42),"",INDEX(Lists!$FN$4:$FN$42,MATCH(ROW()-3,$CW$4:$CW$42,0)))</f>
        <v>#N/A</v>
      </c>
      <c r="CY4" t="e">
        <f>IF(AND(Lists!$FS$4&lt;&gt;"",ISNUMBER(SEARCH($AH$4,Lists!$FS$4))),1,0)</f>
        <v>#N/A</v>
      </c>
      <c r="CZ4" t="e">
        <f>IF(ROW()-3&gt;MAX($CY$4:$CY$42),"",INDEX(Lists!$FS$4:$FS$42,MATCH(ROW()-3,$CY$4:$CY$42,0)))</f>
        <v>#N/A</v>
      </c>
      <c r="DA4">
        <f>IF(AND(Lists!$FX$4&lt;&gt;"",ISNUMBER(SEARCH($AI$4,Lists!$FX$4))),1,0)</f>
        <v>1</v>
      </c>
      <c r="DB4" t="str">
        <f>IF(ROW()-3&gt;MAX($DA$4:$DA$42),"",INDEX(Lists!$FX$4:$FX$42,MATCH(ROW()-3,$DA$4:$DA$42,0)))</f>
        <v>OUTSTANDING</v>
      </c>
    </row>
    <row r="5" ht="43.5" customHeight="1" s="137">
      <c r="A5" s="64" t="inlineStr">
        <is>
          <t>#</t>
        </is>
      </c>
      <c r="B5" s="64" t="inlineStr">
        <is>
          <t>Lot No.</t>
        </is>
      </c>
      <c r="C5" s="64" t="inlineStr">
        <is>
          <t>Buyer</t>
        </is>
      </c>
      <c r="D5" s="64" t="inlineStr">
        <is>
          <t>Lot Name</t>
        </is>
      </c>
      <c r="E5" s="64" t="inlineStr">
        <is>
          <t>Bid Sheet</t>
        </is>
      </c>
      <c r="F5" s="64" t="inlineStr">
        <is>
          <t>Quantity</t>
        </is>
      </c>
      <c r="G5" s="64" t="inlineStr">
        <is>
          <t>Unit</t>
        </is>
      </c>
      <c r="H5" s="64" t="inlineStr">
        <is>
          <t>Rate</t>
        </is>
      </c>
      <c r="I5" s="64" t="inlineStr">
        <is>
          <t>Mat. Value</t>
        </is>
      </c>
      <c r="J5" s="64" t="inlineStr">
        <is>
          <t>GST</t>
        </is>
      </c>
      <c r="K5" s="64" t="inlineStr">
        <is>
          <t>Mat. Value + GST</t>
        </is>
      </c>
      <c r="L5" s="64" t="inlineStr">
        <is>
          <t>TCS</t>
        </is>
      </c>
      <c r="M5" s="64" t="inlineStr">
        <is>
          <t>TDS u/s 194(O)</t>
        </is>
      </c>
      <c r="N5" s="64" t="inlineStr">
        <is>
          <t>Service Charge to MSTC</t>
        </is>
      </c>
      <c r="O5" s="64" t="inlineStr">
        <is>
          <t>TDS u/s 194(H)</t>
        </is>
      </c>
      <c r="P5" s="64" t="inlineStr">
        <is>
          <t>Net Service Charge (post TDS 194H)</t>
        </is>
      </c>
      <c r="Q5" s="64" t="inlineStr">
        <is>
          <t>Service charge to MSTC</t>
        </is>
      </c>
      <c r="R5" s="64" t="inlineStr">
        <is>
          <t>GST TDS Rate</t>
        </is>
      </c>
      <c r="S5" s="64" t="inlineStr">
        <is>
          <t>GST TDS</t>
        </is>
      </c>
      <c r="T5" s="64" t="inlineStr">
        <is>
          <t>Total Receivables in Cash</t>
        </is>
      </c>
      <c r="U5" s="64" t="inlineStr">
        <is>
          <t>Security Deposit (Expected)</t>
        </is>
      </c>
      <c r="V5" s="64" t="inlineStr">
        <is>
          <t>Security Deposit (Received)</t>
        </is>
      </c>
      <c r="W5" s="64" t="inlineStr">
        <is>
          <t>Date of Receipt (col V)</t>
        </is>
      </c>
      <c r="X5" s="64" t="inlineStr">
        <is>
          <t>Final Payment (Expected)</t>
        </is>
      </c>
      <c r="Y5" s="64" t="inlineStr">
        <is>
          <t>Final Payment (Received)</t>
        </is>
      </c>
      <c r="Z5" s="64" t="inlineStr">
        <is>
          <t>Date of Receipt (col Y)</t>
        </is>
      </c>
      <c r="AA5" s="64" t="inlineStr">
        <is>
          <t>LPP Expected</t>
        </is>
      </c>
      <c r="AB5" s="64" t="inlineStr">
        <is>
          <t>LPP Received</t>
        </is>
      </c>
      <c r="AC5" s="64" t="inlineStr">
        <is>
          <t>Date of Recepit of LPP</t>
        </is>
      </c>
      <c r="AD5" s="64" t="inlineStr">
        <is>
          <t>Total Received</t>
        </is>
      </c>
      <c r="AE5" s="64" t="inlineStr">
        <is>
          <t>Outstanding</t>
        </is>
      </c>
      <c r="AF5" s="64" t="inlineStr">
        <is>
          <t>Invoice No.</t>
        </is>
      </c>
      <c r="AG5" s="64" t="inlineStr">
        <is>
          <t>SAP Document</t>
        </is>
      </c>
      <c r="AH5" s="64" t="inlineStr">
        <is>
          <t>Doc./Invoice Date</t>
        </is>
      </c>
      <c r="AI5" s="64" t="inlineStr">
        <is>
          <t>Payment Status</t>
        </is>
      </c>
      <c r="AM5">
        <f>AM4+IF(AND(Lists!$O$5&lt;&gt;"",ISNUMBER(SEARCH($B$4,Lists!$O$5))),1,0)</f>
        <v>2</v>
      </c>
      <c r="AN5">
        <f>IF(ROW()-3&gt;MAX($AM$4:$AM$42),"",INDEX(Lists!$O$4:$O$42,MATCH(ROW()-3,$AM$4:$AM$42,0)))</f>
        <v>1874</v>
      </c>
      <c r="AO5">
        <f>AO4+IF(AND(Lists!$T$5&lt;&gt;"",ISNUMBER(SEARCH($C$4,Lists!$T$5))),1,0)</f>
        <v>2</v>
      </c>
      <c r="AP5" t="str">
        <f>IF(ROW()-3&gt;MAX($AO$4:$AO$42),"",INDEX(Lists!$T$4:$T$42,MATCH(ROW()-3,$AO$4:$AO$42,0)))</f>
        <v>F R KHANS ENTERPRISES</v>
      </c>
      <c r="AQ5">
        <f>AQ4+IF(AND(Lists!$Y$5&lt;&gt;"",ISNUMBER(SEARCH($D$4,Lists!$Y$5))),1,0)</f>
        <v>2</v>
      </c>
      <c r="AR5" t="str">
        <f>IF(ROW()-3&gt;MAX($AQ$4:$AQ$42),"",INDEX(Lists!$Y$4:$Y$42,MATCH(ROW()-3,$AQ$4:$AQ$42,0)))</f>
        <v>SCRAP 80MM² AAAC EARTHWIRE</v>
      </c>
      <c r="AS5">
        <f>AS4+IF(AND(Lists!$AD$5&lt;&gt;"",ISNUMBER(SEARCH($E$4,Lists!$AD$5))),1,0)</f>
        <v>2</v>
      </c>
      <c r="AT5">
        <f>IF(ROW()-3&gt;MAX($AS$4:$AS$42),"",INDEX(Lists!$AD$4:$AD$42,MATCH(ROW()-3,$AS$4:$AS$42,0)))</f>
        <v>21978</v>
      </c>
      <c r="AU5">
        <f>AU4+IF(AND(Lists!$AI$5&lt;&gt;"",ISNUMBER(SEARCH($F$4,Lists!$AI$5))),1,0)</f>
        <v>2</v>
      </c>
      <c r="AV5">
        <f>IF(ROW()-3&gt;MAX($AU$4:$AU$42),"",INDEX(Lists!$AI$4:$AI$42,MATCH(ROW()-3,$AU$4:$AU$42,0)))</f>
        <v>2</v>
      </c>
      <c r="AW5">
        <f>AW4+IF(AND(Lists!$AN$5&lt;&gt;"",ISNUMBER(SEARCH($G$4,Lists!$AN$5))),1,0)</f>
        <v>2</v>
      </c>
      <c r="AX5" t="str">
        <f>IF(ROW()-3&gt;MAX($AW$4:$AW$42),"",INDEX(Lists!$AN$4:$AN$42,MATCH(ROW()-3,$AW$4:$AW$42,0)))</f>
        <v>MT</v>
      </c>
      <c r="AY5">
        <f>AY4+IF(AND(Lists!$AS$5&lt;&gt;"",ISNUMBER(SEARCH($H$4,Lists!$AS$5))),1,0)</f>
        <v>2</v>
      </c>
      <c r="AZ5">
        <f>IF(ROW()-3&gt;MAX($AY$4:$AY$42),"",INDEX(Lists!$AS$4:$AS$42,MATCH(ROW()-3,$AY$4:$AY$42,0)))</f>
        <v>227</v>
      </c>
      <c r="BA5">
        <f>BA4+IF(AND(Lists!$AX$5&lt;&gt;"",ISNUMBER(SEARCH($I$4,Lists!$AX$5))),1,0)</f>
        <v>2</v>
      </c>
      <c r="BB5">
        <f>IF(ROW()-3&gt;MAX($BA$4:$BA$42),"",INDEX(Lists!$AX$4:$AX$42,MATCH(ROW()-3,$BA$4:$BA$42,0)))</f>
        <v>17500</v>
      </c>
      <c r="BC5">
        <f>BC4+IF(AND(Lists!$BC$5&lt;&gt;"",ISNUMBER(SEARCH($J$4,Lists!$BC$5))),1,0)</f>
        <v>2</v>
      </c>
      <c r="BD5">
        <f>IF(ROW()-3&gt;MAX($BC$4:$BC$42),"",INDEX(Lists!$BC$4:$BC$42,MATCH(ROW()-3,$BC$4:$BC$42,0)))</f>
        <v>3150</v>
      </c>
      <c r="BE5">
        <f>BE4+IF(AND(Lists!$BH$5&lt;&gt;"",ISNUMBER(SEARCH($K$4,Lists!$BH$5))),1,0)</f>
        <v>2</v>
      </c>
      <c r="BF5">
        <f>IF(ROW()-3&gt;MAX($BE$4:$BE$42),"",INDEX(Lists!$BH$4:$BH$42,MATCH(ROW()-3,$BE$4:$BE$42,0)))</f>
        <v>20650</v>
      </c>
      <c r="BG5">
        <f>BG4+IF(AND(Lists!$BM$5&lt;&gt;"",ISNUMBER(SEARCH($L$4,Lists!$BM$5))),1,0)</f>
        <v>2</v>
      </c>
      <c r="BH5">
        <f>IF(ROW()-3&gt;MAX($BG$4:$BG$42),"",INDEX(Lists!$BM$4:$BM$42,MATCH(ROW()-3,$BG$4:$BG$42,0)))</f>
        <v>413</v>
      </c>
      <c r="BI5">
        <f>BI4+IF(AND(Lists!$BR$5&lt;&gt;"",ISNUMBER(SEARCH($M$4,Lists!$BR$5))),1,0)</f>
        <v>2</v>
      </c>
      <c r="BJ5">
        <f>IF(ROW()-3&gt;MAX($BI$4:$BI$42),"",INDEX(Lists!$BR$4:$BR$42,MATCH(ROW()-3,$BI$4:$BI$42,0)))</f>
        <v>17.5</v>
      </c>
      <c r="BK5">
        <f>BK4+IF(AND(Lists!$BW$5&lt;&gt;"",ISNUMBER(SEARCH($N$4,Lists!$BW$5))),1,0)</f>
        <v>2</v>
      </c>
      <c r="BL5">
        <f>IF(ROW()-3&gt;MAX($BK$4:$BK$42),"",INDEX(Lists!$BW$4:$BW$42,MATCH(ROW()-3,$BK$4:$BK$42,0)))</f>
        <v>464.625</v>
      </c>
      <c r="BM5">
        <f>BM4+IF(AND(Lists!$CB$5&lt;&gt;"",ISNUMBER(SEARCH($O$4,Lists!$CB$5))),1,0)</f>
        <v>2</v>
      </c>
      <c r="BN5">
        <f>IF(ROW()-3&gt;MAX($BM$4:$BM$42),"",INDEX(Lists!$CB$4:$CB$42,MATCH(ROW()-3,$BM$4:$BM$42,0)))</f>
        <v>7.875</v>
      </c>
      <c r="BO5">
        <f>BO4+IF(AND(Lists!$CG$5&lt;&gt;"",ISNUMBER(SEARCH($P$4,Lists!$CG$5))),1,0)</f>
        <v>2</v>
      </c>
      <c r="BP5">
        <f>IF(ROW()-3&gt;MAX($BO$4:$BO$42),"",INDEX(Lists!$CG$4:$CG$42,MATCH(ROW()-3,$BO$4:$BO$42,0)))</f>
        <v>456.75</v>
      </c>
      <c r="BQ5">
        <f>BQ4+IF(AND(Lists!$CL$5&lt;&gt;"",ISNUMBER(SEARCH($Q$4,Lists!$CL$5))),1,0)</f>
        <v>2</v>
      </c>
      <c r="BR5">
        <f>IF(ROW()-3&gt;MAX($BQ$4:$BQ$42),"",INDEX(Lists!$CL$4:$CL$42,MATCH(ROW()-3,$BQ$4:$BQ$42,0)))</f>
        <v>474</v>
      </c>
      <c r="BS5">
        <f>BS4+IF(AND(Lists!$CQ$5&lt;&gt;"",ISNUMBER(SEARCH($R$4,Lists!$CQ$5))),1,0)</f>
        <v>2</v>
      </c>
      <c r="BT5">
        <f>IF(ROW()-3&gt;MAX($BS$4:$BS$42),"",INDEX(Lists!$CQ$4:$CQ$42,MATCH(ROW()-3,$BS$4:$BS$42,0)))</f>
        <v>0.02</v>
      </c>
      <c r="BU5">
        <f>BU4+IF(AND(Lists!$CV$5&lt;&gt;"",ISNUMBER(SEARCH($S$4,Lists!$CV$5))),1,0)</f>
        <v>2</v>
      </c>
      <c r="BV5">
        <f>IF(ROW()-3&gt;MAX($BU$4:$BU$42),"",INDEX(Lists!$CV$4:$CV$42,MATCH(ROW()-3,$BU$4:$BU$42,0)))</f>
        <v>10988</v>
      </c>
      <c r="BW5">
        <f>BW4+IF(AND(Lists!$DA$5&lt;&gt;"",ISNUMBER(SEARCH($T$4,Lists!$DA$5))),1,0)</f>
        <v>2</v>
      </c>
      <c r="BX5">
        <f>IF(ROW()-3&gt;MAX($BW$4:$BW$42),"",INDEX(Lists!$DA$4:$DA$42,MATCH(ROW()-3,$BW$4:$BW$42,0)))</f>
        <v>20589</v>
      </c>
      <c r="BY5">
        <f>BY4+IF(AND(Lists!$DF$5&lt;&gt;"",ISNUMBER(SEARCH($U$4,Lists!$DF$5))),1,0)</f>
        <v>2</v>
      </c>
      <c r="BZ5">
        <f>IF(ROW()-3&gt;MAX($BY$4:$BY$42),"",INDEX(Lists!$DF$4:$DF$42,MATCH(ROW()-3,$BY$4:$BY$42,0)))</f>
        <v>4375</v>
      </c>
      <c r="CA5">
        <f>CA4+IF(AND(Lists!$DK$5&lt;&gt;"",ISNUMBER(SEARCH($V$4,Lists!$DK$5))),1,0)</f>
        <v>2</v>
      </c>
      <c r="CB5">
        <f>IF(ROW()-3&gt;MAX($CA$4:$CA$42),"",INDEX(Lists!$DK$4:$DK$42,MATCH(ROW()-3,$CA$4:$CA$42,0)))</f>
        <v>4375</v>
      </c>
      <c r="CC5">
        <f>CC4+IF(AND(Lists!$DP$5&lt;&gt;"",ISNUMBER(SEARCH($W$4,Lists!$DP$5))),1,0)</f>
        <v>2</v>
      </c>
      <c r="CD5" t="str">
        <f>IF(ROW()-3&gt;MAX($CC$4:$CC$42),"",INDEX(Lists!$DP$4:$DP$42,MATCH(ROW()-3,$CC$4:$CC$42,0)))</f>
        <v>11.08.2026</v>
      </c>
      <c r="CE5">
        <f>CE4+IF(AND(Lists!$DU$5&lt;&gt;"",ISNUMBER(SEARCH($X$4,Lists!$DU$5))),1,0)</f>
        <v>2</v>
      </c>
      <c r="CF5">
        <f>IF(ROW()-3&gt;MAX($CE$4:$CE$42),"",INDEX(Lists!$DU$4:$DU$42,MATCH(ROW()-3,$CE$4:$CE$42,0)))</f>
        <v>16214</v>
      </c>
      <c r="CG5" t="e">
        <f>CG4+IF(AND(Lists!$DZ$5&lt;&gt;"",ISNUMBER(SEARCH($Y$4,Lists!$DZ$5))),1,0)</f>
        <v>#N/A</v>
      </c>
      <c r="CH5" t="e">
        <f>IF(ROW()-3&gt;MAX($CG$4:$CG$42),"",INDEX(Lists!$DZ$4:$DZ$42,MATCH(ROW()-3,$CG$4:$CG$42,0)))</f>
        <v>#N/A</v>
      </c>
      <c r="CI5" t="e">
        <f>CI4+IF(AND(Lists!$EE$5&lt;&gt;"",ISNUMBER(SEARCH($Z$4,Lists!$EE$5))),1,0)</f>
        <v>#N/A</v>
      </c>
      <c r="CJ5" t="e">
        <f>IF(ROW()-3&gt;MAX($CI$4:$CI$42),"",INDEX(Lists!$EE$4:$EE$42,MATCH(ROW()-3,$CI$4:$CI$42,0)))</f>
        <v>#N/A</v>
      </c>
      <c r="CK5">
        <f>CK4+IF(AND(Lists!$EJ$5&lt;&gt;"",ISNUMBER(SEARCH($AA$4,Lists!$EJ$5))),1,0)</f>
        <v>2</v>
      </c>
      <c r="CL5">
        <f>IF(ROW()-3&gt;MAX($CK$4:$CK$42),"",INDEX(Lists!$EJ$4:$EJ$42,MATCH(ROW()-3,$CK$4:$CK$42,0)))</f>
        <v>708.28319999999997</v>
      </c>
      <c r="CM5" t="e">
        <f>CM4+IF(AND(Lists!$EO$5&lt;&gt;"",ISNUMBER(SEARCH($AB$4,Lists!$EO$5))),1,0)</f>
        <v>#N/A</v>
      </c>
      <c r="CN5" t="e">
        <f>IF(ROW()-3&gt;MAX($CM$4:$CM$42),"",INDEX(Lists!$EO$4:$EO$42,MATCH(ROW()-3,$CM$4:$CM$42,0)))</f>
        <v>#N/A</v>
      </c>
      <c r="CO5" t="e">
        <f>CO4+IF(AND(Lists!$ET$5&lt;&gt;"",ISNUMBER(SEARCH($AC$4,Lists!$ET$5))),1,0)</f>
        <v>#N/A</v>
      </c>
      <c r="CP5" t="e">
        <f>IF(ROW()-3&gt;MAX($CO$4:$CO$42),"",INDEX(Lists!$ET$4:$ET$42,MATCH(ROW()-3,$CO$4:$CO$42,0)))</f>
        <v>#N/A</v>
      </c>
      <c r="CQ5">
        <f>CQ4+IF(AND(Lists!$EY$5&lt;&gt;"",ISNUMBER(SEARCH($AD$4,Lists!$EY$5))),1,0)</f>
        <v>2</v>
      </c>
      <c r="CR5">
        <f>IF(ROW()-3&gt;MAX($CQ$4:$CQ$42),"",INDEX(Lists!$EY$4:$EY$42,MATCH(ROW()-3,$CQ$4:$CQ$42,0)))</f>
        <v>18117</v>
      </c>
      <c r="CS5" t="e">
        <f>CS4+IF(AND(Lists!$FD$5&lt;&gt;"",ISNUMBER(SEARCH($AE$4,Lists!$FD$5))),1,0)</f>
        <v>#N/A</v>
      </c>
      <c r="CT5" t="e">
        <f>IF(ROW()-3&gt;MAX($CS$4:$CS$42),"",INDEX(Lists!$FD$4:$FD$42,MATCH(ROW()-3,$CS$4:$CS$42,0)))</f>
        <v>#N/A</v>
      </c>
      <c r="CU5" t="e">
        <f>CU4+IF(AND(Lists!$FI$5&lt;&gt;"",ISNUMBER(SEARCH($AF$4,Lists!$FI$5))),1,0)</f>
        <v>#N/A</v>
      </c>
      <c r="CV5" t="e">
        <f>IF(ROW()-3&gt;MAX($CU$4:$CU$42),"",INDEX(Lists!$FI$4:$FI$42,MATCH(ROW()-3,$CU$4:$CU$42,0)))</f>
        <v>#N/A</v>
      </c>
      <c r="CW5" t="e">
        <f>CW4+IF(AND(Lists!$FN$5&lt;&gt;"",ISNUMBER(SEARCH($AG$4,Lists!$FN$5))),1,0)</f>
        <v>#N/A</v>
      </c>
      <c r="CX5" t="e">
        <f>IF(ROW()-3&gt;MAX($CW$4:$CW$42),"",INDEX(Lists!$FN$4:$FN$42,MATCH(ROW()-3,$CW$4:$CW$42,0)))</f>
        <v>#N/A</v>
      </c>
      <c r="CY5" t="e">
        <f>CY4+IF(AND(Lists!$FS$5&lt;&gt;"",ISNUMBER(SEARCH($AH$4,Lists!$FS$5))),1,0)</f>
        <v>#N/A</v>
      </c>
      <c r="CZ5" t="e">
        <f>IF(ROW()-3&gt;MAX($CY$4:$CY$42),"",INDEX(Lists!$FS$4:$FS$42,MATCH(ROW()-3,$CY$4:$CY$42,0)))</f>
        <v>#N/A</v>
      </c>
      <c r="DA5">
        <f>DA4+IF(AND(Lists!$FX$5&lt;&gt;"",ISNUMBER(SEARCH($AI$4,Lists!$FX$5))),1,0)</f>
        <v>2</v>
      </c>
      <c r="DB5" t="str">
        <f>IF(ROW()-3&gt;MAX($DA$4:$DA$42),"",INDEX(Lists!$FX$4:$FX$42,MATCH(ROW()-3,$DA$4:$DA$42,0)))</f>
        <v>SETTLED</v>
      </c>
    </row>
    <row r="6" outlineLevel="1" ht="15" customHeight="1" s="137">
      <c r="A6" s="67" t="n">
        <v>1</v>
      </c>
      <c r="B6" s="76">
        <f>IF('Final Calculation Sheet'!$F$4="","",'Final Calculation Sheet'!$F$4)</f>
        <v>1763</v>
      </c>
      <c r="C6" s="76" t="str">
        <f>IF('Final Calculation Sheet'!$G$4="","",'Final Calculation Sheet'!$G$4)</f>
        <v>AL HAMD TRADE CORPORATION</v>
      </c>
      <c r="D6" s="80" t="str">
        <f>IF('Final Calculation Sheet'!$B$4="","",'Final Calculation Sheet'!$B$4)</f>
        <v>SCRAP COPPER OF T/F WINDING (Oil impregnated paper insulated T/F winding)</v>
      </c>
      <c r="E6" s="80">
        <f>IF('Final Calculation Sheet'!$D$4="","",'Final Calculation Sheet'!$D$4)</f>
        <v>21980</v>
      </c>
      <c r="F6" s="80">
        <f>IF('Final Calculation Sheet'!$A$4="","",'Final Calculation Sheet'!$A$4)</f>
        <v>669</v>
      </c>
      <c r="G6" s="80" t="str">
        <f>IF('Final Calculation Sheet'!$E$4="","",'Final Calculation Sheet'!$E$4)</f>
        <v>KG</v>
      </c>
      <c r="H6" s="70">
        <f>IF('Final Calculation Sheet'!$C$4="","",'Final Calculation Sheet'!$C$4)</f>
        <v>1181</v>
      </c>
      <c r="I6" s="70">
        <f>IF('Final Calculation Sheet'!$H$4="","",'Final Calculation Sheet'!$H$4)</f>
        <v>790089</v>
      </c>
      <c r="J6" s="70">
        <f>IF('Final Calculation Sheet'!$I$4="","",'Final Calculation Sheet'!$I$4)</f>
        <v>142216</v>
      </c>
      <c r="K6" s="70">
        <f>IF('Final Calculation Sheet'!$J$4="","",'Final Calculation Sheet'!$J$4)</f>
        <v>932305</v>
      </c>
      <c r="L6" s="70">
        <f>IF('Final Calculation Sheet'!$K$4="","",'Final Calculation Sheet'!$K$4)</f>
        <v>18646</v>
      </c>
      <c r="M6" s="70">
        <f>IF('Final Calculation Sheet'!$L$4="","",'Final Calculation Sheet'!$L$4)</f>
        <v>790.08900000000006</v>
      </c>
      <c r="N6" s="70">
        <f>IF('Final Calculation Sheet'!$M$4="","",'Final Calculation Sheet'!$M$4)</f>
        <v>20976.862949999999</v>
      </c>
      <c r="O6" s="71">
        <f>IF('Final Calculation Sheet'!$N$4="","",'Final Calculation Sheet'!$N$4)</f>
        <v>355.54005000000001</v>
      </c>
      <c r="P6" s="70">
        <f>IF('Final Calculation Sheet'!$O$4="","",'Final Calculation Sheet'!$O$4)</f>
        <v>20621.322899999999</v>
      </c>
      <c r="Q6" s="70">
        <f>IF('Final Calculation Sheet'!$P$4="","",'Final Calculation Sheet'!$P$4)</f>
        <v>21411</v>
      </c>
      <c r="R6" s="72">
        <f>IF('Final Calculation Sheet'!$Q$4="","",'Final Calculation Sheet'!$Q$4)</f>
        <v>0.02</v>
      </c>
      <c r="S6" s="70">
        <f>IF('Final Calculation Sheet'!$R$4="","",'Final Calculation Sheet'!$R$4)</f>
        <v>15802</v>
      </c>
      <c r="T6" s="70">
        <f>IF('Final Calculation Sheet'!$S$4="","",'Final Calculation Sheet'!$S$4)</f>
        <v>913738</v>
      </c>
      <c r="U6" s="70">
        <f>IF('Final Calculation Sheet'!$T$4="","",'Final Calculation Sheet'!$T$4)</f>
        <v>197522</v>
      </c>
      <c r="V6" s="73">
        <f>IF('Final Calculation Sheet'!$U$4="","",'Final Calculation Sheet'!$U$4)</f>
        <v>197522</v>
      </c>
      <c r="W6" s="70" t="str">
        <f>IF('Final Calculation Sheet'!$V$4="","",'Final Calculation Sheet'!$V$4)</f>
        <v>24.08.2026</v>
      </c>
      <c r="X6" s="70">
        <f>IF('Final Calculation Sheet'!$W$4="","",'Final Calculation Sheet'!$W$4)</f>
        <v>716215</v>
      </c>
      <c r="Y6" s="70">
        <f>IF('Final Calculation Sheet'!$X$4="","",'Final Calculation Sheet'!$X$4)</f>
        <v>716216</v>
      </c>
      <c r="Z6" s="70" t="str">
        <f>IF('Final Calculation Sheet'!$Y$4="","",'Final Calculation Sheet'!$Y$4)</f>
        <v>18.08.2026</v>
      </c>
      <c r="AA6" s="70">
        <f>IF('Final Calculation Sheet'!$Z$4="","",'Final Calculation Sheet'!$Z$4)</f>
        <v>0</v>
      </c>
      <c r="AB6" s="70" t="str">
        <f>IF('Final Calculation Sheet'!$AA$4="","",'Final Calculation Sheet'!$AA$4)</f>
        <v/>
      </c>
      <c r="AC6" s="70" t="str">
        <f>IF('Final Calculation Sheet'!$AB$4="","",'Final Calculation Sheet'!$AB$4)</f>
        <v/>
      </c>
      <c r="AD6" s="70">
        <f>IF('Final Calculation Sheet'!$AC$4="","",'Final Calculation Sheet'!$AC$4)</f>
        <v>913738</v>
      </c>
      <c r="AE6" s="70">
        <f>IF('Final Calculation Sheet'!$AD$4="","",'Final Calculation Sheet'!$AD$4)</f>
        <v>0</v>
      </c>
      <c r="AF6" s="70" t="str">
        <f>IF('Final Calculation Sheet'!$AE$4="","",'Final Calculation Sheet'!$AE$4)</f>
        <v>DR2640100029</v>
      </c>
      <c r="AG6" s="74">
        <f>IF('Final Calculation Sheet'!$AF$4="","",'Final Calculation Sheet'!$AF$4)</f>
        <v>1800003271</v>
      </c>
      <c r="AH6" s="70" t="str">
        <f>IF('Final Calculation Sheet'!$AG$4="","",'Final Calculation Sheet'!$AG$4)</f>
        <v>24.08.2026</v>
      </c>
      <c r="AI6" s="75" t="str">
        <f>IF('Final Calculation Sheet'!$AD$4="","",IF('Final Calculation Sheet'!$AD$4&lt;=5,"SETTLED","OUTSTANDING"))</f>
        <v>SETTLED</v>
      </c>
      <c r="AJ6" t="b">
        <f>AND(IF($B$4="",TRUE(),IF($B$4="(blank)",'Final Calculation Sheet'!$F$4="",IF($B$4="(nonblank)",'Final Calculation Sheet'!$F$4&lt;&gt;"",ISNUMBER(SEARCH($B$4,'Final Calculation Sheet'!$F$4))))),IF($C$4="",TRUE(),IF($C$4="(blank)",'Final Calculation Sheet'!$G$4="",IF($C$4="(nonblank)",'Final Calculation Sheet'!$G$4&lt;&gt;"",ISNUMBER(SEARCH($C$4,'Final Calculation Sheet'!$G$4))))),IF($D$4="",TRUE(),IF($D$4="(blank)",'Final Calculation Sheet'!$B$4="",IF($D$4="(nonblank)",'Final Calculation Sheet'!$B$4&lt;&gt;"",ISNUMBER(SEARCH($D$4,'Final Calculation Sheet'!$B$4))))),IF($E$4="",TRUE(),IF($E$4="(blank)",'Final Calculation Sheet'!$D$4="",IF($E$4="(nonblank)",'Final Calculation Sheet'!$D$4&lt;&gt;"",ISNUMBER(SEARCH($E$4,'Final Calculation Sheet'!$D$4))))),IF($F$4="",TRUE(),IF($F$4="(blank)",'Final Calculation Sheet'!$A$4="",IF($F$4="(nonblank)",'Final Calculation Sheet'!$A$4&lt;&gt;"",ISNUMBER(SEARCH($F$4,'Final Calculation Sheet'!$A$4))))),IF($G$4="",TRUE(),IF($G$4="(blank)",'Final Calculation Sheet'!$E$4="",IF($G$4="(nonblank)",'Final Calculation Sheet'!$E$4&lt;&gt;"",ISNUMBER(SEARCH($G$4,'Final Calculation Sheet'!$E$4))))),IF($H$4="",TRUE(),IF($H$4="(blank)",'Final Calculation Sheet'!$C$4="",IF($H$4="(nonblank)",'Final Calculation Sheet'!$C$4&lt;&gt;"",ISNUMBER(SEARCH($H$4,'Final Calculation Sheet'!$C$4))))),IF($I$4="",TRUE(),IF($I$4="(blank)",'Final Calculation Sheet'!$H$4="",IF($I$4="(nonblank)",'Final Calculation Sheet'!$H$4&lt;&gt;"",ISNUMBER(SEARCH($I$4,'Final Calculation Sheet'!$H$4))))),IF($J$4="",TRUE(),IF($J$4="(blank)",'Final Calculation Sheet'!$I$4="",IF($J$4="(nonblank)",'Final Calculation Sheet'!$I$4&lt;&gt;"",ISNUMBER(SEARCH($J$4,'Final Calculation Sheet'!$I$4))))),IF($K$4="",TRUE(),IF($K$4="(blank)",'Final Calculation Sheet'!$J$4="",IF($K$4="(nonblank)",'Final Calculation Sheet'!$J$4&lt;&gt;"",ISNUMBER(SEARCH($K$4,'Final Calculation Sheet'!$J$4))))),IF($L$4="",TRUE(),IF($L$4="(blank)",'Final Calculation Sheet'!$K$4="",IF($L$4="(nonblank)",'Final Calculation Sheet'!$K$4&lt;&gt;"",ISNUMBER(SEARCH($L$4,'Final Calculation Sheet'!$K$4))))),IF($M$4="",TRUE(),IF($M$4="(blank)",'Final Calculation Sheet'!$L$4="",IF($M$4="(nonblank)",'Final Calculation Sheet'!$L$4&lt;&gt;"",ISNUMBER(SEARCH($M$4,'Final Calculation Sheet'!$L$4))))),IF($N$4="",TRUE(),IF($N$4="(blank)",'Final Calculation Sheet'!$M$4="",IF($N$4="(nonblank)",'Final Calculation Sheet'!$M$4&lt;&gt;"",ISNUMBER(SEARCH($N$4,'Final Calculation Sheet'!$M$4))))),IF($O$4="",TRUE(),IF($O$4="(blank)",'Final Calculation Sheet'!$N$4="",IF($O$4="(nonblank)",'Final Calculation Sheet'!$N$4&lt;&gt;"",ISNUMBER(SEARCH($O$4,'Final Calculation Sheet'!$N$4))))),IF($P$4="",TRUE(),IF($P$4="(blank)",'Final Calculation Sheet'!$O$4="",IF($P$4="(nonblank)",'Final Calculation Sheet'!$O$4&lt;&gt;"",ISNUMBER(SEARCH($P$4,'Final Calculation Sheet'!$O$4))))),IF($Q$4="",TRUE(),IF($Q$4="(blank)",'Final Calculation Sheet'!$P$4="",IF($Q$4="(nonblank)",'Final Calculation Sheet'!$P$4&lt;&gt;"",ISNUMBER(SEARCH($Q$4,'Final Calculation Sheet'!$P$4))))),IF($R$4="",TRUE(),IF($R$4="(blank)",'Final Calculation Sheet'!$Q$4="",IF($R$4="(nonblank)",'Final Calculation Sheet'!$Q$4&lt;&gt;"",ISNUMBER(SEARCH($R$4,'Final Calculation Sheet'!$Q$4))))),IF($S$4="",TRUE(),IF($S$4="(blank)",'Final Calculation Sheet'!$R$4="",IF($S$4="(nonblank)",'Final Calculation Sheet'!$R$4&lt;&gt;"",ISNUMBER(SEARCH($S$4,'Final Calculation Sheet'!$R$4))))),IF($T$4="",TRUE(),IF($T$4="(blank)",'Final Calculation Sheet'!$S$4="",IF($T$4="(nonblank)",'Final Calculation Sheet'!$S$4&lt;&gt;"",ISNUMBER(SEARCH($T$4,'Final Calculation Sheet'!$S$4))))),IF($U$4="",TRUE(),IF($U$4="(blank)",'Final Calculation Sheet'!$T$4="",IF($U$4="(nonblank)",'Final Calculation Sheet'!$T$4&lt;&gt;"",ISNUMBER(SEARCH($U$4,'Final Calculation Sheet'!$T$4))))),IF($V$4="",TRUE(),IF($V$4="(blank)",'Final Calculation Sheet'!$U$4="",IF($V$4="(nonblank)",'Final Calculation Sheet'!$U$4&lt;&gt;"",ISNUMBER(SEARCH($V$4,'Final Calculation Sheet'!$U$4))))),IF($W$4="",TRUE(),IF($W$4="(blank)",'Final Calculation Sheet'!$V$4="",IF($W$4="(nonblank)",'Final Calculation Sheet'!$V$4&lt;&gt;"",ISNUMBER(SEARCH($W$4,'Final Calculation Sheet'!$V$4))))),IF($X$4="",TRUE(),IF($X$4="(blank)",'Final Calculation Sheet'!$W$4="",IF($X$4="(nonblank)",'Final Calculation Sheet'!$W$4&lt;&gt;"",ISNUMBER(SEARCH($X$4,'Final Calculation Sheet'!$W$4))))),IF($Y$4="",TRUE(),IF($Y$4="(blank)",'Final Calculation Sheet'!$X$4="",IF($Y$4="(nonblank)",'Final Calculation Sheet'!$X$4&lt;&gt;"",ISNUMBER(SEARCH($Y$4,'Final Calculation Sheet'!$X$4))))),IF($Z$4="",TRUE(),IF($Z$4="(blank)",'Final Calculation Sheet'!$Y$4="",IF($Z$4="(nonblank)",'Final Calculation Sheet'!$Y$4&lt;&gt;"",ISNUMBER(SEARCH($Z$4,'Final Calculation Sheet'!$Y$4))))),IF($AA$4="",TRUE(),IF($AA$4="(blank)",'Final Calculation Sheet'!$Z$4="",IF($AA$4="(nonblank)",'Final Calculation Sheet'!$Z$4&lt;&gt;"",ISNUMBER(SEARCH($AA$4,'Final Calculation Sheet'!$Z$4))))),IF($AB$4="",TRUE(),IF($AB$4="(blank)",'Final Calculation Sheet'!$AA$4="",IF($AB$4="(nonblank)",'Final Calculation Sheet'!$AA$4&lt;&gt;"",ISNUMBER(SEARCH($AB$4,'Final Calculation Sheet'!$AA$4))))),IF($AC$4="",TRUE(),IF($AC$4="(blank)",'Final Calculation Sheet'!$AB$4="",IF($AC$4="(nonblank)",'Final Calculation Sheet'!$AB$4&lt;&gt;"",ISNUMBER(SEARCH($AC$4,'Final Calculation Sheet'!$AB$4))))),IF($AD$4="",TRUE(),IF($AD$4="(blank)",'Final Calculation Sheet'!$AC$4="",IF($AD$4="(nonblank)",'Final Calculation Sheet'!$AC$4&lt;&gt;"",ISNUMBER(SEARCH($AD$4,'Final Calculation Sheet'!$AC$4))))),IF($AE$4="",TRUE(),IF($AE$4="(blank)",'Final Calculation Sheet'!$AD$4="",IF($AE$4="(nonblank)",'Final Calculation Sheet'!$AD$4&lt;&gt;"",ISNUMBER(SEARCH($AE$4,'Final Calculation Sheet'!$AD$4))))),IF($AF$4="",TRUE(),IF($AF$4="(blank)",'Final Calculation Sheet'!$AE$4="",IF($AF$4="(nonblank)",'Final Calculation Sheet'!$AE$4&lt;&gt;"",ISNUMBER(SEARCH($AF$4,'Final Calculation Sheet'!$AE$4))))),IF($AG$4="",TRUE(),IF($AG$4="(blank)",'Final Calculation Sheet'!$AF$4="",IF($AG$4="(nonblank)",'Final Calculation Sheet'!$AF$4&lt;&gt;"",ISNUMBER(SEARCH($AG$4,'Final Calculation Sheet'!$AF$4))))),IF($AH$4="",TRUE(),IF($AH$4="(blank)",'Final Calculation Sheet'!$AG$4="",IF($AH$4="(nonblank)",'Final Calculation Sheet'!$AG$4&lt;&gt;"",ISNUMBER(SEARCH($AH$4,'Final Calculation Sheet'!$AG$4))))),IF($AI$4="",TRUE(),IF($AI$4="(blank)",IF('Final Calculation Sheet'!$AD$4&lt;=5,"SETTLED","OUTSTANDING")="",IF($AI$4="(nonblank)",IF('Final Calculation Sheet'!$AD$4&lt;=5,"SETTLED","OUTSTANDING")&lt;&gt;"",ISNUMBER(SEARCH($AI$4,IF('Final Calculation Sheet'!$AD$4&lt;=5,"SETTLED","OUTSTANDING")))))))</f>
        <v>1</v>
      </c>
      <c r="AK6" t="str">
        <f>IF(AJ6=1,COUNTIF(AJ$6:AJ6,1),"")</f>
        <v/>
      </c>
      <c r="AM6">
        <f>AM5+IF(AND(Lists!$O$6&lt;&gt;"",ISNUMBER(SEARCH($B$4,Lists!$O$6))),1,0)</f>
        <v>3</v>
      </c>
      <c r="AN6">
        <f>IF(ROW()-3&gt;MAX($AM$4:$AM$42),"",INDEX(Lists!$O$4:$O$42,MATCH(ROW()-3,$AM$4:$AM$42,0)))</f>
        <v>1875</v>
      </c>
      <c r="AO6">
        <f>AO5+IF(AND(Lists!$T$6&lt;&gt;"",ISNUMBER(SEARCH($C$4,Lists!$T$6))),1,0)</f>
        <v>3</v>
      </c>
      <c r="AP6" t="str">
        <f>IF(ROW()-3&gt;MAX($AO$4:$AO$42),"",INDEX(Lists!$T$4:$T$42,MATCH(ROW()-3,$AO$4:$AO$42,0)))</f>
        <v>HIND TRADERS</v>
      </c>
      <c r="AQ6">
        <f>AQ5+IF(AND(Lists!$Y$6&lt;&gt;"",ISNUMBER(SEARCH($D$4,Lists!$Y$6))),1,0)</f>
        <v>3</v>
      </c>
      <c r="AR6" t="str">
        <f>IF(ROW()-3&gt;MAX($AQ$4:$AQ$42),"",INDEX(Lists!$Y$4:$Y$42,MATCH(ROW()-3,$AQ$4:$AQ$42,0)))</f>
        <v>SCRAP ACSR CONDUCTORS (Conductor Pieces)</v>
      </c>
      <c r="AS6">
        <f>AS5+IF(AND(Lists!$AD$6&lt;&gt;"",ISNUMBER(SEARCH($E$4,Lists!$AD$6))),1,0)</f>
        <v>3</v>
      </c>
      <c r="AT6">
        <f>IF(ROW()-3&gt;MAX($AS$4:$AS$42),"",INDEX(Lists!$AD$4:$AD$42,MATCH(ROW()-3,$AS$4:$AS$42,0)))</f>
        <v>21979</v>
      </c>
      <c r="AU6">
        <f>AU5+IF(AND(Lists!$AI$6&lt;&gt;"",ISNUMBER(SEARCH($F$4,Lists!$AI$6))),1,0)</f>
        <v>3</v>
      </c>
      <c r="AV6">
        <f>IF(ROW()-3&gt;MAX($AU$4:$AU$42),"",INDEX(Lists!$AI$4:$AI$42,MATCH(ROW()-3,$AU$4:$AU$42,0)))</f>
        <v>3</v>
      </c>
      <c r="AW6">
        <f>AW5+IF(AND(Lists!$AN$6&lt;&gt;"",ISNUMBER(SEARCH($G$4,Lists!$AN$6))),1,0)</f>
        <v>3</v>
      </c>
      <c r="AX6" t="str">
        <f>IF(ROW()-3&gt;MAX($AW$4:$AW$42),"",INDEX(Lists!$AN$4:$AN$42,MATCH(ROW()-3,$AW$4:$AW$42,0)))</f>
        <v>NO</v>
      </c>
      <c r="AY6">
        <f>AY5+IF(AND(Lists!$AS$6&lt;&gt;"",ISNUMBER(SEARCH($H$4,Lists!$AS$6))),1,0)</f>
        <v>3</v>
      </c>
      <c r="AZ6">
        <f>IF(ROW()-3&gt;MAX($AY$4:$AY$42),"",INDEX(Lists!$AS$4:$AS$42,MATCH(ROW()-3,$AY$4:$AY$42,0)))</f>
        <v>309</v>
      </c>
      <c r="BA6">
        <f>BA5+IF(AND(Lists!$AX$6&lt;&gt;"",ISNUMBER(SEARCH($I$4,Lists!$AX$6))),1,0)</f>
        <v>3</v>
      </c>
      <c r="BB6">
        <f>IF(ROW()-3&gt;MAX($BA$4:$BA$42),"",INDEX(Lists!$AX$4:$AX$42,MATCH(ROW()-3,$BA$4:$BA$42,0)))</f>
        <v>21060</v>
      </c>
      <c r="BC6">
        <f>BC5+IF(AND(Lists!$BC$6&lt;&gt;"",ISNUMBER(SEARCH($J$4,Lists!$BC$6))),1,0)</f>
        <v>3</v>
      </c>
      <c r="BD6">
        <f>IF(ROW()-3&gt;MAX($BC$4:$BC$42),"",INDEX(Lists!$BC$4:$BC$42,MATCH(ROW()-3,$BC$4:$BC$42,0)))</f>
        <v>3791</v>
      </c>
      <c r="BE6">
        <f>BE5+IF(AND(Lists!$BH$6&lt;&gt;"",ISNUMBER(SEARCH($K$4,Lists!$BH$6))),1,0)</f>
        <v>3</v>
      </c>
      <c r="BF6">
        <f>IF(ROW()-3&gt;MAX($BE$4:$BE$42),"",INDEX(Lists!$BH$4:$BH$42,MATCH(ROW()-3,$BE$4:$BE$42,0)))</f>
        <v>24851</v>
      </c>
      <c r="BG6">
        <f>BG5+IF(AND(Lists!$BM$6&lt;&gt;"",ISNUMBER(SEARCH($L$4,Lists!$BM$6))),1,0)</f>
        <v>3</v>
      </c>
      <c r="BH6">
        <f>IF(ROW()-3&gt;MAX($BG$4:$BG$42),"",INDEX(Lists!$BM$4:$BM$42,MATCH(ROW()-3,$BG$4:$BG$42,0)))</f>
        <v>497</v>
      </c>
      <c r="BI6">
        <f>BI5+IF(AND(Lists!$BR$6&lt;&gt;"",ISNUMBER(SEARCH($M$4,Lists!$BR$6))),1,0)</f>
        <v>3</v>
      </c>
      <c r="BJ6">
        <f>IF(ROW()-3&gt;MAX($BI$4:$BI$42),"",INDEX(Lists!$BR$4:$BR$42,MATCH(ROW()-3,$BI$4:$BI$42,0)))</f>
        <v>21.06</v>
      </c>
      <c r="BK6">
        <f>BK5+IF(AND(Lists!$BW$6&lt;&gt;"",ISNUMBER(SEARCH($N$4,Lists!$BW$6))),1,0)</f>
        <v>3</v>
      </c>
      <c r="BL6">
        <f>IF(ROW()-3&gt;MAX($BK$4:$BK$42),"",INDEX(Lists!$BW$4:$BW$42,MATCH(ROW()-3,$BK$4:$BK$42,0)))</f>
        <v>559.14299999999992</v>
      </c>
      <c r="BM6">
        <f>BM5+IF(AND(Lists!$CB$6&lt;&gt;"",ISNUMBER(SEARCH($O$4,Lists!$CB$6))),1,0)</f>
        <v>3</v>
      </c>
      <c r="BN6">
        <f>IF(ROW()-3&gt;MAX($BM$4:$BM$42),"",INDEX(Lists!$CB$4:$CB$42,MATCH(ROW()-3,$BM$4:$BM$42,0)))</f>
        <v>9.4770000000000003</v>
      </c>
      <c r="BO6">
        <f>BO5+IF(AND(Lists!$CG$6&lt;&gt;"",ISNUMBER(SEARCH($P$4,Lists!$CG$6))),1,0)</f>
        <v>3</v>
      </c>
      <c r="BP6">
        <f>IF(ROW()-3&gt;MAX($BO$4:$BO$42),"",INDEX(Lists!$CG$4:$CG$42,MATCH(ROW()-3,$BO$4:$BO$42,0)))</f>
        <v>549.66599999999994</v>
      </c>
      <c r="BQ6">
        <f>BQ5+IF(AND(Lists!$CL$6&lt;&gt;"",ISNUMBER(SEARCH($Q$4,Lists!$CL$6))),1,0)</f>
        <v>3</v>
      </c>
      <c r="BR6">
        <f>IF(ROW()-3&gt;MAX($BQ$4:$BQ$42),"",INDEX(Lists!$CL$4:$CL$42,MATCH(ROW()-3,$BQ$4:$BQ$42,0)))</f>
        <v>571</v>
      </c>
      <c r="BS6">
        <f>BS5+IF(AND(Lists!$CQ$6&lt;&gt;"",ISNUMBER(SEARCH($R$4,Lists!$CQ$6))),1,0)</f>
        <v>2</v>
      </c>
      <c r="BT6" t="str">
        <f>IF(ROW()-3&gt;MAX($BS$4:$BS$42),"",INDEX(Lists!$CQ$4:$CQ$42,MATCH(ROW()-3,$BS$4:$BS$42,0)))</f>
        <v>(blank)</v>
      </c>
      <c r="BU6">
        <f>BU5+IF(AND(Lists!$CV$6&lt;&gt;"",ISNUMBER(SEARCH($S$4,Lists!$CV$6))),1,0)</f>
        <v>3</v>
      </c>
      <c r="BV6">
        <f>IF(ROW()-3&gt;MAX($BU$4:$BU$42),"",INDEX(Lists!$CV$4:$CV$42,MATCH(ROW()-3,$BU$4:$BU$42,0)))</f>
        <v>15802</v>
      </c>
      <c r="BW6">
        <f>BW5+IF(AND(Lists!$DA$6&lt;&gt;"",ISNUMBER(SEARCH($T$4,Lists!$DA$6))),1,0)</f>
        <v>3</v>
      </c>
      <c r="BX6">
        <f>IF(ROW()-3&gt;MAX($BW$4:$BW$42),"",INDEX(Lists!$DA$4:$DA$42,MATCH(ROW()-3,$BW$4:$BW$42,0)))</f>
        <v>24777</v>
      </c>
      <c r="BY6">
        <f>BY5+IF(AND(Lists!$DF$6&lt;&gt;"",ISNUMBER(SEARCH($U$4,Lists!$DF$6))),1,0)</f>
        <v>3</v>
      </c>
      <c r="BZ6">
        <f>IF(ROW()-3&gt;MAX($BY$4:$BY$42),"",INDEX(Lists!$DF$4:$DF$42,MATCH(ROW()-3,$BY$4:$BY$42,0)))</f>
        <v>5265</v>
      </c>
      <c r="CA6">
        <f>CA5+IF(AND(Lists!$DK$6&lt;&gt;"",ISNUMBER(SEARCH($V$4,Lists!$DK$6))),1,0)</f>
        <v>3</v>
      </c>
      <c r="CB6">
        <f>IF(ROW()-3&gt;MAX($CA$4:$CA$42),"",INDEX(Lists!$DK$4:$DK$42,MATCH(ROW()-3,$CA$4:$CA$42,0)))</f>
        <v>5265</v>
      </c>
      <c r="CC6">
        <f>CC5+IF(AND(Lists!$DP$6&lt;&gt;"",ISNUMBER(SEARCH($W$4,Lists!$DP$6))),1,0)</f>
        <v>3</v>
      </c>
      <c r="CD6" t="str">
        <f>IF(ROW()-3&gt;MAX($CC$4:$CC$42),"",INDEX(Lists!$DP$4:$DP$42,MATCH(ROW()-3,$CC$4:$CC$42,0)))</f>
        <v>13.08.2026</v>
      </c>
      <c r="CE6">
        <f>CE5+IF(AND(Lists!$DU$6&lt;&gt;"",ISNUMBER(SEARCH($X$4,Lists!$DU$6))),1,0)</f>
        <v>3</v>
      </c>
      <c r="CF6">
        <f>IF(ROW()-3&gt;MAX($CE$4:$CE$42),"",INDEX(Lists!$DU$4:$DU$42,MATCH(ROW()-3,$CE$4:$CE$42,0)))</f>
        <v>19512</v>
      </c>
      <c r="CG6" t="e">
        <f>CG5+IF(AND(Lists!$DZ$6&lt;&gt;"",ISNUMBER(SEARCH($Y$4,Lists!$DZ$6))),1,0)</f>
        <v>#N/A</v>
      </c>
      <c r="CH6" t="e">
        <f>IF(ROW()-3&gt;MAX($CG$4:$CG$42),"",INDEX(Lists!$DZ$4:$DZ$42,MATCH(ROW()-3,$CG$4:$CG$42,0)))</f>
        <v>#N/A</v>
      </c>
      <c r="CI6" t="e">
        <f>CI5+IF(AND(Lists!$EE$6&lt;&gt;"",ISNUMBER(SEARCH($Z$4,Lists!$EE$6))),1,0)</f>
        <v>#N/A</v>
      </c>
      <c r="CJ6" t="e">
        <f>IF(ROW()-3&gt;MAX($CI$4:$CI$42),"",INDEX(Lists!$EE$4:$EE$42,MATCH(ROW()-3,$CI$4:$CI$42,0)))</f>
        <v>#N/A</v>
      </c>
      <c r="CK6">
        <f>CK5+IF(AND(Lists!$EJ$6&lt;&gt;"",ISNUMBER(SEARCH($AA$4,Lists!$EJ$6))),1,0)</f>
        <v>3</v>
      </c>
      <c r="CL6">
        <f>IF(ROW()-3&gt;MAX($CK$4:$CK$42),"",INDEX(Lists!$EJ$4:$EJ$42,MATCH(ROW()-3,$CK$4:$CK$42,0)))</f>
        <v>1911.6</v>
      </c>
      <c r="CM6" t="e">
        <f>CM5+IF(AND(Lists!$EO$6&lt;&gt;"",ISNUMBER(SEARCH($AB$4,Lists!$EO$6))),1,0)</f>
        <v>#N/A</v>
      </c>
      <c r="CN6" t="e">
        <f>IF(ROW()-3&gt;MAX($CM$4:$CM$42),"",INDEX(Lists!$EO$4:$EO$42,MATCH(ROW()-3,$CM$4:$CM$42,0)))</f>
        <v>#N/A</v>
      </c>
      <c r="CO6" t="e">
        <f>CO5+IF(AND(Lists!$ET$6&lt;&gt;"",ISNUMBER(SEARCH($AC$4,Lists!$ET$6))),1,0)</f>
        <v>#N/A</v>
      </c>
      <c r="CP6" t="e">
        <f>IF(ROW()-3&gt;MAX($CO$4:$CO$42),"",INDEX(Lists!$ET$4:$ET$42,MATCH(ROW()-3,$CO$4:$CO$42,0)))</f>
        <v>#N/A</v>
      </c>
      <c r="CQ6">
        <f>CQ5+IF(AND(Lists!$EY$6&lt;&gt;"",ISNUMBER(SEARCH($AD$4,Lists!$EY$6))),1,0)</f>
        <v>3</v>
      </c>
      <c r="CR6">
        <f>IF(ROW()-3&gt;MAX($CQ$4:$CQ$42),"",INDEX(Lists!$EY$4:$EY$42,MATCH(ROW()-3,$CQ$4:$CQ$42,0)))</f>
        <v>20589</v>
      </c>
      <c r="CS6" t="e">
        <f>CS5+IF(AND(Lists!$FD$6&lt;&gt;"",ISNUMBER(SEARCH($AE$4,Lists!$FD$6))),1,0)</f>
        <v>#N/A</v>
      </c>
      <c r="CT6" t="e">
        <f>IF(ROW()-3&gt;MAX($CS$4:$CS$42),"",INDEX(Lists!$FD$4:$FD$42,MATCH(ROW()-3,$CS$4:$CS$42,0)))</f>
        <v>#N/A</v>
      </c>
      <c r="CU6" t="e">
        <f>CU5+IF(AND(Lists!$FI$6&lt;&gt;"",ISNUMBER(SEARCH($AF$4,Lists!$FI$6))),1,0)</f>
        <v>#N/A</v>
      </c>
      <c r="CV6" t="e">
        <f>IF(ROW()-3&gt;MAX($CU$4:$CU$42),"",INDEX(Lists!$FI$4:$FI$42,MATCH(ROW()-3,$CU$4:$CU$42,0)))</f>
        <v>#N/A</v>
      </c>
      <c r="CW6" t="e">
        <f>CW5+IF(AND(Lists!$FN$6&lt;&gt;"",ISNUMBER(SEARCH($AG$4,Lists!$FN$6))),1,0)</f>
        <v>#N/A</v>
      </c>
      <c r="CX6" t="e">
        <f>IF(ROW()-3&gt;MAX($CW$4:$CW$42),"",INDEX(Lists!$FN$4:$FN$42,MATCH(ROW()-3,$CW$4:$CW$42,0)))</f>
        <v>#N/A</v>
      </c>
      <c r="CY6" t="e">
        <f>CY5+IF(AND(Lists!$FS$6&lt;&gt;"",ISNUMBER(SEARCH($AH$4,Lists!$FS$6))),1,0)</f>
        <v>#N/A</v>
      </c>
      <c r="CZ6" t="e">
        <f>IF(ROW()-3&gt;MAX($CY$4:$CY$42),"",INDEX(Lists!$FS$4:$FS$42,MATCH(ROW()-3,$CY$4:$CY$42,0)))</f>
        <v>#N/A</v>
      </c>
      <c r="DA6">
        <f>DA5+IF(AND(Lists!$FX$6&lt;&gt;"",ISNUMBER(SEARCH($AI$4,Lists!$FX$6))),1,0)</f>
        <v>2</v>
      </c>
      <c r="DB6" t="str">
        <f>IF(ROW()-3&gt;MAX($DA$4:$DA$42),"",INDEX(Lists!$FX$4:$FX$42,MATCH(ROW()-3,$DA$4:$DA$42,0)))</f>
        <v/>
      </c>
    </row>
    <row r="7" ht="15" customHeight="1" s="137">
      <c r="A7" s="81" t="inlineStr">
        <is>
          <t>∑</t>
        </is>
      </c>
      <c r="B7" s="83" t="n"/>
      <c r="C7" s="83" t="str">
        <f>ROWS($C$6:$C$6)&amp;" lot(s)"</f>
        <v>1 lot(s)</v>
      </c>
      <c r="D7" s="83" t="inlineStr">
        <is>
          <t>SUBTOTAL — AL HAMD TRADE CORPORATION</t>
        </is>
      </c>
      <c r="E7" s="83" t="inlineStr">
        <is>
          <t>–</t>
        </is>
      </c>
      <c r="F7" s="83">
        <f>SUM(F6:F6)</f>
        <v>669</v>
      </c>
      <c r="G7" s="83" t="inlineStr">
        <is>
          <t>–</t>
        </is>
      </c>
      <c r="H7" s="84" t="inlineStr">
        <is>
          <t>–</t>
        </is>
      </c>
      <c r="I7" s="84">
        <f>SUM(I6:I6)</f>
        <v>790089</v>
      </c>
      <c r="J7" s="84">
        <f>SUM(J6:J6)</f>
        <v>142216</v>
      </c>
      <c r="K7" s="84">
        <f>SUM(K6:K6)</f>
        <v>932305</v>
      </c>
      <c r="L7" s="84">
        <f>SUM(L6:L6)</f>
        <v>18646</v>
      </c>
      <c r="M7" s="84">
        <f>SUM(M6:M6)</f>
        <v>790.08900000000006</v>
      </c>
      <c r="N7" s="84">
        <f>SUM(N6:N6)</f>
        <v>20976.862949999999</v>
      </c>
      <c r="O7" s="85">
        <f>SUM(O6:O6)</f>
        <v>355.54005000000001</v>
      </c>
      <c r="P7" s="84">
        <f>SUM(P6:P6)</f>
        <v>20621.322899999999</v>
      </c>
      <c r="Q7" s="84">
        <f>SUM(Q6:Q6)</f>
        <v>21411</v>
      </c>
      <c r="R7" s="86" t="inlineStr">
        <is>
          <t>–</t>
        </is>
      </c>
      <c r="S7" s="84">
        <f>SUM(S6:S6)</f>
        <v>15802</v>
      </c>
      <c r="T7" s="84">
        <f>SUM(T6:T6)</f>
        <v>913738</v>
      </c>
      <c r="U7" s="84">
        <f>SUM(U6:U6)</f>
        <v>197522</v>
      </c>
      <c r="V7" s="87">
        <f>SUM(V6:V6)</f>
        <v>197522</v>
      </c>
      <c r="W7" s="84" t="inlineStr">
        <is>
          <t>–</t>
        </is>
      </c>
      <c r="X7" s="84">
        <f>SUM(X6:X6)</f>
        <v>716215</v>
      </c>
      <c r="Y7" s="84">
        <f>SUM(Y6:Y6)</f>
        <v>716216</v>
      </c>
      <c r="Z7" s="84" t="inlineStr">
        <is>
          <t>–</t>
        </is>
      </c>
      <c r="AA7" s="84">
        <f>SUM(AA6:AA6)</f>
        <v>0</v>
      </c>
      <c r="AB7" s="84">
        <f>SUM(AB6:AB6)</f>
        <v>0</v>
      </c>
      <c r="AC7" s="84" t="inlineStr">
        <is>
          <t>–</t>
        </is>
      </c>
      <c r="AD7" s="84">
        <f>SUM(AD6:AD6)</f>
        <v>913738</v>
      </c>
      <c r="AE7" s="84">
        <f>SUM(AE6:AE6)</f>
        <v>0</v>
      </c>
      <c r="AF7" s="84" t="inlineStr">
        <is>
          <t>–</t>
        </is>
      </c>
      <c r="AG7" s="88" t="inlineStr">
        <is>
          <t>–</t>
        </is>
      </c>
      <c r="AH7" s="84" t="inlineStr">
        <is>
          <t>–</t>
        </is>
      </c>
      <c r="AI7" s="89" t="str">
        <f>IF(AE7&lt;=5,"SETTLED","OUTSTANDING")</f>
        <v>SETTLED</v>
      </c>
      <c r="AJ7" t="b">
        <f>AND(IF($B$4="",TRUE(),IF($B$4="(blank)",'Final Calculation Sheet'!$F$5="",IF($B$4="(nonblank)",'Final Calculation Sheet'!$F$5&lt;&gt;"",ISNUMBER(SEARCH($B$4,'Final Calculation Sheet'!$F$5))))),IF($C$4="",TRUE(),IF($C$4="(blank)",'Final Calculation Sheet'!$G$5="",IF($C$4="(nonblank)",'Final Calculation Sheet'!$G$5&lt;&gt;"",ISNUMBER(SEARCH($C$4,'Final Calculation Sheet'!$G$5))))),IF($D$4="",TRUE(),IF($D$4="(blank)",'Final Calculation Sheet'!$B$5="",IF($D$4="(nonblank)",'Final Calculation Sheet'!$B$5&lt;&gt;"",ISNUMBER(SEARCH($D$4,'Final Calculation Sheet'!$B$5))))),IF($E$4="",TRUE(),IF($E$4="(blank)",'Final Calculation Sheet'!$D$5="",IF($E$4="(nonblank)",'Final Calculation Sheet'!$D$5&lt;&gt;"",ISNUMBER(SEARCH($E$4,'Final Calculation Sheet'!$D$5))))),IF($F$4="",TRUE(),IF($F$4="(blank)",'Final Calculation Sheet'!$A$5="",IF($F$4="(nonblank)",'Final Calculation Sheet'!$A$5&lt;&gt;"",ISNUMBER(SEARCH($F$4,'Final Calculation Sheet'!$A$5))))),IF($G$4="",TRUE(),IF($G$4="(blank)",'Final Calculation Sheet'!$E$5="",IF($G$4="(nonblank)",'Final Calculation Sheet'!$E$5&lt;&gt;"",ISNUMBER(SEARCH($G$4,'Final Calculation Sheet'!$E$5))))),IF($H$4="",TRUE(),IF($H$4="(blank)",'Final Calculation Sheet'!$C$5="",IF($H$4="(nonblank)",'Final Calculation Sheet'!$C$5&lt;&gt;"",ISNUMBER(SEARCH($H$4,'Final Calculation Sheet'!$C$5))))),IF($I$4="",TRUE(),IF($I$4="(blank)",'Final Calculation Sheet'!$H$5="",IF($I$4="(nonblank)",'Final Calculation Sheet'!$H$5&lt;&gt;"",ISNUMBER(SEARCH($I$4,'Final Calculation Sheet'!$H$5))))),IF($J$4="",TRUE(),IF($J$4="(blank)",'Final Calculation Sheet'!$I$5="",IF($J$4="(nonblank)",'Final Calculation Sheet'!$I$5&lt;&gt;"",ISNUMBER(SEARCH($J$4,'Final Calculation Sheet'!$I$5))))),IF($K$4="",TRUE(),IF($K$4="(blank)",'Final Calculation Sheet'!$J$5="",IF($K$4="(nonblank)",'Final Calculation Sheet'!$J$5&lt;&gt;"",ISNUMBER(SEARCH($K$4,'Final Calculation Sheet'!$J$5))))),IF($L$4="",TRUE(),IF($L$4="(blank)",'Final Calculation Sheet'!$K$5="",IF($L$4="(nonblank)",'Final Calculation Sheet'!$K$5&lt;&gt;"",ISNUMBER(SEARCH($L$4,'Final Calculation Sheet'!$K$5))))),IF($M$4="",TRUE(),IF($M$4="(blank)",'Final Calculation Sheet'!$L$5="",IF($M$4="(nonblank)",'Final Calculation Sheet'!$L$5&lt;&gt;"",ISNUMBER(SEARCH($M$4,'Final Calculation Sheet'!$L$5))))),IF($N$4="",TRUE(),IF($N$4="(blank)",'Final Calculation Sheet'!$M$5="",IF($N$4="(nonblank)",'Final Calculation Sheet'!$M$5&lt;&gt;"",ISNUMBER(SEARCH($N$4,'Final Calculation Sheet'!$M$5))))),IF($O$4="",TRUE(),IF($O$4="(blank)",'Final Calculation Sheet'!$N$5="",IF($O$4="(nonblank)",'Final Calculation Sheet'!$N$5&lt;&gt;"",ISNUMBER(SEARCH($O$4,'Final Calculation Sheet'!$N$5))))),IF($P$4="",TRUE(),IF($P$4="(blank)",'Final Calculation Sheet'!$O$5="",IF($P$4="(nonblank)",'Final Calculation Sheet'!$O$5&lt;&gt;"",ISNUMBER(SEARCH($P$4,'Final Calculation Sheet'!$O$5))))),IF($Q$4="",TRUE(),IF($Q$4="(blank)",'Final Calculation Sheet'!$P$5="",IF($Q$4="(nonblank)",'Final Calculation Sheet'!$P$5&lt;&gt;"",ISNUMBER(SEARCH($Q$4,'Final Calculation Sheet'!$P$5))))),IF($R$4="",TRUE(),IF($R$4="(blank)",'Final Calculation Sheet'!$Q$5="",IF($R$4="(nonblank)",'Final Calculation Sheet'!$Q$5&lt;&gt;"",ISNUMBER(SEARCH($R$4,'Final Calculation Sheet'!$Q$5))))),IF($S$4="",TRUE(),IF($S$4="(blank)",'Final Calculation Sheet'!$R$5="",IF($S$4="(nonblank)",'Final Calculation Sheet'!$R$5&lt;&gt;"",ISNUMBER(SEARCH($S$4,'Final Calculation Sheet'!$R$5))))),IF($T$4="",TRUE(),IF($T$4="(blank)",'Final Calculation Sheet'!$S$5="",IF($T$4="(nonblank)",'Final Calculation Sheet'!$S$5&lt;&gt;"",ISNUMBER(SEARCH($T$4,'Final Calculation Sheet'!$S$5))))),IF($U$4="",TRUE(),IF($U$4="(blank)",'Final Calculation Sheet'!$T$5="",IF($U$4="(nonblank)",'Final Calculation Sheet'!$T$5&lt;&gt;"",ISNUMBER(SEARCH($U$4,'Final Calculation Sheet'!$T$5))))),IF($V$4="",TRUE(),IF($V$4="(blank)",'Final Calculation Sheet'!$U$5="",IF($V$4="(nonblank)",'Final Calculation Sheet'!$U$5&lt;&gt;"",ISNUMBER(SEARCH($V$4,'Final Calculation Sheet'!$U$5))))),IF($W$4="",TRUE(),IF($W$4="(blank)",'Final Calculation Sheet'!$V$5="",IF($W$4="(nonblank)",'Final Calculation Sheet'!$V$5&lt;&gt;"",ISNUMBER(SEARCH($W$4,'Final Calculation Sheet'!$V$5))))),IF($X$4="",TRUE(),IF($X$4="(blank)",'Final Calculation Sheet'!$W$5="",IF($X$4="(nonblank)",'Final Calculation Sheet'!$W$5&lt;&gt;"",ISNUMBER(SEARCH($X$4,'Final Calculation Sheet'!$W$5))))),IF($Y$4="",TRUE(),IF($Y$4="(blank)",'Final Calculation Sheet'!$X$5="",IF($Y$4="(nonblank)",'Final Calculation Sheet'!$X$5&lt;&gt;"",ISNUMBER(SEARCH($Y$4,'Final Calculation Sheet'!$X$5))))),IF($Z$4="",TRUE(),IF($Z$4="(blank)",'Final Calculation Sheet'!$Y$5="",IF($Z$4="(nonblank)",'Final Calculation Sheet'!$Y$5&lt;&gt;"",ISNUMBER(SEARCH($Z$4,'Final Calculation Sheet'!$Y$5))))),IF($AA$4="",TRUE(),IF($AA$4="(blank)",'Final Calculation Sheet'!$Z$5="",IF($AA$4="(nonblank)",'Final Calculation Sheet'!$Z$5&lt;&gt;"",ISNUMBER(SEARCH($AA$4,'Final Calculation Sheet'!$Z$5))))),IF($AB$4="",TRUE(),IF($AB$4="(blank)",'Final Calculation Sheet'!$AA$5="",IF($AB$4="(nonblank)",'Final Calculation Sheet'!$AA$5&lt;&gt;"",ISNUMBER(SEARCH($AB$4,'Final Calculation Sheet'!$AA$5))))),IF($AC$4="",TRUE(),IF($AC$4="(blank)",'Final Calculation Sheet'!$AB$5="",IF($AC$4="(nonblank)",'Final Calculation Sheet'!$AB$5&lt;&gt;"",ISNUMBER(SEARCH($AC$4,'Final Calculation Sheet'!$AB$5))))),IF($AD$4="",TRUE(),IF($AD$4="(blank)",'Final Calculation Sheet'!$AC$5="",IF($AD$4="(nonblank)",'Final Calculation Sheet'!$AC$5&lt;&gt;"",ISNUMBER(SEARCH($AD$4,'Final Calculation Sheet'!$AC$5))))),IF($AE$4="",TRUE(),IF($AE$4="(blank)",'Final Calculation Sheet'!$AD$5="",IF($AE$4="(nonblank)",'Final Calculation Sheet'!$AD$5&lt;&gt;"",ISNUMBER(SEARCH($AE$4,'Final Calculation Sheet'!$AD$5))))),IF($AF$4="",TRUE(),IF($AF$4="(blank)",'Final Calculation Sheet'!$AE$5="",IF($AF$4="(nonblank)",'Final Calculation Sheet'!$AE$5&lt;&gt;"",ISNUMBER(SEARCH($AF$4,'Final Calculation Sheet'!$AE$5))))),IF($AG$4="",TRUE(),IF($AG$4="(blank)",'Final Calculation Sheet'!$AF$5="",IF($AG$4="(nonblank)",'Final Calculation Sheet'!$AF$5&lt;&gt;"",ISNUMBER(SEARCH($AG$4,'Final Calculation Sheet'!$AF$5))))),IF($AH$4="",TRUE(),IF($AH$4="(blank)",'Final Calculation Sheet'!$AG$5="",IF($AH$4="(nonblank)",'Final Calculation Sheet'!$AG$5&lt;&gt;"",ISNUMBER(SEARCH($AH$4,'Final Calculation Sheet'!$AG$5))))),IF($AI$4="",TRUE(),IF($AI$4="(blank)",IF('Final Calculation Sheet'!$AD$5&lt;=5,"SETTLED","OUTSTANDING")="",IF($AI$4="(nonblank)",IF('Final Calculation Sheet'!$AD$5&lt;=5,"SETTLED","OUTSTANDING")&lt;&gt;"",ISNUMBER(SEARCH($AI$4,IF('Final Calculation Sheet'!$AD$5&lt;=5,"SETTLED","OUTSTANDING")))))))</f>
        <v>1</v>
      </c>
      <c r="AK7" t="str">
        <f>IF(AJ7=1,COUNTIF(AJ$6:AJ7,1),"")</f>
        <v/>
      </c>
      <c r="AM7">
        <f>AM6+IF(AND(Lists!$O$7&lt;&gt;"",ISNUMBER(SEARCH($B$4,Lists!$O$7))),1,0)</f>
        <v>4</v>
      </c>
      <c r="AN7">
        <f>IF(ROW()-3&gt;MAX($AM$4:$AM$42),"",INDEX(Lists!$O$4:$O$42,MATCH(ROW()-3,$AM$4:$AM$42,0)))</f>
        <v>1876</v>
      </c>
      <c r="AO7">
        <f>AO6+IF(AND(Lists!$T$7&lt;&gt;"",ISNUMBER(SEARCH($C$4,Lists!$T$7))),1,0)</f>
        <v>4</v>
      </c>
      <c r="AP7" t="str">
        <f>IF(ROW()-3&gt;MAX($AO$4:$AO$42),"",INDEX(Lists!$T$4:$T$42,MATCH(ROW()-3,$AO$4:$AO$42,0)))</f>
        <v>KASHYAP TRADING CO</v>
      </c>
      <c r="AQ7">
        <f>AQ6+IF(AND(Lists!$Y$7&lt;&gt;"",ISNUMBER(SEARCH($D$4,Lists!$Y$7))),1,0)</f>
        <v>4</v>
      </c>
      <c r="AR7" t="str">
        <f>IF(ROW()-3&gt;MAX($AQ$4:$AQ$42),"",INDEX(Lists!$Y$4:$Y$42,MATCH(ROW()-3,$AQ$4:$AQ$42,0)))</f>
        <v>SCRAP COPPER OF T/F WINDING (Oil impregnated paper insulated T/F winding)</v>
      </c>
      <c r="AS7">
        <f>AS6+IF(AND(Lists!$AD$7&lt;&gt;"",ISNUMBER(SEARCH($E$4,Lists!$AD$7))),1,0)</f>
        <v>4</v>
      </c>
      <c r="AT7">
        <f>IF(ROW()-3&gt;MAX($AS$4:$AS$42),"",INDEX(Lists!$AD$4:$AD$42,MATCH(ROW()-3,$AS$4:$AS$42,0)))</f>
        <v>21980</v>
      </c>
      <c r="AU7">
        <f>AU6+IF(AND(Lists!$AI$7&lt;&gt;"",ISNUMBER(SEARCH($F$4,Lists!$AI$7))),1,0)</f>
        <v>4</v>
      </c>
      <c r="AV7">
        <f>IF(ROW()-3&gt;MAX($AU$4:$AU$42),"",INDEX(Lists!$AI$4:$AI$42,MATCH(ROW()-3,$AU$4:$AU$42,0)))</f>
        <v>4</v>
      </c>
      <c r="AW7">
        <f>AW6+IF(AND(Lists!$AN$7&lt;&gt;"",ISNUMBER(SEARCH($G$4,Lists!$AN$7))),1,0)</f>
        <v>3</v>
      </c>
      <c r="AX7" t="str">
        <f>IF(ROW()-3&gt;MAX($AW$4:$AW$42),"",INDEX(Lists!$AN$4:$AN$42,MATCH(ROW()-3,$AW$4:$AW$42,0)))</f>
        <v>(blank)</v>
      </c>
      <c r="AY7">
        <f>AY6+IF(AND(Lists!$AS$7&lt;&gt;"",ISNUMBER(SEARCH($H$4,Lists!$AS$7))),1,0)</f>
        <v>4</v>
      </c>
      <c r="AZ7">
        <f>IF(ROW()-3&gt;MAX($AY$4:$AY$42),"",INDEX(Lists!$AS$4:$AS$42,MATCH(ROW()-3,$AY$4:$AY$42,0)))</f>
        <v>333</v>
      </c>
      <c r="BA7">
        <f>BA6+IF(AND(Lists!$AX$7&lt;&gt;"",ISNUMBER(SEARCH($I$4,Lists!$AX$7))),1,0)</f>
        <v>4</v>
      </c>
      <c r="BB7">
        <f>IF(ROW()-3&gt;MAX($BA$4:$BA$42),"",INDEX(Lists!$AX$4:$AX$42,MATCH(ROW()-3,$BA$4:$BA$42,0)))</f>
        <v>26550</v>
      </c>
      <c r="BC7">
        <f>BC6+IF(AND(Lists!$BC$7&lt;&gt;"",ISNUMBER(SEARCH($J$4,Lists!$BC$7))),1,0)</f>
        <v>4</v>
      </c>
      <c r="BD7">
        <f>IF(ROW()-3&gt;MAX($BC$4:$BC$42),"",INDEX(Lists!$BC$4:$BC$42,MATCH(ROW()-3,$BC$4:$BC$42,0)))</f>
        <v>4779</v>
      </c>
      <c r="BE7">
        <f>BE6+IF(AND(Lists!$BH$7&lt;&gt;"",ISNUMBER(SEARCH($K$4,Lists!$BH$7))),1,0)</f>
        <v>4</v>
      </c>
      <c r="BF7">
        <f>IF(ROW()-3&gt;MAX($BE$4:$BE$42),"",INDEX(Lists!$BH$4:$BH$42,MATCH(ROW()-3,$BE$4:$BE$42,0)))</f>
        <v>31329</v>
      </c>
      <c r="BG7">
        <f>BG6+IF(AND(Lists!$BM$7&lt;&gt;"",ISNUMBER(SEARCH($L$4,Lists!$BM$7))),1,0)</f>
        <v>4</v>
      </c>
      <c r="BH7">
        <f>IF(ROW()-3&gt;MAX($BG$4:$BG$42),"",INDEX(Lists!$BM$4:$BM$42,MATCH(ROW()-3,$BG$4:$BG$42,0)))</f>
        <v>627</v>
      </c>
      <c r="BI7">
        <f>BI6+IF(AND(Lists!$BR$7&lt;&gt;"",ISNUMBER(SEARCH($M$4,Lists!$BR$7))),1,0)</f>
        <v>4</v>
      </c>
      <c r="BJ7">
        <f>IF(ROW()-3&gt;MAX($BI$4:$BI$42),"",INDEX(Lists!$BR$4:$BR$42,MATCH(ROW()-3,$BI$4:$BI$42,0)))</f>
        <v>26.55</v>
      </c>
      <c r="BK7">
        <f>BK6+IF(AND(Lists!$BW$7&lt;&gt;"",ISNUMBER(SEARCH($N$4,Lists!$BW$7))),1,0)</f>
        <v>4</v>
      </c>
      <c r="BL7">
        <f>IF(ROW()-3&gt;MAX($BK$4:$BK$42),"",INDEX(Lists!$BW$4:$BW$42,MATCH(ROW()-3,$BK$4:$BK$42,0)))</f>
        <v>704.90249999999992</v>
      </c>
      <c r="BM7">
        <f>BM6+IF(AND(Lists!$CB$7&lt;&gt;"",ISNUMBER(SEARCH($O$4,Lists!$CB$7))),1,0)</f>
        <v>4</v>
      </c>
      <c r="BN7">
        <f>IF(ROW()-3&gt;MAX($BM$4:$BM$42),"",INDEX(Lists!$CB$4:$CB$42,MATCH(ROW()-3,$BM$4:$BM$42,0)))</f>
        <v>11.9475</v>
      </c>
      <c r="BO7">
        <f>BO6+IF(AND(Lists!$CG$7&lt;&gt;"",ISNUMBER(SEARCH($P$4,Lists!$CG$7))),1,0)</f>
        <v>4</v>
      </c>
      <c r="BP7">
        <f>IF(ROW()-3&gt;MAX($BO$4:$BO$42),"",INDEX(Lists!$CG$4:$CG$42,MATCH(ROW()-3,$BO$4:$BO$42,0)))</f>
        <v>692.95499999999993</v>
      </c>
      <c r="BQ7">
        <f>BQ6+IF(AND(Lists!$CL$7&lt;&gt;"",ISNUMBER(SEARCH($Q$4,Lists!$CL$7))),1,0)</f>
        <v>4</v>
      </c>
      <c r="BR7">
        <f>IF(ROW()-3&gt;MAX($BQ$4:$BQ$42),"",INDEX(Lists!$CL$4:$CL$42,MATCH(ROW()-3,$BQ$4:$BQ$42,0)))</f>
        <v>720</v>
      </c>
      <c r="BS7">
        <f>BS6+IF(AND(Lists!$CQ$7&lt;&gt;"",ISNUMBER(SEARCH($R$4,Lists!$CQ$7))),1,0)</f>
        <v>2</v>
      </c>
      <c r="BT7" t="str">
        <f>IF(ROW()-3&gt;MAX($BS$4:$BS$42),"",INDEX(Lists!$CQ$4:$CQ$42,MATCH(ROW()-3,$BS$4:$BS$42,0)))</f>
        <v>(nonblank)</v>
      </c>
      <c r="BU7">
        <f>BU6+IF(AND(Lists!$CV$7&lt;&gt;"",ISNUMBER(SEARCH($S$4,Lists!$CV$7))),1,0)</f>
        <v>4</v>
      </c>
      <c r="BV7">
        <f>IF(ROW()-3&gt;MAX($BU$4:$BU$42),"",INDEX(Lists!$CV$4:$CV$42,MATCH(ROW()-3,$BU$4:$BU$42,0)))</f>
        <v>23310</v>
      </c>
      <c r="BW7">
        <f>BW6+IF(AND(Lists!$DA$7&lt;&gt;"",ISNUMBER(SEARCH($T$4,Lists!$DA$7))),1,0)</f>
        <v>4</v>
      </c>
      <c r="BX7">
        <f>IF(ROW()-3&gt;MAX($BW$4:$BW$42),"",INDEX(Lists!$DA$4:$DA$42,MATCH(ROW()-3,$BW$4:$BW$42,0)))</f>
        <v>31236</v>
      </c>
      <c r="BY7">
        <f>BY6+IF(AND(Lists!$DF$7&lt;&gt;"",ISNUMBER(SEARCH($U$4,Lists!$DF$7))),1,0)</f>
        <v>4</v>
      </c>
      <c r="BZ7">
        <f>IF(ROW()-3&gt;MAX($BY$4:$BY$42),"",INDEX(Lists!$DF$4:$DF$42,MATCH(ROW()-3,$BY$4:$BY$42,0)))</f>
        <v>6638</v>
      </c>
      <c r="CA7">
        <f>CA6+IF(AND(Lists!$DK$7&lt;&gt;"",ISNUMBER(SEARCH($V$4,Lists!$DK$7))),1,0)</f>
        <v>4</v>
      </c>
      <c r="CB7">
        <f>IF(ROW()-3&gt;MAX($CA$4:$CA$42),"",INDEX(Lists!$DK$4:$DK$42,MATCH(ROW()-3,$CA$4:$CA$42,0)))</f>
        <v>6638</v>
      </c>
      <c r="CC7">
        <f>CC6+IF(AND(Lists!$DP$7&lt;&gt;"",ISNUMBER(SEARCH($W$4,Lists!$DP$7))),1,0)</f>
        <v>4</v>
      </c>
      <c r="CD7" t="str">
        <f>IF(ROW()-3&gt;MAX($CC$4:$CC$42),"",INDEX(Lists!$DP$4:$DP$42,MATCH(ROW()-3,$CC$4:$CC$42,0)))</f>
        <v>14.08.2026</v>
      </c>
      <c r="CE7">
        <f>CE6+IF(AND(Lists!$DU$7&lt;&gt;"",ISNUMBER(SEARCH($X$4,Lists!$DU$7))),1,0)</f>
        <v>4</v>
      </c>
      <c r="CF7">
        <f>IF(ROW()-3&gt;MAX($CE$4:$CE$42),"",INDEX(Lists!$DU$4:$DU$42,MATCH(ROW()-3,$CE$4:$CE$42,0)))</f>
        <v>24599</v>
      </c>
      <c r="CG7" t="e">
        <f>CG6+IF(AND(Lists!$DZ$7&lt;&gt;"",ISNUMBER(SEARCH($Y$4,Lists!$DZ$7))),1,0)</f>
        <v>#N/A</v>
      </c>
      <c r="CH7" t="e">
        <f>IF(ROW()-3&gt;MAX($CG$4:$CG$42),"",INDEX(Lists!$DZ$4:$DZ$42,MATCH(ROW()-3,$CG$4:$CG$42,0)))</f>
        <v>#N/A</v>
      </c>
      <c r="CI7" t="e">
        <f>CI6+IF(AND(Lists!$EE$7&lt;&gt;"",ISNUMBER(SEARCH($Z$4,Lists!$EE$7))),1,0)</f>
        <v>#N/A</v>
      </c>
      <c r="CJ7" t="e">
        <f>IF(ROW()-3&gt;MAX($CI$4:$CI$42),"",INDEX(Lists!$EE$4:$EE$42,MATCH(ROW()-3,$CI$4:$CI$42,0)))</f>
        <v>#N/A</v>
      </c>
      <c r="CK7">
        <f>CK6+IF(AND(Lists!$EJ$7&lt;&gt;"",ISNUMBER(SEARCH($AA$4,Lists!$EJ$7))),1,0)</f>
        <v>4</v>
      </c>
      <c r="CL7">
        <f>IF(ROW()-3&gt;MAX($CK$4:$CK$42),"",INDEX(Lists!$EJ$4:$EJ$42,MATCH(ROW()-3,$CK$4:$CK$42,0)))</f>
        <v>2832.2123999999999</v>
      </c>
      <c r="CM7" t="e">
        <f>CM6+IF(AND(Lists!$EO$7&lt;&gt;"",ISNUMBER(SEARCH($AB$4,Lists!$EO$7))),1,0)</f>
        <v>#N/A</v>
      </c>
      <c r="CN7" t="e">
        <f>IF(ROW()-3&gt;MAX($CM$4:$CM$42),"",INDEX(Lists!$EO$4:$EO$42,MATCH(ROW()-3,$CM$4:$CM$42,0)))</f>
        <v>#N/A</v>
      </c>
      <c r="CO7" t="e">
        <f>CO6+IF(AND(Lists!$ET$7&lt;&gt;"",ISNUMBER(SEARCH($AC$4,Lists!$ET$7))),1,0)</f>
        <v>#N/A</v>
      </c>
      <c r="CP7" t="e">
        <f>IF(ROW()-3&gt;MAX($CO$4:$CO$42),"",INDEX(Lists!$ET$4:$ET$42,MATCH(ROW()-3,$CO$4:$CO$42,0)))</f>
        <v>#N/A</v>
      </c>
      <c r="CQ7">
        <f>CQ6+IF(AND(Lists!$EY$7&lt;&gt;"",ISNUMBER(SEARCH($AD$4,Lists!$EY$7))),1,0)</f>
        <v>4</v>
      </c>
      <c r="CR7">
        <f>IF(ROW()-3&gt;MAX($CQ$4:$CQ$42),"",INDEX(Lists!$EY$4:$EY$42,MATCH(ROW()-3,$CQ$4:$CQ$42,0)))</f>
        <v>24777</v>
      </c>
      <c r="CS7" t="e">
        <f>CS6+IF(AND(Lists!$FD$7&lt;&gt;"",ISNUMBER(SEARCH($AE$4,Lists!$FD$7))),1,0)</f>
        <v>#N/A</v>
      </c>
      <c r="CT7" t="e">
        <f>IF(ROW()-3&gt;MAX($CS$4:$CS$42),"",INDEX(Lists!$FD$4:$FD$42,MATCH(ROW()-3,$CS$4:$CS$42,0)))</f>
        <v>#N/A</v>
      </c>
      <c r="CU7" t="e">
        <f>CU6+IF(AND(Lists!$FI$7&lt;&gt;"",ISNUMBER(SEARCH($AF$4,Lists!$FI$7))),1,0)</f>
        <v>#N/A</v>
      </c>
      <c r="CV7" t="e">
        <f>IF(ROW()-3&gt;MAX($CU$4:$CU$42),"",INDEX(Lists!$FI$4:$FI$42,MATCH(ROW()-3,$CU$4:$CU$42,0)))</f>
        <v>#N/A</v>
      </c>
      <c r="CW7" t="e">
        <f>CW6+IF(AND(Lists!$FN$7&lt;&gt;"",ISNUMBER(SEARCH($AG$4,Lists!$FN$7))),1,0)</f>
        <v>#N/A</v>
      </c>
      <c r="CX7" t="e">
        <f>IF(ROW()-3&gt;MAX($CW$4:$CW$42),"",INDEX(Lists!$FN$4:$FN$42,MATCH(ROW()-3,$CW$4:$CW$42,0)))</f>
        <v>#N/A</v>
      </c>
      <c r="CY7" t="e">
        <f>CY6+IF(AND(Lists!$FS$7&lt;&gt;"",ISNUMBER(SEARCH($AH$4,Lists!$FS$7))),1,0)</f>
        <v>#N/A</v>
      </c>
      <c r="CZ7" t="e">
        <f>IF(ROW()-3&gt;MAX($CY$4:$CY$42),"",INDEX(Lists!$FS$4:$FS$42,MATCH(ROW()-3,$CY$4:$CY$42,0)))</f>
        <v>#N/A</v>
      </c>
      <c r="DA7">
        <f>DA6+IF(AND(Lists!$FX$7&lt;&gt;"",ISNUMBER(SEARCH($AI$4,Lists!$FX$7))),1,0)</f>
        <v>2</v>
      </c>
      <c r="DB7" t="str">
        <f>IF(ROW()-3&gt;MAX($DA$4:$DA$42),"",INDEX(Lists!$FX$4:$FX$42,MATCH(ROW()-3,$DA$4:$DA$42,0)))</f>
        <v/>
      </c>
    </row>
    <row r="8" outlineLevel="1" ht="15" customHeight="1" s="137">
      <c r="A8" s="67" t="n">
        <v>1</v>
      </c>
      <c r="B8" s="76">
        <f>IF('Final Calculation Sheet'!$F$6="","",'Final Calculation Sheet'!$F$6)</f>
        <v>1875</v>
      </c>
      <c r="C8" s="76" t="str">
        <f>IF('Final Calculation Sheet'!$G$6="","",'Final Calculation Sheet'!$G$6)</f>
        <v>F R KHANS ENTERPRISES</v>
      </c>
      <c r="D8" s="80" t="str">
        <f>IF('Final Calculation Sheet'!$B$6="","",'Final Calculation Sheet'!$B$6)</f>
        <v>Scrap of Copper of faulty AC compressor</v>
      </c>
      <c r="E8" s="80">
        <f>IF('Final Calculation Sheet'!$D$6="","",'Final Calculation Sheet'!$D$6)</f>
        <v>21977</v>
      </c>
      <c r="F8" s="80">
        <f>IF('Final Calculation Sheet'!$A$6="","",'Final Calculation Sheet'!$A$6)</f>
        <v>28</v>
      </c>
      <c r="G8" s="80" t="str">
        <f>IF('Final Calculation Sheet'!$E$6="","",'Final Calculation Sheet'!$E$6)</f>
        <v>KG</v>
      </c>
      <c r="H8" s="70">
        <f>IF('Final Calculation Sheet'!$C$6="","",'Final Calculation Sheet'!$C$6)</f>
        <v>1456</v>
      </c>
      <c r="I8" s="70">
        <f>IF('Final Calculation Sheet'!$H$6="","",'Final Calculation Sheet'!$H$6)</f>
        <v>40768</v>
      </c>
      <c r="J8" s="70">
        <f>IF('Final Calculation Sheet'!$I$6="","",'Final Calculation Sheet'!$I$6)</f>
        <v>7338</v>
      </c>
      <c r="K8" s="70">
        <f>IF('Final Calculation Sheet'!$J$6="","",'Final Calculation Sheet'!$J$6)</f>
        <v>48106</v>
      </c>
      <c r="L8" s="70">
        <f>IF('Final Calculation Sheet'!$K$6="","",'Final Calculation Sheet'!$K$6)</f>
        <v>962</v>
      </c>
      <c r="M8" s="70">
        <f>IF('Final Calculation Sheet'!$L$6="","",'Final Calculation Sheet'!$L$6)</f>
        <v>40.768000000000001</v>
      </c>
      <c r="N8" s="70">
        <f>IF('Final Calculation Sheet'!$M$6="","",'Final Calculation Sheet'!$M$6)</f>
        <v>1082.3904</v>
      </c>
      <c r="O8" s="71">
        <f>IF('Final Calculation Sheet'!$N$6="","",'Final Calculation Sheet'!$N$6)</f>
        <v>18.345600000000001</v>
      </c>
      <c r="P8" s="70">
        <f>IF('Final Calculation Sheet'!$O$6="","",'Final Calculation Sheet'!$O$6)</f>
        <v>1064.0447999999999</v>
      </c>
      <c r="Q8" s="70">
        <f>IF('Final Calculation Sheet'!$P$6="","",'Final Calculation Sheet'!$P$6)</f>
        <v>1105</v>
      </c>
      <c r="R8" s="72">
        <f>IF('Final Calculation Sheet'!$Q$6="","",'Final Calculation Sheet'!$Q$6)</f>
        <v>0</v>
      </c>
      <c r="S8" s="70">
        <f>IF('Final Calculation Sheet'!$R$6="","",'Final Calculation Sheet'!$R$6)</f>
        <v>0</v>
      </c>
      <c r="T8" s="70">
        <f>IF('Final Calculation Sheet'!$S$6="","",'Final Calculation Sheet'!$S$6)</f>
        <v>47964</v>
      </c>
      <c r="U8" s="70">
        <f>IF('Final Calculation Sheet'!$T$6="","",'Final Calculation Sheet'!$T$6)</f>
        <v>10192</v>
      </c>
      <c r="V8" s="73">
        <f>IF('Final Calculation Sheet'!$U$6="","",'Final Calculation Sheet'!$U$6)</f>
        <v>10192</v>
      </c>
      <c r="W8" s="70" t="str">
        <f>IF('Final Calculation Sheet'!$V$6="","",'Final Calculation Sheet'!$V$6)</f>
        <v>11.08.2026</v>
      </c>
      <c r="X8" s="70">
        <f>IF('Final Calculation Sheet'!$W$6="","",'Final Calculation Sheet'!$W$6)</f>
        <v>37772</v>
      </c>
      <c r="Y8" s="70">
        <f>IF('Final Calculation Sheet'!$X$6="","",'Final Calculation Sheet'!$X$6)</f>
        <v>37772</v>
      </c>
      <c r="Z8" s="70" t="str">
        <f>IF('Final Calculation Sheet'!$Y$6="","",'Final Calculation Sheet'!$Y$6)</f>
        <v>20.08.2026</v>
      </c>
      <c r="AA8" s="70">
        <f>IF('Final Calculation Sheet'!$Z$6="","",'Final Calculation Sheet'!$Z$6)</f>
        <v>0</v>
      </c>
      <c r="AB8" s="70" t="str">
        <f>IF('Final Calculation Sheet'!$AA$6="","",'Final Calculation Sheet'!$AA$6)</f>
        <v/>
      </c>
      <c r="AC8" s="70" t="str">
        <f>IF('Final Calculation Sheet'!$AB$6="","",'Final Calculation Sheet'!$AB$6)</f>
        <v/>
      </c>
      <c r="AD8" s="70">
        <f>IF('Final Calculation Sheet'!$AC$6="","",'Final Calculation Sheet'!$AC$6)</f>
        <v>47964</v>
      </c>
      <c r="AE8" s="70">
        <f>IF('Final Calculation Sheet'!$AD$6="","",'Final Calculation Sheet'!$AD$6)</f>
        <v>0</v>
      </c>
      <c r="AF8" s="70" t="str">
        <f>IF('Final Calculation Sheet'!$AE$6="","",'Final Calculation Sheet'!$AE$6)</f>
        <v>DR2640100047</v>
      </c>
      <c r="AG8" s="74">
        <f>IF('Final Calculation Sheet'!$AF$6="","",'Final Calculation Sheet'!$AF$6)</f>
        <v>1800003346</v>
      </c>
      <c r="AH8" s="70" t="str">
        <f>IF('Final Calculation Sheet'!$AG$6="","",'Final Calculation Sheet'!$AG$6)</f>
        <v>27.08.2026</v>
      </c>
      <c r="AI8" s="75" t="str">
        <f>IF('Final Calculation Sheet'!$AD$6="","",IF('Final Calculation Sheet'!$AD$6&lt;=5,"SETTLED","OUTSTANDING"))</f>
        <v>SETTLED</v>
      </c>
      <c r="AJ8" t="b">
        <f>AND(IF($B$4="",TRUE(),IF($B$4="(blank)",'Final Calculation Sheet'!$F$6="",IF($B$4="(nonblank)",'Final Calculation Sheet'!$F$6&lt;&gt;"",ISNUMBER(SEARCH($B$4,'Final Calculation Sheet'!$F$6))))),IF($C$4="",TRUE(),IF($C$4="(blank)",'Final Calculation Sheet'!$G$6="",IF($C$4="(nonblank)",'Final Calculation Sheet'!$G$6&lt;&gt;"",ISNUMBER(SEARCH($C$4,'Final Calculation Sheet'!$G$6))))),IF($D$4="",TRUE(),IF($D$4="(blank)",'Final Calculation Sheet'!$B$6="",IF($D$4="(nonblank)",'Final Calculation Sheet'!$B$6&lt;&gt;"",ISNUMBER(SEARCH($D$4,'Final Calculation Sheet'!$B$6))))),IF($E$4="",TRUE(),IF($E$4="(blank)",'Final Calculation Sheet'!$D$6="",IF($E$4="(nonblank)",'Final Calculation Sheet'!$D$6&lt;&gt;"",ISNUMBER(SEARCH($E$4,'Final Calculation Sheet'!$D$6))))),IF($F$4="",TRUE(),IF($F$4="(blank)",'Final Calculation Sheet'!$A$6="",IF($F$4="(nonblank)",'Final Calculation Sheet'!$A$6&lt;&gt;"",ISNUMBER(SEARCH($F$4,'Final Calculation Sheet'!$A$6))))),IF($G$4="",TRUE(),IF($G$4="(blank)",'Final Calculation Sheet'!$E$6="",IF($G$4="(nonblank)",'Final Calculation Sheet'!$E$6&lt;&gt;"",ISNUMBER(SEARCH($G$4,'Final Calculation Sheet'!$E$6))))),IF($H$4="",TRUE(),IF($H$4="(blank)",'Final Calculation Sheet'!$C$6="",IF($H$4="(nonblank)",'Final Calculation Sheet'!$C$6&lt;&gt;"",ISNUMBER(SEARCH($H$4,'Final Calculation Sheet'!$C$6))))),IF($I$4="",TRUE(),IF($I$4="(blank)",'Final Calculation Sheet'!$H$6="",IF($I$4="(nonblank)",'Final Calculation Sheet'!$H$6&lt;&gt;"",ISNUMBER(SEARCH($I$4,'Final Calculation Sheet'!$H$6))))),IF($J$4="",TRUE(),IF($J$4="(blank)",'Final Calculation Sheet'!$I$6="",IF($J$4="(nonblank)",'Final Calculation Sheet'!$I$6&lt;&gt;"",ISNUMBER(SEARCH($J$4,'Final Calculation Sheet'!$I$6))))),IF($K$4="",TRUE(),IF($K$4="(blank)",'Final Calculation Sheet'!$J$6="",IF($K$4="(nonblank)",'Final Calculation Sheet'!$J$6&lt;&gt;"",ISNUMBER(SEARCH($K$4,'Final Calculation Sheet'!$J$6))))),IF($L$4="",TRUE(),IF($L$4="(blank)",'Final Calculation Sheet'!$K$6="",IF($L$4="(nonblank)",'Final Calculation Sheet'!$K$6&lt;&gt;"",ISNUMBER(SEARCH($L$4,'Final Calculation Sheet'!$K$6))))),IF($M$4="",TRUE(),IF($M$4="(blank)",'Final Calculation Sheet'!$L$6="",IF($M$4="(nonblank)",'Final Calculation Sheet'!$L$6&lt;&gt;"",ISNUMBER(SEARCH($M$4,'Final Calculation Sheet'!$L$6))))),IF($N$4="",TRUE(),IF($N$4="(blank)",'Final Calculation Sheet'!$M$6="",IF($N$4="(nonblank)",'Final Calculation Sheet'!$M$6&lt;&gt;"",ISNUMBER(SEARCH($N$4,'Final Calculation Sheet'!$M$6))))),IF($O$4="",TRUE(),IF($O$4="(blank)",'Final Calculation Sheet'!$N$6="",IF($O$4="(nonblank)",'Final Calculation Sheet'!$N$6&lt;&gt;"",ISNUMBER(SEARCH($O$4,'Final Calculation Sheet'!$N$6))))),IF($P$4="",TRUE(),IF($P$4="(blank)",'Final Calculation Sheet'!$O$6="",IF($P$4="(nonblank)",'Final Calculation Sheet'!$O$6&lt;&gt;"",ISNUMBER(SEARCH($P$4,'Final Calculation Sheet'!$O$6))))),IF($Q$4="",TRUE(),IF($Q$4="(blank)",'Final Calculation Sheet'!$P$6="",IF($Q$4="(nonblank)",'Final Calculation Sheet'!$P$6&lt;&gt;"",ISNUMBER(SEARCH($Q$4,'Final Calculation Sheet'!$P$6))))),IF($R$4="",TRUE(),IF($R$4="(blank)",'Final Calculation Sheet'!$Q$6="",IF($R$4="(nonblank)",'Final Calculation Sheet'!$Q$6&lt;&gt;"",ISNUMBER(SEARCH($R$4,'Final Calculation Sheet'!$Q$6))))),IF($S$4="",TRUE(),IF($S$4="(blank)",'Final Calculation Sheet'!$R$6="",IF($S$4="(nonblank)",'Final Calculation Sheet'!$R$6&lt;&gt;"",ISNUMBER(SEARCH($S$4,'Final Calculation Sheet'!$R$6))))),IF($T$4="",TRUE(),IF($T$4="(blank)",'Final Calculation Sheet'!$S$6="",IF($T$4="(nonblank)",'Final Calculation Sheet'!$S$6&lt;&gt;"",ISNUMBER(SEARCH($T$4,'Final Calculation Sheet'!$S$6))))),IF($U$4="",TRUE(),IF($U$4="(blank)",'Final Calculation Sheet'!$T$6="",IF($U$4="(nonblank)",'Final Calculation Sheet'!$T$6&lt;&gt;"",ISNUMBER(SEARCH($U$4,'Final Calculation Sheet'!$T$6))))),IF($V$4="",TRUE(),IF($V$4="(blank)",'Final Calculation Sheet'!$U$6="",IF($V$4="(nonblank)",'Final Calculation Sheet'!$U$6&lt;&gt;"",ISNUMBER(SEARCH($V$4,'Final Calculation Sheet'!$U$6))))),IF($W$4="",TRUE(),IF($W$4="(blank)",'Final Calculation Sheet'!$V$6="",IF($W$4="(nonblank)",'Final Calculation Sheet'!$V$6&lt;&gt;"",ISNUMBER(SEARCH($W$4,'Final Calculation Sheet'!$V$6))))),IF($X$4="",TRUE(),IF($X$4="(blank)",'Final Calculation Sheet'!$W$6="",IF($X$4="(nonblank)",'Final Calculation Sheet'!$W$6&lt;&gt;"",ISNUMBER(SEARCH($X$4,'Final Calculation Sheet'!$W$6))))),IF($Y$4="",TRUE(),IF($Y$4="(blank)",'Final Calculation Sheet'!$X$6="",IF($Y$4="(nonblank)",'Final Calculation Sheet'!$X$6&lt;&gt;"",ISNUMBER(SEARCH($Y$4,'Final Calculation Sheet'!$X$6))))),IF($Z$4="",TRUE(),IF($Z$4="(blank)",'Final Calculation Sheet'!$Y$6="",IF($Z$4="(nonblank)",'Final Calculation Sheet'!$Y$6&lt;&gt;"",ISNUMBER(SEARCH($Z$4,'Final Calculation Sheet'!$Y$6))))),IF($AA$4="",TRUE(),IF($AA$4="(blank)",'Final Calculation Sheet'!$Z$6="",IF($AA$4="(nonblank)",'Final Calculation Sheet'!$Z$6&lt;&gt;"",ISNUMBER(SEARCH($AA$4,'Final Calculation Sheet'!$Z$6))))),IF($AB$4="",TRUE(),IF($AB$4="(blank)",'Final Calculation Sheet'!$AA$6="",IF($AB$4="(nonblank)",'Final Calculation Sheet'!$AA$6&lt;&gt;"",ISNUMBER(SEARCH($AB$4,'Final Calculation Sheet'!$AA$6))))),IF($AC$4="",TRUE(),IF($AC$4="(blank)",'Final Calculation Sheet'!$AB$6="",IF($AC$4="(nonblank)",'Final Calculation Sheet'!$AB$6&lt;&gt;"",ISNUMBER(SEARCH($AC$4,'Final Calculation Sheet'!$AB$6))))),IF($AD$4="",TRUE(),IF($AD$4="(blank)",'Final Calculation Sheet'!$AC$6="",IF($AD$4="(nonblank)",'Final Calculation Sheet'!$AC$6&lt;&gt;"",ISNUMBER(SEARCH($AD$4,'Final Calculation Sheet'!$AC$6))))),IF($AE$4="",TRUE(),IF($AE$4="(blank)",'Final Calculation Sheet'!$AD$6="",IF($AE$4="(nonblank)",'Final Calculation Sheet'!$AD$6&lt;&gt;"",ISNUMBER(SEARCH($AE$4,'Final Calculation Sheet'!$AD$6))))),IF($AF$4="",TRUE(),IF($AF$4="(blank)",'Final Calculation Sheet'!$AE$6="",IF($AF$4="(nonblank)",'Final Calculation Sheet'!$AE$6&lt;&gt;"",ISNUMBER(SEARCH($AF$4,'Final Calculation Sheet'!$AE$6))))),IF($AG$4="",TRUE(),IF($AG$4="(blank)",'Final Calculation Sheet'!$AF$6="",IF($AG$4="(nonblank)",'Final Calculation Sheet'!$AF$6&lt;&gt;"",ISNUMBER(SEARCH($AG$4,'Final Calculation Sheet'!$AF$6))))),IF($AH$4="",TRUE(),IF($AH$4="(blank)",'Final Calculation Sheet'!$AG$6="",IF($AH$4="(nonblank)",'Final Calculation Sheet'!$AG$6&lt;&gt;"",ISNUMBER(SEARCH($AH$4,'Final Calculation Sheet'!$AG$6))))),IF($AI$4="",TRUE(),IF($AI$4="(blank)",IF('Final Calculation Sheet'!$AD$6&lt;=5,"SETTLED","OUTSTANDING")="",IF($AI$4="(nonblank)",IF('Final Calculation Sheet'!$AD$6&lt;=5,"SETTLED","OUTSTANDING")&lt;&gt;"",ISNUMBER(SEARCH($AI$4,IF('Final Calculation Sheet'!$AD$6&lt;=5,"SETTLED","OUTSTANDING")))))))</f>
        <v>1</v>
      </c>
      <c r="AK8" t="str">
        <f>IF(AJ8=1,COUNTIF(AJ$6:AJ8,1),"")</f>
        <v/>
      </c>
      <c r="AM8">
        <f>AM7+IF(AND(Lists!$O$8&lt;&gt;"",ISNUMBER(SEARCH($B$4,Lists!$O$8))),1,0)</f>
        <v>5</v>
      </c>
      <c r="AN8">
        <f>IF(ROW()-3&gt;MAX($AM$4:$AM$42),"",INDEX(Lists!$O$4:$O$42,MATCH(ROW()-3,$AM$4:$AM$42,0)))</f>
        <v>1923</v>
      </c>
      <c r="AO8">
        <f>AO7+IF(AND(Lists!$T$8&lt;&gt;"",ISNUMBER(SEARCH($C$4,Lists!$T$8))),1,0)</f>
        <v>5</v>
      </c>
      <c r="AP8" t="str">
        <f>IF(ROW()-3&gt;MAX($AO$4:$AO$42),"",INDEX(Lists!$T$4:$T$42,MATCH(ROW()-3,$AO$4:$AO$42,0)))</f>
        <v>M I SCRAP TRADERS</v>
      </c>
      <c r="AQ8">
        <f>AQ7+IF(AND(Lists!$Y$8&lt;&gt;"",ISNUMBER(SEARCH($D$4,Lists!$Y$8))),1,0)</f>
        <v>5</v>
      </c>
      <c r="AR8" t="str">
        <f>IF(ROW()-3&gt;MAX($AQ$4:$AQ$42),"",INDEX(Lists!$Y$4:$Y$42,MATCH(ROW()-3,$AQ$4:$AQ$42,0)))</f>
        <v>Scrap Empty Oil Drum/ Barrel</v>
      </c>
      <c r="AS8">
        <f>AS7+IF(AND(Lists!$AD$8&lt;&gt;"",ISNUMBER(SEARCH($E$4,Lists!$AD$8))),1,0)</f>
        <v>4</v>
      </c>
      <c r="AT8" t="str">
        <f>IF(ROW()-3&gt;MAX($AS$4:$AS$42),"",INDEX(Lists!$AD$4:$AD$42,MATCH(ROW()-3,$AS$4:$AS$42,0)))</f>
        <v>(blank)</v>
      </c>
      <c r="AU8">
        <f>AU7+IF(AND(Lists!$AI$8&lt;&gt;"",ISNUMBER(SEARCH($F$4,Lists!$AI$8))),1,0)</f>
        <v>5</v>
      </c>
      <c r="AV8">
        <f>IF(ROW()-3&gt;MAX($AU$4:$AU$42),"",INDEX(Lists!$AI$4:$AI$42,MATCH(ROW()-3,$AU$4:$AU$42,0)))</f>
        <v>5</v>
      </c>
      <c r="AW8">
        <f>AW7+IF(AND(Lists!$AN$8&lt;&gt;"",ISNUMBER(SEARCH($G$4,Lists!$AN$8))),1,0)</f>
        <v>3</v>
      </c>
      <c r="AX8" t="str">
        <f>IF(ROW()-3&gt;MAX($AW$4:$AW$42),"",INDEX(Lists!$AN$4:$AN$42,MATCH(ROW()-3,$AW$4:$AW$42,0)))</f>
        <v>(nonblank)</v>
      </c>
      <c r="AY8">
        <f>AY7+IF(AND(Lists!$AS$8&lt;&gt;"",ISNUMBER(SEARCH($H$4,Lists!$AS$8))),1,0)</f>
        <v>5</v>
      </c>
      <c r="AZ8">
        <f>IF(ROW()-3&gt;MAX($AY$4:$AY$42),"",INDEX(Lists!$AS$4:$AS$42,MATCH(ROW()-3,$AY$4:$AY$42,0)))</f>
        <v>517</v>
      </c>
      <c r="BA8">
        <f>BA7+IF(AND(Lists!$AX$8&lt;&gt;"",ISNUMBER(SEARCH($I$4,Lists!$AX$8))),1,0)</f>
        <v>5</v>
      </c>
      <c r="BB8">
        <f>IF(ROW()-3&gt;MAX($BA$4:$BA$42),"",INDEX(Lists!$AX$4:$AX$42,MATCH(ROW()-3,$BA$4:$BA$42,0)))</f>
        <v>28002</v>
      </c>
      <c r="BC8">
        <f>BC7+IF(AND(Lists!$BC$8&lt;&gt;"",ISNUMBER(SEARCH($J$4,Lists!$BC$8))),1,0)</f>
        <v>5</v>
      </c>
      <c r="BD8">
        <f>IF(ROW()-3&gt;MAX($BC$4:$BC$42),"",INDEX(Lists!$BC$4:$BC$42,MATCH(ROW()-3,$BC$4:$BC$42,0)))</f>
        <v>5040</v>
      </c>
      <c r="BE8">
        <f>BE7+IF(AND(Lists!$BH$8&lt;&gt;"",ISNUMBER(SEARCH($K$4,Lists!$BH$8))),1,0)</f>
        <v>5</v>
      </c>
      <c r="BF8">
        <f>IF(ROW()-3&gt;MAX($BE$4:$BE$42),"",INDEX(Lists!$BH$4:$BH$42,MATCH(ROW()-3,$BE$4:$BE$42,0)))</f>
        <v>33042</v>
      </c>
      <c r="BG8">
        <f>BG7+IF(AND(Lists!$BM$8&lt;&gt;"",ISNUMBER(SEARCH($L$4,Lists!$BM$8))),1,0)</f>
        <v>5</v>
      </c>
      <c r="BH8">
        <f>IF(ROW()-3&gt;MAX($BG$4:$BG$42),"",INDEX(Lists!$BM$4:$BM$42,MATCH(ROW()-3,$BG$4:$BG$42,0)))</f>
        <v>661</v>
      </c>
      <c r="BI8">
        <f>BI7+IF(AND(Lists!$BR$8&lt;&gt;"",ISNUMBER(SEARCH($M$4,Lists!$BR$8))),1,0)</f>
        <v>5</v>
      </c>
      <c r="BJ8">
        <f>IF(ROW()-3&gt;MAX($BI$4:$BI$42),"",INDEX(Lists!$BR$4:$BR$42,MATCH(ROW()-3,$BI$4:$BI$42,0)))</f>
        <v>28.001999999999999</v>
      </c>
      <c r="BK8">
        <f>BK7+IF(AND(Lists!$BW$8&lt;&gt;"",ISNUMBER(SEARCH($N$4,Lists!$BW$8))),1,0)</f>
        <v>5</v>
      </c>
      <c r="BL8">
        <f>IF(ROW()-3&gt;MAX($BK$4:$BK$42),"",INDEX(Lists!$BW$4:$BW$42,MATCH(ROW()-3,$BK$4:$BK$42,0)))</f>
        <v>743.45309999999995</v>
      </c>
      <c r="BM8">
        <f>BM7+IF(AND(Lists!$CB$8&lt;&gt;"",ISNUMBER(SEARCH($O$4,Lists!$CB$8))),1,0)</f>
        <v>5</v>
      </c>
      <c r="BN8">
        <f>IF(ROW()-3&gt;MAX($BM$4:$BM$42),"",INDEX(Lists!$CB$4:$CB$42,MATCH(ROW()-3,$BM$4:$BM$42,0)))</f>
        <v>12.600899999999999</v>
      </c>
      <c r="BO8">
        <f>BO7+IF(AND(Lists!$CG$8&lt;&gt;"",ISNUMBER(SEARCH($P$4,Lists!$CG$8))),1,0)</f>
        <v>5</v>
      </c>
      <c r="BP8">
        <f>IF(ROW()-3&gt;MAX($BO$4:$BO$42),"",INDEX(Lists!$CG$4:$CG$42,MATCH(ROW()-3,$BO$4:$BO$42,0)))</f>
        <v>730.85219999999993</v>
      </c>
      <c r="BQ8">
        <f>BQ7+IF(AND(Lists!$CL$8&lt;&gt;"",ISNUMBER(SEARCH($Q$4,Lists!$CL$8))),1,0)</f>
        <v>5</v>
      </c>
      <c r="BR8">
        <f>IF(ROW()-3&gt;MAX($BQ$4:$BQ$42),"",INDEX(Lists!$CL$4:$CL$42,MATCH(ROW()-3,$BQ$4:$BQ$42,0)))</f>
        <v>759</v>
      </c>
      <c r="BS8">
        <f>BS7+IF(AND(Lists!$CQ$8&lt;&gt;"",ISNUMBER(SEARCH($R$4,Lists!$CQ$8))),1,0)</f>
        <v>2</v>
      </c>
      <c r="BT8" t="str">
        <f>IF(ROW()-3&gt;MAX($BS$4:$BS$42),"",INDEX(Lists!$CQ$4:$CQ$42,MATCH(ROW()-3,$BS$4:$BS$42,0)))</f>
        <v/>
      </c>
      <c r="BU8">
        <f>BU7+IF(AND(Lists!$CV$8&lt;&gt;"",ISNUMBER(SEARCH($S$4,Lists!$CV$8))),1,0)</f>
        <v>5</v>
      </c>
      <c r="BV8">
        <f>IF(ROW()-3&gt;MAX($BU$4:$BU$42),"",INDEX(Lists!$CV$4:$CV$42,MATCH(ROW()-3,$BU$4:$BU$42,0)))</f>
        <v>32929</v>
      </c>
      <c r="BW8">
        <f>BW7+IF(AND(Lists!$DA$8&lt;&gt;"",ISNUMBER(SEARCH($T$4,Lists!$DA$8))),1,0)</f>
        <v>5</v>
      </c>
      <c r="BX8">
        <f>IF(ROW()-3&gt;MAX($BW$4:$BW$42),"",INDEX(Lists!$DA$4:$DA$42,MATCH(ROW()-3,$BW$4:$BW$42,0)))</f>
        <v>32944</v>
      </c>
      <c r="BY8">
        <f>BY7+IF(AND(Lists!$DF$8&lt;&gt;"",ISNUMBER(SEARCH($U$4,Lists!$DF$8))),1,0)</f>
        <v>5</v>
      </c>
      <c r="BZ8">
        <f>IF(ROW()-3&gt;MAX($BY$4:$BY$42),"",INDEX(Lists!$DF$4:$DF$42,MATCH(ROW()-3,$BY$4:$BY$42,0)))</f>
        <v>7001</v>
      </c>
      <c r="CA8">
        <f>CA7+IF(AND(Lists!$DK$8&lt;&gt;"",ISNUMBER(SEARCH($V$4,Lists!$DK$8))),1,0)</f>
        <v>5</v>
      </c>
      <c r="CB8">
        <f>IF(ROW()-3&gt;MAX($CA$4:$CA$42),"",INDEX(Lists!$DK$4:$DK$42,MATCH(ROW()-3,$CA$4:$CA$42,0)))</f>
        <v>7001</v>
      </c>
      <c r="CC8">
        <f>CC7+IF(AND(Lists!$DP$8&lt;&gt;"",ISNUMBER(SEARCH($W$4,Lists!$DP$8))),1,0)</f>
        <v>5</v>
      </c>
      <c r="CD8" t="str">
        <f>IF(ROW()-3&gt;MAX($CC$4:$CC$42),"",INDEX(Lists!$DP$4:$DP$42,MATCH(ROW()-3,$CC$4:$CC$42,0)))</f>
        <v>17.08.2026</v>
      </c>
      <c r="CE8">
        <f>CE7+IF(AND(Lists!$DU$8&lt;&gt;"",ISNUMBER(SEARCH($X$4,Lists!$DU$8))),1,0)</f>
        <v>5</v>
      </c>
      <c r="CF8">
        <f>IF(ROW()-3&gt;MAX($CE$4:$CE$42),"",INDEX(Lists!$DU$4:$DU$42,MATCH(ROW()-3,$CE$4:$CE$42,0)))</f>
        <v>25944</v>
      </c>
      <c r="CG8" t="e">
        <f>CG7+IF(AND(Lists!$DZ$8&lt;&gt;"",ISNUMBER(SEARCH($Y$4,Lists!$DZ$8))),1,0)</f>
        <v>#N/A</v>
      </c>
      <c r="CH8" t="e">
        <f>IF(ROW()-3&gt;MAX($CG$4:$CG$42),"",INDEX(Lists!$DZ$4:$DZ$42,MATCH(ROW()-3,$CG$4:$CG$42,0)))</f>
        <v>#N/A</v>
      </c>
      <c r="CI8" t="e">
        <f>CI7+IF(AND(Lists!$EE$8&lt;&gt;"",ISNUMBER(SEARCH($Z$4,Lists!$EE$8))),1,0)</f>
        <v>#N/A</v>
      </c>
      <c r="CJ8" t="e">
        <f>IF(ROW()-3&gt;MAX($CI$4:$CI$42),"",INDEX(Lists!$EE$4:$EE$42,MATCH(ROW()-3,$CI$4:$CI$42,0)))</f>
        <v>#N/A</v>
      </c>
      <c r="CK8">
        <f>CK7+IF(AND(Lists!$EJ$8&lt;&gt;"",ISNUMBER(SEARCH($AA$4,Lists!$EJ$8))),1,0)</f>
        <v>5</v>
      </c>
      <c r="CL8">
        <f>IF(ROW()-3&gt;MAX($CK$4:$CK$42),"",INDEX(Lists!$EJ$4:$EJ$42,MATCH(ROW()-3,$CK$4:$CK$42,0)))</f>
        <v>9558.2124000000003</v>
      </c>
      <c r="CM8" t="e">
        <f>CM7+IF(AND(Lists!$EO$8&lt;&gt;"",ISNUMBER(SEARCH($AB$4,Lists!$EO$8))),1,0)</f>
        <v>#N/A</v>
      </c>
      <c r="CN8" t="e">
        <f>IF(ROW()-3&gt;MAX($CM$4:$CM$42),"",INDEX(Lists!$EO$4:$EO$42,MATCH(ROW()-3,$CM$4:$CM$42,0)))</f>
        <v>#N/A</v>
      </c>
      <c r="CO8" t="e">
        <f>CO7+IF(AND(Lists!$ET$8&lt;&gt;"",ISNUMBER(SEARCH($AC$4,Lists!$ET$8))),1,0)</f>
        <v>#N/A</v>
      </c>
      <c r="CP8" t="e">
        <f>IF(ROW()-3&gt;MAX($CO$4:$CO$42),"",INDEX(Lists!$ET$4:$ET$42,MATCH(ROW()-3,$CO$4:$CO$42,0)))</f>
        <v>#N/A</v>
      </c>
      <c r="CQ8">
        <f>CQ7+IF(AND(Lists!$EY$8&lt;&gt;"",ISNUMBER(SEARCH($AD$4,Lists!$EY$8))),1,0)</f>
        <v>5</v>
      </c>
      <c r="CR8">
        <f>IF(ROW()-3&gt;MAX($CQ$4:$CQ$42),"",INDEX(Lists!$EY$4:$EY$42,MATCH(ROW()-3,$CQ$4:$CQ$42,0)))</f>
        <v>31236</v>
      </c>
      <c r="CS8" t="e">
        <f>CS7+IF(AND(Lists!$FD$8&lt;&gt;"",ISNUMBER(SEARCH($AE$4,Lists!$FD$8))),1,0)</f>
        <v>#N/A</v>
      </c>
      <c r="CT8" t="e">
        <f>IF(ROW()-3&gt;MAX($CS$4:$CS$42),"",INDEX(Lists!$FD$4:$FD$42,MATCH(ROW()-3,$CS$4:$CS$42,0)))</f>
        <v>#N/A</v>
      </c>
      <c r="CU8" t="e">
        <f>CU7+IF(AND(Lists!$FI$8&lt;&gt;"",ISNUMBER(SEARCH($AF$4,Lists!$FI$8))),1,0)</f>
        <v>#N/A</v>
      </c>
      <c r="CV8" t="e">
        <f>IF(ROW()-3&gt;MAX($CU$4:$CU$42),"",INDEX(Lists!$FI$4:$FI$42,MATCH(ROW()-3,$CU$4:$CU$42,0)))</f>
        <v>#N/A</v>
      </c>
      <c r="CW8" t="e">
        <f>CW7+IF(AND(Lists!$FN$8&lt;&gt;"",ISNUMBER(SEARCH($AG$4,Lists!$FN$8))),1,0)</f>
        <v>#N/A</v>
      </c>
      <c r="CX8" t="e">
        <f>IF(ROW()-3&gt;MAX($CW$4:$CW$42),"",INDEX(Lists!$FN$4:$FN$42,MATCH(ROW()-3,$CW$4:$CW$42,0)))</f>
        <v>#N/A</v>
      </c>
      <c r="CY8" t="e">
        <f>CY7+IF(AND(Lists!$FS$8&lt;&gt;"",ISNUMBER(SEARCH($AH$4,Lists!$FS$8))),1,0)</f>
        <v>#N/A</v>
      </c>
      <c r="CZ8" t="e">
        <f>IF(ROW()-3&gt;MAX($CY$4:$CY$42),"",INDEX(Lists!$FS$4:$FS$42,MATCH(ROW()-3,$CY$4:$CY$42,0)))</f>
        <v>#N/A</v>
      </c>
      <c r="DA8">
        <f>DA7+IF(AND(Lists!$FX$8&lt;&gt;"",ISNUMBER(SEARCH($AI$4,Lists!$FX$8))),1,0)</f>
        <v>2</v>
      </c>
      <c r="DB8" t="str">
        <f>IF(ROW()-3&gt;MAX($DA$4:$DA$42),"",INDEX(Lists!$FX$4:$FX$42,MATCH(ROW()-3,$DA$4:$DA$42,0)))</f>
        <v/>
      </c>
    </row>
    <row r="9" outlineLevel="1" ht="15" customHeight="1" s="137">
      <c r="A9" s="90" t="n">
        <v>2</v>
      </c>
      <c r="B9" s="92">
        <f>IF('Final Calculation Sheet'!$F$7="","",'Final Calculation Sheet'!$F$7)</f>
        <v>1876</v>
      </c>
      <c r="C9" s="92" t="str">
        <f>IF('Final Calculation Sheet'!$G$7="","",'Final Calculation Sheet'!$G$7)</f>
        <v>F R KHANS ENTERPRISES</v>
      </c>
      <c r="D9" s="94" t="str">
        <f>IF('Final Calculation Sheet'!$B$7="","",'Final Calculation Sheet'!$B$7)</f>
        <v>Scrap of MS (extracted from equip cage and empty Sf6 gas cylinder)</v>
      </c>
      <c r="E9" s="94">
        <f>IF('Final Calculation Sheet'!$D$7="","",'Final Calculation Sheet'!$D$7)</f>
        <v>21977</v>
      </c>
      <c r="F9" s="94">
        <f>IF('Final Calculation Sheet'!$A$7="","",'Final Calculation Sheet'!$A$7)</f>
        <v>3000</v>
      </c>
      <c r="G9" s="94" t="str">
        <f>IF('Final Calculation Sheet'!$E$7="","",'Final Calculation Sheet'!$E$7)</f>
        <v>KG</v>
      </c>
      <c r="H9" s="95">
        <f>IF('Final Calculation Sheet'!$C$7="","",'Final Calculation Sheet'!$C$7)</f>
        <v>66</v>
      </c>
      <c r="I9" s="95">
        <f>IF('Final Calculation Sheet'!$H$7="","",'Final Calculation Sheet'!$H$7)</f>
        <v>198000</v>
      </c>
      <c r="J9" s="95">
        <f>IF('Final Calculation Sheet'!$I$7="","",'Final Calculation Sheet'!$I$7)</f>
        <v>35640</v>
      </c>
      <c r="K9" s="95">
        <f>IF('Final Calculation Sheet'!$J$7="","",'Final Calculation Sheet'!$J$7)</f>
        <v>233640</v>
      </c>
      <c r="L9" s="95">
        <f>IF('Final Calculation Sheet'!$K$7="","",'Final Calculation Sheet'!$K$7)</f>
        <v>4673</v>
      </c>
      <c r="M9" s="95">
        <f>IF('Final Calculation Sheet'!$L$7="","",'Final Calculation Sheet'!$L$7)</f>
        <v>198</v>
      </c>
      <c r="N9" s="95">
        <f>IF('Final Calculation Sheet'!$M$7="","",'Final Calculation Sheet'!$M$7)</f>
        <v>5256.9</v>
      </c>
      <c r="O9" s="96">
        <f>IF('Final Calculation Sheet'!$N$7="","",'Final Calculation Sheet'!$N$7)</f>
        <v>89.100000000000009</v>
      </c>
      <c r="P9" s="95">
        <f>IF('Final Calculation Sheet'!$O$7="","",'Final Calculation Sheet'!$O$7)</f>
        <v>5167.7999999999993</v>
      </c>
      <c r="Q9" s="95">
        <f>IF('Final Calculation Sheet'!$P$7="","",'Final Calculation Sheet'!$P$7)</f>
        <v>5366</v>
      </c>
      <c r="R9" s="97">
        <f>IF('Final Calculation Sheet'!$Q$7="","",'Final Calculation Sheet'!$Q$7)</f>
        <v>0</v>
      </c>
      <c r="S9" s="95">
        <f>IF('Final Calculation Sheet'!$R$7="","",'Final Calculation Sheet'!$R$7)</f>
        <v>0</v>
      </c>
      <c r="T9" s="95">
        <f>IF('Final Calculation Sheet'!$S$7="","",'Final Calculation Sheet'!$S$7)</f>
        <v>232947</v>
      </c>
      <c r="U9" s="95">
        <f>IF('Final Calculation Sheet'!$T$7="","",'Final Calculation Sheet'!$T$7)</f>
        <v>49500</v>
      </c>
      <c r="V9" s="98">
        <f>IF('Final Calculation Sheet'!$U$7="","",'Final Calculation Sheet'!$U$7)</f>
        <v>49500</v>
      </c>
      <c r="W9" s="95" t="str">
        <f>IF('Final Calculation Sheet'!$V$7="","",'Final Calculation Sheet'!$V$7)</f>
        <v>11.08.2026</v>
      </c>
      <c r="X9" s="95">
        <f>IF('Final Calculation Sheet'!$W$7="","",'Final Calculation Sheet'!$W$7)</f>
        <v>183447</v>
      </c>
      <c r="Y9" s="95">
        <f>IF('Final Calculation Sheet'!$X$7="","",'Final Calculation Sheet'!$X$7)</f>
        <v>183446</v>
      </c>
      <c r="Z9" s="95" t="str">
        <f>IF('Final Calculation Sheet'!$Y$7="","",'Final Calculation Sheet'!$Y$7)</f>
        <v>20.08.2026</v>
      </c>
      <c r="AA9" s="95">
        <f>IF('Final Calculation Sheet'!$Z$7="","",'Final Calculation Sheet'!$Z$7)</f>
        <v>0</v>
      </c>
      <c r="AB9" s="95" t="str">
        <f>IF('Final Calculation Sheet'!$AA$7="","",'Final Calculation Sheet'!$AA$7)</f>
        <v/>
      </c>
      <c r="AC9" s="95" t="str">
        <f>IF('Final Calculation Sheet'!$AB$7="","",'Final Calculation Sheet'!$AB$7)</f>
        <v/>
      </c>
      <c r="AD9" s="95">
        <f>IF('Final Calculation Sheet'!$AC$7="","",'Final Calculation Sheet'!$AC$7)</f>
        <v>232946</v>
      </c>
      <c r="AE9" s="95">
        <f>IF('Final Calculation Sheet'!$AD$7="","",'Final Calculation Sheet'!$AD$7)</f>
        <v>1</v>
      </c>
      <c r="AF9" s="95" t="str">
        <f>IF('Final Calculation Sheet'!$AE$7="","",'Final Calculation Sheet'!$AE$7)</f>
        <v>DR2640100048</v>
      </c>
      <c r="AG9" s="99">
        <f>IF('Final Calculation Sheet'!$AF$7="","",'Final Calculation Sheet'!$AF$7)</f>
        <v>1800003347</v>
      </c>
      <c r="AH9" s="95" t="str">
        <f>IF('Final Calculation Sheet'!$AG$7="","",'Final Calculation Sheet'!$AG$7)</f>
        <v>27.08.2026</v>
      </c>
      <c r="AI9" s="100" t="str">
        <f>IF('Final Calculation Sheet'!$AD$7="","",IF('Final Calculation Sheet'!$AD$7&lt;=5,"SETTLED","OUTSTANDING"))</f>
        <v>SETTLED</v>
      </c>
      <c r="AJ9" t="b">
        <f>AND(IF($B$4="",TRUE(),IF($B$4="(blank)",'Final Calculation Sheet'!$F$7="",IF($B$4="(nonblank)",'Final Calculation Sheet'!$F$7&lt;&gt;"",ISNUMBER(SEARCH($B$4,'Final Calculation Sheet'!$F$7))))),IF($C$4="",TRUE(),IF($C$4="(blank)",'Final Calculation Sheet'!$G$7="",IF($C$4="(nonblank)",'Final Calculation Sheet'!$G$7&lt;&gt;"",ISNUMBER(SEARCH($C$4,'Final Calculation Sheet'!$G$7))))),IF($D$4="",TRUE(),IF($D$4="(blank)",'Final Calculation Sheet'!$B$7="",IF($D$4="(nonblank)",'Final Calculation Sheet'!$B$7&lt;&gt;"",ISNUMBER(SEARCH($D$4,'Final Calculation Sheet'!$B$7))))),IF($E$4="",TRUE(),IF($E$4="(blank)",'Final Calculation Sheet'!$D$7="",IF($E$4="(nonblank)",'Final Calculation Sheet'!$D$7&lt;&gt;"",ISNUMBER(SEARCH($E$4,'Final Calculation Sheet'!$D$7))))),IF($F$4="",TRUE(),IF($F$4="(blank)",'Final Calculation Sheet'!$A$7="",IF($F$4="(nonblank)",'Final Calculation Sheet'!$A$7&lt;&gt;"",ISNUMBER(SEARCH($F$4,'Final Calculation Sheet'!$A$7))))),IF($G$4="",TRUE(),IF($G$4="(blank)",'Final Calculation Sheet'!$E$7="",IF($G$4="(nonblank)",'Final Calculation Sheet'!$E$7&lt;&gt;"",ISNUMBER(SEARCH($G$4,'Final Calculation Sheet'!$E$7))))),IF($H$4="",TRUE(),IF($H$4="(blank)",'Final Calculation Sheet'!$C$7="",IF($H$4="(nonblank)",'Final Calculation Sheet'!$C$7&lt;&gt;"",ISNUMBER(SEARCH($H$4,'Final Calculation Sheet'!$C$7))))),IF($I$4="",TRUE(),IF($I$4="(blank)",'Final Calculation Sheet'!$H$7="",IF($I$4="(nonblank)",'Final Calculation Sheet'!$H$7&lt;&gt;"",ISNUMBER(SEARCH($I$4,'Final Calculation Sheet'!$H$7))))),IF($J$4="",TRUE(),IF($J$4="(blank)",'Final Calculation Sheet'!$I$7="",IF($J$4="(nonblank)",'Final Calculation Sheet'!$I$7&lt;&gt;"",ISNUMBER(SEARCH($J$4,'Final Calculation Sheet'!$I$7))))),IF($K$4="",TRUE(),IF($K$4="(blank)",'Final Calculation Sheet'!$J$7="",IF($K$4="(nonblank)",'Final Calculation Sheet'!$J$7&lt;&gt;"",ISNUMBER(SEARCH($K$4,'Final Calculation Sheet'!$J$7))))),IF($L$4="",TRUE(),IF($L$4="(blank)",'Final Calculation Sheet'!$K$7="",IF($L$4="(nonblank)",'Final Calculation Sheet'!$K$7&lt;&gt;"",ISNUMBER(SEARCH($L$4,'Final Calculation Sheet'!$K$7))))),IF($M$4="",TRUE(),IF($M$4="(blank)",'Final Calculation Sheet'!$L$7="",IF($M$4="(nonblank)",'Final Calculation Sheet'!$L$7&lt;&gt;"",ISNUMBER(SEARCH($M$4,'Final Calculation Sheet'!$L$7))))),IF($N$4="",TRUE(),IF($N$4="(blank)",'Final Calculation Sheet'!$M$7="",IF($N$4="(nonblank)",'Final Calculation Sheet'!$M$7&lt;&gt;"",ISNUMBER(SEARCH($N$4,'Final Calculation Sheet'!$M$7))))),IF($O$4="",TRUE(),IF($O$4="(blank)",'Final Calculation Sheet'!$N$7="",IF($O$4="(nonblank)",'Final Calculation Sheet'!$N$7&lt;&gt;"",ISNUMBER(SEARCH($O$4,'Final Calculation Sheet'!$N$7))))),IF($P$4="",TRUE(),IF($P$4="(blank)",'Final Calculation Sheet'!$O$7="",IF($P$4="(nonblank)",'Final Calculation Sheet'!$O$7&lt;&gt;"",ISNUMBER(SEARCH($P$4,'Final Calculation Sheet'!$O$7))))),IF($Q$4="",TRUE(),IF($Q$4="(blank)",'Final Calculation Sheet'!$P$7="",IF($Q$4="(nonblank)",'Final Calculation Sheet'!$P$7&lt;&gt;"",ISNUMBER(SEARCH($Q$4,'Final Calculation Sheet'!$P$7))))),IF($R$4="",TRUE(),IF($R$4="(blank)",'Final Calculation Sheet'!$Q$7="",IF($R$4="(nonblank)",'Final Calculation Sheet'!$Q$7&lt;&gt;"",ISNUMBER(SEARCH($R$4,'Final Calculation Sheet'!$Q$7))))),IF($S$4="",TRUE(),IF($S$4="(blank)",'Final Calculation Sheet'!$R$7="",IF($S$4="(nonblank)",'Final Calculation Sheet'!$R$7&lt;&gt;"",ISNUMBER(SEARCH($S$4,'Final Calculation Sheet'!$R$7))))),IF($T$4="",TRUE(),IF($T$4="(blank)",'Final Calculation Sheet'!$S$7="",IF($T$4="(nonblank)",'Final Calculation Sheet'!$S$7&lt;&gt;"",ISNUMBER(SEARCH($T$4,'Final Calculation Sheet'!$S$7))))),IF($U$4="",TRUE(),IF($U$4="(blank)",'Final Calculation Sheet'!$T$7="",IF($U$4="(nonblank)",'Final Calculation Sheet'!$T$7&lt;&gt;"",ISNUMBER(SEARCH($U$4,'Final Calculation Sheet'!$T$7))))),IF($V$4="",TRUE(),IF($V$4="(blank)",'Final Calculation Sheet'!$U$7="",IF($V$4="(nonblank)",'Final Calculation Sheet'!$U$7&lt;&gt;"",ISNUMBER(SEARCH($V$4,'Final Calculation Sheet'!$U$7))))),IF($W$4="",TRUE(),IF($W$4="(blank)",'Final Calculation Sheet'!$V$7="",IF($W$4="(nonblank)",'Final Calculation Sheet'!$V$7&lt;&gt;"",ISNUMBER(SEARCH($W$4,'Final Calculation Sheet'!$V$7))))),IF($X$4="",TRUE(),IF($X$4="(blank)",'Final Calculation Sheet'!$W$7="",IF($X$4="(nonblank)",'Final Calculation Sheet'!$W$7&lt;&gt;"",ISNUMBER(SEARCH($X$4,'Final Calculation Sheet'!$W$7))))),IF($Y$4="",TRUE(),IF($Y$4="(blank)",'Final Calculation Sheet'!$X$7="",IF($Y$4="(nonblank)",'Final Calculation Sheet'!$X$7&lt;&gt;"",ISNUMBER(SEARCH($Y$4,'Final Calculation Sheet'!$X$7))))),IF($Z$4="",TRUE(),IF($Z$4="(blank)",'Final Calculation Sheet'!$Y$7="",IF($Z$4="(nonblank)",'Final Calculation Sheet'!$Y$7&lt;&gt;"",ISNUMBER(SEARCH($Z$4,'Final Calculation Sheet'!$Y$7))))),IF($AA$4="",TRUE(),IF($AA$4="(blank)",'Final Calculation Sheet'!$Z$7="",IF($AA$4="(nonblank)",'Final Calculation Sheet'!$Z$7&lt;&gt;"",ISNUMBER(SEARCH($AA$4,'Final Calculation Sheet'!$Z$7))))),IF($AB$4="",TRUE(),IF($AB$4="(blank)",'Final Calculation Sheet'!$AA$7="",IF($AB$4="(nonblank)",'Final Calculation Sheet'!$AA$7&lt;&gt;"",ISNUMBER(SEARCH($AB$4,'Final Calculation Sheet'!$AA$7))))),IF($AC$4="",TRUE(),IF($AC$4="(blank)",'Final Calculation Sheet'!$AB$7="",IF($AC$4="(nonblank)",'Final Calculation Sheet'!$AB$7&lt;&gt;"",ISNUMBER(SEARCH($AC$4,'Final Calculation Sheet'!$AB$7))))),IF($AD$4="",TRUE(),IF($AD$4="(blank)",'Final Calculation Sheet'!$AC$7="",IF($AD$4="(nonblank)",'Final Calculation Sheet'!$AC$7&lt;&gt;"",ISNUMBER(SEARCH($AD$4,'Final Calculation Sheet'!$AC$7))))),IF($AE$4="",TRUE(),IF($AE$4="(blank)",'Final Calculation Sheet'!$AD$7="",IF($AE$4="(nonblank)",'Final Calculation Sheet'!$AD$7&lt;&gt;"",ISNUMBER(SEARCH($AE$4,'Final Calculation Sheet'!$AD$7))))),IF($AF$4="",TRUE(),IF($AF$4="(blank)",'Final Calculation Sheet'!$AE$7="",IF($AF$4="(nonblank)",'Final Calculation Sheet'!$AE$7&lt;&gt;"",ISNUMBER(SEARCH($AF$4,'Final Calculation Sheet'!$AE$7))))),IF($AG$4="",TRUE(),IF($AG$4="(blank)",'Final Calculation Sheet'!$AF$7="",IF($AG$4="(nonblank)",'Final Calculation Sheet'!$AF$7&lt;&gt;"",ISNUMBER(SEARCH($AG$4,'Final Calculation Sheet'!$AF$7))))),IF($AH$4="",TRUE(),IF($AH$4="(blank)",'Final Calculation Sheet'!$AG$7="",IF($AH$4="(nonblank)",'Final Calculation Sheet'!$AG$7&lt;&gt;"",ISNUMBER(SEARCH($AH$4,'Final Calculation Sheet'!$AG$7))))),IF($AI$4="",TRUE(),IF($AI$4="(blank)",IF('Final Calculation Sheet'!$AD$7&lt;=5,"SETTLED","OUTSTANDING")="",IF($AI$4="(nonblank)",IF('Final Calculation Sheet'!$AD$7&lt;=5,"SETTLED","OUTSTANDING")&lt;&gt;"",ISNUMBER(SEARCH($AI$4,IF('Final Calculation Sheet'!$AD$7&lt;=5,"SETTLED","OUTSTANDING")))))))</f>
        <v>1</v>
      </c>
      <c r="AK9" t="str">
        <f>IF(AJ9=1,COUNTIF(AJ$6:AJ9,1),"")</f>
        <v/>
      </c>
      <c r="AM9">
        <f>AM8+IF(AND(Lists!$O$9&lt;&gt;"",ISNUMBER(SEARCH($B$4,Lists!$O$9))),1,0)</f>
        <v>6</v>
      </c>
      <c r="AN9">
        <f>IF(ROW()-3&gt;MAX($AM$4:$AM$42),"",INDEX(Lists!$O$4:$O$42,MATCH(ROW()-3,$AM$4:$AM$42,0)))</f>
        <v>1976</v>
      </c>
      <c r="AO9">
        <f>AO8+IF(AND(Lists!$T$9&lt;&gt;"",ISNUMBER(SEARCH($C$4,Lists!$T$9))),1,0)</f>
        <v>6</v>
      </c>
      <c r="AP9" t="str">
        <f>IF(ROW()-3&gt;MAX($AO$4:$AO$42),"",INDEX(Lists!$T$4:$T$42,MATCH(ROW()-3,$AO$4:$AO$42,0)))</f>
        <v>NATIONAL ENTERPRISES</v>
      </c>
      <c r="AQ9">
        <f>AQ8+IF(AND(Lists!$Y$9&lt;&gt;"",ISNUMBER(SEARCH($D$4,Lists!$Y$9))),1,0)</f>
        <v>6</v>
      </c>
      <c r="AR9" t="str">
        <f>IF(ROW()-3&gt;MAX($AQ$4:$AQ$42),"",INDEX(Lists!$Y$4:$Y$42,MATCH(ROW()-3,$AQ$4:$AQ$42,0)))</f>
        <v>Scrap of 132 KV CT</v>
      </c>
      <c r="AS9">
        <f>AS8+IF(AND(Lists!$AD$9&lt;&gt;"",ISNUMBER(SEARCH($E$4,Lists!$AD$9))),1,0)</f>
        <v>4</v>
      </c>
      <c r="AT9" t="str">
        <f>IF(ROW()-3&gt;MAX($AS$4:$AS$42),"",INDEX(Lists!$AD$4:$AD$42,MATCH(ROW()-3,$AS$4:$AS$42,0)))</f>
        <v>(nonblank)</v>
      </c>
      <c r="AU9">
        <f>AU8+IF(AND(Lists!$AI$9&lt;&gt;"",ISNUMBER(SEARCH($F$4,Lists!$AI$9))),1,0)</f>
        <v>6</v>
      </c>
      <c r="AV9">
        <f>IF(ROW()-3&gt;MAX($AU$4:$AU$42),"",INDEX(Lists!$AI$4:$AI$42,MATCH(ROW()-3,$AU$4:$AU$42,0)))</f>
        <v>8.1999999999999993</v>
      </c>
      <c r="AW9">
        <f>AW8+IF(AND(Lists!$AN$9&lt;&gt;"",ISNUMBER(SEARCH($G$4,Lists!$AN$9))),1,0)</f>
        <v>3</v>
      </c>
      <c r="AX9" t="str">
        <f>IF(ROW()-3&gt;MAX($AW$4:$AW$42),"",INDEX(Lists!$AN$4:$AN$42,MATCH(ROW()-3,$AW$4:$AW$42,0)))</f>
        <v/>
      </c>
      <c r="AY9">
        <f>AY8+IF(AND(Lists!$AS$9&lt;&gt;"",ISNUMBER(SEARCH($H$4,Lists!$AS$9))),1,0)</f>
        <v>6</v>
      </c>
      <c r="AZ9">
        <f>IF(ROW()-3&gt;MAX($AY$4:$AY$42),"",INDEX(Lists!$AS$4:$AS$42,MATCH(ROW()-3,$AY$4:$AY$42,0)))</f>
        <v>531</v>
      </c>
      <c r="BA9">
        <f>BA8+IF(AND(Lists!$AX$9&lt;&gt;"",ISNUMBER(SEARCH($I$4,Lists!$AX$9))),1,0)</f>
        <v>6</v>
      </c>
      <c r="BB9">
        <f>IF(ROW()-3&gt;MAX($BA$4:$BA$42),"",INDEX(Lists!$AX$4:$AX$42,MATCH(ROW()-3,$BA$4:$BA$42,0)))</f>
        <v>29502</v>
      </c>
      <c r="BC9">
        <f>BC8+IF(AND(Lists!$BC$9&lt;&gt;"",ISNUMBER(SEARCH($J$4,Lists!$BC$9))),1,0)</f>
        <v>6</v>
      </c>
      <c r="BD9">
        <f>IF(ROW()-3&gt;MAX($BC$4:$BC$42),"",INDEX(Lists!$BC$4:$BC$42,MATCH(ROW()-3,$BC$4:$BC$42,0)))</f>
        <v>5310</v>
      </c>
      <c r="BE9">
        <f>BE8+IF(AND(Lists!$BH$9&lt;&gt;"",ISNUMBER(SEARCH($K$4,Lists!$BH$9))),1,0)</f>
        <v>6</v>
      </c>
      <c r="BF9">
        <f>IF(ROW()-3&gt;MAX($BE$4:$BE$42),"",INDEX(Lists!$BH$4:$BH$42,MATCH(ROW()-3,$BE$4:$BE$42,0)))</f>
        <v>34812</v>
      </c>
      <c r="BG9">
        <f>BG8+IF(AND(Lists!$BM$9&lt;&gt;"",ISNUMBER(SEARCH($L$4,Lists!$BM$9))),1,0)</f>
        <v>6</v>
      </c>
      <c r="BH9">
        <f>IF(ROW()-3&gt;MAX($BG$4:$BG$42),"",INDEX(Lists!$BM$4:$BM$42,MATCH(ROW()-3,$BG$4:$BG$42,0)))</f>
        <v>696</v>
      </c>
      <c r="BI9">
        <f>BI8+IF(AND(Lists!$BR$9&lt;&gt;"",ISNUMBER(SEARCH($M$4,Lists!$BR$9))),1,0)</f>
        <v>6</v>
      </c>
      <c r="BJ9">
        <f>IF(ROW()-3&gt;MAX($BI$4:$BI$42),"",INDEX(Lists!$BR$4:$BR$42,MATCH(ROW()-3,$BI$4:$BI$42,0)))</f>
        <v>29.501999999999999</v>
      </c>
      <c r="BK9">
        <f>BK8+IF(AND(Lists!$BW$9&lt;&gt;"",ISNUMBER(SEARCH($N$4,Lists!$BW$9))),1,0)</f>
        <v>6</v>
      </c>
      <c r="BL9">
        <f>IF(ROW()-3&gt;MAX($BK$4:$BK$42),"",INDEX(Lists!$BW$4:$BW$42,MATCH(ROW()-3,$BK$4:$BK$42,0)))</f>
        <v>783.27809999999988</v>
      </c>
      <c r="BM9">
        <f>BM8+IF(AND(Lists!$CB$9&lt;&gt;"",ISNUMBER(SEARCH($O$4,Lists!$CB$9))),1,0)</f>
        <v>6</v>
      </c>
      <c r="BN9">
        <f>IF(ROW()-3&gt;MAX($BM$4:$BM$42),"",INDEX(Lists!$CB$4:$CB$42,MATCH(ROW()-3,$BM$4:$BM$42,0)))</f>
        <v>13.2759</v>
      </c>
      <c r="BO9">
        <f>BO8+IF(AND(Lists!$CG$9&lt;&gt;"",ISNUMBER(SEARCH($P$4,Lists!$CG$9))),1,0)</f>
        <v>6</v>
      </c>
      <c r="BP9">
        <f>IF(ROW()-3&gt;MAX($BO$4:$BO$42),"",INDEX(Lists!$CG$4:$CG$42,MATCH(ROW()-3,$BO$4:$BO$42,0)))</f>
        <v>770.0021999999999</v>
      </c>
      <c r="BQ9">
        <f>BQ8+IF(AND(Lists!$CL$9&lt;&gt;"",ISNUMBER(SEARCH($Q$4,Lists!$CL$9))),1,0)</f>
        <v>6</v>
      </c>
      <c r="BR9">
        <f>IF(ROW()-3&gt;MAX($BQ$4:$BQ$42),"",INDEX(Lists!$CL$4:$CL$42,MATCH(ROW()-3,$BQ$4:$BQ$42,0)))</f>
        <v>800</v>
      </c>
      <c r="BS9">
        <f>BS8+IF(AND(Lists!$CQ$9&lt;&gt;"",ISNUMBER(SEARCH($R$4,Lists!$CQ$9))),1,0)</f>
        <v>2</v>
      </c>
      <c r="BT9" t="str">
        <f>IF(ROW()-3&gt;MAX($BS$4:$BS$42),"",INDEX(Lists!$CQ$4:$CQ$42,MATCH(ROW()-3,$BS$4:$BS$42,0)))</f>
        <v/>
      </c>
      <c r="BU9">
        <f>BU8+IF(AND(Lists!$CV$9&lt;&gt;"",ISNUMBER(SEARCH($S$4,Lists!$CV$9))),1,0)</f>
        <v>5</v>
      </c>
      <c r="BV9" t="str">
        <f>IF(ROW()-3&gt;MAX($BU$4:$BU$42),"",INDEX(Lists!$CV$4:$CV$42,MATCH(ROW()-3,$BU$4:$BU$42,0)))</f>
        <v>(blank)</v>
      </c>
      <c r="BW9">
        <f>BW8+IF(AND(Lists!$DA$9&lt;&gt;"",ISNUMBER(SEARCH($T$4,Lists!$DA$9))),1,0)</f>
        <v>6</v>
      </c>
      <c r="BX9">
        <f>IF(ROW()-3&gt;MAX($BW$4:$BW$42),"",INDEX(Lists!$DA$4:$DA$42,MATCH(ROW()-3,$BW$4:$BW$42,0)))</f>
        <v>34709</v>
      </c>
      <c r="BY9">
        <f>BY8+IF(AND(Lists!$DF$9&lt;&gt;"",ISNUMBER(SEARCH($U$4,Lists!$DF$9))),1,0)</f>
        <v>6</v>
      </c>
      <c r="BZ9">
        <f>IF(ROW()-3&gt;MAX($BY$4:$BY$42),"",INDEX(Lists!$DF$4:$DF$42,MATCH(ROW()-3,$BY$4:$BY$42,0)))</f>
        <v>7376</v>
      </c>
      <c r="CA9">
        <f>CA8+IF(AND(Lists!$DK$9&lt;&gt;"",ISNUMBER(SEARCH($V$4,Lists!$DK$9))),1,0)</f>
        <v>6</v>
      </c>
      <c r="CB9">
        <f>IF(ROW()-3&gt;MAX($CA$4:$CA$42),"",INDEX(Lists!$DK$4:$DK$42,MATCH(ROW()-3,$CA$4:$CA$42,0)))</f>
        <v>7376</v>
      </c>
      <c r="CC9">
        <f>CC8+IF(AND(Lists!$DP$9&lt;&gt;"",ISNUMBER(SEARCH($W$4,Lists!$DP$9))),1,0)</f>
        <v>6</v>
      </c>
      <c r="CD9" t="str">
        <f>IF(ROW()-3&gt;MAX($CC$4:$CC$42),"",INDEX(Lists!$DP$4:$DP$42,MATCH(ROW()-3,$CC$4:$CC$42,0)))</f>
        <v>24.08.2026</v>
      </c>
      <c r="CE9">
        <f>CE8+IF(AND(Lists!$DU$9&lt;&gt;"",ISNUMBER(SEARCH($X$4,Lists!$DU$9))),1,0)</f>
        <v>6</v>
      </c>
      <c r="CF9">
        <f>IF(ROW()-3&gt;MAX($CE$4:$CE$42),"",INDEX(Lists!$DU$4:$DU$42,MATCH(ROW()-3,$CE$4:$CE$42,0)))</f>
        <v>27334</v>
      </c>
      <c r="CG9" t="e">
        <f>CG8+IF(AND(Lists!$DZ$9&lt;&gt;"",ISNUMBER(SEARCH($Y$4,Lists!$DZ$9))),1,0)</f>
        <v>#N/A</v>
      </c>
      <c r="CH9" t="e">
        <f>IF(ROW()-3&gt;MAX($CG$4:$CG$42),"",INDEX(Lists!$DZ$4:$DZ$42,MATCH(ROW()-3,$CG$4:$CG$42,0)))</f>
        <v>#N/A</v>
      </c>
      <c r="CI9" t="e">
        <f>CI8+IF(AND(Lists!$EE$9&lt;&gt;"",ISNUMBER(SEARCH($Z$4,Lists!$EE$9))),1,0)</f>
        <v>#N/A</v>
      </c>
      <c r="CJ9" t="e">
        <f>IF(ROW()-3&gt;MAX($CI$4:$CI$42),"",INDEX(Lists!$EE$4:$EE$42,MATCH(ROW()-3,$CI$4:$CI$42,0)))</f>
        <v>#N/A</v>
      </c>
      <c r="CK9">
        <f>CK8+IF(AND(Lists!$EJ$9&lt;&gt;"",ISNUMBER(SEARCH($AA$4,Lists!$EJ$9))),1,0)</f>
        <v>6</v>
      </c>
      <c r="CL9">
        <f>IF(ROW()-3&gt;MAX($CK$4:$CK$42),"",INDEX(Lists!$EJ$4:$EJ$42,MATCH(ROW()-3,$CK$4:$CK$42,0)))</f>
        <v>19448.760000000002</v>
      </c>
      <c r="CM9" t="e">
        <f>CM8+IF(AND(Lists!$EO$9&lt;&gt;"",ISNUMBER(SEARCH($AB$4,Lists!$EO$9))),1,0)</f>
        <v>#N/A</v>
      </c>
      <c r="CN9" t="e">
        <f>IF(ROW()-3&gt;MAX($CM$4:$CM$42),"",INDEX(Lists!$EO$4:$EO$42,MATCH(ROW()-3,$CM$4:$CM$42,0)))</f>
        <v>#N/A</v>
      </c>
      <c r="CO9" t="e">
        <f>CO8+IF(AND(Lists!$ET$9&lt;&gt;"",ISNUMBER(SEARCH($AC$4,Lists!$ET$9))),1,0)</f>
        <v>#N/A</v>
      </c>
      <c r="CP9" t="e">
        <f>IF(ROW()-3&gt;MAX($CO$4:$CO$42),"",INDEX(Lists!$ET$4:$ET$42,MATCH(ROW()-3,$CO$4:$CO$42,0)))</f>
        <v>#N/A</v>
      </c>
      <c r="CQ9">
        <f>CQ8+IF(AND(Lists!$EY$9&lt;&gt;"",ISNUMBER(SEARCH($AD$4,Lists!$EY$9))),1,0)</f>
        <v>6</v>
      </c>
      <c r="CR9">
        <f>IF(ROW()-3&gt;MAX($CQ$4:$CQ$42),"",INDEX(Lists!$EY$4:$EY$42,MATCH(ROW()-3,$CQ$4:$CQ$42,0)))</f>
        <v>32944</v>
      </c>
      <c r="CS9" t="e">
        <f>CS8+IF(AND(Lists!$FD$9&lt;&gt;"",ISNUMBER(SEARCH($AE$4,Lists!$FD$9))),1,0)</f>
        <v>#N/A</v>
      </c>
      <c r="CT9" t="e">
        <f>IF(ROW()-3&gt;MAX($CS$4:$CS$42),"",INDEX(Lists!$FD$4:$FD$42,MATCH(ROW()-3,$CS$4:$CS$42,0)))</f>
        <v>#N/A</v>
      </c>
      <c r="CU9" t="e">
        <f>CU8+IF(AND(Lists!$FI$9&lt;&gt;"",ISNUMBER(SEARCH($AF$4,Lists!$FI$9))),1,0)</f>
        <v>#N/A</v>
      </c>
      <c r="CV9" t="e">
        <f>IF(ROW()-3&gt;MAX($CU$4:$CU$42),"",INDEX(Lists!$FI$4:$FI$42,MATCH(ROW()-3,$CU$4:$CU$42,0)))</f>
        <v>#N/A</v>
      </c>
      <c r="CW9" t="e">
        <f>CW8+IF(AND(Lists!$FN$9&lt;&gt;"",ISNUMBER(SEARCH($AG$4,Lists!$FN$9))),1,0)</f>
        <v>#N/A</v>
      </c>
      <c r="CX9" t="e">
        <f>IF(ROW()-3&gt;MAX($CW$4:$CW$42),"",INDEX(Lists!$FN$4:$FN$42,MATCH(ROW()-3,$CW$4:$CW$42,0)))</f>
        <v>#N/A</v>
      </c>
      <c r="CY9" t="e">
        <f>CY8+IF(AND(Lists!$FS$9&lt;&gt;"",ISNUMBER(SEARCH($AH$4,Lists!$FS$9))),1,0)</f>
        <v>#N/A</v>
      </c>
      <c r="CZ9" t="e">
        <f>IF(ROW()-3&gt;MAX($CY$4:$CY$42),"",INDEX(Lists!$FS$4:$FS$42,MATCH(ROW()-3,$CY$4:$CY$42,0)))</f>
        <v>#N/A</v>
      </c>
      <c r="DA9">
        <f>DA8+IF(AND(Lists!$FX$9&lt;&gt;"",ISNUMBER(SEARCH($AI$4,Lists!$FX$9))),1,0)</f>
        <v>2</v>
      </c>
      <c r="DB9" t="str">
        <f>IF(ROW()-3&gt;MAX($DA$4:$DA$42),"",INDEX(Lists!$FX$4:$FX$42,MATCH(ROW()-3,$DA$4:$DA$42,0)))</f>
        <v/>
      </c>
    </row>
    <row r="10" ht="15" customHeight="1" s="137">
      <c r="A10" s="81" t="inlineStr">
        <is>
          <t>∑</t>
        </is>
      </c>
      <c r="B10" s="83" t="n"/>
      <c r="C10" s="83" t="str">
        <f>ROWS($C$8:$C$9)&amp;" lot(s)"</f>
        <v>2 lot(s)</v>
      </c>
      <c r="D10" s="83" t="inlineStr">
        <is>
          <t>SUBTOTAL — F R KHANS ENTERPRISES</t>
        </is>
      </c>
      <c r="E10" s="83" t="inlineStr">
        <is>
          <t>–</t>
        </is>
      </c>
      <c r="F10" s="83">
        <f>SUM(F8:F9)</f>
        <v>3028</v>
      </c>
      <c r="G10" s="83" t="inlineStr">
        <is>
          <t>–</t>
        </is>
      </c>
      <c r="H10" s="84" t="inlineStr">
        <is>
          <t>–</t>
        </is>
      </c>
      <c r="I10" s="84">
        <f>SUM(I8:I9)</f>
        <v>238768</v>
      </c>
      <c r="J10" s="84">
        <f>SUM(J8:J9)</f>
        <v>42978</v>
      </c>
      <c r="K10" s="84">
        <f>SUM(K8:K9)</f>
        <v>281746</v>
      </c>
      <c r="L10" s="84">
        <f>SUM(L8:L9)</f>
        <v>5635</v>
      </c>
      <c r="M10" s="84">
        <f>SUM(M8:M9)</f>
        <v>238.768</v>
      </c>
      <c r="N10" s="84">
        <f>SUM(N8:N9)</f>
        <v>6339.2903999999999</v>
      </c>
      <c r="O10" s="85">
        <f>SUM(O8:O9)</f>
        <v>107.44560000000001</v>
      </c>
      <c r="P10" s="84">
        <f>SUM(P8:P9)</f>
        <v>6231.8447999999989</v>
      </c>
      <c r="Q10" s="84">
        <f>SUM(Q8:Q9)</f>
        <v>6471</v>
      </c>
      <c r="R10" s="86" t="inlineStr">
        <is>
          <t>–</t>
        </is>
      </c>
      <c r="S10" s="84">
        <f>SUM(S8:S9)</f>
        <v>0</v>
      </c>
      <c r="T10" s="84">
        <f>SUM(T8:T9)</f>
        <v>280911</v>
      </c>
      <c r="U10" s="84">
        <f>SUM(U8:U9)</f>
        <v>59692</v>
      </c>
      <c r="V10" s="87">
        <f>SUM(V8:V9)</f>
        <v>59692</v>
      </c>
      <c r="W10" s="84" t="inlineStr">
        <is>
          <t>–</t>
        </is>
      </c>
      <c r="X10" s="84">
        <f>SUM(X8:X9)</f>
        <v>221219</v>
      </c>
      <c r="Y10" s="84">
        <f>SUM(Y8:Y9)</f>
        <v>221218</v>
      </c>
      <c r="Z10" s="84" t="inlineStr">
        <is>
          <t>–</t>
        </is>
      </c>
      <c r="AA10" s="84">
        <f>SUM(AA8:AA9)</f>
        <v>0</v>
      </c>
      <c r="AB10" s="84">
        <f>SUM(AB8:AB9)</f>
        <v>0</v>
      </c>
      <c r="AC10" s="84" t="inlineStr">
        <is>
          <t>–</t>
        </is>
      </c>
      <c r="AD10" s="84">
        <f>SUM(AD8:AD9)</f>
        <v>280910</v>
      </c>
      <c r="AE10" s="84">
        <f>SUM(AE8:AE9)</f>
        <v>1</v>
      </c>
      <c r="AF10" s="84" t="inlineStr">
        <is>
          <t>–</t>
        </is>
      </c>
      <c r="AG10" s="88" t="inlineStr">
        <is>
          <t>–</t>
        </is>
      </c>
      <c r="AH10" s="84" t="inlineStr">
        <is>
          <t>–</t>
        </is>
      </c>
      <c r="AI10" s="89" t="str">
        <f>IF(AE10&lt;=5,"SETTLED","OUTSTANDING")</f>
        <v>SETTLED</v>
      </c>
      <c r="AJ10" t="b">
        <f>AND(IF($B$4="",TRUE(),IF($B$4="(blank)",'Final Calculation Sheet'!$F$8="",IF($B$4="(nonblank)",'Final Calculation Sheet'!$F$8&lt;&gt;"",ISNUMBER(SEARCH($B$4,'Final Calculation Sheet'!$F$8))))),IF($C$4="",TRUE(),IF($C$4="(blank)",'Final Calculation Sheet'!$G$8="",IF($C$4="(nonblank)",'Final Calculation Sheet'!$G$8&lt;&gt;"",ISNUMBER(SEARCH($C$4,'Final Calculation Sheet'!$G$8))))),IF($D$4="",TRUE(),IF($D$4="(blank)",'Final Calculation Sheet'!$B$8="",IF($D$4="(nonblank)",'Final Calculation Sheet'!$B$8&lt;&gt;"",ISNUMBER(SEARCH($D$4,'Final Calculation Sheet'!$B$8))))),IF($E$4="",TRUE(),IF($E$4="(blank)",'Final Calculation Sheet'!$D$8="",IF($E$4="(nonblank)",'Final Calculation Sheet'!$D$8&lt;&gt;"",ISNUMBER(SEARCH($E$4,'Final Calculation Sheet'!$D$8))))),IF($F$4="",TRUE(),IF($F$4="(blank)",'Final Calculation Sheet'!$A$8="",IF($F$4="(nonblank)",'Final Calculation Sheet'!$A$8&lt;&gt;"",ISNUMBER(SEARCH($F$4,'Final Calculation Sheet'!$A$8))))),IF($G$4="",TRUE(),IF($G$4="(blank)",'Final Calculation Sheet'!$E$8="",IF($G$4="(nonblank)",'Final Calculation Sheet'!$E$8&lt;&gt;"",ISNUMBER(SEARCH($G$4,'Final Calculation Sheet'!$E$8))))),IF($H$4="",TRUE(),IF($H$4="(blank)",'Final Calculation Sheet'!$C$8="",IF($H$4="(nonblank)",'Final Calculation Sheet'!$C$8&lt;&gt;"",ISNUMBER(SEARCH($H$4,'Final Calculation Sheet'!$C$8))))),IF($I$4="",TRUE(),IF($I$4="(blank)",'Final Calculation Sheet'!$H$8="",IF($I$4="(nonblank)",'Final Calculation Sheet'!$H$8&lt;&gt;"",ISNUMBER(SEARCH($I$4,'Final Calculation Sheet'!$H$8))))),IF($J$4="",TRUE(),IF($J$4="(blank)",'Final Calculation Sheet'!$I$8="",IF($J$4="(nonblank)",'Final Calculation Sheet'!$I$8&lt;&gt;"",ISNUMBER(SEARCH($J$4,'Final Calculation Sheet'!$I$8))))),IF($K$4="",TRUE(),IF($K$4="(blank)",'Final Calculation Sheet'!$J$8="",IF($K$4="(nonblank)",'Final Calculation Sheet'!$J$8&lt;&gt;"",ISNUMBER(SEARCH($K$4,'Final Calculation Sheet'!$J$8))))),IF($L$4="",TRUE(),IF($L$4="(blank)",'Final Calculation Sheet'!$K$8="",IF($L$4="(nonblank)",'Final Calculation Sheet'!$K$8&lt;&gt;"",ISNUMBER(SEARCH($L$4,'Final Calculation Sheet'!$K$8))))),IF($M$4="",TRUE(),IF($M$4="(blank)",'Final Calculation Sheet'!$L$8="",IF($M$4="(nonblank)",'Final Calculation Sheet'!$L$8&lt;&gt;"",ISNUMBER(SEARCH($M$4,'Final Calculation Sheet'!$L$8))))),IF($N$4="",TRUE(),IF($N$4="(blank)",'Final Calculation Sheet'!$M$8="",IF($N$4="(nonblank)",'Final Calculation Sheet'!$M$8&lt;&gt;"",ISNUMBER(SEARCH($N$4,'Final Calculation Sheet'!$M$8))))),IF($O$4="",TRUE(),IF($O$4="(blank)",'Final Calculation Sheet'!$N$8="",IF($O$4="(nonblank)",'Final Calculation Sheet'!$N$8&lt;&gt;"",ISNUMBER(SEARCH($O$4,'Final Calculation Sheet'!$N$8))))),IF($P$4="",TRUE(),IF($P$4="(blank)",'Final Calculation Sheet'!$O$8="",IF($P$4="(nonblank)",'Final Calculation Sheet'!$O$8&lt;&gt;"",ISNUMBER(SEARCH($P$4,'Final Calculation Sheet'!$O$8))))),IF($Q$4="",TRUE(),IF($Q$4="(blank)",'Final Calculation Sheet'!$P$8="",IF($Q$4="(nonblank)",'Final Calculation Sheet'!$P$8&lt;&gt;"",ISNUMBER(SEARCH($Q$4,'Final Calculation Sheet'!$P$8))))),IF($R$4="",TRUE(),IF($R$4="(blank)",'Final Calculation Sheet'!$Q$8="",IF($R$4="(nonblank)",'Final Calculation Sheet'!$Q$8&lt;&gt;"",ISNUMBER(SEARCH($R$4,'Final Calculation Sheet'!$Q$8))))),IF($S$4="",TRUE(),IF($S$4="(blank)",'Final Calculation Sheet'!$R$8="",IF($S$4="(nonblank)",'Final Calculation Sheet'!$R$8&lt;&gt;"",ISNUMBER(SEARCH($S$4,'Final Calculation Sheet'!$R$8))))),IF($T$4="",TRUE(),IF($T$4="(blank)",'Final Calculation Sheet'!$S$8="",IF($T$4="(nonblank)",'Final Calculation Sheet'!$S$8&lt;&gt;"",ISNUMBER(SEARCH($T$4,'Final Calculation Sheet'!$S$8))))),IF($U$4="",TRUE(),IF($U$4="(blank)",'Final Calculation Sheet'!$T$8="",IF($U$4="(nonblank)",'Final Calculation Sheet'!$T$8&lt;&gt;"",ISNUMBER(SEARCH($U$4,'Final Calculation Sheet'!$T$8))))),IF($V$4="",TRUE(),IF($V$4="(blank)",'Final Calculation Sheet'!$U$8="",IF($V$4="(nonblank)",'Final Calculation Sheet'!$U$8&lt;&gt;"",ISNUMBER(SEARCH($V$4,'Final Calculation Sheet'!$U$8))))),IF($W$4="",TRUE(),IF($W$4="(blank)",'Final Calculation Sheet'!$V$8="",IF($W$4="(nonblank)",'Final Calculation Sheet'!$V$8&lt;&gt;"",ISNUMBER(SEARCH($W$4,'Final Calculation Sheet'!$V$8))))),IF($X$4="",TRUE(),IF($X$4="(blank)",'Final Calculation Sheet'!$W$8="",IF($X$4="(nonblank)",'Final Calculation Sheet'!$W$8&lt;&gt;"",ISNUMBER(SEARCH($X$4,'Final Calculation Sheet'!$W$8))))),IF($Y$4="",TRUE(),IF($Y$4="(blank)",'Final Calculation Sheet'!$X$8="",IF($Y$4="(nonblank)",'Final Calculation Sheet'!$X$8&lt;&gt;"",ISNUMBER(SEARCH($Y$4,'Final Calculation Sheet'!$X$8))))),IF($Z$4="",TRUE(),IF($Z$4="(blank)",'Final Calculation Sheet'!$Y$8="",IF($Z$4="(nonblank)",'Final Calculation Sheet'!$Y$8&lt;&gt;"",ISNUMBER(SEARCH($Z$4,'Final Calculation Sheet'!$Y$8))))),IF($AA$4="",TRUE(),IF($AA$4="(blank)",'Final Calculation Sheet'!$Z$8="",IF($AA$4="(nonblank)",'Final Calculation Sheet'!$Z$8&lt;&gt;"",ISNUMBER(SEARCH($AA$4,'Final Calculation Sheet'!$Z$8))))),IF($AB$4="",TRUE(),IF($AB$4="(blank)",'Final Calculation Sheet'!$AA$8="",IF($AB$4="(nonblank)",'Final Calculation Sheet'!$AA$8&lt;&gt;"",ISNUMBER(SEARCH($AB$4,'Final Calculation Sheet'!$AA$8))))),IF($AC$4="",TRUE(),IF($AC$4="(blank)",'Final Calculation Sheet'!$AB$8="",IF($AC$4="(nonblank)",'Final Calculation Sheet'!$AB$8&lt;&gt;"",ISNUMBER(SEARCH($AC$4,'Final Calculation Sheet'!$AB$8))))),IF($AD$4="",TRUE(),IF($AD$4="(blank)",'Final Calculation Sheet'!$AC$8="",IF($AD$4="(nonblank)",'Final Calculation Sheet'!$AC$8&lt;&gt;"",ISNUMBER(SEARCH($AD$4,'Final Calculation Sheet'!$AC$8))))),IF($AE$4="",TRUE(),IF($AE$4="(blank)",'Final Calculation Sheet'!$AD$8="",IF($AE$4="(nonblank)",'Final Calculation Sheet'!$AD$8&lt;&gt;"",ISNUMBER(SEARCH($AE$4,'Final Calculation Sheet'!$AD$8))))),IF($AF$4="",TRUE(),IF($AF$4="(blank)",'Final Calculation Sheet'!$AE$8="",IF($AF$4="(nonblank)",'Final Calculation Sheet'!$AE$8&lt;&gt;"",ISNUMBER(SEARCH($AF$4,'Final Calculation Sheet'!$AE$8))))),IF($AG$4="",TRUE(),IF($AG$4="(blank)",'Final Calculation Sheet'!$AF$8="",IF($AG$4="(nonblank)",'Final Calculation Sheet'!$AF$8&lt;&gt;"",ISNUMBER(SEARCH($AG$4,'Final Calculation Sheet'!$AF$8))))),IF($AH$4="",TRUE(),IF($AH$4="(blank)",'Final Calculation Sheet'!$AG$8="",IF($AH$4="(nonblank)",'Final Calculation Sheet'!$AG$8&lt;&gt;"",ISNUMBER(SEARCH($AH$4,'Final Calculation Sheet'!$AG$8))))),IF($AI$4="",TRUE(),IF($AI$4="(blank)",IF('Final Calculation Sheet'!$AD$8&lt;=5,"SETTLED","OUTSTANDING")="",IF($AI$4="(nonblank)",IF('Final Calculation Sheet'!$AD$8&lt;=5,"SETTLED","OUTSTANDING")&lt;&gt;"",ISNUMBER(SEARCH($AI$4,IF('Final Calculation Sheet'!$AD$8&lt;=5,"SETTLED","OUTSTANDING")))))))</f>
        <v>1</v>
      </c>
      <c r="AK10" t="str">
        <f>IF(AJ10=1,COUNTIF(AJ$6:AJ10,1),"")</f>
        <v/>
      </c>
      <c r="AM10">
        <f>AM9+IF(AND(Lists!$O$10&lt;&gt;"",ISNUMBER(SEARCH($B$4,Lists!$O$10))),1,0)</f>
        <v>7</v>
      </c>
      <c r="AN10">
        <f>IF(ROW()-3&gt;MAX($AM$4:$AM$42),"",INDEX(Lists!$O$4:$O$42,MATCH(ROW()-3,$AM$4:$AM$42,0)))</f>
        <v>2002</v>
      </c>
      <c r="AO10">
        <f>AO9+IF(AND(Lists!$T$10&lt;&gt;"",ISNUMBER(SEARCH($C$4,Lists!$T$10))),1,0)</f>
        <v>7</v>
      </c>
      <c r="AP10" t="str">
        <f>IF(ROW()-3&gt;MAX($AO$4:$AO$42),"",INDEX(Lists!$T$4:$T$42,MATCH(ROW()-3,$AO$4:$AO$42,0)))</f>
        <v>NATIONAL SCRAP AND BUILDING MATERIAL SUPPLIER</v>
      </c>
      <c r="AQ10">
        <f>AQ9+IF(AND(Lists!$Y$10&lt;&gt;"",ISNUMBER(SEARCH($D$4,Lists!$Y$10))),1,0)</f>
        <v>7</v>
      </c>
      <c r="AR10" t="str">
        <f>IF(ROW()-3&gt;MAX($AQ$4:$AQ$42),"",INDEX(Lists!$Y$4:$Y$42,MATCH(ROW()-3,$AQ$4:$AQ$42,0)))</f>
        <v>Scrap of 132 KV Wave Trap</v>
      </c>
      <c r="AS10">
        <f>AS9+IF(AND(Lists!$AD$10&lt;&gt;"",ISNUMBER(SEARCH($E$4,Lists!$AD$10))),1,0)</f>
        <v>4</v>
      </c>
      <c r="AT10" t="str">
        <f>IF(ROW()-3&gt;MAX($AS$4:$AS$42),"",INDEX(Lists!$AD$4:$AD$42,MATCH(ROW()-3,$AS$4:$AS$42,0)))</f>
        <v/>
      </c>
      <c r="AU10">
        <f>AU9+IF(AND(Lists!$AI$10&lt;&gt;"",ISNUMBER(SEARCH($F$4,Lists!$AI$10))),1,0)</f>
        <v>7</v>
      </c>
      <c r="AV10">
        <f>IF(ROW()-3&gt;MAX($AU$4:$AU$42),"",INDEX(Lists!$AI$4:$AI$42,MATCH(ROW()-3,$AU$4:$AU$42,0)))</f>
        <v>22</v>
      </c>
      <c r="AW10">
        <f>AW9+IF(AND(Lists!$AN$10&lt;&gt;"",ISNUMBER(SEARCH($G$4,Lists!$AN$10))),1,0)</f>
        <v>3</v>
      </c>
      <c r="AX10" t="str">
        <f>IF(ROW()-3&gt;MAX($AW$4:$AW$42),"",INDEX(Lists!$AN$4:$AN$42,MATCH(ROW()-3,$AW$4:$AW$42,0)))</f>
        <v/>
      </c>
      <c r="AY10">
        <f>AY9+IF(AND(Lists!$AS$10&lt;&gt;"",ISNUMBER(SEARCH($H$4,Lists!$AS$10))),1,0)</f>
        <v>7</v>
      </c>
      <c r="AZ10">
        <f>IF(ROW()-3&gt;MAX($AY$4:$AY$42),"",INDEX(Lists!$AS$4:$AS$42,MATCH(ROW()-3,$AY$4:$AY$42,0)))</f>
        <v>543</v>
      </c>
      <c r="BA10">
        <f>BA9+IF(AND(Lists!$AX$10&lt;&gt;"",ISNUMBER(SEARCH($I$4,Lists!$AX$10))),1,0)</f>
        <v>7</v>
      </c>
      <c r="BB10">
        <f>IF(ROW()-3&gt;MAX($BA$4:$BA$42),"",INDEX(Lists!$AX$4:$AX$42,MATCH(ROW()-3,$BA$4:$BA$42,0)))</f>
        <v>30012</v>
      </c>
      <c r="BC10">
        <f>BC9+IF(AND(Lists!$BC$10&lt;&gt;"",ISNUMBER(SEARCH($J$4,Lists!$BC$10))),1,0)</f>
        <v>7</v>
      </c>
      <c r="BD10">
        <f>IF(ROW()-3&gt;MAX($BC$4:$BC$42),"",INDEX(Lists!$BC$4:$BC$42,MATCH(ROW()-3,$BC$4:$BC$42,0)))</f>
        <v>5402</v>
      </c>
      <c r="BE10">
        <f>BE9+IF(AND(Lists!$BH$10&lt;&gt;"",ISNUMBER(SEARCH($K$4,Lists!$BH$10))),1,0)</f>
        <v>7</v>
      </c>
      <c r="BF10">
        <f>IF(ROW()-3&gt;MAX($BE$4:$BE$42),"",INDEX(Lists!$BH$4:$BH$42,MATCH(ROW()-3,$BE$4:$BE$42,0)))</f>
        <v>35414</v>
      </c>
      <c r="BG10">
        <f>BG9+IF(AND(Lists!$BM$10&lt;&gt;"",ISNUMBER(SEARCH($L$4,Lists!$BM$10))),1,0)</f>
        <v>7</v>
      </c>
      <c r="BH10">
        <f>IF(ROW()-3&gt;MAX($BG$4:$BG$42),"",INDEX(Lists!$BM$4:$BM$42,MATCH(ROW()-3,$BG$4:$BG$42,0)))</f>
        <v>708</v>
      </c>
      <c r="BI10">
        <f>BI9+IF(AND(Lists!$BR$10&lt;&gt;"",ISNUMBER(SEARCH($M$4,Lists!$BR$10))),1,0)</f>
        <v>7</v>
      </c>
      <c r="BJ10">
        <f>IF(ROW()-3&gt;MAX($BI$4:$BI$42),"",INDEX(Lists!$BR$4:$BR$42,MATCH(ROW()-3,$BI$4:$BI$42,0)))</f>
        <v>30.012</v>
      </c>
      <c r="BK10">
        <f>BK9+IF(AND(Lists!$BW$10&lt;&gt;"",ISNUMBER(SEARCH($N$4,Lists!$BW$10))),1,0)</f>
        <v>7</v>
      </c>
      <c r="BL10">
        <f>IF(ROW()-3&gt;MAX($BK$4:$BK$42),"",INDEX(Lists!$BW$4:$BW$42,MATCH(ROW()-3,$BK$4:$BK$42,0)))</f>
        <v>796.81859999999995</v>
      </c>
      <c r="BM10">
        <f>BM9+IF(AND(Lists!$CB$10&lt;&gt;"",ISNUMBER(SEARCH($O$4,Lists!$CB$10))),1,0)</f>
        <v>7</v>
      </c>
      <c r="BN10">
        <f>IF(ROW()-3&gt;MAX($BM$4:$BM$42),"",INDEX(Lists!$CB$4:$CB$42,MATCH(ROW()-3,$BM$4:$BM$42,0)))</f>
        <v>13.5054</v>
      </c>
      <c r="BO10">
        <f>BO9+IF(AND(Lists!$CG$10&lt;&gt;"",ISNUMBER(SEARCH($P$4,Lists!$CG$10))),1,0)</f>
        <v>7</v>
      </c>
      <c r="BP10">
        <f>IF(ROW()-3&gt;MAX($BO$4:$BO$42),"",INDEX(Lists!$CG$4:$CG$42,MATCH(ROW()-3,$BO$4:$BO$42,0)))</f>
        <v>783.31319999999994</v>
      </c>
      <c r="BQ10">
        <f>BQ9+IF(AND(Lists!$CL$10&lt;&gt;"",ISNUMBER(SEARCH($Q$4,Lists!$CL$10))),1,0)</f>
        <v>7</v>
      </c>
      <c r="BR10">
        <f>IF(ROW()-3&gt;MAX($BQ$4:$BQ$42),"",INDEX(Lists!$CL$4:$CL$42,MATCH(ROW()-3,$BQ$4:$BQ$42,0)))</f>
        <v>813</v>
      </c>
      <c r="BS10">
        <f>BS9+IF(AND(Lists!$CQ$10&lt;&gt;"",ISNUMBER(SEARCH($R$4,Lists!$CQ$10))),1,0)</f>
        <v>2</v>
      </c>
      <c r="BT10" t="str">
        <f>IF(ROW()-3&gt;MAX($BS$4:$BS$42),"",INDEX(Lists!$CQ$4:$CQ$42,MATCH(ROW()-3,$BS$4:$BS$42,0)))</f>
        <v/>
      </c>
      <c r="BU10">
        <f>BU9+IF(AND(Lists!$CV$10&lt;&gt;"",ISNUMBER(SEARCH($S$4,Lists!$CV$10))),1,0)</f>
        <v>5</v>
      </c>
      <c r="BV10" t="str">
        <f>IF(ROW()-3&gt;MAX($BU$4:$BU$42),"",INDEX(Lists!$CV$4:$CV$42,MATCH(ROW()-3,$BU$4:$BU$42,0)))</f>
        <v>(nonblank)</v>
      </c>
      <c r="BW10">
        <f>BW9+IF(AND(Lists!$DA$10&lt;&gt;"",ISNUMBER(SEARCH($T$4,Lists!$DA$10))),1,0)</f>
        <v>7</v>
      </c>
      <c r="BX10">
        <f>IF(ROW()-3&gt;MAX($BW$4:$BW$42),"",INDEX(Lists!$DA$4:$DA$42,MATCH(ROW()-3,$BW$4:$BW$42,0)))</f>
        <v>35309</v>
      </c>
      <c r="BY10">
        <f>BY9+IF(AND(Lists!$DF$10&lt;&gt;"",ISNUMBER(SEARCH($U$4,Lists!$DF$10))),1,0)</f>
        <v>7</v>
      </c>
      <c r="BZ10">
        <f>IF(ROW()-3&gt;MAX($BY$4:$BY$42),"",INDEX(Lists!$DF$4:$DF$42,MATCH(ROW()-3,$BY$4:$BY$42,0)))</f>
        <v>7503</v>
      </c>
      <c r="CA10">
        <f>CA9+IF(AND(Lists!$DK$10&lt;&gt;"",ISNUMBER(SEARCH($V$4,Lists!$DK$10))),1,0)</f>
        <v>7</v>
      </c>
      <c r="CB10">
        <f>IF(ROW()-3&gt;MAX($CA$4:$CA$42),"",INDEX(Lists!$DK$4:$DK$42,MATCH(ROW()-3,$CA$4:$CA$42,0)))</f>
        <v>7503</v>
      </c>
      <c r="CC10">
        <f>CC9+IF(AND(Lists!$DP$10&lt;&gt;"",ISNUMBER(SEARCH($W$4,Lists!$DP$10))),1,0)</f>
        <v>6</v>
      </c>
      <c r="CD10" t="str">
        <f>IF(ROW()-3&gt;MAX($CC$4:$CC$42),"",INDEX(Lists!$DP$4:$DP$42,MATCH(ROW()-3,$CC$4:$CC$42,0)))</f>
        <v>(blank)</v>
      </c>
      <c r="CE10">
        <f>CE9+IF(AND(Lists!$DU$10&lt;&gt;"",ISNUMBER(SEARCH($X$4,Lists!$DU$10))),1,0)</f>
        <v>7</v>
      </c>
      <c r="CF10">
        <f>IF(ROW()-3&gt;MAX($CE$4:$CE$42),"",INDEX(Lists!$DU$4:$DU$42,MATCH(ROW()-3,$CE$4:$CE$42,0)))</f>
        <v>27806</v>
      </c>
      <c r="CG10" t="e">
        <f>CG9+IF(AND(Lists!$DZ$10&lt;&gt;"",ISNUMBER(SEARCH($Y$4,Lists!$DZ$10))),1,0)</f>
        <v>#N/A</v>
      </c>
      <c r="CH10" t="e">
        <f>IF(ROW()-3&gt;MAX($CG$4:$CG$42),"",INDEX(Lists!$DZ$4:$DZ$42,MATCH(ROW()-3,$CG$4:$CG$42,0)))</f>
        <v>#N/A</v>
      </c>
      <c r="CI10" t="e">
        <f>CI9+IF(AND(Lists!$EE$10&lt;&gt;"",ISNUMBER(SEARCH($Z$4,Lists!$EE$10))),1,0)</f>
        <v>#N/A</v>
      </c>
      <c r="CJ10" t="e">
        <f>IF(ROW()-3&gt;MAX($CI$4:$CI$42),"",INDEX(Lists!$EE$4:$EE$42,MATCH(ROW()-3,$CI$4:$CI$42,0)))</f>
        <v>#N/A</v>
      </c>
      <c r="CK10">
        <f>CK9+IF(AND(Lists!$EJ$10&lt;&gt;"",ISNUMBER(SEARCH($AA$4,Lists!$EJ$10))),1,0)</f>
        <v>6</v>
      </c>
      <c r="CL10" t="str">
        <f>IF(ROW()-3&gt;MAX($CK$4:$CK$42),"",INDEX(Lists!$EJ$4:$EJ$42,MATCH(ROW()-3,$CK$4:$CK$42,0)))</f>
        <v>(blank)</v>
      </c>
      <c r="CM10" t="e">
        <f>CM9+IF(AND(Lists!$EO$10&lt;&gt;"",ISNUMBER(SEARCH($AB$4,Lists!$EO$10))),1,0)</f>
        <v>#N/A</v>
      </c>
      <c r="CN10" t="e">
        <f>IF(ROW()-3&gt;MAX($CM$4:$CM$42),"",INDEX(Lists!$EO$4:$EO$42,MATCH(ROW()-3,$CM$4:$CM$42,0)))</f>
        <v>#N/A</v>
      </c>
      <c r="CO10" t="e">
        <f>CO9+IF(AND(Lists!$ET$10&lt;&gt;"",ISNUMBER(SEARCH($AC$4,Lists!$ET$10))),1,0)</f>
        <v>#N/A</v>
      </c>
      <c r="CP10" t="e">
        <f>IF(ROW()-3&gt;MAX($CO$4:$CO$42),"",INDEX(Lists!$ET$4:$ET$42,MATCH(ROW()-3,$CO$4:$CO$42,0)))</f>
        <v>#N/A</v>
      </c>
      <c r="CQ10">
        <f>CQ9+IF(AND(Lists!$EY$10&lt;&gt;"",ISNUMBER(SEARCH($AD$4,Lists!$EY$10))),1,0)</f>
        <v>7</v>
      </c>
      <c r="CR10">
        <f>IF(ROW()-3&gt;MAX($CQ$4:$CQ$42),"",INDEX(Lists!$EY$4:$EY$42,MATCH(ROW()-3,$CQ$4:$CQ$42,0)))</f>
        <v>34708</v>
      </c>
      <c r="CS10" t="e">
        <f>CS9+IF(AND(Lists!$FD$10&lt;&gt;"",ISNUMBER(SEARCH($AE$4,Lists!$FD$10))),1,0)</f>
        <v>#N/A</v>
      </c>
      <c r="CT10" t="e">
        <f>IF(ROW()-3&gt;MAX($CS$4:$CS$42),"",INDEX(Lists!$FD$4:$FD$42,MATCH(ROW()-3,$CS$4:$CS$42,0)))</f>
        <v>#N/A</v>
      </c>
      <c r="CU10" t="e">
        <f>CU9+IF(AND(Lists!$FI$10&lt;&gt;"",ISNUMBER(SEARCH($AF$4,Lists!$FI$10))),1,0)</f>
        <v>#N/A</v>
      </c>
      <c r="CV10" t="e">
        <f>IF(ROW()-3&gt;MAX($CU$4:$CU$42),"",INDEX(Lists!$FI$4:$FI$42,MATCH(ROW()-3,$CU$4:$CU$42,0)))</f>
        <v>#N/A</v>
      </c>
      <c r="CW10" t="e">
        <f>CW9+IF(AND(Lists!$FN$10&lt;&gt;"",ISNUMBER(SEARCH($AG$4,Lists!$FN$10))),1,0)</f>
        <v>#N/A</v>
      </c>
      <c r="CX10" t="e">
        <f>IF(ROW()-3&gt;MAX($CW$4:$CW$42),"",INDEX(Lists!$FN$4:$FN$42,MATCH(ROW()-3,$CW$4:$CW$42,0)))</f>
        <v>#N/A</v>
      </c>
      <c r="CY10" t="e">
        <f>CY9+IF(AND(Lists!$FS$10&lt;&gt;"",ISNUMBER(SEARCH($AH$4,Lists!$FS$10))),1,0)</f>
        <v>#N/A</v>
      </c>
      <c r="CZ10" t="e">
        <f>IF(ROW()-3&gt;MAX($CY$4:$CY$42),"",INDEX(Lists!$FS$4:$FS$42,MATCH(ROW()-3,$CY$4:$CY$42,0)))</f>
        <v>#N/A</v>
      </c>
      <c r="DA10">
        <f>DA9+IF(AND(Lists!$FX$10&lt;&gt;"",ISNUMBER(SEARCH($AI$4,Lists!$FX$10))),1,0)</f>
        <v>2</v>
      </c>
      <c r="DB10" t="str">
        <f>IF(ROW()-3&gt;MAX($DA$4:$DA$42),"",INDEX(Lists!$FX$4:$FX$42,MATCH(ROW()-3,$DA$4:$DA$42,0)))</f>
        <v/>
      </c>
    </row>
    <row r="11" outlineLevel="1" ht="15" customHeight="1" s="137">
      <c r="A11" s="67" t="n">
        <v>1</v>
      </c>
      <c r="B11" s="76">
        <f>IF('Final Calculation Sheet'!$F$15="","",'Final Calculation Sheet'!$F$15)</f>
        <v>2008</v>
      </c>
      <c r="C11" s="76" t="str">
        <f>IF('Final Calculation Sheet'!$G$15="","",'Final Calculation Sheet'!$G$15)</f>
        <v>HIND TRADERS</v>
      </c>
      <c r="D11" s="80" t="str">
        <f>IF('Final Calculation Sheet'!$B$15="","",'Final Calculation Sheet'!$B$15)</f>
        <v>Scrap of empty oil Druam</v>
      </c>
      <c r="E11" s="80">
        <f>IF('Final Calculation Sheet'!$D$15="","",'Final Calculation Sheet'!$D$15)</f>
        <v>21977</v>
      </c>
      <c r="F11" s="80">
        <f>IF('Final Calculation Sheet'!$A$15="","",'Final Calculation Sheet'!$A$15)</f>
        <v>250</v>
      </c>
      <c r="G11" s="80" t="str">
        <f>IF('Final Calculation Sheet'!$E$15="","",'Final Calculation Sheet'!$E$15)</f>
        <v>NO</v>
      </c>
      <c r="H11" s="70">
        <f>IF('Final Calculation Sheet'!$C$15="","",'Final Calculation Sheet'!$C$15)</f>
        <v>543</v>
      </c>
      <c r="I11" s="70">
        <f>IF('Final Calculation Sheet'!$H$15="","",'Final Calculation Sheet'!$H$15)</f>
        <v>135750</v>
      </c>
      <c r="J11" s="70">
        <f>IF('Final Calculation Sheet'!$I$15="","",'Final Calculation Sheet'!$I$15)</f>
        <v>24435</v>
      </c>
      <c r="K11" s="70">
        <f>IF('Final Calculation Sheet'!$J$15="","",'Final Calculation Sheet'!$J$15)</f>
        <v>160185</v>
      </c>
      <c r="L11" s="70">
        <f>IF('Final Calculation Sheet'!$K$15="","",'Final Calculation Sheet'!$K$15)</f>
        <v>3204</v>
      </c>
      <c r="M11" s="70">
        <f>IF('Final Calculation Sheet'!$L$15="","",'Final Calculation Sheet'!$L$15)</f>
        <v>135.75</v>
      </c>
      <c r="N11" s="70">
        <f>IF('Final Calculation Sheet'!$M$15="","",'Final Calculation Sheet'!$M$15)</f>
        <v>3604.1624999999999</v>
      </c>
      <c r="O11" s="71">
        <f>IF('Final Calculation Sheet'!$N$15="","",'Final Calculation Sheet'!$N$15)</f>
        <v>61.087499999999999</v>
      </c>
      <c r="P11" s="70">
        <f>IF('Final Calculation Sheet'!$O$15="","",'Final Calculation Sheet'!$O$15)</f>
        <v>3543.0749999999998</v>
      </c>
      <c r="Q11" s="70">
        <f>IF('Final Calculation Sheet'!$P$15="","",'Final Calculation Sheet'!$P$15)</f>
        <v>3679</v>
      </c>
      <c r="R11" s="72">
        <f>IF('Final Calculation Sheet'!$Q$15="","",'Final Calculation Sheet'!$Q$15)</f>
        <v>0</v>
      </c>
      <c r="S11" s="70">
        <f>IF('Final Calculation Sheet'!$R$15="","",'Final Calculation Sheet'!$R$15)</f>
        <v>0</v>
      </c>
      <c r="T11" s="70">
        <f>IF('Final Calculation Sheet'!$S$15="","",'Final Calculation Sheet'!$S$15)</f>
        <v>159710</v>
      </c>
      <c r="U11" s="70">
        <f>IF('Final Calculation Sheet'!$T$15="","",'Final Calculation Sheet'!$T$15)</f>
        <v>33938</v>
      </c>
      <c r="V11" s="73">
        <f>IF('Final Calculation Sheet'!$U$15="","",'Final Calculation Sheet'!$U$15)</f>
        <v>33938</v>
      </c>
      <c r="W11" s="70" t="str">
        <f>IF('Final Calculation Sheet'!$V$15="","",'Final Calculation Sheet'!$V$15)</f>
        <v>14.08.2026</v>
      </c>
      <c r="X11" s="70">
        <f>IF('Final Calculation Sheet'!$W$15="","",'Final Calculation Sheet'!$W$15)</f>
        <v>125772</v>
      </c>
      <c r="Y11" s="70">
        <f>IF('Final Calculation Sheet'!$X$15="","",'Final Calculation Sheet'!$X$15)</f>
        <v>125772</v>
      </c>
      <c r="Z11" s="70" t="str">
        <f>IF('Final Calculation Sheet'!$Y$15="","",'Final Calculation Sheet'!$Y$15)</f>
        <v>18.08.2026</v>
      </c>
      <c r="AA11" s="70">
        <f>IF('Final Calculation Sheet'!$Z$15="","",'Final Calculation Sheet'!$Z$15)</f>
        <v>0</v>
      </c>
      <c r="AB11" s="70" t="str">
        <f>IF('Final Calculation Sheet'!$AA$15="","",'Final Calculation Sheet'!$AA$15)</f>
        <v/>
      </c>
      <c r="AC11" s="70" t="str">
        <f>IF('Final Calculation Sheet'!$AB$15="","",'Final Calculation Sheet'!$AB$15)</f>
        <v/>
      </c>
      <c r="AD11" s="70">
        <f>IF('Final Calculation Sheet'!$AC$15="","",'Final Calculation Sheet'!$AC$15)</f>
        <v>159710</v>
      </c>
      <c r="AE11" s="70">
        <f>IF('Final Calculation Sheet'!$AD$15="","",'Final Calculation Sheet'!$AD$15)</f>
        <v>0</v>
      </c>
      <c r="AF11" s="70" t="str">
        <f>IF('Final Calculation Sheet'!$AE$15="","",'Final Calculation Sheet'!$AE$15)</f>
        <v>DR2640100026</v>
      </c>
      <c r="AG11" s="74">
        <f>IF('Final Calculation Sheet'!$AF$15="","",'Final Calculation Sheet'!$AF$15)</f>
        <v>1800003247</v>
      </c>
      <c r="AH11" s="70" t="str">
        <f>IF('Final Calculation Sheet'!$AG$15="","",'Final Calculation Sheet'!$AG$15)</f>
        <v>20.08.2026</v>
      </c>
      <c r="AI11" s="75" t="str">
        <f>IF('Final Calculation Sheet'!$AD$15="","",IF('Final Calculation Sheet'!$AD$15&lt;=5,"SETTLED","OUTSTANDING"))</f>
        <v>SETTLED</v>
      </c>
      <c r="AJ11" t="b">
        <f>AND(IF($B$4="",TRUE(),IF($B$4="(blank)",'Final Calculation Sheet'!$F$9="",IF($B$4="(nonblank)",'Final Calculation Sheet'!$F$9&lt;&gt;"",ISNUMBER(SEARCH($B$4,'Final Calculation Sheet'!$F$9))))),IF($C$4="",TRUE(),IF($C$4="(blank)",'Final Calculation Sheet'!$G$9="",IF($C$4="(nonblank)",'Final Calculation Sheet'!$G$9&lt;&gt;"",ISNUMBER(SEARCH($C$4,'Final Calculation Sheet'!$G$9))))),IF($D$4="",TRUE(),IF($D$4="(blank)",'Final Calculation Sheet'!$B$9="",IF($D$4="(nonblank)",'Final Calculation Sheet'!$B$9&lt;&gt;"",ISNUMBER(SEARCH($D$4,'Final Calculation Sheet'!$B$9))))),IF($E$4="",TRUE(),IF($E$4="(blank)",'Final Calculation Sheet'!$D$9="",IF($E$4="(nonblank)",'Final Calculation Sheet'!$D$9&lt;&gt;"",ISNUMBER(SEARCH($E$4,'Final Calculation Sheet'!$D$9))))),IF($F$4="",TRUE(),IF($F$4="(blank)",'Final Calculation Sheet'!$A$9="",IF($F$4="(nonblank)",'Final Calculation Sheet'!$A$9&lt;&gt;"",ISNUMBER(SEARCH($F$4,'Final Calculation Sheet'!$A$9))))),IF($G$4="",TRUE(),IF($G$4="(blank)",'Final Calculation Sheet'!$E$9="",IF($G$4="(nonblank)",'Final Calculation Sheet'!$E$9&lt;&gt;"",ISNUMBER(SEARCH($G$4,'Final Calculation Sheet'!$E$9))))),IF($H$4="",TRUE(),IF($H$4="(blank)",'Final Calculation Sheet'!$C$9="",IF($H$4="(nonblank)",'Final Calculation Sheet'!$C$9&lt;&gt;"",ISNUMBER(SEARCH($H$4,'Final Calculation Sheet'!$C$9))))),IF($I$4="",TRUE(),IF($I$4="(blank)",'Final Calculation Sheet'!$H$9="",IF($I$4="(nonblank)",'Final Calculation Sheet'!$H$9&lt;&gt;"",ISNUMBER(SEARCH($I$4,'Final Calculation Sheet'!$H$9))))),IF($J$4="",TRUE(),IF($J$4="(blank)",'Final Calculation Sheet'!$I$9="",IF($J$4="(nonblank)",'Final Calculation Sheet'!$I$9&lt;&gt;"",ISNUMBER(SEARCH($J$4,'Final Calculation Sheet'!$I$9))))),IF($K$4="",TRUE(),IF($K$4="(blank)",'Final Calculation Sheet'!$J$9="",IF($K$4="(nonblank)",'Final Calculation Sheet'!$J$9&lt;&gt;"",ISNUMBER(SEARCH($K$4,'Final Calculation Sheet'!$J$9))))),IF($L$4="",TRUE(),IF($L$4="(blank)",'Final Calculation Sheet'!$K$9="",IF($L$4="(nonblank)",'Final Calculation Sheet'!$K$9&lt;&gt;"",ISNUMBER(SEARCH($L$4,'Final Calculation Sheet'!$K$9))))),IF($M$4="",TRUE(),IF($M$4="(blank)",'Final Calculation Sheet'!$L$9="",IF($M$4="(nonblank)",'Final Calculation Sheet'!$L$9&lt;&gt;"",ISNUMBER(SEARCH($M$4,'Final Calculation Sheet'!$L$9))))),IF($N$4="",TRUE(),IF($N$4="(blank)",'Final Calculation Sheet'!$M$9="",IF($N$4="(nonblank)",'Final Calculation Sheet'!$M$9&lt;&gt;"",ISNUMBER(SEARCH($N$4,'Final Calculation Sheet'!$M$9))))),IF($O$4="",TRUE(),IF($O$4="(blank)",'Final Calculation Sheet'!$N$9="",IF($O$4="(nonblank)",'Final Calculation Sheet'!$N$9&lt;&gt;"",ISNUMBER(SEARCH($O$4,'Final Calculation Sheet'!$N$9))))),IF($P$4="",TRUE(),IF($P$4="(blank)",'Final Calculation Sheet'!$O$9="",IF($P$4="(nonblank)",'Final Calculation Sheet'!$O$9&lt;&gt;"",ISNUMBER(SEARCH($P$4,'Final Calculation Sheet'!$O$9))))),IF($Q$4="",TRUE(),IF($Q$4="(blank)",'Final Calculation Sheet'!$P$9="",IF($Q$4="(nonblank)",'Final Calculation Sheet'!$P$9&lt;&gt;"",ISNUMBER(SEARCH($Q$4,'Final Calculation Sheet'!$P$9))))),IF($R$4="",TRUE(),IF($R$4="(blank)",'Final Calculation Sheet'!$Q$9="",IF($R$4="(nonblank)",'Final Calculation Sheet'!$Q$9&lt;&gt;"",ISNUMBER(SEARCH($R$4,'Final Calculation Sheet'!$Q$9))))),IF($S$4="",TRUE(),IF($S$4="(blank)",'Final Calculation Sheet'!$R$9="",IF($S$4="(nonblank)",'Final Calculation Sheet'!$R$9&lt;&gt;"",ISNUMBER(SEARCH($S$4,'Final Calculation Sheet'!$R$9))))),IF($T$4="",TRUE(),IF($T$4="(blank)",'Final Calculation Sheet'!$S$9="",IF($T$4="(nonblank)",'Final Calculation Sheet'!$S$9&lt;&gt;"",ISNUMBER(SEARCH($T$4,'Final Calculation Sheet'!$S$9))))),IF($U$4="",TRUE(),IF($U$4="(blank)",'Final Calculation Sheet'!$T$9="",IF($U$4="(nonblank)",'Final Calculation Sheet'!$T$9&lt;&gt;"",ISNUMBER(SEARCH($U$4,'Final Calculation Sheet'!$T$9))))),IF($V$4="",TRUE(),IF($V$4="(blank)",'Final Calculation Sheet'!$U$9="",IF($V$4="(nonblank)",'Final Calculation Sheet'!$U$9&lt;&gt;"",ISNUMBER(SEARCH($V$4,'Final Calculation Sheet'!$U$9))))),IF($W$4="",TRUE(),IF($W$4="(blank)",'Final Calculation Sheet'!$V$9="",IF($W$4="(nonblank)",'Final Calculation Sheet'!$V$9&lt;&gt;"",ISNUMBER(SEARCH($W$4,'Final Calculation Sheet'!$V$9))))),IF($X$4="",TRUE(),IF($X$4="(blank)",'Final Calculation Sheet'!$W$9="",IF($X$4="(nonblank)",'Final Calculation Sheet'!$W$9&lt;&gt;"",ISNUMBER(SEARCH($X$4,'Final Calculation Sheet'!$W$9))))),IF($Y$4="",TRUE(),IF($Y$4="(blank)",'Final Calculation Sheet'!$X$9="",IF($Y$4="(nonblank)",'Final Calculation Sheet'!$X$9&lt;&gt;"",ISNUMBER(SEARCH($Y$4,'Final Calculation Sheet'!$X$9))))),IF($Z$4="",TRUE(),IF($Z$4="(blank)",'Final Calculation Sheet'!$Y$9="",IF($Z$4="(nonblank)",'Final Calculation Sheet'!$Y$9&lt;&gt;"",ISNUMBER(SEARCH($Z$4,'Final Calculation Sheet'!$Y$9))))),IF($AA$4="",TRUE(),IF($AA$4="(blank)",'Final Calculation Sheet'!$Z$9="",IF($AA$4="(nonblank)",'Final Calculation Sheet'!$Z$9&lt;&gt;"",ISNUMBER(SEARCH($AA$4,'Final Calculation Sheet'!$Z$9))))),IF($AB$4="",TRUE(),IF($AB$4="(blank)",'Final Calculation Sheet'!$AA$9="",IF($AB$4="(nonblank)",'Final Calculation Sheet'!$AA$9&lt;&gt;"",ISNUMBER(SEARCH($AB$4,'Final Calculation Sheet'!$AA$9))))),IF($AC$4="",TRUE(),IF($AC$4="(blank)",'Final Calculation Sheet'!$AB$9="",IF($AC$4="(nonblank)",'Final Calculation Sheet'!$AB$9&lt;&gt;"",ISNUMBER(SEARCH($AC$4,'Final Calculation Sheet'!$AB$9))))),IF($AD$4="",TRUE(),IF($AD$4="(blank)",'Final Calculation Sheet'!$AC$9="",IF($AD$4="(nonblank)",'Final Calculation Sheet'!$AC$9&lt;&gt;"",ISNUMBER(SEARCH($AD$4,'Final Calculation Sheet'!$AC$9))))),IF($AE$4="",TRUE(),IF($AE$4="(blank)",'Final Calculation Sheet'!$AD$9="",IF($AE$4="(nonblank)",'Final Calculation Sheet'!$AD$9&lt;&gt;"",ISNUMBER(SEARCH($AE$4,'Final Calculation Sheet'!$AD$9))))),IF($AF$4="",TRUE(),IF($AF$4="(blank)",'Final Calculation Sheet'!$AE$9="",IF($AF$4="(nonblank)",'Final Calculation Sheet'!$AE$9&lt;&gt;"",ISNUMBER(SEARCH($AF$4,'Final Calculation Sheet'!$AE$9))))),IF($AG$4="",TRUE(),IF($AG$4="(blank)",'Final Calculation Sheet'!$AF$9="",IF($AG$4="(nonblank)",'Final Calculation Sheet'!$AF$9&lt;&gt;"",ISNUMBER(SEARCH($AG$4,'Final Calculation Sheet'!$AF$9))))),IF($AH$4="",TRUE(),IF($AH$4="(blank)",'Final Calculation Sheet'!$AG$9="",IF($AH$4="(nonblank)",'Final Calculation Sheet'!$AG$9&lt;&gt;"",ISNUMBER(SEARCH($AH$4,'Final Calculation Sheet'!$AG$9))))),IF($AI$4="",TRUE(),IF($AI$4="(blank)",IF('Final Calculation Sheet'!$AD$9&lt;=5,"SETTLED","OUTSTANDING")="",IF($AI$4="(nonblank)",IF('Final Calculation Sheet'!$AD$9&lt;=5,"SETTLED","OUTSTANDING")&lt;&gt;"",ISNUMBER(SEARCH($AI$4,IF('Final Calculation Sheet'!$AD$9&lt;=5,"SETTLED","OUTSTANDING")))))))</f>
        <v>1</v>
      </c>
      <c r="AK11" t="str">
        <f>IF(AJ11=1,COUNTIF(AJ$6:AJ11,1),"")</f>
        <v/>
      </c>
      <c r="AM11">
        <f>AM10+IF(AND(Lists!$O$11&lt;&gt;"",ISNUMBER(SEARCH($B$4,Lists!$O$11))),1,0)</f>
        <v>8</v>
      </c>
      <c r="AN11">
        <f>IF(ROW()-3&gt;MAX($AM$4:$AM$42),"",INDEX(Lists!$O$4:$O$42,MATCH(ROW()-3,$AM$4:$AM$42,0)))</f>
        <v>2003</v>
      </c>
      <c r="AO11">
        <f>AO10+IF(AND(Lists!$T$11&lt;&gt;"",ISNUMBER(SEARCH($C$4,Lists!$T$11))),1,0)</f>
        <v>8</v>
      </c>
      <c r="AP11" t="str">
        <f>IF(ROW()-3&gt;MAX($AO$4:$AO$42),"",INDEX(Lists!$T$4:$T$42,MATCH(ROW()-3,$AO$4:$AO$42,0)))</f>
        <v>OMKAR STEELS</v>
      </c>
      <c r="AQ11">
        <f>AQ10+IF(AND(Lists!$Y$11&lt;&gt;"",ISNUMBER(SEARCH($D$4,Lists!$Y$11))),1,0)</f>
        <v>8</v>
      </c>
      <c r="AR11" t="str">
        <f>IF(ROW()-3&gt;MAX($AQ$4:$AQ$42),"",INDEX(Lists!$Y$4:$Y$42,MATCH(ROW()-3,$AQ$4:$AQ$42,0)))</f>
        <v>Scrap of 145 KV CB</v>
      </c>
      <c r="AS11">
        <f>AS10+IF(AND(Lists!$AD$11&lt;&gt;"",ISNUMBER(SEARCH($E$4,Lists!$AD$11))),1,0)</f>
        <v>4</v>
      </c>
      <c r="AT11" t="str">
        <f>IF(ROW()-3&gt;MAX($AS$4:$AS$42),"",INDEX(Lists!$AD$4:$AD$42,MATCH(ROW()-3,$AS$4:$AS$42,0)))</f>
        <v/>
      </c>
      <c r="AU11">
        <f>AU10+IF(AND(Lists!$AI$11&lt;&gt;"",ISNUMBER(SEARCH($F$4,Lists!$AI$11))),1,0)</f>
        <v>8</v>
      </c>
      <c r="AV11">
        <f>IF(ROW()-3&gt;MAX($AU$4:$AU$42),"",INDEX(Lists!$AI$4:$AI$42,MATCH(ROW()-3,$AU$4:$AU$42,0)))</f>
        <v>25</v>
      </c>
      <c r="AW11">
        <f>AW10+IF(AND(Lists!$AN$11&lt;&gt;"",ISNUMBER(SEARCH($G$4,Lists!$AN$11))),1,0)</f>
        <v>3</v>
      </c>
      <c r="AX11" t="str">
        <f>IF(ROW()-3&gt;MAX($AW$4:$AW$42),"",INDEX(Lists!$AN$4:$AN$42,MATCH(ROW()-3,$AW$4:$AW$42,0)))</f>
        <v/>
      </c>
      <c r="AY11">
        <f>AY10+IF(AND(Lists!$AS$11&lt;&gt;"",ISNUMBER(SEARCH($H$4,Lists!$AS$11))),1,0)</f>
        <v>8</v>
      </c>
      <c r="AZ11">
        <f>IF(ROW()-3&gt;MAX($AY$4:$AY$42),"",INDEX(Lists!$AS$4:$AS$42,MATCH(ROW()-3,$AY$4:$AY$42,0)))</f>
        <v>571</v>
      </c>
      <c r="BA11">
        <f>BA10+IF(AND(Lists!$AX$11&lt;&gt;"",ISNUMBER(SEARCH($I$4,Lists!$AX$11))),1,0)</f>
        <v>8</v>
      </c>
      <c r="BB11">
        <f>IF(ROW()-3&gt;MAX($BA$4:$BA$42),"",INDEX(Lists!$AX$4:$AX$42,MATCH(ROW()-3,$BA$4:$BA$42,0)))</f>
        <v>40768</v>
      </c>
      <c r="BC11">
        <f>BC10+IF(AND(Lists!$BC$11&lt;&gt;"",ISNUMBER(SEARCH($J$4,Lists!$BC$11))),1,0)</f>
        <v>8</v>
      </c>
      <c r="BD11">
        <f>IF(ROW()-3&gt;MAX($BC$4:$BC$42),"",INDEX(Lists!$BC$4:$BC$42,MATCH(ROW()-3,$BC$4:$BC$42,0)))</f>
        <v>7338</v>
      </c>
      <c r="BE11">
        <f>BE10+IF(AND(Lists!$BH$11&lt;&gt;"",ISNUMBER(SEARCH($K$4,Lists!$BH$11))),1,0)</f>
        <v>8</v>
      </c>
      <c r="BF11">
        <f>IF(ROW()-3&gt;MAX($BE$4:$BE$42),"",INDEX(Lists!$BH$4:$BH$42,MATCH(ROW()-3,$BE$4:$BE$42,0)))</f>
        <v>48106</v>
      </c>
      <c r="BG11">
        <f>BG10+IF(AND(Lists!$BM$11&lt;&gt;"",ISNUMBER(SEARCH($L$4,Lists!$BM$11))),1,0)</f>
        <v>8</v>
      </c>
      <c r="BH11">
        <f>IF(ROW()-3&gt;MAX($BG$4:$BG$42),"",INDEX(Lists!$BM$4:$BM$42,MATCH(ROW()-3,$BG$4:$BG$42,0)))</f>
        <v>962</v>
      </c>
      <c r="BI11">
        <f>BI10+IF(AND(Lists!$BR$11&lt;&gt;"",ISNUMBER(SEARCH($M$4,Lists!$BR$11))),1,0)</f>
        <v>8</v>
      </c>
      <c r="BJ11">
        <f>IF(ROW()-3&gt;MAX($BI$4:$BI$42),"",INDEX(Lists!$BR$4:$BR$42,MATCH(ROW()-3,$BI$4:$BI$42,0)))</f>
        <v>40.768000000000001</v>
      </c>
      <c r="BK11">
        <f>BK10+IF(AND(Lists!$BW$11&lt;&gt;"",ISNUMBER(SEARCH($N$4,Lists!$BW$11))),1,0)</f>
        <v>8</v>
      </c>
      <c r="BL11">
        <f>IF(ROW()-3&gt;MAX($BK$4:$BK$42),"",INDEX(Lists!$BW$4:$BW$42,MATCH(ROW()-3,$BK$4:$BK$42,0)))</f>
        <v>1082.3904</v>
      </c>
      <c r="BM11">
        <f>BM10+IF(AND(Lists!$CB$11&lt;&gt;"",ISNUMBER(SEARCH($O$4,Lists!$CB$11))),1,0)</f>
        <v>8</v>
      </c>
      <c r="BN11">
        <f>IF(ROW()-3&gt;MAX($BM$4:$BM$42),"",INDEX(Lists!$CB$4:$CB$42,MATCH(ROW()-3,$BM$4:$BM$42,0)))</f>
        <v>18.345600000000001</v>
      </c>
      <c r="BO11">
        <f>BO10+IF(AND(Lists!$CG$11&lt;&gt;"",ISNUMBER(SEARCH($P$4,Lists!$CG$11))),1,0)</f>
        <v>8</v>
      </c>
      <c r="BP11">
        <f>IF(ROW()-3&gt;MAX($BO$4:$BO$42),"",INDEX(Lists!$CG$4:$CG$42,MATCH(ROW()-3,$BO$4:$BO$42,0)))</f>
        <v>1064.0447999999999</v>
      </c>
      <c r="BQ11">
        <f>BQ10+IF(AND(Lists!$CL$11&lt;&gt;"",ISNUMBER(SEARCH($Q$4,Lists!$CL$11))),1,0)</f>
        <v>8</v>
      </c>
      <c r="BR11">
        <f>IF(ROW()-3&gt;MAX($BQ$4:$BQ$42),"",INDEX(Lists!$CL$4:$CL$42,MATCH(ROW()-3,$BQ$4:$BQ$42,0)))</f>
        <v>1105</v>
      </c>
      <c r="BS11">
        <f>BS10+IF(AND(Lists!$CQ$11&lt;&gt;"",ISNUMBER(SEARCH($R$4,Lists!$CQ$11))),1,0)</f>
        <v>2</v>
      </c>
      <c r="BT11" t="str">
        <f>IF(ROW()-3&gt;MAX($BS$4:$BS$42),"",INDEX(Lists!$CQ$4:$CQ$42,MATCH(ROW()-3,$BS$4:$BS$42,0)))</f>
        <v/>
      </c>
      <c r="BU11">
        <f>BU10+IF(AND(Lists!$CV$11&lt;&gt;"",ISNUMBER(SEARCH($S$4,Lists!$CV$11))),1,0)</f>
        <v>5</v>
      </c>
      <c r="BV11" t="str">
        <f>IF(ROW()-3&gt;MAX($BU$4:$BU$42),"",INDEX(Lists!$CV$4:$CV$42,MATCH(ROW()-3,$BU$4:$BU$42,0)))</f>
        <v/>
      </c>
      <c r="BW11">
        <f>BW10+IF(AND(Lists!$DA$11&lt;&gt;"",ISNUMBER(SEARCH($T$4,Lists!$DA$11))),1,0)</f>
        <v>8</v>
      </c>
      <c r="BX11">
        <f>IF(ROW()-3&gt;MAX($BW$4:$BW$42),"",INDEX(Lists!$DA$4:$DA$42,MATCH(ROW()-3,$BW$4:$BW$42,0)))</f>
        <v>47964</v>
      </c>
      <c r="BY11">
        <f>BY10+IF(AND(Lists!$DF$11&lt;&gt;"",ISNUMBER(SEARCH($U$4,Lists!$DF$11))),1,0)</f>
        <v>8</v>
      </c>
      <c r="BZ11">
        <f>IF(ROW()-3&gt;MAX($BY$4:$BY$42),"",INDEX(Lists!$DF$4:$DF$42,MATCH(ROW()-3,$BY$4:$BY$42,0)))</f>
        <v>10192</v>
      </c>
      <c r="CA11">
        <f>CA10+IF(AND(Lists!$DK$11&lt;&gt;"",ISNUMBER(SEARCH($V$4,Lists!$DK$11))),1,0)</f>
        <v>8</v>
      </c>
      <c r="CB11">
        <f>IF(ROW()-3&gt;MAX($CA$4:$CA$42),"",INDEX(Lists!$DK$4:$DK$42,MATCH(ROW()-3,$CA$4:$CA$42,0)))</f>
        <v>10192</v>
      </c>
      <c r="CC11">
        <f>CC10+IF(AND(Lists!$DP$11&lt;&gt;"",ISNUMBER(SEARCH($W$4,Lists!$DP$11))),1,0)</f>
        <v>6</v>
      </c>
      <c r="CD11" t="str">
        <f>IF(ROW()-3&gt;MAX($CC$4:$CC$42),"",INDEX(Lists!$DP$4:$DP$42,MATCH(ROW()-3,$CC$4:$CC$42,0)))</f>
        <v>(nonblank)</v>
      </c>
      <c r="CE11">
        <f>CE10+IF(AND(Lists!$DU$11&lt;&gt;"",ISNUMBER(SEARCH($X$4,Lists!$DU$11))),1,0)</f>
        <v>8</v>
      </c>
      <c r="CF11">
        <f>IF(ROW()-3&gt;MAX($CE$4:$CE$42),"",INDEX(Lists!$DU$4:$DU$42,MATCH(ROW()-3,$CE$4:$CE$42,0)))</f>
        <v>37772</v>
      </c>
      <c r="CG11" t="e">
        <f>CG10+IF(AND(Lists!$DZ$11&lt;&gt;"",ISNUMBER(SEARCH($Y$4,Lists!$DZ$11))),1,0)</f>
        <v>#N/A</v>
      </c>
      <c r="CH11" t="e">
        <f>IF(ROW()-3&gt;MAX($CG$4:$CG$42),"",INDEX(Lists!$DZ$4:$DZ$42,MATCH(ROW()-3,$CG$4:$CG$42,0)))</f>
        <v>#N/A</v>
      </c>
      <c r="CI11" t="e">
        <f>CI10+IF(AND(Lists!$EE$11&lt;&gt;"",ISNUMBER(SEARCH($Z$4,Lists!$EE$11))),1,0)</f>
        <v>#N/A</v>
      </c>
      <c r="CJ11" t="e">
        <f>IF(ROW()-3&gt;MAX($CI$4:$CI$42),"",INDEX(Lists!$EE$4:$EE$42,MATCH(ROW()-3,$CI$4:$CI$42,0)))</f>
        <v>#N/A</v>
      </c>
      <c r="CK11">
        <f>CK10+IF(AND(Lists!$EJ$11&lt;&gt;"",ISNUMBER(SEARCH($AA$4,Lists!$EJ$11))),1,0)</f>
        <v>6</v>
      </c>
      <c r="CL11" t="str">
        <f>IF(ROW()-3&gt;MAX($CK$4:$CK$42),"",INDEX(Lists!$EJ$4:$EJ$42,MATCH(ROW()-3,$CK$4:$CK$42,0)))</f>
        <v>(nonblank)</v>
      </c>
      <c r="CM11" t="e">
        <f>CM10+IF(AND(Lists!$EO$11&lt;&gt;"",ISNUMBER(SEARCH($AB$4,Lists!$EO$11))),1,0)</f>
        <v>#N/A</v>
      </c>
      <c r="CN11" t="e">
        <f>IF(ROW()-3&gt;MAX($CM$4:$CM$42),"",INDEX(Lists!$EO$4:$EO$42,MATCH(ROW()-3,$CM$4:$CM$42,0)))</f>
        <v>#N/A</v>
      </c>
      <c r="CO11" t="e">
        <f>CO10+IF(AND(Lists!$ET$11&lt;&gt;"",ISNUMBER(SEARCH($AC$4,Lists!$ET$11))),1,0)</f>
        <v>#N/A</v>
      </c>
      <c r="CP11" t="e">
        <f>IF(ROW()-3&gt;MAX($CO$4:$CO$42),"",INDEX(Lists!$ET$4:$ET$42,MATCH(ROW()-3,$CO$4:$CO$42,0)))</f>
        <v>#N/A</v>
      </c>
      <c r="CQ11">
        <f>CQ10+IF(AND(Lists!$EY$11&lt;&gt;"",ISNUMBER(SEARCH($AD$4,Lists!$EY$11))),1,0)</f>
        <v>8</v>
      </c>
      <c r="CR11">
        <f>IF(ROW()-3&gt;MAX($CQ$4:$CQ$42),"",INDEX(Lists!$EY$4:$EY$42,MATCH(ROW()-3,$CQ$4:$CQ$42,0)))</f>
        <v>36017</v>
      </c>
      <c r="CS11" t="e">
        <f>CS10+IF(AND(Lists!$FD$11&lt;&gt;"",ISNUMBER(SEARCH($AE$4,Lists!$FD$11))),1,0)</f>
        <v>#N/A</v>
      </c>
      <c r="CT11" t="e">
        <f>IF(ROW()-3&gt;MAX($CS$4:$CS$42),"",INDEX(Lists!$FD$4:$FD$42,MATCH(ROW()-3,$CS$4:$CS$42,0)))</f>
        <v>#N/A</v>
      </c>
      <c r="CU11" t="e">
        <f>CU10+IF(AND(Lists!$FI$11&lt;&gt;"",ISNUMBER(SEARCH($AF$4,Lists!$FI$11))),1,0)</f>
        <v>#N/A</v>
      </c>
      <c r="CV11" t="e">
        <f>IF(ROW()-3&gt;MAX($CU$4:$CU$42),"",INDEX(Lists!$FI$4:$FI$42,MATCH(ROW()-3,$CU$4:$CU$42,0)))</f>
        <v>#N/A</v>
      </c>
      <c r="CW11" t="e">
        <f>CW10+IF(AND(Lists!$FN$11&lt;&gt;"",ISNUMBER(SEARCH($AG$4,Lists!$FN$11))),1,0)</f>
        <v>#N/A</v>
      </c>
      <c r="CX11" t="e">
        <f>IF(ROW()-3&gt;MAX($CW$4:$CW$42),"",INDEX(Lists!$FN$4:$FN$42,MATCH(ROW()-3,$CW$4:$CW$42,0)))</f>
        <v>#N/A</v>
      </c>
      <c r="CY11" t="e">
        <f>CY10+IF(AND(Lists!$FS$11&lt;&gt;"",ISNUMBER(SEARCH($AH$4,Lists!$FS$11))),1,0)</f>
        <v>#N/A</v>
      </c>
      <c r="CZ11" t="e">
        <f>IF(ROW()-3&gt;MAX($CY$4:$CY$42),"",INDEX(Lists!$FS$4:$FS$42,MATCH(ROW()-3,$CY$4:$CY$42,0)))</f>
        <v>#N/A</v>
      </c>
      <c r="DA11">
        <f>DA10+IF(AND(Lists!$FX$11&lt;&gt;"",ISNUMBER(SEARCH($AI$4,Lists!$FX$11))),1,0)</f>
        <v>2</v>
      </c>
      <c r="DB11" t="str">
        <f>IF(ROW()-3&gt;MAX($DA$4:$DA$42),"",INDEX(Lists!$FX$4:$FX$42,MATCH(ROW()-3,$DA$4:$DA$42,0)))</f>
        <v/>
      </c>
    </row>
    <row r="12" ht="15" customHeight="1" s="137">
      <c r="A12" s="81" t="inlineStr">
        <is>
          <t>∑</t>
        </is>
      </c>
      <c r="B12" s="83" t="n"/>
      <c r="C12" s="83" t="str">
        <f>ROWS($C$11:$C$11)&amp;" lot(s)"</f>
        <v>1 lot(s)</v>
      </c>
      <c r="D12" s="83" t="inlineStr">
        <is>
          <t>SUBTOTAL — HIND TRADERS</t>
        </is>
      </c>
      <c r="E12" s="83" t="inlineStr">
        <is>
          <t>–</t>
        </is>
      </c>
      <c r="F12" s="83">
        <f>SUM(F11:F11)</f>
        <v>250</v>
      </c>
      <c r="G12" s="83" t="inlineStr">
        <is>
          <t>–</t>
        </is>
      </c>
      <c r="H12" s="84" t="inlineStr">
        <is>
          <t>–</t>
        </is>
      </c>
      <c r="I12" s="84">
        <f>SUM(I11:I11)</f>
        <v>135750</v>
      </c>
      <c r="J12" s="84">
        <f>SUM(J11:J11)</f>
        <v>24435</v>
      </c>
      <c r="K12" s="84">
        <f>SUM(K11:K11)</f>
        <v>160185</v>
      </c>
      <c r="L12" s="84">
        <f>SUM(L11:L11)</f>
        <v>3204</v>
      </c>
      <c r="M12" s="84">
        <f>SUM(M11:M11)</f>
        <v>135.75</v>
      </c>
      <c r="N12" s="84">
        <f>SUM(N11:N11)</f>
        <v>3604.1624999999999</v>
      </c>
      <c r="O12" s="85">
        <f>SUM(O11:O11)</f>
        <v>61.087499999999999</v>
      </c>
      <c r="P12" s="84">
        <f>SUM(P11:P11)</f>
        <v>3543.0749999999998</v>
      </c>
      <c r="Q12" s="84">
        <f>SUM(Q11:Q11)</f>
        <v>3679</v>
      </c>
      <c r="R12" s="86" t="inlineStr">
        <is>
          <t>–</t>
        </is>
      </c>
      <c r="S12" s="84">
        <f>SUM(S11:S11)</f>
        <v>0</v>
      </c>
      <c r="T12" s="84">
        <f>SUM(T11:T11)</f>
        <v>159710</v>
      </c>
      <c r="U12" s="84">
        <f>SUM(U11:U11)</f>
        <v>33938</v>
      </c>
      <c r="V12" s="87">
        <f>SUM(V11:V11)</f>
        <v>33938</v>
      </c>
      <c r="W12" s="84" t="inlineStr">
        <is>
          <t>–</t>
        </is>
      </c>
      <c r="X12" s="84">
        <f>SUM(X11:X11)</f>
        <v>125772</v>
      </c>
      <c r="Y12" s="84">
        <f>SUM(Y11:Y11)</f>
        <v>125772</v>
      </c>
      <c r="Z12" s="84" t="inlineStr">
        <is>
          <t>–</t>
        </is>
      </c>
      <c r="AA12" s="84">
        <f>SUM(AA11:AA11)</f>
        <v>0</v>
      </c>
      <c r="AB12" s="84">
        <f>SUM(AB11:AB11)</f>
        <v>0</v>
      </c>
      <c r="AC12" s="84" t="inlineStr">
        <is>
          <t>–</t>
        </is>
      </c>
      <c r="AD12" s="84">
        <f>SUM(AD11:AD11)</f>
        <v>159710</v>
      </c>
      <c r="AE12" s="84">
        <f>SUM(AE11:AE11)</f>
        <v>0</v>
      </c>
      <c r="AF12" s="84" t="inlineStr">
        <is>
          <t>–</t>
        </is>
      </c>
      <c r="AG12" s="88" t="inlineStr">
        <is>
          <t>–</t>
        </is>
      </c>
      <c r="AH12" s="84" t="inlineStr">
        <is>
          <t>–</t>
        </is>
      </c>
      <c r="AI12" s="89" t="str">
        <f>IF(AE12&lt;=5,"SETTLED","OUTSTANDING")</f>
        <v>SETTLED</v>
      </c>
      <c r="AJ12" t="b">
        <f>AND(IF($B$4="",TRUE(),IF($B$4="(blank)",'Final Calculation Sheet'!$F$10="",IF($B$4="(nonblank)",'Final Calculation Sheet'!$F$10&lt;&gt;"",ISNUMBER(SEARCH($B$4,'Final Calculation Sheet'!$F$10))))),IF($C$4="",TRUE(),IF($C$4="(blank)",'Final Calculation Sheet'!$G$10="",IF($C$4="(nonblank)",'Final Calculation Sheet'!$G$10&lt;&gt;"",ISNUMBER(SEARCH($C$4,'Final Calculation Sheet'!$G$10))))),IF($D$4="",TRUE(),IF($D$4="(blank)",'Final Calculation Sheet'!$B$10="",IF($D$4="(nonblank)",'Final Calculation Sheet'!$B$10&lt;&gt;"",ISNUMBER(SEARCH($D$4,'Final Calculation Sheet'!$B$10))))),IF($E$4="",TRUE(),IF($E$4="(blank)",'Final Calculation Sheet'!$D$10="",IF($E$4="(nonblank)",'Final Calculation Sheet'!$D$10&lt;&gt;"",ISNUMBER(SEARCH($E$4,'Final Calculation Sheet'!$D$10))))),IF($F$4="",TRUE(),IF($F$4="(blank)",'Final Calculation Sheet'!$A$10="",IF($F$4="(nonblank)",'Final Calculation Sheet'!$A$10&lt;&gt;"",ISNUMBER(SEARCH($F$4,'Final Calculation Sheet'!$A$10))))),IF($G$4="",TRUE(),IF($G$4="(blank)",'Final Calculation Sheet'!$E$10="",IF($G$4="(nonblank)",'Final Calculation Sheet'!$E$10&lt;&gt;"",ISNUMBER(SEARCH($G$4,'Final Calculation Sheet'!$E$10))))),IF($H$4="",TRUE(),IF($H$4="(blank)",'Final Calculation Sheet'!$C$10="",IF($H$4="(nonblank)",'Final Calculation Sheet'!$C$10&lt;&gt;"",ISNUMBER(SEARCH($H$4,'Final Calculation Sheet'!$C$10))))),IF($I$4="",TRUE(),IF($I$4="(blank)",'Final Calculation Sheet'!$H$10="",IF($I$4="(nonblank)",'Final Calculation Sheet'!$H$10&lt;&gt;"",ISNUMBER(SEARCH($I$4,'Final Calculation Sheet'!$H$10))))),IF($J$4="",TRUE(),IF($J$4="(blank)",'Final Calculation Sheet'!$I$10="",IF($J$4="(nonblank)",'Final Calculation Sheet'!$I$10&lt;&gt;"",ISNUMBER(SEARCH($J$4,'Final Calculation Sheet'!$I$10))))),IF($K$4="",TRUE(),IF($K$4="(blank)",'Final Calculation Sheet'!$J$10="",IF($K$4="(nonblank)",'Final Calculation Sheet'!$J$10&lt;&gt;"",ISNUMBER(SEARCH($K$4,'Final Calculation Sheet'!$J$10))))),IF($L$4="",TRUE(),IF($L$4="(blank)",'Final Calculation Sheet'!$K$10="",IF($L$4="(nonblank)",'Final Calculation Sheet'!$K$10&lt;&gt;"",ISNUMBER(SEARCH($L$4,'Final Calculation Sheet'!$K$10))))),IF($M$4="",TRUE(),IF($M$4="(blank)",'Final Calculation Sheet'!$L$10="",IF($M$4="(nonblank)",'Final Calculation Sheet'!$L$10&lt;&gt;"",ISNUMBER(SEARCH($M$4,'Final Calculation Sheet'!$L$10))))),IF($N$4="",TRUE(),IF($N$4="(blank)",'Final Calculation Sheet'!$M$10="",IF($N$4="(nonblank)",'Final Calculation Sheet'!$M$10&lt;&gt;"",ISNUMBER(SEARCH($N$4,'Final Calculation Sheet'!$M$10))))),IF($O$4="",TRUE(),IF($O$4="(blank)",'Final Calculation Sheet'!$N$10="",IF($O$4="(nonblank)",'Final Calculation Sheet'!$N$10&lt;&gt;"",ISNUMBER(SEARCH($O$4,'Final Calculation Sheet'!$N$10))))),IF($P$4="",TRUE(),IF($P$4="(blank)",'Final Calculation Sheet'!$O$10="",IF($P$4="(nonblank)",'Final Calculation Sheet'!$O$10&lt;&gt;"",ISNUMBER(SEARCH($P$4,'Final Calculation Sheet'!$O$10))))),IF($Q$4="",TRUE(),IF($Q$4="(blank)",'Final Calculation Sheet'!$P$10="",IF($Q$4="(nonblank)",'Final Calculation Sheet'!$P$10&lt;&gt;"",ISNUMBER(SEARCH($Q$4,'Final Calculation Sheet'!$P$10))))),IF($R$4="",TRUE(),IF($R$4="(blank)",'Final Calculation Sheet'!$Q$10="",IF($R$4="(nonblank)",'Final Calculation Sheet'!$Q$10&lt;&gt;"",ISNUMBER(SEARCH($R$4,'Final Calculation Sheet'!$Q$10))))),IF($S$4="",TRUE(),IF($S$4="(blank)",'Final Calculation Sheet'!$R$10="",IF($S$4="(nonblank)",'Final Calculation Sheet'!$R$10&lt;&gt;"",ISNUMBER(SEARCH($S$4,'Final Calculation Sheet'!$R$10))))),IF($T$4="",TRUE(),IF($T$4="(blank)",'Final Calculation Sheet'!$S$10="",IF($T$4="(nonblank)",'Final Calculation Sheet'!$S$10&lt;&gt;"",ISNUMBER(SEARCH($T$4,'Final Calculation Sheet'!$S$10))))),IF($U$4="",TRUE(),IF($U$4="(blank)",'Final Calculation Sheet'!$T$10="",IF($U$4="(nonblank)",'Final Calculation Sheet'!$T$10&lt;&gt;"",ISNUMBER(SEARCH($U$4,'Final Calculation Sheet'!$T$10))))),IF($V$4="",TRUE(),IF($V$4="(blank)",'Final Calculation Sheet'!$U$10="",IF($V$4="(nonblank)",'Final Calculation Sheet'!$U$10&lt;&gt;"",ISNUMBER(SEARCH($V$4,'Final Calculation Sheet'!$U$10))))),IF($W$4="",TRUE(),IF($W$4="(blank)",'Final Calculation Sheet'!$V$10="",IF($W$4="(nonblank)",'Final Calculation Sheet'!$V$10&lt;&gt;"",ISNUMBER(SEARCH($W$4,'Final Calculation Sheet'!$V$10))))),IF($X$4="",TRUE(),IF($X$4="(blank)",'Final Calculation Sheet'!$W$10="",IF($X$4="(nonblank)",'Final Calculation Sheet'!$W$10&lt;&gt;"",ISNUMBER(SEARCH($X$4,'Final Calculation Sheet'!$W$10))))),IF($Y$4="",TRUE(),IF($Y$4="(blank)",'Final Calculation Sheet'!$X$10="",IF($Y$4="(nonblank)",'Final Calculation Sheet'!$X$10&lt;&gt;"",ISNUMBER(SEARCH($Y$4,'Final Calculation Sheet'!$X$10))))),IF($Z$4="",TRUE(),IF($Z$4="(blank)",'Final Calculation Sheet'!$Y$10="",IF($Z$4="(nonblank)",'Final Calculation Sheet'!$Y$10&lt;&gt;"",ISNUMBER(SEARCH($Z$4,'Final Calculation Sheet'!$Y$10))))),IF($AA$4="",TRUE(),IF($AA$4="(blank)",'Final Calculation Sheet'!$Z$10="",IF($AA$4="(nonblank)",'Final Calculation Sheet'!$Z$10&lt;&gt;"",ISNUMBER(SEARCH($AA$4,'Final Calculation Sheet'!$Z$10))))),IF($AB$4="",TRUE(),IF($AB$4="(blank)",'Final Calculation Sheet'!$AA$10="",IF($AB$4="(nonblank)",'Final Calculation Sheet'!$AA$10&lt;&gt;"",ISNUMBER(SEARCH($AB$4,'Final Calculation Sheet'!$AA$10))))),IF($AC$4="",TRUE(),IF($AC$4="(blank)",'Final Calculation Sheet'!$AB$10="",IF($AC$4="(nonblank)",'Final Calculation Sheet'!$AB$10&lt;&gt;"",ISNUMBER(SEARCH($AC$4,'Final Calculation Sheet'!$AB$10))))),IF($AD$4="",TRUE(),IF($AD$4="(blank)",'Final Calculation Sheet'!$AC$10="",IF($AD$4="(nonblank)",'Final Calculation Sheet'!$AC$10&lt;&gt;"",ISNUMBER(SEARCH($AD$4,'Final Calculation Sheet'!$AC$10))))),IF($AE$4="",TRUE(),IF($AE$4="(blank)",'Final Calculation Sheet'!$AD$10="",IF($AE$4="(nonblank)",'Final Calculation Sheet'!$AD$10&lt;&gt;"",ISNUMBER(SEARCH($AE$4,'Final Calculation Sheet'!$AD$10))))),IF($AF$4="",TRUE(),IF($AF$4="(blank)",'Final Calculation Sheet'!$AE$10="",IF($AF$4="(nonblank)",'Final Calculation Sheet'!$AE$10&lt;&gt;"",ISNUMBER(SEARCH($AF$4,'Final Calculation Sheet'!$AE$10))))),IF($AG$4="",TRUE(),IF($AG$4="(blank)",'Final Calculation Sheet'!$AF$10="",IF($AG$4="(nonblank)",'Final Calculation Sheet'!$AF$10&lt;&gt;"",ISNUMBER(SEARCH($AG$4,'Final Calculation Sheet'!$AF$10))))),IF($AH$4="",TRUE(),IF($AH$4="(blank)",'Final Calculation Sheet'!$AG$10="",IF($AH$4="(nonblank)",'Final Calculation Sheet'!$AG$10&lt;&gt;"",ISNUMBER(SEARCH($AH$4,'Final Calculation Sheet'!$AG$10))))),IF($AI$4="",TRUE(),IF($AI$4="(blank)",IF('Final Calculation Sheet'!$AD$10&lt;=5,"SETTLED","OUTSTANDING")="",IF($AI$4="(nonblank)",IF('Final Calculation Sheet'!$AD$10&lt;=5,"SETTLED","OUTSTANDING")&lt;&gt;"",ISNUMBER(SEARCH($AI$4,IF('Final Calculation Sheet'!$AD$10&lt;=5,"SETTLED","OUTSTANDING")))))))</f>
        <v>1</v>
      </c>
      <c r="AK12" t="str">
        <f>IF(AJ12=1,COUNTIF(AJ$6:AJ12,1),"")</f>
        <v/>
      </c>
      <c r="AM12">
        <f>AM11+IF(AND(Lists!$O$12&lt;&gt;"",ISNUMBER(SEARCH($B$4,Lists!$O$12))),1,0)</f>
        <v>9</v>
      </c>
      <c r="AN12">
        <f>IF(ROW()-3&gt;MAX($AM$4:$AM$42),"",INDEX(Lists!$O$4:$O$42,MATCH(ROW()-3,$AM$4:$AM$42,0)))</f>
        <v>2005</v>
      </c>
      <c r="AO12">
        <f>AO11+IF(AND(Lists!$T$12&lt;&gt;"",ISNUMBER(SEARCH($C$4,Lists!$T$12))),1,0)</f>
        <v>9</v>
      </c>
      <c r="AP12" t="str">
        <f>IF(ROW()-3&gt;MAX($AO$4:$AO$42),"",INDEX(Lists!$T$4:$T$42,MATCH(ROW()-3,$AO$4:$AO$42,0)))</f>
        <v>S M ENTERPRISES</v>
      </c>
      <c r="AQ12">
        <f>AQ11+IF(AND(Lists!$Y$12&lt;&gt;"",ISNUMBER(SEARCH($D$4,Lists!$Y$12))),1,0)</f>
        <v>9</v>
      </c>
      <c r="AR12" t="str">
        <f>IF(ROW()-3&gt;MAX($AQ$4:$AQ$42),"",INDEX(Lists!$Y$4:$Y$42,MATCH(ROW()-3,$AQ$4:$AQ$42,0)))</f>
        <v>Scrap of 220 KV Circuit Breaker</v>
      </c>
      <c r="AS12">
        <f>AS11+IF(AND(Lists!$AD$12&lt;&gt;"",ISNUMBER(SEARCH($E$4,Lists!$AD$12))),1,0)</f>
        <v>4</v>
      </c>
      <c r="AT12" t="str">
        <f>IF(ROW()-3&gt;MAX($AS$4:$AS$42),"",INDEX(Lists!$AD$4:$AD$42,MATCH(ROW()-3,$AS$4:$AS$42,0)))</f>
        <v/>
      </c>
      <c r="AU12">
        <f>AU11+IF(AND(Lists!$AI$12&lt;&gt;"",ISNUMBER(SEARCH($F$4,Lists!$AI$12))),1,0)</f>
        <v>9</v>
      </c>
      <c r="AV12">
        <f>IF(ROW()-3&gt;MAX($AU$4:$AU$42),"",INDEX(Lists!$AI$4:$AI$42,MATCH(ROW()-3,$AU$4:$AU$42,0)))</f>
        <v>28</v>
      </c>
      <c r="AW12">
        <f>AW11+IF(AND(Lists!$AN$12&lt;&gt;"",ISNUMBER(SEARCH($G$4,Lists!$AN$12))),1,0)</f>
        <v>3</v>
      </c>
      <c r="AX12" t="str">
        <f>IF(ROW()-3&gt;MAX($AW$4:$AW$42),"",INDEX(Lists!$AN$4:$AN$42,MATCH(ROW()-3,$AW$4:$AW$42,0)))</f>
        <v/>
      </c>
      <c r="AY12">
        <f>AY11+IF(AND(Lists!$AS$12&lt;&gt;"",ISNUMBER(SEARCH($H$4,Lists!$AS$12))),1,0)</f>
        <v>9</v>
      </c>
      <c r="AZ12">
        <f>IF(ROW()-3&gt;MAX($AY$4:$AY$42),"",INDEX(Lists!$AS$4:$AS$42,MATCH(ROW()-3,$AY$4:$AY$42,0)))</f>
        <v>580</v>
      </c>
      <c r="BA12">
        <f>BA11+IF(AND(Lists!$AX$12&lt;&gt;"",ISNUMBER(SEARCH($I$4,Lists!$AX$12))),1,0)</f>
        <v>9</v>
      </c>
      <c r="BB12">
        <f>IF(ROW()-3&gt;MAX($BA$4:$BA$42),"",INDEX(Lists!$AX$4:$AX$42,MATCH(ROW()-3,$BA$4:$BA$42,0)))</f>
        <v>50003</v>
      </c>
      <c r="BC12">
        <f>BC11+IF(AND(Lists!$BC$12&lt;&gt;"",ISNUMBER(SEARCH($J$4,Lists!$BC$12))),1,0)</f>
        <v>9</v>
      </c>
      <c r="BD12">
        <f>IF(ROW()-3&gt;MAX($BC$4:$BC$42),"",INDEX(Lists!$BC$4:$BC$42,MATCH(ROW()-3,$BC$4:$BC$42,0)))</f>
        <v>9001</v>
      </c>
      <c r="BE12">
        <f>BE11+IF(AND(Lists!$BH$12&lt;&gt;"",ISNUMBER(SEARCH($K$4,Lists!$BH$12))),1,0)</f>
        <v>9</v>
      </c>
      <c r="BF12">
        <f>IF(ROW()-3&gt;MAX($BE$4:$BE$42),"",INDEX(Lists!$BH$4:$BH$42,MATCH(ROW()-3,$BE$4:$BE$42,0)))</f>
        <v>59004</v>
      </c>
      <c r="BG12">
        <f>BG11+IF(AND(Lists!$BM$12&lt;&gt;"",ISNUMBER(SEARCH($L$4,Lists!$BM$12))),1,0)</f>
        <v>9</v>
      </c>
      <c r="BH12">
        <f>IF(ROW()-3&gt;MAX($BG$4:$BG$42),"",INDEX(Lists!$BM$4:$BM$42,MATCH(ROW()-3,$BG$4:$BG$42,0)))</f>
        <v>1180</v>
      </c>
      <c r="BI12">
        <f>BI11+IF(AND(Lists!$BR$12&lt;&gt;"",ISNUMBER(SEARCH($M$4,Lists!$BR$12))),1,0)</f>
        <v>9</v>
      </c>
      <c r="BJ12">
        <f>IF(ROW()-3&gt;MAX($BI$4:$BI$42),"",INDEX(Lists!$BR$4:$BR$42,MATCH(ROW()-3,$BI$4:$BI$42,0)))</f>
        <v>50.003</v>
      </c>
      <c r="BK12">
        <f>BK11+IF(AND(Lists!$BW$12&lt;&gt;"",ISNUMBER(SEARCH($N$4,Lists!$BW$12))),1,0)</f>
        <v>9</v>
      </c>
      <c r="BL12">
        <f>IF(ROW()-3&gt;MAX($BK$4:$BK$42),"",INDEX(Lists!$BW$4:$BW$42,MATCH(ROW()-3,$BK$4:$BK$42,0)))</f>
        <v>1327.5796499999999</v>
      </c>
      <c r="BM12">
        <f>BM11+IF(AND(Lists!$CB$12&lt;&gt;"",ISNUMBER(SEARCH($O$4,Lists!$CB$12))),1,0)</f>
        <v>9</v>
      </c>
      <c r="BN12">
        <f>IF(ROW()-3&gt;MAX($BM$4:$BM$42),"",INDEX(Lists!$CB$4:$CB$42,MATCH(ROW()-3,$BM$4:$BM$42,0)))</f>
        <v>22.501349999999999</v>
      </c>
      <c r="BO12">
        <f>BO11+IF(AND(Lists!$CG$12&lt;&gt;"",ISNUMBER(SEARCH($P$4,Lists!$CG$12))),1,0)</f>
        <v>9</v>
      </c>
      <c r="BP12">
        <f>IF(ROW()-3&gt;MAX($BO$4:$BO$42),"",INDEX(Lists!$CG$4:$CG$42,MATCH(ROW()-3,$BO$4:$BO$42,0)))</f>
        <v>1305.0782999999999</v>
      </c>
      <c r="BQ12">
        <f>BQ11+IF(AND(Lists!$CL$12&lt;&gt;"",ISNUMBER(SEARCH($Q$4,Lists!$CL$12))),1,0)</f>
        <v>9</v>
      </c>
      <c r="BR12">
        <f>IF(ROW()-3&gt;MAX($BQ$4:$BQ$42),"",INDEX(Lists!$CL$4:$CL$42,MATCH(ROW()-3,$BQ$4:$BQ$42,0)))</f>
        <v>1355</v>
      </c>
      <c r="BS12">
        <f>BS11+IF(AND(Lists!$CQ$12&lt;&gt;"",ISNUMBER(SEARCH($R$4,Lists!$CQ$12))),1,0)</f>
        <v>2</v>
      </c>
      <c r="BT12" t="str">
        <f>IF(ROW()-3&gt;MAX($BS$4:$BS$42),"",INDEX(Lists!$CQ$4:$CQ$42,MATCH(ROW()-3,$BS$4:$BS$42,0)))</f>
        <v/>
      </c>
      <c r="BU12">
        <f>BU11+IF(AND(Lists!$CV$12&lt;&gt;"",ISNUMBER(SEARCH($S$4,Lists!$CV$12))),1,0)</f>
        <v>5</v>
      </c>
      <c r="BV12" t="str">
        <f>IF(ROW()-3&gt;MAX($BU$4:$BU$42),"",INDEX(Lists!$CV$4:$CV$42,MATCH(ROW()-3,$BU$4:$BU$42,0)))</f>
        <v/>
      </c>
      <c r="BW12">
        <f>BW11+IF(AND(Lists!$DA$12&lt;&gt;"",ISNUMBER(SEARCH($T$4,Lists!$DA$12))),1,0)</f>
        <v>9</v>
      </c>
      <c r="BX12">
        <f>IF(ROW()-3&gt;MAX($BW$4:$BW$42),"",INDEX(Lists!$DA$4:$DA$42,MATCH(ROW()-3,$BW$4:$BW$42,0)))</f>
        <v>58829</v>
      </c>
      <c r="BY12">
        <f>BY11+IF(AND(Lists!$DF$12&lt;&gt;"",ISNUMBER(SEARCH($U$4,Lists!$DF$12))),1,0)</f>
        <v>9</v>
      </c>
      <c r="BZ12">
        <f>IF(ROW()-3&gt;MAX($BY$4:$BY$42),"",INDEX(Lists!$DF$4:$DF$42,MATCH(ROW()-3,$BY$4:$BY$42,0)))</f>
        <v>12501</v>
      </c>
      <c r="CA12">
        <f>CA11+IF(AND(Lists!$DK$12&lt;&gt;"",ISNUMBER(SEARCH($V$4,Lists!$DK$12))),1,0)</f>
        <v>9</v>
      </c>
      <c r="CB12">
        <f>IF(ROW()-3&gt;MAX($CA$4:$CA$42),"",INDEX(Lists!$DK$4:$DK$42,MATCH(ROW()-3,$CA$4:$CA$42,0)))</f>
        <v>12501</v>
      </c>
      <c r="CC12">
        <f>CC11+IF(AND(Lists!$DP$12&lt;&gt;"",ISNUMBER(SEARCH($W$4,Lists!$DP$12))),1,0)</f>
        <v>6</v>
      </c>
      <c r="CD12" t="str">
        <f>IF(ROW()-3&gt;MAX($CC$4:$CC$42),"",INDEX(Lists!$DP$4:$DP$42,MATCH(ROW()-3,$CC$4:$CC$42,0)))</f>
        <v/>
      </c>
      <c r="CE12">
        <f>CE11+IF(AND(Lists!$DU$12&lt;&gt;"",ISNUMBER(SEARCH($X$4,Lists!$DU$12))),1,0)</f>
        <v>9</v>
      </c>
      <c r="CF12">
        <f>IF(ROW()-3&gt;MAX($CE$4:$CE$42),"",INDEX(Lists!$DU$4:$DU$42,MATCH(ROW()-3,$CE$4:$CE$42,0)))</f>
        <v>46328</v>
      </c>
      <c r="CG12" t="e">
        <f>CG11+IF(AND(Lists!$DZ$12&lt;&gt;"",ISNUMBER(SEARCH($Y$4,Lists!$DZ$12))),1,0)</f>
        <v>#N/A</v>
      </c>
      <c r="CH12" t="e">
        <f>IF(ROW()-3&gt;MAX($CG$4:$CG$42),"",INDEX(Lists!$DZ$4:$DZ$42,MATCH(ROW()-3,$CG$4:$CG$42,0)))</f>
        <v>#N/A</v>
      </c>
      <c r="CI12" t="e">
        <f>CI11+IF(AND(Lists!$EE$12&lt;&gt;"",ISNUMBER(SEARCH($Z$4,Lists!$EE$12))),1,0)</f>
        <v>#N/A</v>
      </c>
      <c r="CJ12" t="e">
        <f>IF(ROW()-3&gt;MAX($CI$4:$CI$42),"",INDEX(Lists!$EE$4:$EE$42,MATCH(ROW()-3,$CI$4:$CI$42,0)))</f>
        <v>#N/A</v>
      </c>
      <c r="CK12">
        <f>CK11+IF(AND(Lists!$EJ$12&lt;&gt;"",ISNUMBER(SEARCH($AA$4,Lists!$EJ$12))),1,0)</f>
        <v>6</v>
      </c>
      <c r="CL12" t="str">
        <f>IF(ROW()-3&gt;MAX($CK$4:$CK$42),"",INDEX(Lists!$EJ$4:$EJ$42,MATCH(ROW()-3,$CK$4:$CK$42,0)))</f>
        <v/>
      </c>
      <c r="CM12" t="e">
        <f>CM11+IF(AND(Lists!$EO$12&lt;&gt;"",ISNUMBER(SEARCH($AB$4,Lists!$EO$12))),1,0)</f>
        <v>#N/A</v>
      </c>
      <c r="CN12" t="e">
        <f>IF(ROW()-3&gt;MAX($CM$4:$CM$42),"",INDEX(Lists!$EO$4:$EO$42,MATCH(ROW()-3,$CM$4:$CM$42,0)))</f>
        <v>#N/A</v>
      </c>
      <c r="CO12" t="e">
        <f>CO11+IF(AND(Lists!$ET$12&lt;&gt;"",ISNUMBER(SEARCH($AC$4,Lists!$ET$12))),1,0)</f>
        <v>#N/A</v>
      </c>
      <c r="CP12" t="e">
        <f>IF(ROW()-3&gt;MAX($CO$4:$CO$42),"",INDEX(Lists!$ET$4:$ET$42,MATCH(ROW()-3,$CO$4:$CO$42,0)))</f>
        <v>#N/A</v>
      </c>
      <c r="CQ12">
        <f>CQ11+IF(AND(Lists!$EY$12&lt;&gt;"",ISNUMBER(SEARCH($AD$4,Lists!$EY$12))),1,0)</f>
        <v>9</v>
      </c>
      <c r="CR12">
        <f>IF(ROW()-3&gt;MAX($CQ$4:$CQ$42),"",INDEX(Lists!$EY$4:$EY$42,MATCH(ROW()-3,$CQ$4:$CQ$42,0)))</f>
        <v>47964</v>
      </c>
      <c r="CS12" t="e">
        <f>CS11+IF(AND(Lists!$FD$12&lt;&gt;"",ISNUMBER(SEARCH($AE$4,Lists!$FD$12))),1,0)</f>
        <v>#N/A</v>
      </c>
      <c r="CT12" t="e">
        <f>IF(ROW()-3&gt;MAX($CS$4:$CS$42),"",INDEX(Lists!$FD$4:$FD$42,MATCH(ROW()-3,$CS$4:$CS$42,0)))</f>
        <v>#N/A</v>
      </c>
      <c r="CU12" t="e">
        <f>CU11+IF(AND(Lists!$FI$12&lt;&gt;"",ISNUMBER(SEARCH($AF$4,Lists!$FI$12))),1,0)</f>
        <v>#N/A</v>
      </c>
      <c r="CV12" t="e">
        <f>IF(ROW()-3&gt;MAX($CU$4:$CU$42),"",INDEX(Lists!$FI$4:$FI$42,MATCH(ROW()-3,$CU$4:$CU$42,0)))</f>
        <v>#N/A</v>
      </c>
      <c r="CW12" t="e">
        <f>CW11+IF(AND(Lists!$FN$12&lt;&gt;"",ISNUMBER(SEARCH($AG$4,Lists!$FN$12))),1,0)</f>
        <v>#N/A</v>
      </c>
      <c r="CX12" t="e">
        <f>IF(ROW()-3&gt;MAX($CW$4:$CW$42),"",INDEX(Lists!$FN$4:$FN$42,MATCH(ROW()-3,$CW$4:$CW$42,0)))</f>
        <v>#N/A</v>
      </c>
      <c r="CY12" t="e">
        <f>CY11+IF(AND(Lists!$FS$12&lt;&gt;"",ISNUMBER(SEARCH($AH$4,Lists!$FS$12))),1,0)</f>
        <v>#N/A</v>
      </c>
      <c r="CZ12" t="e">
        <f>IF(ROW()-3&gt;MAX($CY$4:$CY$42),"",INDEX(Lists!$FS$4:$FS$42,MATCH(ROW()-3,$CY$4:$CY$42,0)))</f>
        <v>#N/A</v>
      </c>
      <c r="DA12">
        <f>DA11+IF(AND(Lists!$FX$12&lt;&gt;"",ISNUMBER(SEARCH($AI$4,Lists!$FX$12))),1,0)</f>
        <v>2</v>
      </c>
      <c r="DB12" t="str">
        <f>IF(ROW()-3&gt;MAX($DA$4:$DA$42),"",INDEX(Lists!$FX$4:$FX$42,MATCH(ROW()-3,$DA$4:$DA$42,0)))</f>
        <v/>
      </c>
    </row>
    <row r="13" outlineLevel="1" ht="15" customHeight="1" s="137">
      <c r="A13" s="67" t="n">
        <v>1</v>
      </c>
      <c r="B13" s="76">
        <f>IF('Final Calculation Sheet'!$F$38="","",'Final Calculation Sheet'!$F$38)</f>
        <v>2086</v>
      </c>
      <c r="C13" s="76" t="str">
        <f>IF('Final Calculation Sheet'!$G$38="","",'Final Calculation Sheet'!$G$38)</f>
        <v>KASHYAP TRADING CO</v>
      </c>
      <c r="D13" s="80" t="str">
        <f>IF('Final Calculation Sheet'!$B$38="","",'Final Calculation Sheet'!$B$38)</f>
        <v>Scrap of 132 KV CT</v>
      </c>
      <c r="E13" s="80">
        <f>IF('Final Calculation Sheet'!$D$38="","",'Final Calculation Sheet'!$D$38)</f>
        <v>21980</v>
      </c>
      <c r="F13" s="80">
        <f>IF('Final Calculation Sheet'!$A$38="","",'Final Calculation Sheet'!$A$38)</f>
        <v>3</v>
      </c>
      <c r="G13" s="80" t="str">
        <f>IF('Final Calculation Sheet'!$E$38="","",'Final Calculation Sheet'!$E$38)</f>
        <v>NO</v>
      </c>
      <c r="H13" s="70">
        <f>IF('Final Calculation Sheet'!$C$38="","",'Final Calculation Sheet'!$C$38)</f>
        <v>70001</v>
      </c>
      <c r="I13" s="70">
        <f>IF('Final Calculation Sheet'!$H$38="","",'Final Calculation Sheet'!$H$38)</f>
        <v>210003</v>
      </c>
      <c r="J13" s="70">
        <f>IF('Final Calculation Sheet'!$I$38="","",'Final Calculation Sheet'!$I$38)</f>
        <v>37801</v>
      </c>
      <c r="K13" s="70">
        <f>IF('Final Calculation Sheet'!$J$38="","",'Final Calculation Sheet'!$J$38)</f>
        <v>247804</v>
      </c>
      <c r="L13" s="70">
        <f>IF('Final Calculation Sheet'!$K$38="","",'Final Calculation Sheet'!$K$38)</f>
        <v>4956</v>
      </c>
      <c r="M13" s="70">
        <f>IF('Final Calculation Sheet'!$L$38="","",'Final Calculation Sheet'!$L$38)</f>
        <v>210.00300000000001</v>
      </c>
      <c r="N13" s="70">
        <f>IF('Final Calculation Sheet'!$M$38="","",'Final Calculation Sheet'!$M$38)</f>
        <v>5575.5796499999997</v>
      </c>
      <c r="O13" s="71">
        <f>IF('Final Calculation Sheet'!$N$38="","",'Final Calculation Sheet'!$N$38)</f>
        <v>94.501350000000002</v>
      </c>
      <c r="P13" s="70">
        <f>IF('Final Calculation Sheet'!$O$38="","",'Final Calculation Sheet'!$O$38)</f>
        <v>5481.0782999999992</v>
      </c>
      <c r="Q13" s="70">
        <f>IF('Final Calculation Sheet'!$P$38="","",'Final Calculation Sheet'!$P$38)</f>
        <v>5691</v>
      </c>
      <c r="R13" s="72">
        <f>IF('Final Calculation Sheet'!$Q$38="","",'Final Calculation Sheet'!$Q$38)</f>
        <v>0</v>
      </c>
      <c r="S13" s="70">
        <f>IF('Final Calculation Sheet'!$R$38="","",'Final Calculation Sheet'!$R$38)</f>
        <v>0</v>
      </c>
      <c r="T13" s="70">
        <f>IF('Final Calculation Sheet'!$S$38="","",'Final Calculation Sheet'!$S$38)</f>
        <v>247069</v>
      </c>
      <c r="U13" s="70">
        <f>IF('Final Calculation Sheet'!$T$38="","",'Final Calculation Sheet'!$T$38)</f>
        <v>52501</v>
      </c>
      <c r="V13" s="73">
        <f>IF('Final Calculation Sheet'!$U$38="","",'Final Calculation Sheet'!$U$38)</f>
        <v>52501</v>
      </c>
      <c r="W13" s="70" t="str">
        <f>IF('Final Calculation Sheet'!$V$38="","",'Final Calculation Sheet'!$V$38)</f>
        <v>17.08.2026</v>
      </c>
      <c r="X13" s="70">
        <f>IF('Final Calculation Sheet'!$W$38="","",'Final Calculation Sheet'!$W$38)</f>
        <v>194568</v>
      </c>
      <c r="Y13" s="70">
        <f>IF('Final Calculation Sheet'!$X$38="","",'Final Calculation Sheet'!$X$38)</f>
        <v>194568</v>
      </c>
      <c r="Z13" s="70" t="str">
        <f>IF('Final Calculation Sheet'!$Y$38="","",'Final Calculation Sheet'!$Y$38)</f>
        <v>17.08.2026</v>
      </c>
      <c r="AA13" s="70">
        <f>IF('Final Calculation Sheet'!$Z$38="","",'Final Calculation Sheet'!$Z$38)</f>
        <v>0</v>
      </c>
      <c r="AB13" s="70" t="str">
        <f>IF('Final Calculation Sheet'!$AA$38="","",'Final Calculation Sheet'!$AA$38)</f>
        <v/>
      </c>
      <c r="AC13" s="70" t="str">
        <f>IF('Final Calculation Sheet'!$AB$38="","",'Final Calculation Sheet'!$AB$38)</f>
        <v/>
      </c>
      <c r="AD13" s="70">
        <f>IF('Final Calculation Sheet'!$AC$38="","",'Final Calculation Sheet'!$AC$38)</f>
        <v>247069</v>
      </c>
      <c r="AE13" s="70">
        <f>IF('Final Calculation Sheet'!$AD$38="","",'Final Calculation Sheet'!$AD$38)</f>
        <v>0</v>
      </c>
      <c r="AF13" s="70" t="str">
        <f>IF('Final Calculation Sheet'!$AE$38="","",'Final Calculation Sheet'!$AE$38)</f>
        <v>DR2640100025</v>
      </c>
      <c r="AG13" s="74">
        <f>IF('Final Calculation Sheet'!$AF$38="","",'Final Calculation Sheet'!$AF$38)</f>
        <v>1800003226</v>
      </c>
      <c r="AH13" s="70" t="str">
        <f>IF('Final Calculation Sheet'!$AG$38="","",'Final Calculation Sheet'!$AG$38)</f>
        <v>19.08.2026</v>
      </c>
      <c r="AI13" s="75" t="str">
        <f>IF('Final Calculation Sheet'!$AD$38="","",IF('Final Calculation Sheet'!$AD$38&lt;=5,"SETTLED","OUTSTANDING"))</f>
        <v>SETTLED</v>
      </c>
      <c r="AJ13" t="b">
        <f>AND(IF($B$4="",TRUE(),IF($B$4="(blank)",'Final Calculation Sheet'!$F$11="",IF($B$4="(nonblank)",'Final Calculation Sheet'!$F$11&lt;&gt;"",ISNUMBER(SEARCH($B$4,'Final Calculation Sheet'!$F$11))))),IF($C$4="",TRUE(),IF($C$4="(blank)",'Final Calculation Sheet'!$G$11="",IF($C$4="(nonblank)",'Final Calculation Sheet'!$G$11&lt;&gt;"",ISNUMBER(SEARCH($C$4,'Final Calculation Sheet'!$G$11))))),IF($D$4="",TRUE(),IF($D$4="(blank)",'Final Calculation Sheet'!$B$11="",IF($D$4="(nonblank)",'Final Calculation Sheet'!$B$11&lt;&gt;"",ISNUMBER(SEARCH($D$4,'Final Calculation Sheet'!$B$11))))),IF($E$4="",TRUE(),IF($E$4="(blank)",'Final Calculation Sheet'!$D$11="",IF($E$4="(nonblank)",'Final Calculation Sheet'!$D$11&lt;&gt;"",ISNUMBER(SEARCH($E$4,'Final Calculation Sheet'!$D$11))))),IF($F$4="",TRUE(),IF($F$4="(blank)",'Final Calculation Sheet'!$A$11="",IF($F$4="(nonblank)",'Final Calculation Sheet'!$A$11&lt;&gt;"",ISNUMBER(SEARCH($F$4,'Final Calculation Sheet'!$A$11))))),IF($G$4="",TRUE(),IF($G$4="(blank)",'Final Calculation Sheet'!$E$11="",IF($G$4="(nonblank)",'Final Calculation Sheet'!$E$11&lt;&gt;"",ISNUMBER(SEARCH($G$4,'Final Calculation Sheet'!$E$11))))),IF($H$4="",TRUE(),IF($H$4="(blank)",'Final Calculation Sheet'!$C$11="",IF($H$4="(nonblank)",'Final Calculation Sheet'!$C$11&lt;&gt;"",ISNUMBER(SEARCH($H$4,'Final Calculation Sheet'!$C$11))))),IF($I$4="",TRUE(),IF($I$4="(blank)",'Final Calculation Sheet'!$H$11="",IF($I$4="(nonblank)",'Final Calculation Sheet'!$H$11&lt;&gt;"",ISNUMBER(SEARCH($I$4,'Final Calculation Sheet'!$H$11))))),IF($J$4="",TRUE(),IF($J$4="(blank)",'Final Calculation Sheet'!$I$11="",IF($J$4="(nonblank)",'Final Calculation Sheet'!$I$11&lt;&gt;"",ISNUMBER(SEARCH($J$4,'Final Calculation Sheet'!$I$11))))),IF($K$4="",TRUE(),IF($K$4="(blank)",'Final Calculation Sheet'!$J$11="",IF($K$4="(nonblank)",'Final Calculation Sheet'!$J$11&lt;&gt;"",ISNUMBER(SEARCH($K$4,'Final Calculation Sheet'!$J$11))))),IF($L$4="",TRUE(),IF($L$4="(blank)",'Final Calculation Sheet'!$K$11="",IF($L$4="(nonblank)",'Final Calculation Sheet'!$K$11&lt;&gt;"",ISNUMBER(SEARCH($L$4,'Final Calculation Sheet'!$K$11))))),IF($M$4="",TRUE(),IF($M$4="(blank)",'Final Calculation Sheet'!$L$11="",IF($M$4="(nonblank)",'Final Calculation Sheet'!$L$11&lt;&gt;"",ISNUMBER(SEARCH($M$4,'Final Calculation Sheet'!$L$11))))),IF($N$4="",TRUE(),IF($N$4="(blank)",'Final Calculation Sheet'!$M$11="",IF($N$4="(nonblank)",'Final Calculation Sheet'!$M$11&lt;&gt;"",ISNUMBER(SEARCH($N$4,'Final Calculation Sheet'!$M$11))))),IF($O$4="",TRUE(),IF($O$4="(blank)",'Final Calculation Sheet'!$N$11="",IF($O$4="(nonblank)",'Final Calculation Sheet'!$N$11&lt;&gt;"",ISNUMBER(SEARCH($O$4,'Final Calculation Sheet'!$N$11))))),IF($P$4="",TRUE(),IF($P$4="(blank)",'Final Calculation Sheet'!$O$11="",IF($P$4="(nonblank)",'Final Calculation Sheet'!$O$11&lt;&gt;"",ISNUMBER(SEARCH($P$4,'Final Calculation Sheet'!$O$11))))),IF($Q$4="",TRUE(),IF($Q$4="(blank)",'Final Calculation Sheet'!$P$11="",IF($Q$4="(nonblank)",'Final Calculation Sheet'!$P$11&lt;&gt;"",ISNUMBER(SEARCH($Q$4,'Final Calculation Sheet'!$P$11))))),IF($R$4="",TRUE(),IF($R$4="(blank)",'Final Calculation Sheet'!$Q$11="",IF($R$4="(nonblank)",'Final Calculation Sheet'!$Q$11&lt;&gt;"",ISNUMBER(SEARCH($R$4,'Final Calculation Sheet'!$Q$11))))),IF($S$4="",TRUE(),IF($S$4="(blank)",'Final Calculation Sheet'!$R$11="",IF($S$4="(nonblank)",'Final Calculation Sheet'!$R$11&lt;&gt;"",ISNUMBER(SEARCH($S$4,'Final Calculation Sheet'!$R$11))))),IF($T$4="",TRUE(),IF($T$4="(blank)",'Final Calculation Sheet'!$S$11="",IF($T$4="(nonblank)",'Final Calculation Sheet'!$S$11&lt;&gt;"",ISNUMBER(SEARCH($T$4,'Final Calculation Sheet'!$S$11))))),IF($U$4="",TRUE(),IF($U$4="(blank)",'Final Calculation Sheet'!$T$11="",IF($U$4="(nonblank)",'Final Calculation Sheet'!$T$11&lt;&gt;"",ISNUMBER(SEARCH($U$4,'Final Calculation Sheet'!$T$11))))),IF($V$4="",TRUE(),IF($V$4="(blank)",'Final Calculation Sheet'!$U$11="",IF($V$4="(nonblank)",'Final Calculation Sheet'!$U$11&lt;&gt;"",ISNUMBER(SEARCH($V$4,'Final Calculation Sheet'!$U$11))))),IF($W$4="",TRUE(),IF($W$4="(blank)",'Final Calculation Sheet'!$V$11="",IF($W$4="(nonblank)",'Final Calculation Sheet'!$V$11&lt;&gt;"",ISNUMBER(SEARCH($W$4,'Final Calculation Sheet'!$V$11))))),IF($X$4="",TRUE(),IF($X$4="(blank)",'Final Calculation Sheet'!$W$11="",IF($X$4="(nonblank)",'Final Calculation Sheet'!$W$11&lt;&gt;"",ISNUMBER(SEARCH($X$4,'Final Calculation Sheet'!$W$11))))),IF($Y$4="",TRUE(),IF($Y$4="(blank)",'Final Calculation Sheet'!$X$11="",IF($Y$4="(nonblank)",'Final Calculation Sheet'!$X$11&lt;&gt;"",ISNUMBER(SEARCH($Y$4,'Final Calculation Sheet'!$X$11))))),IF($Z$4="",TRUE(),IF($Z$4="(blank)",'Final Calculation Sheet'!$Y$11="",IF($Z$4="(nonblank)",'Final Calculation Sheet'!$Y$11&lt;&gt;"",ISNUMBER(SEARCH($Z$4,'Final Calculation Sheet'!$Y$11))))),IF($AA$4="",TRUE(),IF($AA$4="(blank)",'Final Calculation Sheet'!$Z$11="",IF($AA$4="(nonblank)",'Final Calculation Sheet'!$Z$11&lt;&gt;"",ISNUMBER(SEARCH($AA$4,'Final Calculation Sheet'!$Z$11))))),IF($AB$4="",TRUE(),IF($AB$4="(blank)",'Final Calculation Sheet'!$AA$11="",IF($AB$4="(nonblank)",'Final Calculation Sheet'!$AA$11&lt;&gt;"",ISNUMBER(SEARCH($AB$4,'Final Calculation Sheet'!$AA$11))))),IF($AC$4="",TRUE(),IF($AC$4="(blank)",'Final Calculation Sheet'!$AB$11="",IF($AC$4="(nonblank)",'Final Calculation Sheet'!$AB$11&lt;&gt;"",ISNUMBER(SEARCH($AC$4,'Final Calculation Sheet'!$AB$11))))),IF($AD$4="",TRUE(),IF($AD$4="(blank)",'Final Calculation Sheet'!$AC$11="",IF($AD$4="(nonblank)",'Final Calculation Sheet'!$AC$11&lt;&gt;"",ISNUMBER(SEARCH($AD$4,'Final Calculation Sheet'!$AC$11))))),IF($AE$4="",TRUE(),IF($AE$4="(blank)",'Final Calculation Sheet'!$AD$11="",IF($AE$4="(nonblank)",'Final Calculation Sheet'!$AD$11&lt;&gt;"",ISNUMBER(SEARCH($AE$4,'Final Calculation Sheet'!$AD$11))))),IF($AF$4="",TRUE(),IF($AF$4="(blank)",'Final Calculation Sheet'!$AE$11="",IF($AF$4="(nonblank)",'Final Calculation Sheet'!$AE$11&lt;&gt;"",ISNUMBER(SEARCH($AF$4,'Final Calculation Sheet'!$AE$11))))),IF($AG$4="",TRUE(),IF($AG$4="(blank)",'Final Calculation Sheet'!$AF$11="",IF($AG$4="(nonblank)",'Final Calculation Sheet'!$AF$11&lt;&gt;"",ISNUMBER(SEARCH($AG$4,'Final Calculation Sheet'!$AF$11))))),IF($AH$4="",TRUE(),IF($AH$4="(blank)",'Final Calculation Sheet'!$AG$11="",IF($AH$4="(nonblank)",'Final Calculation Sheet'!$AG$11&lt;&gt;"",ISNUMBER(SEARCH($AH$4,'Final Calculation Sheet'!$AG$11))))),IF($AI$4="",TRUE(),IF($AI$4="(blank)",IF('Final Calculation Sheet'!$AD$11&lt;=5,"SETTLED","OUTSTANDING")="",IF($AI$4="(nonblank)",IF('Final Calculation Sheet'!$AD$11&lt;=5,"SETTLED","OUTSTANDING")&lt;&gt;"",ISNUMBER(SEARCH($AI$4,IF('Final Calculation Sheet'!$AD$11&lt;=5,"SETTLED","OUTSTANDING")))))))</f>
        <v>1</v>
      </c>
      <c r="AK13" t="str">
        <f>IF(AJ13=1,COUNTIF(AJ$6:AJ13,1),"")</f>
        <v/>
      </c>
      <c r="AM13">
        <f>AM12+IF(AND(Lists!$O$13&lt;&gt;"",ISNUMBER(SEARCH($B$4,Lists!$O$13))),1,0)</f>
        <v>10</v>
      </c>
      <c r="AN13">
        <f>IF(ROW()-3&gt;MAX($AM$4:$AM$42),"",INDEX(Lists!$O$4:$O$42,MATCH(ROW()-3,$AM$4:$AM$42,0)))</f>
        <v>2006</v>
      </c>
      <c r="AO13">
        <f>AO12+IF(AND(Lists!$T$13&lt;&gt;"",ISNUMBER(SEARCH($C$4,Lists!$T$13))),1,0)</f>
        <v>10</v>
      </c>
      <c r="AP13" t="str">
        <f>IF(ROW()-3&gt;MAX($AO$4:$AO$42),"",INDEX(Lists!$T$4:$T$42,MATCH(ROW()-3,$AO$4:$AO$42,0)))</f>
        <v>SAHARA ENTERPRISES</v>
      </c>
      <c r="AQ13">
        <f>AQ12+IF(AND(Lists!$Y$13&lt;&gt;"",ISNUMBER(SEARCH($D$4,Lists!$Y$13))),1,0)</f>
        <v>10</v>
      </c>
      <c r="AR13" t="str">
        <f>IF(ROW()-3&gt;MAX($AQ$4:$AQ$42),"",INDEX(Lists!$Y$4:$Y$42,MATCH(ROW()-3,$AQ$4:$AQ$42,0)))</f>
        <v>Scrap of 220 KV CT</v>
      </c>
      <c r="AS13">
        <f>AS12+IF(AND(Lists!$AD$13&lt;&gt;"",ISNUMBER(SEARCH($E$4,Lists!$AD$13))),1,0)</f>
        <v>4</v>
      </c>
      <c r="AT13" t="str">
        <f>IF(ROW()-3&gt;MAX($AS$4:$AS$42),"",INDEX(Lists!$AD$4:$AD$42,MATCH(ROW()-3,$AS$4:$AS$42,0)))</f>
        <v/>
      </c>
      <c r="AU13">
        <f>AU12+IF(AND(Lists!$AI$13&lt;&gt;"",ISNUMBER(SEARCH($F$4,Lists!$AI$13))),1,0)</f>
        <v>10</v>
      </c>
      <c r="AV13">
        <f>IF(ROW()-3&gt;MAX($AU$4:$AU$42),"",INDEX(Lists!$AI$4:$AI$42,MATCH(ROW()-3,$AU$4:$AU$42,0)))</f>
        <v>30</v>
      </c>
      <c r="AW13">
        <f>AW12+IF(AND(Lists!$AN$13&lt;&gt;"",ISNUMBER(SEARCH($G$4,Lists!$AN$13))),1,0)</f>
        <v>3</v>
      </c>
      <c r="AX13" t="str">
        <f>IF(ROW()-3&gt;MAX($AW$4:$AW$42),"",INDEX(Lists!$AN$4:$AN$42,MATCH(ROW()-3,$AW$4:$AW$42,0)))</f>
        <v/>
      </c>
      <c r="AY13">
        <f>AY12+IF(AND(Lists!$AS$13&lt;&gt;"",ISNUMBER(SEARCH($H$4,Lists!$AS$13))),1,0)</f>
        <v>10</v>
      </c>
      <c r="AZ13">
        <f>IF(ROW()-3&gt;MAX($AY$4:$AY$42),"",INDEX(Lists!$AS$4:$AS$42,MATCH(ROW()-3,$AY$4:$AY$42,0)))</f>
        <v>700</v>
      </c>
      <c r="BA13">
        <f>BA12+IF(AND(Lists!$AX$13&lt;&gt;"",ISNUMBER(SEARCH($I$4,Lists!$AX$13))),1,0)</f>
        <v>10</v>
      </c>
      <c r="BB13">
        <f>IF(ROW()-3&gt;MAX($BA$4:$BA$42),"",INDEX(Lists!$AX$4:$AX$42,MATCH(ROW()-3,$BA$4:$BA$42,0)))</f>
        <v>54000</v>
      </c>
      <c r="BC13">
        <f>BC12+IF(AND(Lists!$BC$13&lt;&gt;"",ISNUMBER(SEARCH($J$4,Lists!$BC$13))),1,0)</f>
        <v>10</v>
      </c>
      <c r="BD13">
        <f>IF(ROW()-3&gt;MAX($BC$4:$BC$42),"",INDEX(Lists!$BC$4:$BC$42,MATCH(ROW()-3,$BC$4:$BC$42,0)))</f>
        <v>9720</v>
      </c>
      <c r="BE13">
        <f>BE12+IF(AND(Lists!$BH$13&lt;&gt;"",ISNUMBER(SEARCH($K$4,Lists!$BH$13))),1,0)</f>
        <v>10</v>
      </c>
      <c r="BF13">
        <f>IF(ROW()-3&gt;MAX($BE$4:$BE$42),"",INDEX(Lists!$BH$4:$BH$42,MATCH(ROW()-3,$BE$4:$BE$42,0)))</f>
        <v>63720</v>
      </c>
      <c r="BG13">
        <f>BG12+IF(AND(Lists!$BM$13&lt;&gt;"",ISNUMBER(SEARCH($L$4,Lists!$BM$13))),1,0)</f>
        <v>10</v>
      </c>
      <c r="BH13">
        <f>IF(ROW()-3&gt;MAX($BG$4:$BG$42),"",INDEX(Lists!$BM$4:$BM$42,MATCH(ROW()-3,$BG$4:$BG$42,0)))</f>
        <v>1274</v>
      </c>
      <c r="BI13">
        <f>BI12+IF(AND(Lists!$BR$13&lt;&gt;"",ISNUMBER(SEARCH($M$4,Lists!$BR$13))),1,0)</f>
        <v>10</v>
      </c>
      <c r="BJ13">
        <f>IF(ROW()-3&gt;MAX($BI$4:$BI$42),"",INDEX(Lists!$BR$4:$BR$42,MATCH(ROW()-3,$BI$4:$BI$42,0)))</f>
        <v>54</v>
      </c>
      <c r="BK13">
        <f>BK12+IF(AND(Lists!$BW$13&lt;&gt;"",ISNUMBER(SEARCH($N$4,Lists!$BW$13))),1,0)</f>
        <v>10</v>
      </c>
      <c r="BL13">
        <f>IF(ROW()-3&gt;MAX($BK$4:$BK$42),"",INDEX(Lists!$BW$4:$BW$42,MATCH(ROW()-3,$BK$4:$BK$42,0)))</f>
        <v>1433.6999999999998</v>
      </c>
      <c r="BM13">
        <f>BM12+IF(AND(Lists!$CB$13&lt;&gt;"",ISNUMBER(SEARCH($O$4,Lists!$CB$13))),1,0)</f>
        <v>10</v>
      </c>
      <c r="BN13">
        <f>IF(ROW()-3&gt;MAX($BM$4:$BM$42),"",INDEX(Lists!$CB$4:$CB$42,MATCH(ROW()-3,$BM$4:$BM$42,0)))</f>
        <v>24.3</v>
      </c>
      <c r="BO13">
        <f>BO12+IF(AND(Lists!$CG$13&lt;&gt;"",ISNUMBER(SEARCH($P$4,Lists!$CG$13))),1,0)</f>
        <v>10</v>
      </c>
      <c r="BP13">
        <f>IF(ROW()-3&gt;MAX($BO$4:$BO$42),"",INDEX(Lists!$CG$4:$CG$42,MATCH(ROW()-3,$BO$4:$BO$42,0)))</f>
        <v>1409.3999999999999</v>
      </c>
      <c r="BQ13">
        <f>BQ12+IF(AND(Lists!$CL$13&lt;&gt;"",ISNUMBER(SEARCH($Q$4,Lists!$CL$13))),1,0)</f>
        <v>10</v>
      </c>
      <c r="BR13">
        <f>IF(ROW()-3&gt;MAX($BQ$4:$BQ$42),"",INDEX(Lists!$CL$4:$CL$42,MATCH(ROW()-3,$BQ$4:$BQ$42,0)))</f>
        <v>1463</v>
      </c>
      <c r="BS13">
        <f>BS12+IF(AND(Lists!$CQ$13&lt;&gt;"",ISNUMBER(SEARCH($R$4,Lists!$CQ$13))),1,0)</f>
        <v>2</v>
      </c>
      <c r="BT13" t="str">
        <f>IF(ROW()-3&gt;MAX($BS$4:$BS$42),"",INDEX(Lists!$CQ$4:$CQ$42,MATCH(ROW()-3,$BS$4:$BS$42,0)))</f>
        <v/>
      </c>
      <c r="BU13">
        <f>BU12+IF(AND(Lists!$CV$13&lt;&gt;"",ISNUMBER(SEARCH($S$4,Lists!$CV$13))),1,0)</f>
        <v>5</v>
      </c>
      <c r="BV13" t="str">
        <f>IF(ROW()-3&gt;MAX($BU$4:$BU$42),"",INDEX(Lists!$CV$4:$CV$42,MATCH(ROW()-3,$BU$4:$BU$42,0)))</f>
        <v/>
      </c>
      <c r="BW13">
        <f>BW12+IF(AND(Lists!$DA$13&lt;&gt;"",ISNUMBER(SEARCH($T$4,Lists!$DA$13))),1,0)</f>
        <v>10</v>
      </c>
      <c r="BX13">
        <f>IF(ROW()-3&gt;MAX($BW$4:$BW$42),"",INDEX(Lists!$DA$4:$DA$42,MATCH(ROW()-3,$BW$4:$BW$42,0)))</f>
        <v>63531</v>
      </c>
      <c r="BY13">
        <f>BY12+IF(AND(Lists!$DF$13&lt;&gt;"",ISNUMBER(SEARCH($U$4,Lists!$DF$13))),1,0)</f>
        <v>10</v>
      </c>
      <c r="BZ13">
        <f>IF(ROW()-3&gt;MAX($BY$4:$BY$42),"",INDEX(Lists!$DF$4:$DF$42,MATCH(ROW()-3,$BY$4:$BY$42,0)))</f>
        <v>13500</v>
      </c>
      <c r="CA13">
        <f>CA12+IF(AND(Lists!$DK$13&lt;&gt;"",ISNUMBER(SEARCH($V$4,Lists!$DK$13))),1,0)</f>
        <v>10</v>
      </c>
      <c r="CB13">
        <f>IF(ROW()-3&gt;MAX($CA$4:$CA$42),"",INDEX(Lists!$DK$4:$DK$42,MATCH(ROW()-3,$CA$4:$CA$42,0)))</f>
        <v>13500</v>
      </c>
      <c r="CC13">
        <f>CC12+IF(AND(Lists!$DP$13&lt;&gt;"",ISNUMBER(SEARCH($W$4,Lists!$DP$13))),1,0)</f>
        <v>6</v>
      </c>
      <c r="CD13" t="str">
        <f>IF(ROW()-3&gt;MAX($CC$4:$CC$42),"",INDEX(Lists!$DP$4:$DP$42,MATCH(ROW()-3,$CC$4:$CC$42,0)))</f>
        <v/>
      </c>
      <c r="CE13">
        <f>CE12+IF(AND(Lists!$DU$13&lt;&gt;"",ISNUMBER(SEARCH($X$4,Lists!$DU$13))),1,0)</f>
        <v>10</v>
      </c>
      <c r="CF13">
        <f>IF(ROW()-3&gt;MAX($CE$4:$CE$42),"",INDEX(Lists!$DU$4:$DU$42,MATCH(ROW()-3,$CE$4:$CE$42,0)))</f>
        <v>50031</v>
      </c>
      <c r="CG13" t="e">
        <f>CG12+IF(AND(Lists!$DZ$13&lt;&gt;"",ISNUMBER(SEARCH($Y$4,Lists!$DZ$13))),1,0)</f>
        <v>#N/A</v>
      </c>
      <c r="CH13" t="e">
        <f>IF(ROW()-3&gt;MAX($CG$4:$CG$42),"",INDEX(Lists!$DZ$4:$DZ$42,MATCH(ROW()-3,$CG$4:$CG$42,0)))</f>
        <v>#N/A</v>
      </c>
      <c r="CI13" t="e">
        <f>CI12+IF(AND(Lists!$EE$13&lt;&gt;"",ISNUMBER(SEARCH($Z$4,Lists!$EE$13))),1,0)</f>
        <v>#N/A</v>
      </c>
      <c r="CJ13" t="e">
        <f>IF(ROW()-3&gt;MAX($CI$4:$CI$42),"",INDEX(Lists!$EE$4:$EE$42,MATCH(ROW()-3,$CI$4:$CI$42,0)))</f>
        <v>#N/A</v>
      </c>
      <c r="CK13">
        <f>CK12+IF(AND(Lists!$EJ$13&lt;&gt;"",ISNUMBER(SEARCH($AA$4,Lists!$EJ$13))),1,0)</f>
        <v>6</v>
      </c>
      <c r="CL13" t="str">
        <f>IF(ROW()-3&gt;MAX($CK$4:$CK$42),"",INDEX(Lists!$EJ$4:$EJ$42,MATCH(ROW()-3,$CK$4:$CK$42,0)))</f>
        <v/>
      </c>
      <c r="CM13" t="e">
        <f>CM12+IF(AND(Lists!$EO$13&lt;&gt;"",ISNUMBER(SEARCH($AB$4,Lists!$EO$13))),1,0)</f>
        <v>#N/A</v>
      </c>
      <c r="CN13" t="e">
        <f>IF(ROW()-3&gt;MAX($CM$4:$CM$42),"",INDEX(Lists!$EO$4:$EO$42,MATCH(ROW()-3,$CM$4:$CM$42,0)))</f>
        <v>#N/A</v>
      </c>
      <c r="CO13" t="e">
        <f>CO12+IF(AND(Lists!$ET$13&lt;&gt;"",ISNUMBER(SEARCH($AC$4,Lists!$ET$13))),1,0)</f>
        <v>#N/A</v>
      </c>
      <c r="CP13" t="e">
        <f>IF(ROW()-3&gt;MAX($CO$4:$CO$42),"",INDEX(Lists!$ET$4:$ET$42,MATCH(ROW()-3,$CO$4:$CO$42,0)))</f>
        <v>#N/A</v>
      </c>
      <c r="CQ13">
        <f>CQ12+IF(AND(Lists!$EY$13&lt;&gt;"",ISNUMBER(SEARCH($AD$4,Lists!$EY$13))),1,0)</f>
        <v>10</v>
      </c>
      <c r="CR13">
        <f>IF(ROW()-3&gt;MAX($CQ$4:$CQ$42),"",INDEX(Lists!$EY$4:$EY$42,MATCH(ROW()-3,$CQ$4:$CQ$42,0)))</f>
        <v>58829</v>
      </c>
      <c r="CS13" t="e">
        <f>CS12+IF(AND(Lists!$FD$13&lt;&gt;"",ISNUMBER(SEARCH($AE$4,Lists!$FD$13))),1,0)</f>
        <v>#N/A</v>
      </c>
      <c r="CT13" t="e">
        <f>IF(ROW()-3&gt;MAX($CS$4:$CS$42),"",INDEX(Lists!$FD$4:$FD$42,MATCH(ROW()-3,$CS$4:$CS$42,0)))</f>
        <v>#N/A</v>
      </c>
      <c r="CU13" t="e">
        <f>CU12+IF(AND(Lists!$FI$13&lt;&gt;"",ISNUMBER(SEARCH($AF$4,Lists!$FI$13))),1,0)</f>
        <v>#N/A</v>
      </c>
      <c r="CV13" t="e">
        <f>IF(ROW()-3&gt;MAX($CU$4:$CU$42),"",INDEX(Lists!$FI$4:$FI$42,MATCH(ROW()-3,$CU$4:$CU$42,0)))</f>
        <v>#N/A</v>
      </c>
      <c r="CW13" t="e">
        <f>CW12+IF(AND(Lists!$FN$13&lt;&gt;"",ISNUMBER(SEARCH($AG$4,Lists!$FN$13))),1,0)</f>
        <v>#N/A</v>
      </c>
      <c r="CX13" t="e">
        <f>IF(ROW()-3&gt;MAX($CW$4:$CW$42),"",INDEX(Lists!$FN$4:$FN$42,MATCH(ROW()-3,$CW$4:$CW$42,0)))</f>
        <v>#N/A</v>
      </c>
      <c r="CY13" t="e">
        <f>CY12+IF(AND(Lists!$FS$13&lt;&gt;"",ISNUMBER(SEARCH($AH$4,Lists!$FS$13))),1,0)</f>
        <v>#N/A</v>
      </c>
      <c r="CZ13" t="e">
        <f>IF(ROW()-3&gt;MAX($CY$4:$CY$42),"",INDEX(Lists!$FS$4:$FS$42,MATCH(ROW()-3,$CY$4:$CY$42,0)))</f>
        <v>#N/A</v>
      </c>
      <c r="DA13">
        <f>DA12+IF(AND(Lists!$FX$13&lt;&gt;"",ISNUMBER(SEARCH($AI$4,Lists!$FX$13))),1,0)</f>
        <v>2</v>
      </c>
      <c r="DB13" t="str">
        <f>IF(ROW()-3&gt;MAX($DA$4:$DA$42),"",INDEX(Lists!$FX$4:$FX$42,MATCH(ROW()-3,$DA$4:$DA$42,0)))</f>
        <v/>
      </c>
    </row>
    <row r="14" ht="15" customHeight="1" s="137">
      <c r="A14" s="81" t="inlineStr">
        <is>
          <t>∑</t>
        </is>
      </c>
      <c r="B14" s="83" t="n"/>
      <c r="C14" s="83" t="str">
        <f>ROWS($C$13:$C$13)&amp;" lot(s)"</f>
        <v>1 lot(s)</v>
      </c>
      <c r="D14" s="83" t="inlineStr">
        <is>
          <t>SUBTOTAL — KASHYAP TRADING CO</t>
        </is>
      </c>
      <c r="E14" s="83" t="inlineStr">
        <is>
          <t>–</t>
        </is>
      </c>
      <c r="F14" s="83">
        <f>SUM(F13:F13)</f>
        <v>3</v>
      </c>
      <c r="G14" s="83" t="inlineStr">
        <is>
          <t>–</t>
        </is>
      </c>
      <c r="H14" s="84" t="inlineStr">
        <is>
          <t>–</t>
        </is>
      </c>
      <c r="I14" s="84">
        <f>SUM(I13:I13)</f>
        <v>210003</v>
      </c>
      <c r="J14" s="84">
        <f>SUM(J13:J13)</f>
        <v>37801</v>
      </c>
      <c r="K14" s="84">
        <f>SUM(K13:K13)</f>
        <v>247804</v>
      </c>
      <c r="L14" s="84">
        <f>SUM(L13:L13)</f>
        <v>4956</v>
      </c>
      <c r="M14" s="84">
        <f>SUM(M13:M13)</f>
        <v>210.00300000000001</v>
      </c>
      <c r="N14" s="84">
        <f>SUM(N13:N13)</f>
        <v>5575.5796499999997</v>
      </c>
      <c r="O14" s="85">
        <f>SUM(O13:O13)</f>
        <v>94.501350000000002</v>
      </c>
      <c r="P14" s="84">
        <f>SUM(P13:P13)</f>
        <v>5481.0782999999992</v>
      </c>
      <c r="Q14" s="84">
        <f>SUM(Q13:Q13)</f>
        <v>5691</v>
      </c>
      <c r="R14" s="86" t="inlineStr">
        <is>
          <t>–</t>
        </is>
      </c>
      <c r="S14" s="84">
        <f>SUM(S13:S13)</f>
        <v>0</v>
      </c>
      <c r="T14" s="84">
        <f>SUM(T13:T13)</f>
        <v>247069</v>
      </c>
      <c r="U14" s="84">
        <f>SUM(U13:U13)</f>
        <v>52501</v>
      </c>
      <c r="V14" s="87">
        <f>SUM(V13:V13)</f>
        <v>52501</v>
      </c>
      <c r="W14" s="84" t="inlineStr">
        <is>
          <t>–</t>
        </is>
      </c>
      <c r="X14" s="84">
        <f>SUM(X13:X13)</f>
        <v>194568</v>
      </c>
      <c r="Y14" s="84">
        <f>SUM(Y13:Y13)</f>
        <v>194568</v>
      </c>
      <c r="Z14" s="84" t="inlineStr">
        <is>
          <t>–</t>
        </is>
      </c>
      <c r="AA14" s="84">
        <f>SUM(AA13:AA13)</f>
        <v>0</v>
      </c>
      <c r="AB14" s="84">
        <f>SUM(AB13:AB13)</f>
        <v>0</v>
      </c>
      <c r="AC14" s="84" t="inlineStr">
        <is>
          <t>–</t>
        </is>
      </c>
      <c r="AD14" s="84">
        <f>SUM(AD13:AD13)</f>
        <v>247069</v>
      </c>
      <c r="AE14" s="84">
        <f>SUM(AE13:AE13)</f>
        <v>0</v>
      </c>
      <c r="AF14" s="84" t="inlineStr">
        <is>
          <t>–</t>
        </is>
      </c>
      <c r="AG14" s="88" t="inlineStr">
        <is>
          <t>–</t>
        </is>
      </c>
      <c r="AH14" s="84" t="inlineStr">
        <is>
          <t>–</t>
        </is>
      </c>
      <c r="AI14" s="89" t="str">
        <f>IF(AE14&lt;=5,"SETTLED","OUTSTANDING")</f>
        <v>SETTLED</v>
      </c>
      <c r="AJ14" t="b">
        <f>AND(IF($B$4="",TRUE(),IF($B$4="(blank)",'Final Calculation Sheet'!$F$12="",IF($B$4="(nonblank)",'Final Calculation Sheet'!$F$12&lt;&gt;"",ISNUMBER(SEARCH($B$4,'Final Calculation Sheet'!$F$12))))),IF($C$4="",TRUE(),IF($C$4="(blank)",'Final Calculation Sheet'!$G$12="",IF($C$4="(nonblank)",'Final Calculation Sheet'!$G$12&lt;&gt;"",ISNUMBER(SEARCH($C$4,'Final Calculation Sheet'!$G$12))))),IF($D$4="",TRUE(),IF($D$4="(blank)",'Final Calculation Sheet'!$B$12="",IF($D$4="(nonblank)",'Final Calculation Sheet'!$B$12&lt;&gt;"",ISNUMBER(SEARCH($D$4,'Final Calculation Sheet'!$B$12))))),IF($E$4="",TRUE(),IF($E$4="(blank)",'Final Calculation Sheet'!$D$12="",IF($E$4="(nonblank)",'Final Calculation Sheet'!$D$12&lt;&gt;"",ISNUMBER(SEARCH($E$4,'Final Calculation Sheet'!$D$12))))),IF($F$4="",TRUE(),IF($F$4="(blank)",'Final Calculation Sheet'!$A$12="",IF($F$4="(nonblank)",'Final Calculation Sheet'!$A$12&lt;&gt;"",ISNUMBER(SEARCH($F$4,'Final Calculation Sheet'!$A$12))))),IF($G$4="",TRUE(),IF($G$4="(blank)",'Final Calculation Sheet'!$E$12="",IF($G$4="(nonblank)",'Final Calculation Sheet'!$E$12&lt;&gt;"",ISNUMBER(SEARCH($G$4,'Final Calculation Sheet'!$E$12))))),IF($H$4="",TRUE(),IF($H$4="(blank)",'Final Calculation Sheet'!$C$12="",IF($H$4="(nonblank)",'Final Calculation Sheet'!$C$12&lt;&gt;"",ISNUMBER(SEARCH($H$4,'Final Calculation Sheet'!$C$12))))),IF($I$4="",TRUE(),IF($I$4="(blank)",'Final Calculation Sheet'!$H$12="",IF($I$4="(nonblank)",'Final Calculation Sheet'!$H$12&lt;&gt;"",ISNUMBER(SEARCH($I$4,'Final Calculation Sheet'!$H$12))))),IF($J$4="",TRUE(),IF($J$4="(blank)",'Final Calculation Sheet'!$I$12="",IF($J$4="(nonblank)",'Final Calculation Sheet'!$I$12&lt;&gt;"",ISNUMBER(SEARCH($J$4,'Final Calculation Sheet'!$I$12))))),IF($K$4="",TRUE(),IF($K$4="(blank)",'Final Calculation Sheet'!$J$12="",IF($K$4="(nonblank)",'Final Calculation Sheet'!$J$12&lt;&gt;"",ISNUMBER(SEARCH($K$4,'Final Calculation Sheet'!$J$12))))),IF($L$4="",TRUE(),IF($L$4="(blank)",'Final Calculation Sheet'!$K$12="",IF($L$4="(nonblank)",'Final Calculation Sheet'!$K$12&lt;&gt;"",ISNUMBER(SEARCH($L$4,'Final Calculation Sheet'!$K$12))))),IF($M$4="",TRUE(),IF($M$4="(blank)",'Final Calculation Sheet'!$L$12="",IF($M$4="(nonblank)",'Final Calculation Sheet'!$L$12&lt;&gt;"",ISNUMBER(SEARCH($M$4,'Final Calculation Sheet'!$L$12))))),IF($N$4="",TRUE(),IF($N$4="(blank)",'Final Calculation Sheet'!$M$12="",IF($N$4="(nonblank)",'Final Calculation Sheet'!$M$12&lt;&gt;"",ISNUMBER(SEARCH($N$4,'Final Calculation Sheet'!$M$12))))),IF($O$4="",TRUE(),IF($O$4="(blank)",'Final Calculation Sheet'!$N$12="",IF($O$4="(nonblank)",'Final Calculation Sheet'!$N$12&lt;&gt;"",ISNUMBER(SEARCH($O$4,'Final Calculation Sheet'!$N$12))))),IF($P$4="",TRUE(),IF($P$4="(blank)",'Final Calculation Sheet'!$O$12="",IF($P$4="(nonblank)",'Final Calculation Sheet'!$O$12&lt;&gt;"",ISNUMBER(SEARCH($P$4,'Final Calculation Sheet'!$O$12))))),IF($Q$4="",TRUE(),IF($Q$4="(blank)",'Final Calculation Sheet'!$P$12="",IF($Q$4="(nonblank)",'Final Calculation Sheet'!$P$12&lt;&gt;"",ISNUMBER(SEARCH($Q$4,'Final Calculation Sheet'!$P$12))))),IF($R$4="",TRUE(),IF($R$4="(blank)",'Final Calculation Sheet'!$Q$12="",IF($R$4="(nonblank)",'Final Calculation Sheet'!$Q$12&lt;&gt;"",ISNUMBER(SEARCH($R$4,'Final Calculation Sheet'!$Q$12))))),IF($S$4="",TRUE(),IF($S$4="(blank)",'Final Calculation Sheet'!$R$12="",IF($S$4="(nonblank)",'Final Calculation Sheet'!$R$12&lt;&gt;"",ISNUMBER(SEARCH($S$4,'Final Calculation Sheet'!$R$12))))),IF($T$4="",TRUE(),IF($T$4="(blank)",'Final Calculation Sheet'!$S$12="",IF($T$4="(nonblank)",'Final Calculation Sheet'!$S$12&lt;&gt;"",ISNUMBER(SEARCH($T$4,'Final Calculation Sheet'!$S$12))))),IF($U$4="",TRUE(),IF($U$4="(blank)",'Final Calculation Sheet'!$T$12="",IF($U$4="(nonblank)",'Final Calculation Sheet'!$T$12&lt;&gt;"",ISNUMBER(SEARCH($U$4,'Final Calculation Sheet'!$T$12))))),IF($V$4="",TRUE(),IF($V$4="(blank)",'Final Calculation Sheet'!$U$12="",IF($V$4="(nonblank)",'Final Calculation Sheet'!$U$12&lt;&gt;"",ISNUMBER(SEARCH($V$4,'Final Calculation Sheet'!$U$12))))),IF($W$4="",TRUE(),IF($W$4="(blank)",'Final Calculation Sheet'!$V$12="",IF($W$4="(nonblank)",'Final Calculation Sheet'!$V$12&lt;&gt;"",ISNUMBER(SEARCH($W$4,'Final Calculation Sheet'!$V$12))))),IF($X$4="",TRUE(),IF($X$4="(blank)",'Final Calculation Sheet'!$W$12="",IF($X$4="(nonblank)",'Final Calculation Sheet'!$W$12&lt;&gt;"",ISNUMBER(SEARCH($X$4,'Final Calculation Sheet'!$W$12))))),IF($Y$4="",TRUE(),IF($Y$4="(blank)",'Final Calculation Sheet'!$X$12="",IF($Y$4="(nonblank)",'Final Calculation Sheet'!$X$12&lt;&gt;"",ISNUMBER(SEARCH($Y$4,'Final Calculation Sheet'!$X$12))))),IF($Z$4="",TRUE(),IF($Z$4="(blank)",'Final Calculation Sheet'!$Y$12="",IF($Z$4="(nonblank)",'Final Calculation Sheet'!$Y$12&lt;&gt;"",ISNUMBER(SEARCH($Z$4,'Final Calculation Sheet'!$Y$12))))),IF($AA$4="",TRUE(),IF($AA$4="(blank)",'Final Calculation Sheet'!$Z$12="",IF($AA$4="(nonblank)",'Final Calculation Sheet'!$Z$12&lt;&gt;"",ISNUMBER(SEARCH($AA$4,'Final Calculation Sheet'!$Z$12))))),IF($AB$4="",TRUE(),IF($AB$4="(blank)",'Final Calculation Sheet'!$AA$12="",IF($AB$4="(nonblank)",'Final Calculation Sheet'!$AA$12&lt;&gt;"",ISNUMBER(SEARCH($AB$4,'Final Calculation Sheet'!$AA$12))))),IF($AC$4="",TRUE(),IF($AC$4="(blank)",'Final Calculation Sheet'!$AB$12="",IF($AC$4="(nonblank)",'Final Calculation Sheet'!$AB$12&lt;&gt;"",ISNUMBER(SEARCH($AC$4,'Final Calculation Sheet'!$AB$12))))),IF($AD$4="",TRUE(),IF($AD$4="(blank)",'Final Calculation Sheet'!$AC$12="",IF($AD$4="(nonblank)",'Final Calculation Sheet'!$AC$12&lt;&gt;"",ISNUMBER(SEARCH($AD$4,'Final Calculation Sheet'!$AC$12))))),IF($AE$4="",TRUE(),IF($AE$4="(blank)",'Final Calculation Sheet'!$AD$12="",IF($AE$4="(nonblank)",'Final Calculation Sheet'!$AD$12&lt;&gt;"",ISNUMBER(SEARCH($AE$4,'Final Calculation Sheet'!$AD$12))))),IF($AF$4="",TRUE(),IF($AF$4="(blank)",'Final Calculation Sheet'!$AE$12="",IF($AF$4="(nonblank)",'Final Calculation Sheet'!$AE$12&lt;&gt;"",ISNUMBER(SEARCH($AF$4,'Final Calculation Sheet'!$AE$12))))),IF($AG$4="",TRUE(),IF($AG$4="(blank)",'Final Calculation Sheet'!$AF$12="",IF($AG$4="(nonblank)",'Final Calculation Sheet'!$AF$12&lt;&gt;"",ISNUMBER(SEARCH($AG$4,'Final Calculation Sheet'!$AF$12))))),IF($AH$4="",TRUE(),IF($AH$4="(blank)",'Final Calculation Sheet'!$AG$12="",IF($AH$4="(nonblank)",'Final Calculation Sheet'!$AG$12&lt;&gt;"",ISNUMBER(SEARCH($AH$4,'Final Calculation Sheet'!$AG$12))))),IF($AI$4="",TRUE(),IF($AI$4="(blank)",IF('Final Calculation Sheet'!$AD$12&lt;=5,"SETTLED","OUTSTANDING")="",IF($AI$4="(nonblank)",IF('Final Calculation Sheet'!$AD$12&lt;=5,"SETTLED","OUTSTANDING")&lt;&gt;"",ISNUMBER(SEARCH($AI$4,IF('Final Calculation Sheet'!$AD$12&lt;=5,"SETTLED","OUTSTANDING")))))))</f>
        <v>1</v>
      </c>
      <c r="AK14" t="str">
        <f>IF(AJ14=1,COUNTIF(AJ$6:AJ14,1),"")</f>
        <v/>
      </c>
      <c r="AM14">
        <f>AM13+IF(AND(Lists!$O$14&lt;&gt;"",ISNUMBER(SEARCH($B$4,Lists!$O$14))),1,0)</f>
        <v>11</v>
      </c>
      <c r="AN14">
        <f>IF(ROW()-3&gt;MAX($AM$4:$AM$42),"",INDEX(Lists!$O$4:$O$42,MATCH(ROW()-3,$AM$4:$AM$42,0)))</f>
        <v>2007</v>
      </c>
      <c r="AO14">
        <f>AO13+IF(AND(Lists!$T$14&lt;&gt;"",ISNUMBER(SEARCH($C$4,Lists!$T$14))),1,0)</f>
        <v>11</v>
      </c>
      <c r="AP14" t="str">
        <f>IF(ROW()-3&gt;MAX($AO$4:$AO$42),"",INDEX(Lists!$T$4:$T$42,MATCH(ROW()-3,$AO$4:$AO$42,0)))</f>
        <v>SHAR JAHAN TRADERS</v>
      </c>
      <c r="AQ14">
        <f>AQ13+IF(AND(Lists!$Y$14&lt;&gt;"",ISNUMBER(SEARCH($D$4,Lists!$Y$14))),1,0)</f>
        <v>11</v>
      </c>
      <c r="AR14" t="str">
        <f>IF(ROW()-3&gt;MAX($AQ$4:$AQ$42),"",INDEX(Lists!$Y$4:$Y$42,MATCH(ROW()-3,$AQ$4:$AQ$42,0)))</f>
        <v>Scrap of 220KV CT</v>
      </c>
      <c r="AS14">
        <f>AS13+IF(AND(Lists!$AD$14&lt;&gt;"",ISNUMBER(SEARCH($E$4,Lists!$AD$14))),1,0)</f>
        <v>4</v>
      </c>
      <c r="AT14" t="str">
        <f>IF(ROW()-3&gt;MAX($AS$4:$AS$42),"",INDEX(Lists!$AD$4:$AD$42,MATCH(ROW()-3,$AS$4:$AS$42,0)))</f>
        <v/>
      </c>
      <c r="AU14">
        <f>AU13+IF(AND(Lists!$AI$14&lt;&gt;"",ISNUMBER(SEARCH($F$4,Lists!$AI$14))),1,0)</f>
        <v>11</v>
      </c>
      <c r="AV14">
        <f>IF(ROW()-3&gt;MAX($AU$4:$AU$42),"",INDEX(Lists!$AI$4:$AI$42,MATCH(ROW()-3,$AU$4:$AU$42,0)))</f>
        <v>50</v>
      </c>
      <c r="AW14">
        <f>AW13+IF(AND(Lists!$AN$14&lt;&gt;"",ISNUMBER(SEARCH($G$4,Lists!$AN$14))),1,0)</f>
        <v>3</v>
      </c>
      <c r="AX14" t="str">
        <f>IF(ROW()-3&gt;MAX($AW$4:$AW$42),"",INDEX(Lists!$AN$4:$AN$42,MATCH(ROW()-3,$AW$4:$AW$42,0)))</f>
        <v/>
      </c>
      <c r="AY14">
        <f>AY13+IF(AND(Lists!$AS$14&lt;&gt;"",ISNUMBER(SEARCH($H$4,Lists!$AS$14))),1,0)</f>
        <v>11</v>
      </c>
      <c r="AZ14">
        <f>IF(ROW()-3&gt;MAX($AY$4:$AY$42),"",INDEX(Lists!$AS$4:$AS$42,MATCH(ROW()-3,$AY$4:$AY$42,0)))</f>
        <v>702</v>
      </c>
      <c r="BA14">
        <f>BA13+IF(AND(Lists!$AX$14&lt;&gt;"",ISNUMBER(SEARCH($I$4,Lists!$AX$14))),1,0)</f>
        <v>11</v>
      </c>
      <c r="BB14">
        <f>IF(ROW()-3&gt;MAX($BA$4:$BA$42),"",INDEX(Lists!$AX$4:$AX$42,MATCH(ROW()-3,$BA$4:$BA$42,0)))</f>
        <v>63000</v>
      </c>
      <c r="BC14">
        <f>BC13+IF(AND(Lists!$BC$14&lt;&gt;"",ISNUMBER(SEARCH($J$4,Lists!$BC$14))),1,0)</f>
        <v>11</v>
      </c>
      <c r="BD14">
        <f>IF(ROW()-3&gt;MAX($BC$4:$BC$42),"",INDEX(Lists!$BC$4:$BC$42,MATCH(ROW()-3,$BC$4:$BC$42,0)))</f>
        <v>11340</v>
      </c>
      <c r="BE14">
        <f>BE13+IF(AND(Lists!$BH$14&lt;&gt;"",ISNUMBER(SEARCH($K$4,Lists!$BH$14))),1,0)</f>
        <v>11</v>
      </c>
      <c r="BF14">
        <f>IF(ROW()-3&gt;MAX($BE$4:$BE$42),"",INDEX(Lists!$BH$4:$BH$42,MATCH(ROW()-3,$BE$4:$BE$42,0)))</f>
        <v>74340</v>
      </c>
      <c r="BG14">
        <f>BG13+IF(AND(Lists!$BM$14&lt;&gt;"",ISNUMBER(SEARCH($L$4,Lists!$BM$14))),1,0)</f>
        <v>11</v>
      </c>
      <c r="BH14">
        <f>IF(ROW()-3&gt;MAX($BG$4:$BG$42),"",INDEX(Lists!$BM$4:$BM$42,MATCH(ROW()-3,$BG$4:$BG$42,0)))</f>
        <v>1487</v>
      </c>
      <c r="BI14">
        <f>BI13+IF(AND(Lists!$BR$14&lt;&gt;"",ISNUMBER(SEARCH($M$4,Lists!$BR$14))),1,0)</f>
        <v>11</v>
      </c>
      <c r="BJ14">
        <f>IF(ROW()-3&gt;MAX($BI$4:$BI$42),"",INDEX(Lists!$BR$4:$BR$42,MATCH(ROW()-3,$BI$4:$BI$42,0)))</f>
        <v>63</v>
      </c>
      <c r="BK14">
        <f>BK13+IF(AND(Lists!$BW$14&lt;&gt;"",ISNUMBER(SEARCH($N$4,Lists!$BW$14))),1,0)</f>
        <v>11</v>
      </c>
      <c r="BL14">
        <f>IF(ROW()-3&gt;MAX($BK$4:$BK$42),"",INDEX(Lists!$BW$4:$BW$42,MATCH(ROW()-3,$BK$4:$BK$42,0)))</f>
        <v>1672.6499999999999</v>
      </c>
      <c r="BM14">
        <f>BM13+IF(AND(Lists!$CB$14&lt;&gt;"",ISNUMBER(SEARCH($O$4,Lists!$CB$14))),1,0)</f>
        <v>11</v>
      </c>
      <c r="BN14">
        <f>IF(ROW()-3&gt;MAX($BM$4:$BM$42),"",INDEX(Lists!$CB$4:$CB$42,MATCH(ROW()-3,$BM$4:$BM$42,0)))</f>
        <v>28.35</v>
      </c>
      <c r="BO14">
        <f>BO13+IF(AND(Lists!$CG$14&lt;&gt;"",ISNUMBER(SEARCH($P$4,Lists!$CG$14))),1,0)</f>
        <v>11</v>
      </c>
      <c r="BP14">
        <f>IF(ROW()-3&gt;MAX($BO$4:$BO$42),"",INDEX(Lists!$CG$4:$CG$42,MATCH(ROW()-3,$BO$4:$BO$42,0)))</f>
        <v>1644.3</v>
      </c>
      <c r="BQ14">
        <f>BQ13+IF(AND(Lists!$CL$14&lt;&gt;"",ISNUMBER(SEARCH($Q$4,Lists!$CL$14))),1,0)</f>
        <v>11</v>
      </c>
      <c r="BR14">
        <f>IF(ROW()-3&gt;MAX($BQ$4:$BQ$42),"",INDEX(Lists!$CL$4:$CL$42,MATCH(ROW()-3,$BQ$4:$BQ$42,0)))</f>
        <v>1707</v>
      </c>
      <c r="BS14">
        <f>BS13+IF(AND(Lists!$CQ$14&lt;&gt;"",ISNUMBER(SEARCH($R$4,Lists!$CQ$14))),1,0)</f>
        <v>2</v>
      </c>
      <c r="BT14" t="str">
        <f>IF(ROW()-3&gt;MAX($BS$4:$BS$42),"",INDEX(Lists!$CQ$4:$CQ$42,MATCH(ROW()-3,$BS$4:$BS$42,0)))</f>
        <v/>
      </c>
      <c r="BU14">
        <f>BU13+IF(AND(Lists!$CV$14&lt;&gt;"",ISNUMBER(SEARCH($S$4,Lists!$CV$14))),1,0)</f>
        <v>5</v>
      </c>
      <c r="BV14" t="str">
        <f>IF(ROW()-3&gt;MAX($BU$4:$BU$42),"",INDEX(Lists!$CV$4:$CV$42,MATCH(ROW()-3,$BU$4:$BU$42,0)))</f>
        <v/>
      </c>
      <c r="BW14">
        <f>BW13+IF(AND(Lists!$DA$14&lt;&gt;"",ISNUMBER(SEARCH($T$4,Lists!$DA$14))),1,0)</f>
        <v>11</v>
      </c>
      <c r="BX14">
        <f>IF(ROW()-3&gt;MAX($BW$4:$BW$42),"",INDEX(Lists!$DA$4:$DA$42,MATCH(ROW()-3,$BW$4:$BW$42,0)))</f>
        <v>74120</v>
      </c>
      <c r="BY14">
        <f>BY13+IF(AND(Lists!$DF$14&lt;&gt;"",ISNUMBER(SEARCH($U$4,Lists!$DF$14))),1,0)</f>
        <v>11</v>
      </c>
      <c r="BZ14">
        <f>IF(ROW()-3&gt;MAX($BY$4:$BY$42),"",INDEX(Lists!$DF$4:$DF$42,MATCH(ROW()-3,$BY$4:$BY$42,0)))</f>
        <v>15750</v>
      </c>
      <c r="CA14">
        <f>CA13+IF(AND(Lists!$DK$14&lt;&gt;"",ISNUMBER(SEARCH($V$4,Lists!$DK$14))),1,0)</f>
        <v>11</v>
      </c>
      <c r="CB14">
        <f>IF(ROW()-3&gt;MAX($CA$4:$CA$42),"",INDEX(Lists!$DK$4:$DK$42,MATCH(ROW()-3,$CA$4:$CA$42,0)))</f>
        <v>15750</v>
      </c>
      <c r="CC14">
        <f>CC13+IF(AND(Lists!$DP$14&lt;&gt;"",ISNUMBER(SEARCH($W$4,Lists!$DP$14))),1,0)</f>
        <v>6</v>
      </c>
      <c r="CD14" t="str">
        <f>IF(ROW()-3&gt;MAX($CC$4:$CC$42),"",INDEX(Lists!$DP$4:$DP$42,MATCH(ROW()-3,$CC$4:$CC$42,0)))</f>
        <v/>
      </c>
      <c r="CE14">
        <f>CE13+IF(AND(Lists!$DU$14&lt;&gt;"",ISNUMBER(SEARCH($X$4,Lists!$DU$14))),1,0)</f>
        <v>11</v>
      </c>
      <c r="CF14">
        <f>IF(ROW()-3&gt;MAX($CE$4:$CE$42),"",INDEX(Lists!$DU$4:$DU$42,MATCH(ROW()-3,$CE$4:$CE$42,0)))</f>
        <v>58370</v>
      </c>
      <c r="CG14" t="e">
        <f>CG13+IF(AND(Lists!$DZ$14&lt;&gt;"",ISNUMBER(SEARCH($Y$4,Lists!$DZ$14))),1,0)</f>
        <v>#N/A</v>
      </c>
      <c r="CH14" t="e">
        <f>IF(ROW()-3&gt;MAX($CG$4:$CG$42),"",INDEX(Lists!$DZ$4:$DZ$42,MATCH(ROW()-3,$CG$4:$CG$42,0)))</f>
        <v>#N/A</v>
      </c>
      <c r="CI14" t="e">
        <f>CI13+IF(AND(Lists!$EE$14&lt;&gt;"",ISNUMBER(SEARCH($Z$4,Lists!$EE$14))),1,0)</f>
        <v>#N/A</v>
      </c>
      <c r="CJ14" t="e">
        <f>IF(ROW()-3&gt;MAX($CI$4:$CI$42),"",INDEX(Lists!$EE$4:$EE$42,MATCH(ROW()-3,$CI$4:$CI$42,0)))</f>
        <v>#N/A</v>
      </c>
      <c r="CK14">
        <f>CK13+IF(AND(Lists!$EJ$14&lt;&gt;"",ISNUMBER(SEARCH($AA$4,Lists!$EJ$14))),1,0)</f>
        <v>6</v>
      </c>
      <c r="CL14" t="str">
        <f>IF(ROW()-3&gt;MAX($CK$4:$CK$42),"",INDEX(Lists!$EJ$4:$EJ$42,MATCH(ROW()-3,$CK$4:$CK$42,0)))</f>
        <v/>
      </c>
      <c r="CM14" t="e">
        <f>CM13+IF(AND(Lists!$EO$14&lt;&gt;"",ISNUMBER(SEARCH($AB$4,Lists!$EO$14))),1,0)</f>
        <v>#N/A</v>
      </c>
      <c r="CN14" t="e">
        <f>IF(ROW()-3&gt;MAX($CM$4:$CM$42),"",INDEX(Lists!$EO$4:$EO$42,MATCH(ROW()-3,$CM$4:$CM$42,0)))</f>
        <v>#N/A</v>
      </c>
      <c r="CO14" t="e">
        <f>CO13+IF(AND(Lists!$ET$14&lt;&gt;"",ISNUMBER(SEARCH($AC$4,Lists!$ET$14))),1,0)</f>
        <v>#N/A</v>
      </c>
      <c r="CP14" t="e">
        <f>IF(ROW()-3&gt;MAX($CO$4:$CO$42),"",INDEX(Lists!$ET$4:$ET$42,MATCH(ROW()-3,$CO$4:$CO$42,0)))</f>
        <v>#N/A</v>
      </c>
      <c r="CQ14">
        <f>CQ13+IF(AND(Lists!$EY$14&lt;&gt;"",ISNUMBER(SEARCH($AD$4,Lists!$EY$14))),1,0)</f>
        <v>11</v>
      </c>
      <c r="CR14">
        <f>IF(ROW()-3&gt;MAX($CQ$4:$CQ$42),"",INDEX(Lists!$EY$4:$EY$42,MATCH(ROW()-3,$CQ$4:$CQ$42,0)))</f>
        <v>67502</v>
      </c>
      <c r="CS14" t="e">
        <f>CS13+IF(AND(Lists!$FD$14&lt;&gt;"",ISNUMBER(SEARCH($AE$4,Lists!$FD$14))),1,0)</f>
        <v>#N/A</v>
      </c>
      <c r="CT14" t="e">
        <f>IF(ROW()-3&gt;MAX($CS$4:$CS$42),"",INDEX(Lists!$FD$4:$FD$42,MATCH(ROW()-3,$CS$4:$CS$42,0)))</f>
        <v>#N/A</v>
      </c>
      <c r="CU14" t="e">
        <f>CU13+IF(AND(Lists!$FI$14&lt;&gt;"",ISNUMBER(SEARCH($AF$4,Lists!$FI$14))),1,0)</f>
        <v>#N/A</v>
      </c>
      <c r="CV14" t="e">
        <f>IF(ROW()-3&gt;MAX($CU$4:$CU$42),"",INDEX(Lists!$FI$4:$FI$42,MATCH(ROW()-3,$CU$4:$CU$42,0)))</f>
        <v>#N/A</v>
      </c>
      <c r="CW14" t="e">
        <f>CW13+IF(AND(Lists!$FN$14&lt;&gt;"",ISNUMBER(SEARCH($AG$4,Lists!$FN$14))),1,0)</f>
        <v>#N/A</v>
      </c>
      <c r="CX14" t="e">
        <f>IF(ROW()-3&gt;MAX($CW$4:$CW$42),"",INDEX(Lists!$FN$4:$FN$42,MATCH(ROW()-3,$CW$4:$CW$42,0)))</f>
        <v>#N/A</v>
      </c>
      <c r="CY14" t="e">
        <f>CY13+IF(AND(Lists!$FS$14&lt;&gt;"",ISNUMBER(SEARCH($AH$4,Lists!$FS$14))),1,0)</f>
        <v>#N/A</v>
      </c>
      <c r="CZ14" t="e">
        <f>IF(ROW()-3&gt;MAX($CY$4:$CY$42),"",INDEX(Lists!$FS$4:$FS$42,MATCH(ROW()-3,$CY$4:$CY$42,0)))</f>
        <v>#N/A</v>
      </c>
      <c r="DA14">
        <f>DA13+IF(AND(Lists!$FX$14&lt;&gt;"",ISNUMBER(SEARCH($AI$4,Lists!$FX$14))),1,0)</f>
        <v>2</v>
      </c>
      <c r="DB14" t="str">
        <f>IF(ROW()-3&gt;MAX($DA$4:$DA$42),"",INDEX(Lists!$FX$4:$FX$42,MATCH(ROW()-3,$DA$4:$DA$42,0)))</f>
        <v/>
      </c>
    </row>
    <row r="15" outlineLevel="1" ht="15" customHeight="1" s="137">
      <c r="A15" s="67" t="n">
        <v>1</v>
      </c>
      <c r="B15" s="76">
        <f>IF('Final Calculation Sheet'!$F$27="","",'Final Calculation Sheet'!$F$27)</f>
        <v>2036</v>
      </c>
      <c r="C15" s="76" t="str">
        <f>IF('Final Calculation Sheet'!$G$27="","",'Final Calculation Sheet'!$G$27)</f>
        <v>M I SCRAP TRADERS</v>
      </c>
      <c r="D15" s="80" t="str">
        <f>IF('Final Calculation Sheet'!$B$27="","",'Final Calculation Sheet'!$B$27)</f>
        <v>Mix Scrap (Tower angles &amp; 0.2 ACSR Condutor pieces)</v>
      </c>
      <c r="E15" s="80">
        <f>IF('Final Calculation Sheet'!$D$27="","",'Final Calculation Sheet'!$D$27)</f>
        <v>21978</v>
      </c>
      <c r="F15" s="80">
        <f>IF('Final Calculation Sheet'!$A$27="","",'Final Calculation Sheet'!$A$27)</f>
        <v>8.1999999999999993</v>
      </c>
      <c r="G15" s="80" t="str">
        <f>IF('Final Calculation Sheet'!$E$27="","",'Final Calculation Sheet'!$E$27)</f>
        <v>MT</v>
      </c>
      <c r="H15" s="70">
        <f>IF('Final Calculation Sheet'!$C$27="","",'Final Calculation Sheet'!$C$27)</f>
        <v>67000</v>
      </c>
      <c r="I15" s="70">
        <f>IF('Final Calculation Sheet'!$H$27="","",'Final Calculation Sheet'!$H$27)</f>
        <v>549400</v>
      </c>
      <c r="J15" s="70">
        <f>IF('Final Calculation Sheet'!$I$27="","",'Final Calculation Sheet'!$I$27)</f>
        <v>98892</v>
      </c>
      <c r="K15" s="70">
        <f>IF('Final Calculation Sheet'!$J$27="","",'Final Calculation Sheet'!$J$27)</f>
        <v>648292</v>
      </c>
      <c r="L15" s="70">
        <f>IF('Final Calculation Sheet'!$K$27="","",'Final Calculation Sheet'!$K$27)</f>
        <v>12966</v>
      </c>
      <c r="M15" s="70">
        <f>IF('Final Calculation Sheet'!$L$27="","",'Final Calculation Sheet'!$L$27)</f>
        <v>549.4</v>
      </c>
      <c r="N15" s="70">
        <f>IF('Final Calculation Sheet'!$M$27="","",'Final Calculation Sheet'!$M$27)</f>
        <v>14586.57</v>
      </c>
      <c r="O15" s="71">
        <f>IF('Final Calculation Sheet'!$N$27="","",'Final Calculation Sheet'!$N$27)</f>
        <v>247.23000000000002</v>
      </c>
      <c r="P15" s="70">
        <f>IF('Final Calculation Sheet'!$O$27="","",'Final Calculation Sheet'!$O$27)</f>
        <v>14339.34</v>
      </c>
      <c r="Q15" s="70">
        <f>IF('Final Calculation Sheet'!$P$27="","",'Final Calculation Sheet'!$P$27)</f>
        <v>14889</v>
      </c>
      <c r="R15" s="72">
        <f>IF('Final Calculation Sheet'!$Q$27="","",'Final Calculation Sheet'!$Q$27)</f>
        <v>0.02</v>
      </c>
      <c r="S15" s="70">
        <f>IF('Final Calculation Sheet'!$R$27="","",'Final Calculation Sheet'!$R$27)</f>
        <v>10988</v>
      </c>
      <c r="T15" s="70">
        <f>IF('Final Calculation Sheet'!$S$27="","",'Final Calculation Sheet'!$S$27)</f>
        <v>635381</v>
      </c>
      <c r="U15" s="70">
        <f>IF('Final Calculation Sheet'!$T$27="","",'Final Calculation Sheet'!$T$27)</f>
        <v>137350</v>
      </c>
      <c r="V15" s="73">
        <f>IF('Final Calculation Sheet'!$U$27="","",'Final Calculation Sheet'!$U$27)</f>
        <v>137350</v>
      </c>
      <c r="W15" s="70" t="str">
        <f>IF('Final Calculation Sheet'!$V$27="","",'Final Calculation Sheet'!$V$27)</f>
        <v>14.08.2026</v>
      </c>
      <c r="X15" s="70">
        <f>IF('Final Calculation Sheet'!$W$27="","",'Final Calculation Sheet'!$W$27)</f>
        <v>498031</v>
      </c>
      <c r="Y15" s="70" t="str">
        <f>IF('Final Calculation Sheet'!$X$27="","",'Final Calculation Sheet'!$X$27)</f>
        <v/>
      </c>
      <c r="Z15" s="70">
        <f>IF('Final Calculation Sheet'!$Y$27="","",'Final Calculation Sheet'!$Y$27)</f>
        <v>0</v>
      </c>
      <c r="AA15" s="70">
        <f>IF('Final Calculation Sheet'!$Z$27="","",'Final Calculation Sheet'!$Z$27)</f>
        <v>19448.760000000002</v>
      </c>
      <c r="AB15" s="70" t="str">
        <f>IF('Final Calculation Sheet'!$AA$27="","",'Final Calculation Sheet'!$AA$27)</f>
        <v/>
      </c>
      <c r="AC15" s="70" t="str">
        <f>IF('Final Calculation Sheet'!$AB$27="","",'Final Calculation Sheet'!$AB$27)</f>
        <v/>
      </c>
      <c r="AD15" s="70">
        <f>IF('Final Calculation Sheet'!$AC$27="","",'Final Calculation Sheet'!$AC$27)</f>
        <v>137350</v>
      </c>
      <c r="AE15" s="70">
        <f>IF('Final Calculation Sheet'!$AD$27="","",'Final Calculation Sheet'!$AD$27)</f>
        <v>498031</v>
      </c>
      <c r="AF15" s="70" t="str">
        <f>IF('Final Calculation Sheet'!$AE$27="","",'Final Calculation Sheet'!$AE$27)</f>
        <v/>
      </c>
      <c r="AG15" s="74" t="str">
        <f>IF('Final Calculation Sheet'!$AF$27="","",'Final Calculation Sheet'!$AF$27)</f>
        <v/>
      </c>
      <c r="AH15" s="70" t="str">
        <f>IF('Final Calculation Sheet'!$AG$27="","",'Final Calculation Sheet'!$AG$27)</f>
        <v/>
      </c>
      <c r="AI15" s="75" t="str">
        <f>IF('Final Calculation Sheet'!$AD$27="","",IF('Final Calculation Sheet'!$AD$27&lt;=5,"SETTLED","OUTSTANDING"))</f>
        <v>OUTSTANDING</v>
      </c>
      <c r="AJ15" t="b">
        <f>AND(IF($B$4="",TRUE(),IF($B$4="(blank)",'Final Calculation Sheet'!$F$13="",IF($B$4="(nonblank)",'Final Calculation Sheet'!$F$13&lt;&gt;"",ISNUMBER(SEARCH($B$4,'Final Calculation Sheet'!$F$13))))),IF($C$4="",TRUE(),IF($C$4="(blank)",'Final Calculation Sheet'!$G$13="",IF($C$4="(nonblank)",'Final Calculation Sheet'!$G$13&lt;&gt;"",ISNUMBER(SEARCH($C$4,'Final Calculation Sheet'!$G$13))))),IF($D$4="",TRUE(),IF($D$4="(blank)",'Final Calculation Sheet'!$B$13="",IF($D$4="(nonblank)",'Final Calculation Sheet'!$B$13&lt;&gt;"",ISNUMBER(SEARCH($D$4,'Final Calculation Sheet'!$B$13))))),IF($E$4="",TRUE(),IF($E$4="(blank)",'Final Calculation Sheet'!$D$13="",IF($E$4="(nonblank)",'Final Calculation Sheet'!$D$13&lt;&gt;"",ISNUMBER(SEARCH($E$4,'Final Calculation Sheet'!$D$13))))),IF($F$4="",TRUE(),IF($F$4="(blank)",'Final Calculation Sheet'!$A$13="",IF($F$4="(nonblank)",'Final Calculation Sheet'!$A$13&lt;&gt;"",ISNUMBER(SEARCH($F$4,'Final Calculation Sheet'!$A$13))))),IF($G$4="",TRUE(),IF($G$4="(blank)",'Final Calculation Sheet'!$E$13="",IF($G$4="(nonblank)",'Final Calculation Sheet'!$E$13&lt;&gt;"",ISNUMBER(SEARCH($G$4,'Final Calculation Sheet'!$E$13))))),IF($H$4="",TRUE(),IF($H$4="(blank)",'Final Calculation Sheet'!$C$13="",IF($H$4="(nonblank)",'Final Calculation Sheet'!$C$13&lt;&gt;"",ISNUMBER(SEARCH($H$4,'Final Calculation Sheet'!$C$13))))),IF($I$4="",TRUE(),IF($I$4="(blank)",'Final Calculation Sheet'!$H$13="",IF($I$4="(nonblank)",'Final Calculation Sheet'!$H$13&lt;&gt;"",ISNUMBER(SEARCH($I$4,'Final Calculation Sheet'!$H$13))))),IF($J$4="",TRUE(),IF($J$4="(blank)",'Final Calculation Sheet'!$I$13="",IF($J$4="(nonblank)",'Final Calculation Sheet'!$I$13&lt;&gt;"",ISNUMBER(SEARCH($J$4,'Final Calculation Sheet'!$I$13))))),IF($K$4="",TRUE(),IF($K$4="(blank)",'Final Calculation Sheet'!$J$13="",IF($K$4="(nonblank)",'Final Calculation Sheet'!$J$13&lt;&gt;"",ISNUMBER(SEARCH($K$4,'Final Calculation Sheet'!$J$13))))),IF($L$4="",TRUE(),IF($L$4="(blank)",'Final Calculation Sheet'!$K$13="",IF($L$4="(nonblank)",'Final Calculation Sheet'!$K$13&lt;&gt;"",ISNUMBER(SEARCH($L$4,'Final Calculation Sheet'!$K$13))))),IF($M$4="",TRUE(),IF($M$4="(blank)",'Final Calculation Sheet'!$L$13="",IF($M$4="(nonblank)",'Final Calculation Sheet'!$L$13&lt;&gt;"",ISNUMBER(SEARCH($M$4,'Final Calculation Sheet'!$L$13))))),IF($N$4="",TRUE(),IF($N$4="(blank)",'Final Calculation Sheet'!$M$13="",IF($N$4="(nonblank)",'Final Calculation Sheet'!$M$13&lt;&gt;"",ISNUMBER(SEARCH($N$4,'Final Calculation Sheet'!$M$13))))),IF($O$4="",TRUE(),IF($O$4="(blank)",'Final Calculation Sheet'!$N$13="",IF($O$4="(nonblank)",'Final Calculation Sheet'!$N$13&lt;&gt;"",ISNUMBER(SEARCH($O$4,'Final Calculation Sheet'!$N$13))))),IF($P$4="",TRUE(),IF($P$4="(blank)",'Final Calculation Sheet'!$O$13="",IF($P$4="(nonblank)",'Final Calculation Sheet'!$O$13&lt;&gt;"",ISNUMBER(SEARCH($P$4,'Final Calculation Sheet'!$O$13))))),IF($Q$4="",TRUE(),IF($Q$4="(blank)",'Final Calculation Sheet'!$P$13="",IF($Q$4="(nonblank)",'Final Calculation Sheet'!$P$13&lt;&gt;"",ISNUMBER(SEARCH($Q$4,'Final Calculation Sheet'!$P$13))))),IF($R$4="",TRUE(),IF($R$4="(blank)",'Final Calculation Sheet'!$Q$13="",IF($R$4="(nonblank)",'Final Calculation Sheet'!$Q$13&lt;&gt;"",ISNUMBER(SEARCH($R$4,'Final Calculation Sheet'!$Q$13))))),IF($S$4="",TRUE(),IF($S$4="(blank)",'Final Calculation Sheet'!$R$13="",IF($S$4="(nonblank)",'Final Calculation Sheet'!$R$13&lt;&gt;"",ISNUMBER(SEARCH($S$4,'Final Calculation Sheet'!$R$13))))),IF($T$4="",TRUE(),IF($T$4="(blank)",'Final Calculation Sheet'!$S$13="",IF($T$4="(nonblank)",'Final Calculation Sheet'!$S$13&lt;&gt;"",ISNUMBER(SEARCH($T$4,'Final Calculation Sheet'!$S$13))))),IF($U$4="",TRUE(),IF($U$4="(blank)",'Final Calculation Sheet'!$T$13="",IF($U$4="(nonblank)",'Final Calculation Sheet'!$T$13&lt;&gt;"",ISNUMBER(SEARCH($U$4,'Final Calculation Sheet'!$T$13))))),IF($V$4="",TRUE(),IF($V$4="(blank)",'Final Calculation Sheet'!$U$13="",IF($V$4="(nonblank)",'Final Calculation Sheet'!$U$13&lt;&gt;"",ISNUMBER(SEARCH($V$4,'Final Calculation Sheet'!$U$13))))),IF($W$4="",TRUE(),IF($W$4="(blank)",'Final Calculation Sheet'!$V$13="",IF($W$4="(nonblank)",'Final Calculation Sheet'!$V$13&lt;&gt;"",ISNUMBER(SEARCH($W$4,'Final Calculation Sheet'!$V$13))))),IF($X$4="",TRUE(),IF($X$4="(blank)",'Final Calculation Sheet'!$W$13="",IF($X$4="(nonblank)",'Final Calculation Sheet'!$W$13&lt;&gt;"",ISNUMBER(SEARCH($X$4,'Final Calculation Sheet'!$W$13))))),IF($Y$4="",TRUE(),IF($Y$4="(blank)",'Final Calculation Sheet'!$X$13="",IF($Y$4="(nonblank)",'Final Calculation Sheet'!$X$13&lt;&gt;"",ISNUMBER(SEARCH($Y$4,'Final Calculation Sheet'!$X$13))))),IF($Z$4="",TRUE(),IF($Z$4="(blank)",'Final Calculation Sheet'!$Y$13="",IF($Z$4="(nonblank)",'Final Calculation Sheet'!$Y$13&lt;&gt;"",ISNUMBER(SEARCH($Z$4,'Final Calculation Sheet'!$Y$13))))),IF($AA$4="",TRUE(),IF($AA$4="(blank)",'Final Calculation Sheet'!$Z$13="",IF($AA$4="(nonblank)",'Final Calculation Sheet'!$Z$13&lt;&gt;"",ISNUMBER(SEARCH($AA$4,'Final Calculation Sheet'!$Z$13))))),IF($AB$4="",TRUE(),IF($AB$4="(blank)",'Final Calculation Sheet'!$AA$13="",IF($AB$4="(nonblank)",'Final Calculation Sheet'!$AA$13&lt;&gt;"",ISNUMBER(SEARCH($AB$4,'Final Calculation Sheet'!$AA$13))))),IF($AC$4="",TRUE(),IF($AC$4="(blank)",'Final Calculation Sheet'!$AB$13="",IF($AC$4="(nonblank)",'Final Calculation Sheet'!$AB$13&lt;&gt;"",ISNUMBER(SEARCH($AC$4,'Final Calculation Sheet'!$AB$13))))),IF($AD$4="",TRUE(),IF($AD$4="(blank)",'Final Calculation Sheet'!$AC$13="",IF($AD$4="(nonblank)",'Final Calculation Sheet'!$AC$13&lt;&gt;"",ISNUMBER(SEARCH($AD$4,'Final Calculation Sheet'!$AC$13))))),IF($AE$4="",TRUE(),IF($AE$4="(blank)",'Final Calculation Sheet'!$AD$13="",IF($AE$4="(nonblank)",'Final Calculation Sheet'!$AD$13&lt;&gt;"",ISNUMBER(SEARCH($AE$4,'Final Calculation Sheet'!$AD$13))))),IF($AF$4="",TRUE(),IF($AF$4="(blank)",'Final Calculation Sheet'!$AE$13="",IF($AF$4="(nonblank)",'Final Calculation Sheet'!$AE$13&lt;&gt;"",ISNUMBER(SEARCH($AF$4,'Final Calculation Sheet'!$AE$13))))),IF($AG$4="",TRUE(),IF($AG$4="(blank)",'Final Calculation Sheet'!$AF$13="",IF($AG$4="(nonblank)",'Final Calculation Sheet'!$AF$13&lt;&gt;"",ISNUMBER(SEARCH($AG$4,'Final Calculation Sheet'!$AF$13))))),IF($AH$4="",TRUE(),IF($AH$4="(blank)",'Final Calculation Sheet'!$AG$13="",IF($AH$4="(nonblank)",'Final Calculation Sheet'!$AG$13&lt;&gt;"",ISNUMBER(SEARCH($AH$4,'Final Calculation Sheet'!$AG$13))))),IF($AI$4="",TRUE(),IF($AI$4="(blank)",IF('Final Calculation Sheet'!$AD$13&lt;=5,"SETTLED","OUTSTANDING")="",IF($AI$4="(nonblank)",IF('Final Calculation Sheet'!$AD$13&lt;=5,"SETTLED","OUTSTANDING")&lt;&gt;"",ISNUMBER(SEARCH($AI$4,IF('Final Calculation Sheet'!$AD$13&lt;=5,"SETTLED","OUTSTANDING")))))))</f>
        <v>1</v>
      </c>
      <c r="AK15" t="str">
        <f>IF(AJ15=1,COUNTIF(AJ$6:AJ15,1),"")</f>
        <v/>
      </c>
      <c r="AM15">
        <f>AM14+IF(AND(Lists!$O$15&lt;&gt;"",ISNUMBER(SEARCH($B$4,Lists!$O$15))),1,0)</f>
        <v>12</v>
      </c>
      <c r="AN15">
        <f>IF(ROW()-3&gt;MAX($AM$4:$AM$42),"",INDEX(Lists!$O$4:$O$42,MATCH(ROW()-3,$AM$4:$AM$42,0)))</f>
        <v>2008</v>
      </c>
      <c r="AO15">
        <f>AO14+IF(AND(Lists!$T$15&lt;&gt;"",ISNUMBER(SEARCH($C$4,Lists!$T$15))),1,0)</f>
        <v>12</v>
      </c>
      <c r="AP15" t="str">
        <f>IF(ROW()-3&gt;MAX($AO$4:$AO$42),"",INDEX(Lists!$T$4:$T$42,MATCH(ROW()-3,$AO$4:$AO$42,0)))</f>
        <v>STERLING ENTERPRISES</v>
      </c>
      <c r="AQ15">
        <f>AQ14+IF(AND(Lists!$Y$15&lt;&gt;"",ISNUMBER(SEARCH($D$4,Lists!$Y$15))),1,0)</f>
        <v>12</v>
      </c>
      <c r="AR15" t="str">
        <f>IF(ROW()-3&gt;MAX($AQ$4:$AQ$42),"",INDEX(Lists!$Y$4:$Y$42,MATCH(ROW()-3,$AQ$4:$AQ$42,0)))</f>
        <v>Scrap of 33 KV CB</v>
      </c>
      <c r="AS15">
        <f>AS14+IF(AND(Lists!$AD$15&lt;&gt;"",ISNUMBER(SEARCH($E$4,Lists!$AD$15))),1,0)</f>
        <v>4</v>
      </c>
      <c r="AT15" t="str">
        <f>IF(ROW()-3&gt;MAX($AS$4:$AS$42),"",INDEX(Lists!$AD$4:$AD$42,MATCH(ROW()-3,$AS$4:$AS$42,0)))</f>
        <v/>
      </c>
      <c r="AU15">
        <f>AU14+IF(AND(Lists!$AI$15&lt;&gt;"",ISNUMBER(SEARCH($F$4,Lists!$AI$15))),1,0)</f>
        <v>12</v>
      </c>
      <c r="AV15">
        <f>IF(ROW()-3&gt;MAX($AU$4:$AU$42),"",INDEX(Lists!$AI$4:$AI$42,MATCH(ROW()-3,$AU$4:$AU$42,0)))</f>
        <v>90</v>
      </c>
      <c r="AW15">
        <f>AW14+IF(AND(Lists!$AN$15&lt;&gt;"",ISNUMBER(SEARCH($G$4,Lists!$AN$15))),1,0)</f>
        <v>3</v>
      </c>
      <c r="AX15" t="str">
        <f>IF(ROW()-3&gt;MAX($AW$4:$AW$42),"",INDEX(Lists!$AN$4:$AN$42,MATCH(ROW()-3,$AW$4:$AW$42,0)))</f>
        <v/>
      </c>
      <c r="AY15">
        <f>AY14+IF(AND(Lists!$AS$15&lt;&gt;"",ISNUMBER(SEARCH($H$4,Lists!$AS$15))),1,0)</f>
        <v>12</v>
      </c>
      <c r="AZ15">
        <f>IF(ROW()-3&gt;MAX($AY$4:$AY$42),"",INDEX(Lists!$AS$4:$AS$42,MATCH(ROW()-3,$AY$4:$AY$42,0)))</f>
        <v>710</v>
      </c>
      <c r="BA15">
        <f>BA14+IF(AND(Lists!$AX$15&lt;&gt;"",ISNUMBER(SEARCH($I$4,Lists!$AX$15))),1,0)</f>
        <v>12</v>
      </c>
      <c r="BB15">
        <f>IF(ROW()-3&gt;MAX($BA$4:$BA$42),"",INDEX(Lists!$AX$4:$AX$42,MATCH(ROW()-3,$BA$4:$BA$42,0)))</f>
        <v>65007</v>
      </c>
      <c r="BC15">
        <f>BC14+IF(AND(Lists!$BC$15&lt;&gt;"",ISNUMBER(SEARCH($J$4,Lists!$BC$15))),1,0)</f>
        <v>12</v>
      </c>
      <c r="BD15">
        <f>IF(ROW()-3&gt;MAX($BC$4:$BC$42),"",INDEX(Lists!$BC$4:$BC$42,MATCH(ROW()-3,$BC$4:$BC$42,0)))</f>
        <v>11701</v>
      </c>
      <c r="BE15">
        <f>BE14+IF(AND(Lists!$BH$15&lt;&gt;"",ISNUMBER(SEARCH($K$4,Lists!$BH$15))),1,0)</f>
        <v>12</v>
      </c>
      <c r="BF15">
        <f>IF(ROW()-3&gt;MAX($BE$4:$BE$42),"",INDEX(Lists!$BH$4:$BH$42,MATCH(ROW()-3,$BE$4:$BE$42,0)))</f>
        <v>76708</v>
      </c>
      <c r="BG15">
        <f>BG14+IF(AND(Lists!$BM$15&lt;&gt;"",ISNUMBER(SEARCH($L$4,Lists!$BM$15))),1,0)</f>
        <v>12</v>
      </c>
      <c r="BH15">
        <f>IF(ROW()-3&gt;MAX($BG$4:$BG$42),"",INDEX(Lists!$BM$4:$BM$42,MATCH(ROW()-3,$BG$4:$BG$42,0)))</f>
        <v>1534</v>
      </c>
      <c r="BI15">
        <f>BI14+IF(AND(Lists!$BR$15&lt;&gt;"",ISNUMBER(SEARCH($M$4,Lists!$BR$15))),1,0)</f>
        <v>12</v>
      </c>
      <c r="BJ15">
        <f>IF(ROW()-3&gt;MAX($BI$4:$BI$42),"",INDEX(Lists!$BR$4:$BR$42,MATCH(ROW()-3,$BI$4:$BI$42,0)))</f>
        <v>65.007000000000005</v>
      </c>
      <c r="BK15">
        <f>BK14+IF(AND(Lists!$BW$15&lt;&gt;"",ISNUMBER(SEARCH($N$4,Lists!$BW$15))),1,0)</f>
        <v>12</v>
      </c>
      <c r="BL15">
        <f>IF(ROW()-3&gt;MAX($BK$4:$BK$42),"",INDEX(Lists!$BW$4:$BW$42,MATCH(ROW()-3,$BK$4:$BK$42,0)))</f>
        <v>1725.9358499999998</v>
      </c>
      <c r="BM15">
        <f>BM14+IF(AND(Lists!$CB$15&lt;&gt;"",ISNUMBER(SEARCH($O$4,Lists!$CB$15))),1,0)</f>
        <v>12</v>
      </c>
      <c r="BN15">
        <f>IF(ROW()-3&gt;MAX($BM$4:$BM$42),"",INDEX(Lists!$CB$4:$CB$42,MATCH(ROW()-3,$BM$4:$BM$42,0)))</f>
        <v>29.253150000000002</v>
      </c>
      <c r="BO15">
        <f>BO14+IF(AND(Lists!$CG$15&lt;&gt;"",ISNUMBER(SEARCH($P$4,Lists!$CG$15))),1,0)</f>
        <v>12</v>
      </c>
      <c r="BP15">
        <f>IF(ROW()-3&gt;MAX($BO$4:$BO$42),"",INDEX(Lists!$CG$4:$CG$42,MATCH(ROW()-3,$BO$4:$BO$42,0)))</f>
        <v>1696.6826999999998</v>
      </c>
      <c r="BQ15">
        <f>BQ14+IF(AND(Lists!$CL$15&lt;&gt;"",ISNUMBER(SEARCH($Q$4,Lists!$CL$15))),1,0)</f>
        <v>12</v>
      </c>
      <c r="BR15">
        <f>IF(ROW()-3&gt;MAX($BQ$4:$BQ$42),"",INDEX(Lists!$CL$4:$CL$42,MATCH(ROW()-3,$BQ$4:$BQ$42,0)))</f>
        <v>1762</v>
      </c>
      <c r="BS15">
        <f>BS14+IF(AND(Lists!$CQ$15&lt;&gt;"",ISNUMBER(SEARCH($R$4,Lists!$CQ$15))),1,0)</f>
        <v>2</v>
      </c>
      <c r="BT15" t="str">
        <f>IF(ROW()-3&gt;MAX($BS$4:$BS$42),"",INDEX(Lists!$CQ$4:$CQ$42,MATCH(ROW()-3,$BS$4:$BS$42,0)))</f>
        <v/>
      </c>
      <c r="BU15">
        <f>BU14+IF(AND(Lists!$CV$15&lt;&gt;"",ISNUMBER(SEARCH($S$4,Lists!$CV$15))),1,0)</f>
        <v>5</v>
      </c>
      <c r="BV15" t="str">
        <f>IF(ROW()-3&gt;MAX($BU$4:$BU$42),"",INDEX(Lists!$CV$4:$CV$42,MATCH(ROW()-3,$BU$4:$BU$42,0)))</f>
        <v/>
      </c>
      <c r="BW15">
        <f>BW14+IF(AND(Lists!$DA$15&lt;&gt;"",ISNUMBER(SEARCH($T$4,Lists!$DA$15))),1,0)</f>
        <v>12</v>
      </c>
      <c r="BX15">
        <f>IF(ROW()-3&gt;MAX($BW$4:$BW$42),"",INDEX(Lists!$DA$4:$DA$42,MATCH(ROW()-3,$BW$4:$BW$42,0)))</f>
        <v>76481</v>
      </c>
      <c r="BY15">
        <f>BY14+IF(AND(Lists!$DF$15&lt;&gt;"",ISNUMBER(SEARCH($U$4,Lists!$DF$15))),1,0)</f>
        <v>12</v>
      </c>
      <c r="BZ15">
        <f>IF(ROW()-3&gt;MAX($BY$4:$BY$42),"",INDEX(Lists!$DF$4:$DF$42,MATCH(ROW()-3,$BY$4:$BY$42,0)))</f>
        <v>16252</v>
      </c>
      <c r="CA15">
        <f>CA14+IF(AND(Lists!$DK$15&lt;&gt;"",ISNUMBER(SEARCH($V$4,Lists!$DK$15))),1,0)</f>
        <v>12</v>
      </c>
      <c r="CB15">
        <f>IF(ROW()-3&gt;MAX($CA$4:$CA$42),"",INDEX(Lists!$DK$4:$DK$42,MATCH(ROW()-3,$CA$4:$CA$42,0)))</f>
        <v>16252</v>
      </c>
      <c r="CC15">
        <f>CC14+IF(AND(Lists!$DP$15&lt;&gt;"",ISNUMBER(SEARCH($W$4,Lists!$DP$15))),1,0)</f>
        <v>6</v>
      </c>
      <c r="CD15" t="str">
        <f>IF(ROW()-3&gt;MAX($CC$4:$CC$42),"",INDEX(Lists!$DP$4:$DP$42,MATCH(ROW()-3,$CC$4:$CC$42,0)))</f>
        <v/>
      </c>
      <c r="CE15">
        <f>CE14+IF(AND(Lists!$DU$15&lt;&gt;"",ISNUMBER(SEARCH($X$4,Lists!$DU$15))),1,0)</f>
        <v>12</v>
      </c>
      <c r="CF15">
        <f>IF(ROW()-3&gt;MAX($CE$4:$CE$42),"",INDEX(Lists!$DU$4:$DU$42,MATCH(ROW()-3,$CE$4:$CE$42,0)))</f>
        <v>60229</v>
      </c>
      <c r="CG15" t="e">
        <f>CG14+IF(AND(Lists!$DZ$15&lt;&gt;"",ISNUMBER(SEARCH($Y$4,Lists!$DZ$15))),1,0)</f>
        <v>#N/A</v>
      </c>
      <c r="CH15" t="e">
        <f>IF(ROW()-3&gt;MAX($CG$4:$CG$42),"",INDEX(Lists!$DZ$4:$DZ$42,MATCH(ROW()-3,$CG$4:$CG$42,0)))</f>
        <v>#N/A</v>
      </c>
      <c r="CI15" t="e">
        <f>CI14+IF(AND(Lists!$EE$15&lt;&gt;"",ISNUMBER(SEARCH($Z$4,Lists!$EE$15))),1,0)</f>
        <v>#N/A</v>
      </c>
      <c r="CJ15" t="e">
        <f>IF(ROW()-3&gt;MAX($CI$4:$CI$42),"",INDEX(Lists!$EE$4:$EE$42,MATCH(ROW()-3,$CI$4:$CI$42,0)))</f>
        <v>#N/A</v>
      </c>
      <c r="CK15">
        <f>CK14+IF(AND(Lists!$EJ$15&lt;&gt;"",ISNUMBER(SEARCH($AA$4,Lists!$EJ$15))),1,0)</f>
        <v>6</v>
      </c>
      <c r="CL15" t="str">
        <f>IF(ROW()-3&gt;MAX($CK$4:$CK$42),"",INDEX(Lists!$EJ$4:$EJ$42,MATCH(ROW()-3,$CK$4:$CK$42,0)))</f>
        <v/>
      </c>
      <c r="CM15" t="e">
        <f>CM14+IF(AND(Lists!$EO$15&lt;&gt;"",ISNUMBER(SEARCH($AB$4,Lists!$EO$15))),1,0)</f>
        <v>#N/A</v>
      </c>
      <c r="CN15" t="e">
        <f>IF(ROW()-3&gt;MAX($CM$4:$CM$42),"",INDEX(Lists!$EO$4:$EO$42,MATCH(ROW()-3,$CM$4:$CM$42,0)))</f>
        <v>#N/A</v>
      </c>
      <c r="CO15" t="e">
        <f>CO14+IF(AND(Lists!$ET$15&lt;&gt;"",ISNUMBER(SEARCH($AC$4,Lists!$ET$15))),1,0)</f>
        <v>#N/A</v>
      </c>
      <c r="CP15" t="e">
        <f>IF(ROW()-3&gt;MAX($CO$4:$CO$42),"",INDEX(Lists!$ET$4:$ET$42,MATCH(ROW()-3,$CO$4:$CO$42,0)))</f>
        <v>#N/A</v>
      </c>
      <c r="CQ15">
        <f>CQ14+IF(AND(Lists!$EY$15&lt;&gt;"",ISNUMBER(SEARCH($AD$4,Lists!$EY$15))),1,0)</f>
        <v>12</v>
      </c>
      <c r="CR15">
        <f>IF(ROW()-3&gt;MAX($CQ$4:$CQ$42),"",INDEX(Lists!$EY$4:$EY$42,MATCH(ROW()-3,$CQ$4:$CQ$42,0)))</f>
        <v>74168</v>
      </c>
      <c r="CS15" t="e">
        <f>CS14+IF(AND(Lists!$FD$15&lt;&gt;"",ISNUMBER(SEARCH($AE$4,Lists!$FD$15))),1,0)</f>
        <v>#N/A</v>
      </c>
      <c r="CT15" t="e">
        <f>IF(ROW()-3&gt;MAX($CS$4:$CS$42),"",INDEX(Lists!$FD$4:$FD$42,MATCH(ROW()-3,$CS$4:$CS$42,0)))</f>
        <v>#N/A</v>
      </c>
      <c r="CU15" t="e">
        <f>CU14+IF(AND(Lists!$FI$15&lt;&gt;"",ISNUMBER(SEARCH($AF$4,Lists!$FI$15))),1,0)</f>
        <v>#N/A</v>
      </c>
      <c r="CV15" t="e">
        <f>IF(ROW()-3&gt;MAX($CU$4:$CU$42),"",INDEX(Lists!$FI$4:$FI$42,MATCH(ROW()-3,$CU$4:$CU$42,0)))</f>
        <v>#N/A</v>
      </c>
      <c r="CW15" t="e">
        <f>CW14+IF(AND(Lists!$FN$15&lt;&gt;"",ISNUMBER(SEARCH($AG$4,Lists!$FN$15))),1,0)</f>
        <v>#N/A</v>
      </c>
      <c r="CX15" t="e">
        <f>IF(ROW()-3&gt;MAX($CW$4:$CW$42),"",INDEX(Lists!$FN$4:$FN$42,MATCH(ROW()-3,$CW$4:$CW$42,0)))</f>
        <v>#N/A</v>
      </c>
      <c r="CY15" t="e">
        <f>CY14+IF(AND(Lists!$FS$15&lt;&gt;"",ISNUMBER(SEARCH($AH$4,Lists!$FS$15))),1,0)</f>
        <v>#N/A</v>
      </c>
      <c r="CZ15" t="e">
        <f>IF(ROW()-3&gt;MAX($CY$4:$CY$42),"",INDEX(Lists!$FS$4:$FS$42,MATCH(ROW()-3,$CY$4:$CY$42,0)))</f>
        <v>#N/A</v>
      </c>
      <c r="DA15">
        <f>DA14+IF(AND(Lists!$FX$15&lt;&gt;"",ISNUMBER(SEARCH($AI$4,Lists!$FX$15))),1,0)</f>
        <v>2</v>
      </c>
      <c r="DB15" t="str">
        <f>IF(ROW()-3&gt;MAX($DA$4:$DA$42),"",INDEX(Lists!$FX$4:$FX$42,MATCH(ROW()-3,$DA$4:$DA$42,0)))</f>
        <v/>
      </c>
    </row>
    <row r="16" ht="15" customHeight="1" s="137">
      <c r="A16" s="81" t="inlineStr">
        <is>
          <t>∑</t>
        </is>
      </c>
      <c r="B16" s="83" t="n"/>
      <c r="C16" s="83" t="str">
        <f>ROWS($C$15:$C$15)&amp;" lot(s)"</f>
        <v>1 lot(s)</v>
      </c>
      <c r="D16" s="83" t="inlineStr">
        <is>
          <t>SUBTOTAL — M I SCRAP TRADERS</t>
        </is>
      </c>
      <c r="E16" s="83" t="inlineStr">
        <is>
          <t>–</t>
        </is>
      </c>
      <c r="F16" s="83">
        <f>SUM(F15:F15)</f>
        <v>8.1999999999999993</v>
      </c>
      <c r="G16" s="83" t="inlineStr">
        <is>
          <t>–</t>
        </is>
      </c>
      <c r="H16" s="84" t="inlineStr">
        <is>
          <t>–</t>
        </is>
      </c>
      <c r="I16" s="84">
        <f>SUM(I15:I15)</f>
        <v>549400</v>
      </c>
      <c r="J16" s="84">
        <f>SUM(J15:J15)</f>
        <v>98892</v>
      </c>
      <c r="K16" s="84">
        <f>SUM(K15:K15)</f>
        <v>648292</v>
      </c>
      <c r="L16" s="84">
        <f>SUM(L15:L15)</f>
        <v>12966</v>
      </c>
      <c r="M16" s="84">
        <f>SUM(M15:M15)</f>
        <v>549.4</v>
      </c>
      <c r="N16" s="84">
        <f>SUM(N15:N15)</f>
        <v>14586.57</v>
      </c>
      <c r="O16" s="85">
        <f>SUM(O15:O15)</f>
        <v>247.23000000000002</v>
      </c>
      <c r="P16" s="84">
        <f>SUM(P15:P15)</f>
        <v>14339.34</v>
      </c>
      <c r="Q16" s="84">
        <f>SUM(Q15:Q15)</f>
        <v>14889</v>
      </c>
      <c r="R16" s="86" t="inlineStr">
        <is>
          <t>–</t>
        </is>
      </c>
      <c r="S16" s="84">
        <f>SUM(S15:S15)</f>
        <v>10988</v>
      </c>
      <c r="T16" s="84">
        <f>SUM(T15:T15)</f>
        <v>635381</v>
      </c>
      <c r="U16" s="84">
        <f>SUM(U15:U15)</f>
        <v>137350</v>
      </c>
      <c r="V16" s="87">
        <f>SUM(V15:V15)</f>
        <v>137350</v>
      </c>
      <c r="W16" s="84" t="inlineStr">
        <is>
          <t>–</t>
        </is>
      </c>
      <c r="X16" s="84">
        <f>SUM(X15:X15)</f>
        <v>498031</v>
      </c>
      <c r="Y16" s="84">
        <f>SUM(Y15:Y15)</f>
        <v>0</v>
      </c>
      <c r="Z16" s="84" t="inlineStr">
        <is>
          <t>–</t>
        </is>
      </c>
      <c r="AA16" s="84">
        <f>SUM(AA15:AA15)</f>
        <v>19448.760000000002</v>
      </c>
      <c r="AB16" s="84">
        <f>SUM(AB15:AB15)</f>
        <v>0</v>
      </c>
      <c r="AC16" s="84" t="inlineStr">
        <is>
          <t>–</t>
        </is>
      </c>
      <c r="AD16" s="84">
        <f>SUM(AD15:AD15)</f>
        <v>137350</v>
      </c>
      <c r="AE16" s="84">
        <f>SUM(AE15:AE15)</f>
        <v>498031</v>
      </c>
      <c r="AF16" s="84" t="inlineStr">
        <is>
          <t>–</t>
        </is>
      </c>
      <c r="AG16" s="88" t="inlineStr">
        <is>
          <t>–</t>
        </is>
      </c>
      <c r="AH16" s="84" t="inlineStr">
        <is>
          <t>–</t>
        </is>
      </c>
      <c r="AI16" s="89" t="str">
        <f>IF(AE16&lt;=5,"SETTLED","OUTSTANDING")</f>
        <v>OUTSTANDING</v>
      </c>
      <c r="AJ16" t="b">
        <f>AND(IF($B$4="",TRUE(),IF($B$4="(blank)",'Final Calculation Sheet'!$F$14="",IF($B$4="(nonblank)",'Final Calculation Sheet'!$F$14&lt;&gt;"",ISNUMBER(SEARCH($B$4,'Final Calculation Sheet'!$F$14))))),IF($C$4="",TRUE(),IF($C$4="(blank)",'Final Calculation Sheet'!$G$14="",IF($C$4="(nonblank)",'Final Calculation Sheet'!$G$14&lt;&gt;"",ISNUMBER(SEARCH($C$4,'Final Calculation Sheet'!$G$14))))),IF($D$4="",TRUE(),IF($D$4="(blank)",'Final Calculation Sheet'!$B$14="",IF($D$4="(nonblank)",'Final Calculation Sheet'!$B$14&lt;&gt;"",ISNUMBER(SEARCH($D$4,'Final Calculation Sheet'!$B$14))))),IF($E$4="",TRUE(),IF($E$4="(blank)",'Final Calculation Sheet'!$D$14="",IF($E$4="(nonblank)",'Final Calculation Sheet'!$D$14&lt;&gt;"",ISNUMBER(SEARCH($E$4,'Final Calculation Sheet'!$D$14))))),IF($F$4="",TRUE(),IF($F$4="(blank)",'Final Calculation Sheet'!$A$14="",IF($F$4="(nonblank)",'Final Calculation Sheet'!$A$14&lt;&gt;"",ISNUMBER(SEARCH($F$4,'Final Calculation Sheet'!$A$14))))),IF($G$4="",TRUE(),IF($G$4="(blank)",'Final Calculation Sheet'!$E$14="",IF($G$4="(nonblank)",'Final Calculation Sheet'!$E$14&lt;&gt;"",ISNUMBER(SEARCH($G$4,'Final Calculation Sheet'!$E$14))))),IF($H$4="",TRUE(),IF($H$4="(blank)",'Final Calculation Sheet'!$C$14="",IF($H$4="(nonblank)",'Final Calculation Sheet'!$C$14&lt;&gt;"",ISNUMBER(SEARCH($H$4,'Final Calculation Sheet'!$C$14))))),IF($I$4="",TRUE(),IF($I$4="(blank)",'Final Calculation Sheet'!$H$14="",IF($I$4="(nonblank)",'Final Calculation Sheet'!$H$14&lt;&gt;"",ISNUMBER(SEARCH($I$4,'Final Calculation Sheet'!$H$14))))),IF($J$4="",TRUE(),IF($J$4="(blank)",'Final Calculation Sheet'!$I$14="",IF($J$4="(nonblank)",'Final Calculation Sheet'!$I$14&lt;&gt;"",ISNUMBER(SEARCH($J$4,'Final Calculation Sheet'!$I$14))))),IF($K$4="",TRUE(),IF($K$4="(blank)",'Final Calculation Sheet'!$J$14="",IF($K$4="(nonblank)",'Final Calculation Sheet'!$J$14&lt;&gt;"",ISNUMBER(SEARCH($K$4,'Final Calculation Sheet'!$J$14))))),IF($L$4="",TRUE(),IF($L$4="(blank)",'Final Calculation Sheet'!$K$14="",IF($L$4="(nonblank)",'Final Calculation Sheet'!$K$14&lt;&gt;"",ISNUMBER(SEARCH($L$4,'Final Calculation Sheet'!$K$14))))),IF($M$4="",TRUE(),IF($M$4="(blank)",'Final Calculation Sheet'!$L$14="",IF($M$4="(nonblank)",'Final Calculation Sheet'!$L$14&lt;&gt;"",ISNUMBER(SEARCH($M$4,'Final Calculation Sheet'!$L$14))))),IF($N$4="",TRUE(),IF($N$4="(blank)",'Final Calculation Sheet'!$M$14="",IF($N$4="(nonblank)",'Final Calculation Sheet'!$M$14&lt;&gt;"",ISNUMBER(SEARCH($N$4,'Final Calculation Sheet'!$M$14))))),IF($O$4="",TRUE(),IF($O$4="(blank)",'Final Calculation Sheet'!$N$14="",IF($O$4="(nonblank)",'Final Calculation Sheet'!$N$14&lt;&gt;"",ISNUMBER(SEARCH($O$4,'Final Calculation Sheet'!$N$14))))),IF($P$4="",TRUE(),IF($P$4="(blank)",'Final Calculation Sheet'!$O$14="",IF($P$4="(nonblank)",'Final Calculation Sheet'!$O$14&lt;&gt;"",ISNUMBER(SEARCH($P$4,'Final Calculation Sheet'!$O$14))))),IF($Q$4="",TRUE(),IF($Q$4="(blank)",'Final Calculation Sheet'!$P$14="",IF($Q$4="(nonblank)",'Final Calculation Sheet'!$P$14&lt;&gt;"",ISNUMBER(SEARCH($Q$4,'Final Calculation Sheet'!$P$14))))),IF($R$4="",TRUE(),IF($R$4="(blank)",'Final Calculation Sheet'!$Q$14="",IF($R$4="(nonblank)",'Final Calculation Sheet'!$Q$14&lt;&gt;"",ISNUMBER(SEARCH($R$4,'Final Calculation Sheet'!$Q$14))))),IF($S$4="",TRUE(),IF($S$4="(blank)",'Final Calculation Sheet'!$R$14="",IF($S$4="(nonblank)",'Final Calculation Sheet'!$R$14&lt;&gt;"",ISNUMBER(SEARCH($S$4,'Final Calculation Sheet'!$R$14))))),IF($T$4="",TRUE(),IF($T$4="(blank)",'Final Calculation Sheet'!$S$14="",IF($T$4="(nonblank)",'Final Calculation Sheet'!$S$14&lt;&gt;"",ISNUMBER(SEARCH($T$4,'Final Calculation Sheet'!$S$14))))),IF($U$4="",TRUE(),IF($U$4="(blank)",'Final Calculation Sheet'!$T$14="",IF($U$4="(nonblank)",'Final Calculation Sheet'!$T$14&lt;&gt;"",ISNUMBER(SEARCH($U$4,'Final Calculation Sheet'!$T$14))))),IF($V$4="",TRUE(),IF($V$4="(blank)",'Final Calculation Sheet'!$U$14="",IF($V$4="(nonblank)",'Final Calculation Sheet'!$U$14&lt;&gt;"",ISNUMBER(SEARCH($V$4,'Final Calculation Sheet'!$U$14))))),IF($W$4="",TRUE(),IF($W$4="(blank)",'Final Calculation Sheet'!$V$14="",IF($W$4="(nonblank)",'Final Calculation Sheet'!$V$14&lt;&gt;"",ISNUMBER(SEARCH($W$4,'Final Calculation Sheet'!$V$14))))),IF($X$4="",TRUE(),IF($X$4="(blank)",'Final Calculation Sheet'!$W$14="",IF($X$4="(nonblank)",'Final Calculation Sheet'!$W$14&lt;&gt;"",ISNUMBER(SEARCH($X$4,'Final Calculation Sheet'!$W$14))))),IF($Y$4="",TRUE(),IF($Y$4="(blank)",'Final Calculation Sheet'!$X$14="",IF($Y$4="(nonblank)",'Final Calculation Sheet'!$X$14&lt;&gt;"",ISNUMBER(SEARCH($Y$4,'Final Calculation Sheet'!$X$14))))),IF($Z$4="",TRUE(),IF($Z$4="(blank)",'Final Calculation Sheet'!$Y$14="",IF($Z$4="(nonblank)",'Final Calculation Sheet'!$Y$14&lt;&gt;"",ISNUMBER(SEARCH($Z$4,'Final Calculation Sheet'!$Y$14))))),IF($AA$4="",TRUE(),IF($AA$4="(blank)",'Final Calculation Sheet'!$Z$14="",IF($AA$4="(nonblank)",'Final Calculation Sheet'!$Z$14&lt;&gt;"",ISNUMBER(SEARCH($AA$4,'Final Calculation Sheet'!$Z$14))))),IF($AB$4="",TRUE(),IF($AB$4="(blank)",'Final Calculation Sheet'!$AA$14="",IF($AB$4="(nonblank)",'Final Calculation Sheet'!$AA$14&lt;&gt;"",ISNUMBER(SEARCH($AB$4,'Final Calculation Sheet'!$AA$14))))),IF($AC$4="",TRUE(),IF($AC$4="(blank)",'Final Calculation Sheet'!$AB$14="",IF($AC$4="(nonblank)",'Final Calculation Sheet'!$AB$14&lt;&gt;"",ISNUMBER(SEARCH($AC$4,'Final Calculation Sheet'!$AB$14))))),IF($AD$4="",TRUE(),IF($AD$4="(blank)",'Final Calculation Sheet'!$AC$14="",IF($AD$4="(nonblank)",'Final Calculation Sheet'!$AC$14&lt;&gt;"",ISNUMBER(SEARCH($AD$4,'Final Calculation Sheet'!$AC$14))))),IF($AE$4="",TRUE(),IF($AE$4="(blank)",'Final Calculation Sheet'!$AD$14="",IF($AE$4="(nonblank)",'Final Calculation Sheet'!$AD$14&lt;&gt;"",ISNUMBER(SEARCH($AE$4,'Final Calculation Sheet'!$AD$14))))),IF($AF$4="",TRUE(),IF($AF$4="(blank)",'Final Calculation Sheet'!$AE$14="",IF($AF$4="(nonblank)",'Final Calculation Sheet'!$AE$14&lt;&gt;"",ISNUMBER(SEARCH($AF$4,'Final Calculation Sheet'!$AE$14))))),IF($AG$4="",TRUE(),IF($AG$4="(blank)",'Final Calculation Sheet'!$AF$14="",IF($AG$4="(nonblank)",'Final Calculation Sheet'!$AF$14&lt;&gt;"",ISNUMBER(SEARCH($AG$4,'Final Calculation Sheet'!$AF$14))))),IF($AH$4="",TRUE(),IF($AH$4="(blank)",'Final Calculation Sheet'!$AG$14="",IF($AH$4="(nonblank)",'Final Calculation Sheet'!$AG$14&lt;&gt;"",ISNUMBER(SEARCH($AH$4,'Final Calculation Sheet'!$AG$14))))),IF($AI$4="",TRUE(),IF($AI$4="(blank)",IF('Final Calculation Sheet'!$AD$14&lt;=5,"SETTLED","OUTSTANDING")="",IF($AI$4="(nonblank)",IF('Final Calculation Sheet'!$AD$14&lt;=5,"SETTLED","OUTSTANDING")&lt;&gt;"",ISNUMBER(SEARCH($AI$4,IF('Final Calculation Sheet'!$AD$14&lt;=5,"SETTLED","OUTSTANDING")))))))</f>
        <v>1</v>
      </c>
      <c r="AK16" t="str">
        <f>IF(AJ16=1,COUNTIF(AJ$6:AJ16,1),"")</f>
        <v/>
      </c>
      <c r="AM16">
        <f>AM15+IF(AND(Lists!$O$16&lt;&gt;"",ISNUMBER(SEARCH($B$4,Lists!$O$16))),1,0)</f>
        <v>13</v>
      </c>
      <c r="AN16">
        <f>IF(ROW()-3&gt;MAX($AM$4:$AM$42),"",INDEX(Lists!$O$4:$O$42,MATCH(ROW()-3,$AM$4:$AM$42,0)))</f>
        <v>2011</v>
      </c>
      <c r="AO16">
        <f>AO15+IF(AND(Lists!$T$16&lt;&gt;"",ISNUMBER(SEARCH($C$4,Lists!$T$16))),1,0)</f>
        <v>13</v>
      </c>
      <c r="AP16" t="str">
        <f>IF(ROW()-3&gt;MAX($AO$4:$AO$42),"",INDEX(Lists!$T$4:$T$42,MATCH(ROW()-3,$AO$4:$AO$42,0)))</f>
        <v>WATAN SCRAP TRADERS</v>
      </c>
      <c r="AQ16">
        <f>AQ15+IF(AND(Lists!$Y$16&lt;&gt;"",ISNUMBER(SEARCH($D$4,Lists!$Y$16))),1,0)</f>
        <v>13</v>
      </c>
      <c r="AR16" t="str">
        <f>IF(ROW()-3&gt;MAX($AQ$4:$AQ$42),"",INDEX(Lists!$Y$4:$Y$42,MATCH(ROW()-3,$AQ$4:$AQ$42,0)))</f>
        <v>Scrap of 33 KV CT</v>
      </c>
      <c r="AS16">
        <f>AS15+IF(AND(Lists!$AD$16&lt;&gt;"",ISNUMBER(SEARCH($E$4,Lists!$AD$16))),1,0)</f>
        <v>4</v>
      </c>
      <c r="AT16" t="str">
        <f>IF(ROW()-3&gt;MAX($AS$4:$AS$42),"",INDEX(Lists!$AD$4:$AD$42,MATCH(ROW()-3,$AS$4:$AS$42,0)))</f>
        <v/>
      </c>
      <c r="AU16">
        <f>AU15+IF(AND(Lists!$AI$16&lt;&gt;"",ISNUMBER(SEARCH($F$4,Lists!$AI$16))),1,0)</f>
        <v>13</v>
      </c>
      <c r="AV16">
        <f>IF(ROW()-3&gt;MAX($AU$4:$AU$42),"",INDEX(Lists!$AI$4:$AI$42,MATCH(ROW()-3,$AU$4:$AU$42,0)))</f>
        <v>100</v>
      </c>
      <c r="AW16">
        <f>AW15+IF(AND(Lists!$AN$16&lt;&gt;"",ISNUMBER(SEARCH($G$4,Lists!$AN$16))),1,0)</f>
        <v>3</v>
      </c>
      <c r="AX16" t="str">
        <f>IF(ROW()-3&gt;MAX($AW$4:$AW$42),"",INDEX(Lists!$AN$4:$AN$42,MATCH(ROW()-3,$AW$4:$AW$42,0)))</f>
        <v/>
      </c>
      <c r="AY16">
        <f>AY15+IF(AND(Lists!$AS$16&lt;&gt;"",ISNUMBER(SEARCH($H$4,Lists!$AS$16))),1,0)</f>
        <v>13</v>
      </c>
      <c r="AZ16">
        <f>IF(ROW()-3&gt;MAX($AY$4:$AY$42),"",INDEX(Lists!$AS$4:$AS$42,MATCH(ROW()-3,$AY$4:$AY$42,0)))</f>
        <v>1181</v>
      </c>
      <c r="BA16">
        <f>BA15+IF(AND(Lists!$AX$16&lt;&gt;"",ISNUMBER(SEARCH($I$4,Lists!$AX$16))),1,0)</f>
        <v>13</v>
      </c>
      <c r="BB16">
        <f>IF(ROW()-3&gt;MAX($BA$4:$BA$42),"",INDEX(Lists!$AX$4:$AX$42,MATCH(ROW()-3,$BA$4:$BA$42,0)))</f>
        <v>70006</v>
      </c>
      <c r="BC16">
        <f>BC15+IF(AND(Lists!$BC$16&lt;&gt;"",ISNUMBER(SEARCH($J$4,Lists!$BC$16))),1,0)</f>
        <v>13</v>
      </c>
      <c r="BD16">
        <f>IF(ROW()-3&gt;MAX($BC$4:$BC$42),"",INDEX(Lists!$BC$4:$BC$42,MATCH(ROW()-3,$BC$4:$BC$42,0)))</f>
        <v>12601</v>
      </c>
      <c r="BE16">
        <f>BE15+IF(AND(Lists!$BH$16&lt;&gt;"",ISNUMBER(SEARCH($K$4,Lists!$BH$16))),1,0)</f>
        <v>13</v>
      </c>
      <c r="BF16">
        <f>IF(ROW()-3&gt;MAX($BE$4:$BE$42),"",INDEX(Lists!$BH$4:$BH$42,MATCH(ROW()-3,$BE$4:$BE$42,0)))</f>
        <v>82607</v>
      </c>
      <c r="BG16">
        <f>BG15+IF(AND(Lists!$BM$16&lt;&gt;"",ISNUMBER(SEARCH($L$4,Lists!$BM$16))),1,0)</f>
        <v>13</v>
      </c>
      <c r="BH16">
        <f>IF(ROW()-3&gt;MAX($BG$4:$BG$42),"",INDEX(Lists!$BM$4:$BM$42,MATCH(ROW()-3,$BG$4:$BG$42,0)))</f>
        <v>1652</v>
      </c>
      <c r="BI16">
        <f>BI15+IF(AND(Lists!$BR$16&lt;&gt;"",ISNUMBER(SEARCH($M$4,Lists!$BR$16))),1,0)</f>
        <v>13</v>
      </c>
      <c r="BJ16">
        <f>IF(ROW()-3&gt;MAX($BI$4:$BI$42),"",INDEX(Lists!$BR$4:$BR$42,MATCH(ROW()-3,$BI$4:$BI$42,0)))</f>
        <v>70.006</v>
      </c>
      <c r="BK16">
        <f>BK15+IF(AND(Lists!$BW$16&lt;&gt;"",ISNUMBER(SEARCH($N$4,Lists!$BW$16))),1,0)</f>
        <v>13</v>
      </c>
      <c r="BL16">
        <f>IF(ROW()-3&gt;MAX($BK$4:$BK$42),"",INDEX(Lists!$BW$4:$BW$42,MATCH(ROW()-3,$BK$4:$BK$42,0)))</f>
        <v>1858.6592999999998</v>
      </c>
      <c r="BM16">
        <f>BM15+IF(AND(Lists!$CB$16&lt;&gt;"",ISNUMBER(SEARCH($O$4,Lists!$CB$16))),1,0)</f>
        <v>13</v>
      </c>
      <c r="BN16">
        <f>IF(ROW()-3&gt;MAX($BM$4:$BM$42),"",INDEX(Lists!$CB$4:$CB$42,MATCH(ROW()-3,$BM$4:$BM$42,0)))</f>
        <v>31.502700000000001</v>
      </c>
      <c r="BO16">
        <f>BO15+IF(AND(Lists!$CG$16&lt;&gt;"",ISNUMBER(SEARCH($P$4,Lists!$CG$16))),1,0)</f>
        <v>13</v>
      </c>
      <c r="BP16">
        <f>IF(ROW()-3&gt;MAX($BO$4:$BO$42),"",INDEX(Lists!$CG$4:$CG$42,MATCH(ROW()-3,$BO$4:$BO$42,0)))</f>
        <v>1827.1565999999998</v>
      </c>
      <c r="BQ16">
        <f>BQ15+IF(AND(Lists!$CL$16&lt;&gt;"",ISNUMBER(SEARCH($Q$4,Lists!$CL$16))),1,0)</f>
        <v>13</v>
      </c>
      <c r="BR16">
        <f>IF(ROW()-3&gt;MAX($BQ$4:$BQ$42),"",INDEX(Lists!$CL$4:$CL$42,MATCH(ROW()-3,$BQ$4:$BQ$42,0)))</f>
        <v>1897</v>
      </c>
      <c r="BS16">
        <f>BS15+IF(AND(Lists!$CQ$16&lt;&gt;"",ISNUMBER(SEARCH($R$4,Lists!$CQ$16))),1,0)</f>
        <v>2</v>
      </c>
      <c r="BT16" t="str">
        <f>IF(ROW()-3&gt;MAX($BS$4:$BS$42),"",INDEX(Lists!$CQ$4:$CQ$42,MATCH(ROW()-3,$BS$4:$BS$42,0)))</f>
        <v/>
      </c>
      <c r="BU16">
        <f>BU15+IF(AND(Lists!$CV$16&lt;&gt;"",ISNUMBER(SEARCH($S$4,Lists!$CV$16))),1,0)</f>
        <v>5</v>
      </c>
      <c r="BV16" t="str">
        <f>IF(ROW()-3&gt;MAX($BU$4:$BU$42),"",INDEX(Lists!$CV$4:$CV$42,MATCH(ROW()-3,$BU$4:$BU$42,0)))</f>
        <v/>
      </c>
      <c r="BW16">
        <f>BW15+IF(AND(Lists!$DA$16&lt;&gt;"",ISNUMBER(SEARCH($T$4,Lists!$DA$16))),1,0)</f>
        <v>13</v>
      </c>
      <c r="BX16">
        <f>IF(ROW()-3&gt;MAX($BW$4:$BW$42),"",INDEX(Lists!$DA$4:$DA$42,MATCH(ROW()-3,$BW$4:$BW$42,0)))</f>
        <v>82362</v>
      </c>
      <c r="BY16">
        <f>BY15+IF(AND(Lists!$DF$16&lt;&gt;"",ISNUMBER(SEARCH($U$4,Lists!$DF$16))),1,0)</f>
        <v>13</v>
      </c>
      <c r="BZ16">
        <f>IF(ROW()-3&gt;MAX($BY$4:$BY$42),"",INDEX(Lists!$DF$4:$DF$42,MATCH(ROW()-3,$BY$4:$BY$42,0)))</f>
        <v>17502</v>
      </c>
      <c r="CA16">
        <f>CA15+IF(AND(Lists!$DK$16&lt;&gt;"",ISNUMBER(SEARCH($V$4,Lists!$DK$16))),1,0)</f>
        <v>13</v>
      </c>
      <c r="CB16">
        <f>IF(ROW()-3&gt;MAX($CA$4:$CA$42),"",INDEX(Lists!$DK$4:$DK$42,MATCH(ROW()-3,$CA$4:$CA$42,0)))</f>
        <v>17502</v>
      </c>
      <c r="CC16">
        <f>CC15+IF(AND(Lists!$DP$16&lt;&gt;"",ISNUMBER(SEARCH($W$4,Lists!$DP$16))),1,0)</f>
        <v>6</v>
      </c>
      <c r="CD16" t="str">
        <f>IF(ROW()-3&gt;MAX($CC$4:$CC$42),"",INDEX(Lists!$DP$4:$DP$42,MATCH(ROW()-3,$CC$4:$CC$42,0)))</f>
        <v/>
      </c>
      <c r="CE16">
        <f>CE15+IF(AND(Lists!$DU$16&lt;&gt;"",ISNUMBER(SEARCH($X$4,Lists!$DU$16))),1,0)</f>
        <v>13</v>
      </c>
      <c r="CF16">
        <f>IF(ROW()-3&gt;MAX($CE$4:$CE$42),"",INDEX(Lists!$DU$4:$DU$42,MATCH(ROW()-3,$CE$4:$CE$42,0)))</f>
        <v>64861</v>
      </c>
      <c r="CG16" t="e">
        <f>CG15+IF(AND(Lists!$DZ$16&lt;&gt;"",ISNUMBER(SEARCH($Y$4,Lists!$DZ$16))),1,0)</f>
        <v>#N/A</v>
      </c>
      <c r="CH16" t="e">
        <f>IF(ROW()-3&gt;MAX($CG$4:$CG$42),"",INDEX(Lists!$DZ$4:$DZ$42,MATCH(ROW()-3,$CG$4:$CG$42,0)))</f>
        <v>#N/A</v>
      </c>
      <c r="CI16" t="e">
        <f>CI15+IF(AND(Lists!$EE$16&lt;&gt;"",ISNUMBER(SEARCH($Z$4,Lists!$EE$16))),1,0)</f>
        <v>#N/A</v>
      </c>
      <c r="CJ16" t="e">
        <f>IF(ROW()-3&gt;MAX($CI$4:$CI$42),"",INDEX(Lists!$EE$4:$EE$42,MATCH(ROW()-3,$CI$4:$CI$42,0)))</f>
        <v>#N/A</v>
      </c>
      <c r="CK16">
        <f>CK15+IF(AND(Lists!$EJ$16&lt;&gt;"",ISNUMBER(SEARCH($AA$4,Lists!$EJ$16))),1,0)</f>
        <v>6</v>
      </c>
      <c r="CL16" t="str">
        <f>IF(ROW()-3&gt;MAX($CK$4:$CK$42),"",INDEX(Lists!$EJ$4:$EJ$42,MATCH(ROW()-3,$CK$4:$CK$42,0)))</f>
        <v/>
      </c>
      <c r="CM16" t="e">
        <f>CM15+IF(AND(Lists!$EO$16&lt;&gt;"",ISNUMBER(SEARCH($AB$4,Lists!$EO$16))),1,0)</f>
        <v>#N/A</v>
      </c>
      <c r="CN16" t="e">
        <f>IF(ROW()-3&gt;MAX($CM$4:$CM$42),"",INDEX(Lists!$EO$4:$EO$42,MATCH(ROW()-3,$CM$4:$CM$42,0)))</f>
        <v>#N/A</v>
      </c>
      <c r="CO16" t="e">
        <f>CO15+IF(AND(Lists!$ET$16&lt;&gt;"",ISNUMBER(SEARCH($AC$4,Lists!$ET$16))),1,0)</f>
        <v>#N/A</v>
      </c>
      <c r="CP16" t="e">
        <f>IF(ROW()-3&gt;MAX($CO$4:$CO$42),"",INDEX(Lists!$ET$4:$ET$42,MATCH(ROW()-3,$CO$4:$CO$42,0)))</f>
        <v>#N/A</v>
      </c>
      <c r="CQ16">
        <f>CQ15+IF(AND(Lists!$EY$16&lt;&gt;"",ISNUMBER(SEARCH($AD$4,Lists!$EY$16))),1,0)</f>
        <v>13</v>
      </c>
      <c r="CR16">
        <f>IF(ROW()-3&gt;MAX($CQ$4:$CQ$42),"",INDEX(Lists!$EY$4:$EY$42,MATCH(ROW()-3,$CQ$4:$CQ$42,0)))</f>
        <v>76481</v>
      </c>
      <c r="CS16" t="e">
        <f>CS15+IF(AND(Lists!$FD$16&lt;&gt;"",ISNUMBER(SEARCH($AE$4,Lists!$FD$16))),1,0)</f>
        <v>#N/A</v>
      </c>
      <c r="CT16" t="e">
        <f>IF(ROW()-3&gt;MAX($CS$4:$CS$42),"",INDEX(Lists!$FD$4:$FD$42,MATCH(ROW()-3,$CS$4:$CS$42,0)))</f>
        <v>#N/A</v>
      </c>
      <c r="CU16" t="e">
        <f>CU15+IF(AND(Lists!$FI$16&lt;&gt;"",ISNUMBER(SEARCH($AF$4,Lists!$FI$16))),1,0)</f>
        <v>#N/A</v>
      </c>
      <c r="CV16" t="e">
        <f>IF(ROW()-3&gt;MAX($CU$4:$CU$42),"",INDEX(Lists!$FI$4:$FI$42,MATCH(ROW()-3,$CU$4:$CU$42,0)))</f>
        <v>#N/A</v>
      </c>
      <c r="CW16" t="e">
        <f>CW15+IF(AND(Lists!$FN$16&lt;&gt;"",ISNUMBER(SEARCH($AG$4,Lists!$FN$16))),1,0)</f>
        <v>#N/A</v>
      </c>
      <c r="CX16" t="e">
        <f>IF(ROW()-3&gt;MAX($CW$4:$CW$42),"",INDEX(Lists!$FN$4:$FN$42,MATCH(ROW()-3,$CW$4:$CW$42,0)))</f>
        <v>#N/A</v>
      </c>
      <c r="CY16" t="e">
        <f>CY15+IF(AND(Lists!$FS$16&lt;&gt;"",ISNUMBER(SEARCH($AH$4,Lists!$FS$16))),1,0)</f>
        <v>#N/A</v>
      </c>
      <c r="CZ16" t="e">
        <f>IF(ROW()-3&gt;MAX($CY$4:$CY$42),"",INDEX(Lists!$FS$4:$FS$42,MATCH(ROW()-3,$CY$4:$CY$42,0)))</f>
        <v>#N/A</v>
      </c>
      <c r="DA16">
        <f>DA15+IF(AND(Lists!$FX$16&lt;&gt;"",ISNUMBER(SEARCH($AI$4,Lists!$FX$16))),1,0)</f>
        <v>2</v>
      </c>
      <c r="DB16" t="str">
        <f>IF(ROW()-3&gt;MAX($DA$4:$DA$42),"",INDEX(Lists!$FX$4:$FX$42,MATCH(ROW()-3,$DA$4:$DA$42,0)))</f>
        <v/>
      </c>
    </row>
    <row r="17" outlineLevel="1" ht="15" customHeight="1" s="137">
      <c r="A17" s="67" t="n">
        <v>1</v>
      </c>
      <c r="B17" s="76">
        <f>IF('Final Calculation Sheet'!$F$5="","",'Final Calculation Sheet'!$F$5)</f>
        <v>1874</v>
      </c>
      <c r="C17" s="76" t="str">
        <f>IF('Final Calculation Sheet'!$G$5="","",'Final Calculation Sheet'!$G$5)</f>
        <v>NATIONAL ENTERPRISES</v>
      </c>
      <c r="D17" s="80" t="str">
        <f>IF('Final Calculation Sheet'!$B$5="","",'Final Calculation Sheet'!$B$5)</f>
        <v>Scrap of Empty oil drum</v>
      </c>
      <c r="E17" s="80">
        <f>IF('Final Calculation Sheet'!$D$5="","",'Final Calculation Sheet'!$D$5)</f>
        <v>21977</v>
      </c>
      <c r="F17" s="80">
        <f>IF('Final Calculation Sheet'!$A$5="","",'Final Calculation Sheet'!$A$5)</f>
        <v>270</v>
      </c>
      <c r="G17" s="80" t="str">
        <f>IF('Final Calculation Sheet'!$E$5="","",'Final Calculation Sheet'!$E$5)</f>
        <v>NO</v>
      </c>
      <c r="H17" s="70">
        <f>IF('Final Calculation Sheet'!$C$5="","",'Final Calculation Sheet'!$C$5)</f>
        <v>580</v>
      </c>
      <c r="I17" s="70">
        <f>IF('Final Calculation Sheet'!$H$5="","",'Final Calculation Sheet'!$H$5)</f>
        <v>156600</v>
      </c>
      <c r="J17" s="70">
        <f>IF('Final Calculation Sheet'!$I$5="","",'Final Calculation Sheet'!$I$5)</f>
        <v>28188</v>
      </c>
      <c r="K17" s="70">
        <f>IF('Final Calculation Sheet'!$J$5="","",'Final Calculation Sheet'!$J$5)</f>
        <v>184788</v>
      </c>
      <c r="L17" s="70">
        <f>IF('Final Calculation Sheet'!$K$5="","",'Final Calculation Sheet'!$K$5)</f>
        <v>3696</v>
      </c>
      <c r="M17" s="70">
        <f>IF('Final Calculation Sheet'!$L$5="","",'Final Calculation Sheet'!$L$5)</f>
        <v>156.6</v>
      </c>
      <c r="N17" s="70">
        <f>IF('Final Calculation Sheet'!$M$5="","",'Final Calculation Sheet'!$M$5)</f>
        <v>4157.7299999999996</v>
      </c>
      <c r="O17" s="71">
        <f>IF('Final Calculation Sheet'!$N$5="","",'Final Calculation Sheet'!$N$5)</f>
        <v>70.47</v>
      </c>
      <c r="P17" s="70">
        <f>IF('Final Calculation Sheet'!$O$5="","",'Final Calculation Sheet'!$O$5)</f>
        <v>4087.2599999999998</v>
      </c>
      <c r="Q17" s="70">
        <f>IF('Final Calculation Sheet'!$P$5="","",'Final Calculation Sheet'!$P$5)</f>
        <v>4244</v>
      </c>
      <c r="R17" s="72">
        <f>IF('Final Calculation Sheet'!$Q$5="","",'Final Calculation Sheet'!$Q$5)</f>
        <v>0</v>
      </c>
      <c r="S17" s="70">
        <f>IF('Final Calculation Sheet'!$R$5="","",'Final Calculation Sheet'!$R$5)</f>
        <v>0</v>
      </c>
      <c r="T17" s="70">
        <f>IF('Final Calculation Sheet'!$S$5="","",'Final Calculation Sheet'!$S$5)</f>
        <v>184240</v>
      </c>
      <c r="U17" s="70">
        <f>IF('Final Calculation Sheet'!$T$5="","",'Final Calculation Sheet'!$T$5)</f>
        <v>39150</v>
      </c>
      <c r="V17" s="73">
        <f>IF('Final Calculation Sheet'!$U$5="","",'Final Calculation Sheet'!$U$5)</f>
        <v>39150</v>
      </c>
      <c r="W17" s="70" t="str">
        <f>IF('Final Calculation Sheet'!$V$5="","",'Final Calculation Sheet'!$V$5)</f>
        <v>13.08.2026</v>
      </c>
      <c r="X17" s="70">
        <f>IF('Final Calculation Sheet'!$W$5="","",'Final Calculation Sheet'!$W$5)</f>
        <v>145090</v>
      </c>
      <c r="Y17" s="70">
        <f>IF('Final Calculation Sheet'!$X$5="","",'Final Calculation Sheet'!$X$5)</f>
        <v>145090</v>
      </c>
      <c r="Z17" s="70" t="str">
        <f>IF('Final Calculation Sheet'!$Y$5="","",'Final Calculation Sheet'!$Y$5)</f>
        <v>24.08.2026</v>
      </c>
      <c r="AA17" s="70">
        <f>IF('Final Calculation Sheet'!$Z$5="","",'Final Calculation Sheet'!$Z$5)</f>
        <v>0</v>
      </c>
      <c r="AB17" s="70" t="str">
        <f>IF('Final Calculation Sheet'!$AA$5="","",'Final Calculation Sheet'!$AA$5)</f>
        <v/>
      </c>
      <c r="AC17" s="70" t="str">
        <f>IF('Final Calculation Sheet'!$AB$5="","",'Final Calculation Sheet'!$AB$5)</f>
        <v/>
      </c>
      <c r="AD17" s="70">
        <f>IF('Final Calculation Sheet'!$AC$5="","",'Final Calculation Sheet'!$AC$5)</f>
        <v>184240</v>
      </c>
      <c r="AE17" s="70">
        <f>IF('Final Calculation Sheet'!$AD$5="","",'Final Calculation Sheet'!$AD$5)</f>
        <v>0</v>
      </c>
      <c r="AF17" s="70" t="str">
        <f>IF('Final Calculation Sheet'!$AE$5="","",'Final Calculation Sheet'!$AE$5)</f>
        <v>DR2640100030</v>
      </c>
      <c r="AG17" s="74">
        <f>IF('Final Calculation Sheet'!$AF$5="","",'Final Calculation Sheet'!$AF$5)</f>
        <v>1800003302</v>
      </c>
      <c r="AH17" s="70" t="str">
        <f>IF('Final Calculation Sheet'!$AG$5="","",'Final Calculation Sheet'!$AG$5)</f>
        <v>27.08.2026</v>
      </c>
      <c r="AI17" s="75" t="str">
        <f>IF('Final Calculation Sheet'!$AD$5="","",IF('Final Calculation Sheet'!$AD$5&lt;=5,"SETTLED","OUTSTANDING"))</f>
        <v>SETTLED</v>
      </c>
      <c r="AJ17" t="b">
        <f>AND(IF($B$4="",TRUE(),IF($B$4="(blank)",'Final Calculation Sheet'!$F$15="",IF($B$4="(nonblank)",'Final Calculation Sheet'!$F$15&lt;&gt;"",ISNUMBER(SEARCH($B$4,'Final Calculation Sheet'!$F$15))))),IF($C$4="",TRUE(),IF($C$4="(blank)",'Final Calculation Sheet'!$G$15="",IF($C$4="(nonblank)",'Final Calculation Sheet'!$G$15&lt;&gt;"",ISNUMBER(SEARCH($C$4,'Final Calculation Sheet'!$G$15))))),IF($D$4="",TRUE(),IF($D$4="(blank)",'Final Calculation Sheet'!$B$15="",IF($D$4="(nonblank)",'Final Calculation Sheet'!$B$15&lt;&gt;"",ISNUMBER(SEARCH($D$4,'Final Calculation Sheet'!$B$15))))),IF($E$4="",TRUE(),IF($E$4="(blank)",'Final Calculation Sheet'!$D$15="",IF($E$4="(nonblank)",'Final Calculation Sheet'!$D$15&lt;&gt;"",ISNUMBER(SEARCH($E$4,'Final Calculation Sheet'!$D$15))))),IF($F$4="",TRUE(),IF($F$4="(blank)",'Final Calculation Sheet'!$A$15="",IF($F$4="(nonblank)",'Final Calculation Sheet'!$A$15&lt;&gt;"",ISNUMBER(SEARCH($F$4,'Final Calculation Sheet'!$A$15))))),IF($G$4="",TRUE(),IF($G$4="(blank)",'Final Calculation Sheet'!$E$15="",IF($G$4="(nonblank)",'Final Calculation Sheet'!$E$15&lt;&gt;"",ISNUMBER(SEARCH($G$4,'Final Calculation Sheet'!$E$15))))),IF($H$4="",TRUE(),IF($H$4="(blank)",'Final Calculation Sheet'!$C$15="",IF($H$4="(nonblank)",'Final Calculation Sheet'!$C$15&lt;&gt;"",ISNUMBER(SEARCH($H$4,'Final Calculation Sheet'!$C$15))))),IF($I$4="",TRUE(),IF($I$4="(blank)",'Final Calculation Sheet'!$H$15="",IF($I$4="(nonblank)",'Final Calculation Sheet'!$H$15&lt;&gt;"",ISNUMBER(SEARCH($I$4,'Final Calculation Sheet'!$H$15))))),IF($J$4="",TRUE(),IF($J$4="(blank)",'Final Calculation Sheet'!$I$15="",IF($J$4="(nonblank)",'Final Calculation Sheet'!$I$15&lt;&gt;"",ISNUMBER(SEARCH($J$4,'Final Calculation Sheet'!$I$15))))),IF($K$4="",TRUE(),IF($K$4="(blank)",'Final Calculation Sheet'!$J$15="",IF($K$4="(nonblank)",'Final Calculation Sheet'!$J$15&lt;&gt;"",ISNUMBER(SEARCH($K$4,'Final Calculation Sheet'!$J$15))))),IF($L$4="",TRUE(),IF($L$4="(blank)",'Final Calculation Sheet'!$K$15="",IF($L$4="(nonblank)",'Final Calculation Sheet'!$K$15&lt;&gt;"",ISNUMBER(SEARCH($L$4,'Final Calculation Sheet'!$K$15))))),IF($M$4="",TRUE(),IF($M$4="(blank)",'Final Calculation Sheet'!$L$15="",IF($M$4="(nonblank)",'Final Calculation Sheet'!$L$15&lt;&gt;"",ISNUMBER(SEARCH($M$4,'Final Calculation Sheet'!$L$15))))),IF($N$4="",TRUE(),IF($N$4="(blank)",'Final Calculation Sheet'!$M$15="",IF($N$4="(nonblank)",'Final Calculation Sheet'!$M$15&lt;&gt;"",ISNUMBER(SEARCH($N$4,'Final Calculation Sheet'!$M$15))))),IF($O$4="",TRUE(),IF($O$4="(blank)",'Final Calculation Sheet'!$N$15="",IF($O$4="(nonblank)",'Final Calculation Sheet'!$N$15&lt;&gt;"",ISNUMBER(SEARCH($O$4,'Final Calculation Sheet'!$N$15))))),IF($P$4="",TRUE(),IF($P$4="(blank)",'Final Calculation Sheet'!$O$15="",IF($P$4="(nonblank)",'Final Calculation Sheet'!$O$15&lt;&gt;"",ISNUMBER(SEARCH($P$4,'Final Calculation Sheet'!$O$15))))),IF($Q$4="",TRUE(),IF($Q$4="(blank)",'Final Calculation Sheet'!$P$15="",IF($Q$4="(nonblank)",'Final Calculation Sheet'!$P$15&lt;&gt;"",ISNUMBER(SEARCH($Q$4,'Final Calculation Sheet'!$P$15))))),IF($R$4="",TRUE(),IF($R$4="(blank)",'Final Calculation Sheet'!$Q$15="",IF($R$4="(nonblank)",'Final Calculation Sheet'!$Q$15&lt;&gt;"",ISNUMBER(SEARCH($R$4,'Final Calculation Sheet'!$Q$15))))),IF($S$4="",TRUE(),IF($S$4="(blank)",'Final Calculation Sheet'!$R$15="",IF($S$4="(nonblank)",'Final Calculation Sheet'!$R$15&lt;&gt;"",ISNUMBER(SEARCH($S$4,'Final Calculation Sheet'!$R$15))))),IF($T$4="",TRUE(),IF($T$4="(blank)",'Final Calculation Sheet'!$S$15="",IF($T$4="(nonblank)",'Final Calculation Sheet'!$S$15&lt;&gt;"",ISNUMBER(SEARCH($T$4,'Final Calculation Sheet'!$S$15))))),IF($U$4="",TRUE(),IF($U$4="(blank)",'Final Calculation Sheet'!$T$15="",IF($U$4="(nonblank)",'Final Calculation Sheet'!$T$15&lt;&gt;"",ISNUMBER(SEARCH($U$4,'Final Calculation Sheet'!$T$15))))),IF($V$4="",TRUE(),IF($V$4="(blank)",'Final Calculation Sheet'!$U$15="",IF($V$4="(nonblank)",'Final Calculation Sheet'!$U$15&lt;&gt;"",ISNUMBER(SEARCH($V$4,'Final Calculation Sheet'!$U$15))))),IF($W$4="",TRUE(),IF($W$4="(blank)",'Final Calculation Sheet'!$V$15="",IF($W$4="(nonblank)",'Final Calculation Sheet'!$V$15&lt;&gt;"",ISNUMBER(SEARCH($W$4,'Final Calculation Sheet'!$V$15))))),IF($X$4="",TRUE(),IF($X$4="(blank)",'Final Calculation Sheet'!$W$15="",IF($X$4="(nonblank)",'Final Calculation Sheet'!$W$15&lt;&gt;"",ISNUMBER(SEARCH($X$4,'Final Calculation Sheet'!$W$15))))),IF($Y$4="",TRUE(),IF($Y$4="(blank)",'Final Calculation Sheet'!$X$15="",IF($Y$4="(nonblank)",'Final Calculation Sheet'!$X$15&lt;&gt;"",ISNUMBER(SEARCH($Y$4,'Final Calculation Sheet'!$X$15))))),IF($Z$4="",TRUE(),IF($Z$4="(blank)",'Final Calculation Sheet'!$Y$15="",IF($Z$4="(nonblank)",'Final Calculation Sheet'!$Y$15&lt;&gt;"",ISNUMBER(SEARCH($Z$4,'Final Calculation Sheet'!$Y$15))))),IF($AA$4="",TRUE(),IF($AA$4="(blank)",'Final Calculation Sheet'!$Z$15="",IF($AA$4="(nonblank)",'Final Calculation Sheet'!$Z$15&lt;&gt;"",ISNUMBER(SEARCH($AA$4,'Final Calculation Sheet'!$Z$15))))),IF($AB$4="",TRUE(),IF($AB$4="(blank)",'Final Calculation Sheet'!$AA$15="",IF($AB$4="(nonblank)",'Final Calculation Sheet'!$AA$15&lt;&gt;"",ISNUMBER(SEARCH($AB$4,'Final Calculation Sheet'!$AA$15))))),IF($AC$4="",TRUE(),IF($AC$4="(blank)",'Final Calculation Sheet'!$AB$15="",IF($AC$4="(nonblank)",'Final Calculation Sheet'!$AB$15&lt;&gt;"",ISNUMBER(SEARCH($AC$4,'Final Calculation Sheet'!$AB$15))))),IF($AD$4="",TRUE(),IF($AD$4="(blank)",'Final Calculation Sheet'!$AC$15="",IF($AD$4="(nonblank)",'Final Calculation Sheet'!$AC$15&lt;&gt;"",ISNUMBER(SEARCH($AD$4,'Final Calculation Sheet'!$AC$15))))),IF($AE$4="",TRUE(),IF($AE$4="(blank)",'Final Calculation Sheet'!$AD$15="",IF($AE$4="(nonblank)",'Final Calculation Sheet'!$AD$15&lt;&gt;"",ISNUMBER(SEARCH($AE$4,'Final Calculation Sheet'!$AD$15))))),IF($AF$4="",TRUE(),IF($AF$4="(blank)",'Final Calculation Sheet'!$AE$15="",IF($AF$4="(nonblank)",'Final Calculation Sheet'!$AE$15&lt;&gt;"",ISNUMBER(SEARCH($AF$4,'Final Calculation Sheet'!$AE$15))))),IF($AG$4="",TRUE(),IF($AG$4="(blank)",'Final Calculation Sheet'!$AF$15="",IF($AG$4="(nonblank)",'Final Calculation Sheet'!$AF$15&lt;&gt;"",ISNUMBER(SEARCH($AG$4,'Final Calculation Sheet'!$AF$15))))),IF($AH$4="",TRUE(),IF($AH$4="(blank)",'Final Calculation Sheet'!$AG$15="",IF($AH$4="(nonblank)",'Final Calculation Sheet'!$AG$15&lt;&gt;"",ISNUMBER(SEARCH($AH$4,'Final Calculation Sheet'!$AG$15))))),IF($AI$4="",TRUE(),IF($AI$4="(blank)",IF('Final Calculation Sheet'!$AD$15&lt;=5,"SETTLED","OUTSTANDING")="",IF($AI$4="(nonblank)",IF('Final Calculation Sheet'!$AD$15&lt;=5,"SETTLED","OUTSTANDING")&lt;&gt;"",ISNUMBER(SEARCH($AI$4,IF('Final Calculation Sheet'!$AD$15&lt;=5,"SETTLED","OUTSTANDING")))))))</f>
        <v>1</v>
      </c>
      <c r="AK17" t="str">
        <f>IF(AJ17=1,COUNTIF(AJ$6:AJ17,1),"")</f>
        <v/>
      </c>
      <c r="AM17">
        <f>AM16+IF(AND(Lists!$O$17&lt;&gt;"",ISNUMBER(SEARCH($B$4,Lists!$O$17))),1,0)</f>
        <v>14</v>
      </c>
      <c r="AN17">
        <f>IF(ROW()-3&gt;MAX($AM$4:$AM$42),"",INDEX(Lists!$O$4:$O$42,MATCH(ROW()-3,$AM$4:$AM$42,0)))</f>
        <v>2015</v>
      </c>
      <c r="AO17">
        <f>AO16+IF(AND(Lists!$T$17&lt;&gt;"",ISNUMBER(SEARCH($C$4,Lists!$T$17))),1,0)</f>
        <v>13</v>
      </c>
      <c r="AP17" t="str">
        <f>IF(ROW()-3&gt;MAX($AO$4:$AO$42),"",INDEX(Lists!$T$4:$T$42,MATCH(ROW()-3,$AO$4:$AO$42,0)))</f>
        <v>(blank)</v>
      </c>
      <c r="AQ17">
        <f>AQ16+IF(AND(Lists!$Y$17&lt;&gt;"",ISNUMBER(SEARCH($D$4,Lists!$Y$17))),1,0)</f>
        <v>14</v>
      </c>
      <c r="AR17" t="str">
        <f>IF(ROW()-3&gt;MAX($AQ$4:$AQ$42),"",INDEX(Lists!$Y$4:$Y$42,MATCH(ROW()-3,$AQ$4:$AQ$42,0)))</f>
        <v>Scrap of 33 KV GCB</v>
      </c>
      <c r="AS17">
        <f>AS16+IF(AND(Lists!$AD$17&lt;&gt;"",ISNUMBER(SEARCH($E$4,Lists!$AD$17))),1,0)</f>
        <v>4</v>
      </c>
      <c r="AT17" t="str">
        <f>IF(ROW()-3&gt;MAX($AS$4:$AS$42),"",INDEX(Lists!$AD$4:$AD$42,MATCH(ROW()-3,$AS$4:$AS$42,0)))</f>
        <v/>
      </c>
      <c r="AU17">
        <f>AU16+IF(AND(Lists!$AI$17&lt;&gt;"",ISNUMBER(SEARCH($F$4,Lists!$AI$17))),1,0)</f>
        <v>14</v>
      </c>
      <c r="AV17">
        <f>IF(ROW()-3&gt;MAX($AU$4:$AU$42),"",INDEX(Lists!$AI$4:$AI$42,MATCH(ROW()-3,$AU$4:$AU$42,0)))</f>
        <v>150</v>
      </c>
      <c r="AW17">
        <f>AW16+IF(AND(Lists!$AN$17&lt;&gt;"",ISNUMBER(SEARCH($G$4,Lists!$AN$17))),1,0)</f>
        <v>3</v>
      </c>
      <c r="AX17" t="str">
        <f>IF(ROW()-3&gt;MAX($AW$4:$AW$42),"",INDEX(Lists!$AN$4:$AN$42,MATCH(ROW()-3,$AW$4:$AW$42,0)))</f>
        <v/>
      </c>
      <c r="AY17">
        <f>AY16+IF(AND(Lists!$AS$17&lt;&gt;"",ISNUMBER(SEARCH($H$4,Lists!$AS$17))),1,0)</f>
        <v>14</v>
      </c>
      <c r="AZ17">
        <f>IF(ROW()-3&gt;MAX($AY$4:$AY$42),"",INDEX(Lists!$AS$4:$AS$42,MATCH(ROW()-3,$AY$4:$AY$42,0)))</f>
        <v>1456</v>
      </c>
      <c r="BA17">
        <f>BA16+IF(AND(Lists!$AX$17&lt;&gt;"",ISNUMBER(SEARCH($I$4,Lists!$AX$17))),1,0)</f>
        <v>14</v>
      </c>
      <c r="BB17">
        <f>IF(ROW()-3&gt;MAX($BA$4:$BA$42),"",INDEX(Lists!$AX$4:$AX$42,MATCH(ROW()-3,$BA$4:$BA$42,0)))</f>
        <v>71000</v>
      </c>
      <c r="BC17">
        <f>BC16+IF(AND(Lists!$BC$17&lt;&gt;"",ISNUMBER(SEARCH($J$4,Lists!$BC$17))),1,0)</f>
        <v>14</v>
      </c>
      <c r="BD17">
        <f>IF(ROW()-3&gt;MAX($BC$4:$BC$42),"",INDEX(Lists!$BC$4:$BC$42,MATCH(ROW()-3,$BC$4:$BC$42,0)))</f>
        <v>12780</v>
      </c>
      <c r="BE17">
        <f>BE16+IF(AND(Lists!$BH$17&lt;&gt;"",ISNUMBER(SEARCH($K$4,Lists!$BH$17))),1,0)</f>
        <v>14</v>
      </c>
      <c r="BF17">
        <f>IF(ROW()-3&gt;MAX($BE$4:$BE$42),"",INDEX(Lists!$BH$4:$BH$42,MATCH(ROW()-3,$BE$4:$BE$42,0)))</f>
        <v>83780</v>
      </c>
      <c r="BG17">
        <f>BG16+IF(AND(Lists!$BM$17&lt;&gt;"",ISNUMBER(SEARCH($L$4,Lists!$BM$17))),1,0)</f>
        <v>14</v>
      </c>
      <c r="BH17">
        <f>IF(ROW()-3&gt;MAX($BG$4:$BG$42),"",INDEX(Lists!$BM$4:$BM$42,MATCH(ROW()-3,$BG$4:$BG$42,0)))</f>
        <v>1676</v>
      </c>
      <c r="BI17">
        <f>BI16+IF(AND(Lists!$BR$17&lt;&gt;"",ISNUMBER(SEARCH($M$4,Lists!$BR$17))),1,0)</f>
        <v>14</v>
      </c>
      <c r="BJ17">
        <f>IF(ROW()-3&gt;MAX($BI$4:$BI$42),"",INDEX(Lists!$BR$4:$BR$42,MATCH(ROW()-3,$BI$4:$BI$42,0)))</f>
        <v>71</v>
      </c>
      <c r="BK17">
        <f>BK16+IF(AND(Lists!$BW$17&lt;&gt;"",ISNUMBER(SEARCH($N$4,Lists!$BW$17))),1,0)</f>
        <v>14</v>
      </c>
      <c r="BL17">
        <f>IF(ROW()-3&gt;MAX($BK$4:$BK$42),"",INDEX(Lists!$BW$4:$BW$42,MATCH(ROW()-3,$BK$4:$BK$42,0)))</f>
        <v>1885.05</v>
      </c>
      <c r="BM17">
        <f>BM16+IF(AND(Lists!$CB$17&lt;&gt;"",ISNUMBER(SEARCH($O$4,Lists!$CB$17))),1,0)</f>
        <v>14</v>
      </c>
      <c r="BN17">
        <f>IF(ROW()-3&gt;MAX($BM$4:$BM$42),"",INDEX(Lists!$CB$4:$CB$42,MATCH(ROW()-3,$BM$4:$BM$42,0)))</f>
        <v>31.95</v>
      </c>
      <c r="BO17">
        <f>BO16+IF(AND(Lists!$CG$17&lt;&gt;"",ISNUMBER(SEARCH($P$4,Lists!$CG$17))),1,0)</f>
        <v>14</v>
      </c>
      <c r="BP17">
        <f>IF(ROW()-3&gt;MAX($BO$4:$BO$42),"",INDEX(Lists!$CG$4:$CG$42,MATCH(ROW()-3,$BO$4:$BO$42,0)))</f>
        <v>1853.1</v>
      </c>
      <c r="BQ17">
        <f>BQ16+IF(AND(Lists!$CL$17&lt;&gt;"",ISNUMBER(SEARCH($Q$4,Lists!$CL$17))),1,0)</f>
        <v>14</v>
      </c>
      <c r="BR17">
        <f>IF(ROW()-3&gt;MAX($BQ$4:$BQ$42),"",INDEX(Lists!$CL$4:$CL$42,MATCH(ROW()-3,$BQ$4:$BQ$42,0)))</f>
        <v>1924</v>
      </c>
      <c r="BS17">
        <f>BS16+IF(AND(Lists!$CQ$17&lt;&gt;"",ISNUMBER(SEARCH($R$4,Lists!$CQ$17))),1,0)</f>
        <v>2</v>
      </c>
      <c r="BT17" t="str">
        <f>IF(ROW()-3&gt;MAX($BS$4:$BS$42),"",INDEX(Lists!$CQ$4:$CQ$42,MATCH(ROW()-3,$BS$4:$BS$42,0)))</f>
        <v/>
      </c>
      <c r="BU17">
        <f>BU16+IF(AND(Lists!$CV$17&lt;&gt;"",ISNUMBER(SEARCH($S$4,Lists!$CV$17))),1,0)</f>
        <v>5</v>
      </c>
      <c r="BV17" t="str">
        <f>IF(ROW()-3&gt;MAX($BU$4:$BU$42),"",INDEX(Lists!$CV$4:$CV$42,MATCH(ROW()-3,$BU$4:$BU$42,0)))</f>
        <v/>
      </c>
      <c r="BW17">
        <f>BW16+IF(AND(Lists!$DA$17&lt;&gt;"",ISNUMBER(SEARCH($T$4,Lists!$DA$17))),1,0)</f>
        <v>14</v>
      </c>
      <c r="BX17">
        <f>IF(ROW()-3&gt;MAX($BW$4:$BW$42),"",INDEX(Lists!$DA$4:$DA$42,MATCH(ROW()-3,$BW$4:$BW$42,0)))</f>
        <v>83532</v>
      </c>
      <c r="BY17">
        <f>BY16+IF(AND(Lists!$DF$17&lt;&gt;"",ISNUMBER(SEARCH($U$4,Lists!$DF$17))),1,0)</f>
        <v>14</v>
      </c>
      <c r="BZ17">
        <f>IF(ROW()-3&gt;MAX($BY$4:$BY$42),"",INDEX(Lists!$DF$4:$DF$42,MATCH(ROW()-3,$BY$4:$BY$42,0)))</f>
        <v>17750</v>
      </c>
      <c r="CA17">
        <f>CA16+IF(AND(Lists!$DK$17&lt;&gt;"",ISNUMBER(SEARCH($V$4,Lists!$DK$17))),1,0)</f>
        <v>14</v>
      </c>
      <c r="CB17">
        <f>IF(ROW()-3&gt;MAX($CA$4:$CA$42),"",INDEX(Lists!$DK$4:$DK$42,MATCH(ROW()-3,$CA$4:$CA$42,0)))</f>
        <v>17750</v>
      </c>
      <c r="CC17">
        <f>CC16+IF(AND(Lists!$DP$17&lt;&gt;"",ISNUMBER(SEARCH($W$4,Lists!$DP$17))),1,0)</f>
        <v>6</v>
      </c>
      <c r="CD17" t="str">
        <f>IF(ROW()-3&gt;MAX($CC$4:$CC$42),"",INDEX(Lists!$DP$4:$DP$42,MATCH(ROW()-3,$CC$4:$CC$42,0)))</f>
        <v/>
      </c>
      <c r="CE17">
        <f>CE16+IF(AND(Lists!$DU$17&lt;&gt;"",ISNUMBER(SEARCH($X$4,Lists!$DU$17))),1,0)</f>
        <v>14</v>
      </c>
      <c r="CF17">
        <f>IF(ROW()-3&gt;MAX($CE$4:$CE$42),"",INDEX(Lists!$DU$4:$DU$42,MATCH(ROW()-3,$CE$4:$CE$42,0)))</f>
        <v>65782</v>
      </c>
      <c r="CG17" t="e">
        <f>CG16+IF(AND(Lists!$DZ$17&lt;&gt;"",ISNUMBER(SEARCH($Y$4,Lists!$DZ$17))),1,0)</f>
        <v>#N/A</v>
      </c>
      <c r="CH17" t="e">
        <f>IF(ROW()-3&gt;MAX($CG$4:$CG$42),"",INDEX(Lists!$DZ$4:$DZ$42,MATCH(ROW()-3,$CG$4:$CG$42,0)))</f>
        <v>#N/A</v>
      </c>
      <c r="CI17" t="e">
        <f>CI16+IF(AND(Lists!$EE$17&lt;&gt;"",ISNUMBER(SEARCH($Z$4,Lists!$EE$17))),1,0)</f>
        <v>#N/A</v>
      </c>
      <c r="CJ17" t="e">
        <f>IF(ROW()-3&gt;MAX($CI$4:$CI$42),"",INDEX(Lists!$EE$4:$EE$42,MATCH(ROW()-3,$CI$4:$CI$42,0)))</f>
        <v>#N/A</v>
      </c>
      <c r="CK17">
        <f>CK16+IF(AND(Lists!$EJ$17&lt;&gt;"",ISNUMBER(SEARCH($AA$4,Lists!$EJ$17))),1,0)</f>
        <v>6</v>
      </c>
      <c r="CL17" t="str">
        <f>IF(ROW()-3&gt;MAX($CK$4:$CK$42),"",INDEX(Lists!$EJ$4:$EJ$42,MATCH(ROW()-3,$CK$4:$CK$42,0)))</f>
        <v/>
      </c>
      <c r="CM17" t="e">
        <f>CM16+IF(AND(Lists!$EO$17&lt;&gt;"",ISNUMBER(SEARCH($AB$4,Lists!$EO$17))),1,0)</f>
        <v>#N/A</v>
      </c>
      <c r="CN17" t="e">
        <f>IF(ROW()-3&gt;MAX($CM$4:$CM$42),"",INDEX(Lists!$EO$4:$EO$42,MATCH(ROW()-3,$CM$4:$CM$42,0)))</f>
        <v>#N/A</v>
      </c>
      <c r="CO17" t="e">
        <f>CO16+IF(AND(Lists!$ET$17&lt;&gt;"",ISNUMBER(SEARCH($AC$4,Lists!$ET$17))),1,0)</f>
        <v>#N/A</v>
      </c>
      <c r="CP17" t="e">
        <f>IF(ROW()-3&gt;MAX($CO$4:$CO$42),"",INDEX(Lists!$ET$4:$ET$42,MATCH(ROW()-3,$CO$4:$CO$42,0)))</f>
        <v>#N/A</v>
      </c>
      <c r="CQ17">
        <f>CQ16+IF(AND(Lists!$EY$17&lt;&gt;"",ISNUMBER(SEARCH($AD$4,Lists!$EY$17))),1,0)</f>
        <v>14</v>
      </c>
      <c r="CR17">
        <f>IF(ROW()-3&gt;MAX($CQ$4:$CQ$42),"",INDEX(Lists!$EY$4:$EY$42,MATCH(ROW()-3,$CQ$4:$CQ$42,0)))</f>
        <v>82361</v>
      </c>
      <c r="CS17" t="e">
        <f>CS16+IF(AND(Lists!$FD$17&lt;&gt;"",ISNUMBER(SEARCH($AE$4,Lists!$FD$17))),1,0)</f>
        <v>#N/A</v>
      </c>
      <c r="CT17" t="e">
        <f>IF(ROW()-3&gt;MAX($CS$4:$CS$42),"",INDEX(Lists!$FD$4:$FD$42,MATCH(ROW()-3,$CS$4:$CS$42,0)))</f>
        <v>#N/A</v>
      </c>
      <c r="CU17" t="e">
        <f>CU16+IF(AND(Lists!$FI$17&lt;&gt;"",ISNUMBER(SEARCH($AF$4,Lists!$FI$17))),1,0)</f>
        <v>#N/A</v>
      </c>
      <c r="CV17" t="e">
        <f>IF(ROW()-3&gt;MAX($CU$4:$CU$42),"",INDEX(Lists!$FI$4:$FI$42,MATCH(ROW()-3,$CU$4:$CU$42,0)))</f>
        <v>#N/A</v>
      </c>
      <c r="CW17" t="e">
        <f>CW16+IF(AND(Lists!$FN$17&lt;&gt;"",ISNUMBER(SEARCH($AG$4,Lists!$FN$17))),1,0)</f>
        <v>#N/A</v>
      </c>
      <c r="CX17" t="e">
        <f>IF(ROW()-3&gt;MAX($CW$4:$CW$42),"",INDEX(Lists!$FN$4:$FN$42,MATCH(ROW()-3,$CW$4:$CW$42,0)))</f>
        <v>#N/A</v>
      </c>
      <c r="CY17" t="e">
        <f>CY16+IF(AND(Lists!$FS$17&lt;&gt;"",ISNUMBER(SEARCH($AH$4,Lists!$FS$17))),1,0)</f>
        <v>#N/A</v>
      </c>
      <c r="CZ17" t="e">
        <f>IF(ROW()-3&gt;MAX($CY$4:$CY$42),"",INDEX(Lists!$FS$4:$FS$42,MATCH(ROW()-3,$CY$4:$CY$42,0)))</f>
        <v>#N/A</v>
      </c>
      <c r="DA17">
        <f>DA16+IF(AND(Lists!$FX$17&lt;&gt;"",ISNUMBER(SEARCH($AI$4,Lists!$FX$17))),1,0)</f>
        <v>2</v>
      </c>
      <c r="DB17" t="str">
        <f>IF(ROW()-3&gt;MAX($DA$4:$DA$42),"",INDEX(Lists!$FX$4:$FX$42,MATCH(ROW()-3,$DA$4:$DA$42,0)))</f>
        <v/>
      </c>
    </row>
    <row r="18" outlineLevel="1" ht="15" customHeight="1" s="137">
      <c r="A18" s="90" t="n">
        <v>2</v>
      </c>
      <c r="B18" s="92">
        <f>IF('Final Calculation Sheet'!$F$10="","",'Final Calculation Sheet'!$F$10)</f>
        <v>2002</v>
      </c>
      <c r="C18" s="92" t="str">
        <f>IF('Final Calculation Sheet'!$G$10="","",'Final Calculation Sheet'!$G$10)</f>
        <v>NATIONAL ENTERPRISES</v>
      </c>
      <c r="D18" s="94" t="str">
        <f>IF('Final Calculation Sheet'!$B$10="","",'Final Calculation Sheet'!$B$10)</f>
        <v>Scrap of 132 KV CT</v>
      </c>
      <c r="E18" s="94">
        <f>IF('Final Calculation Sheet'!$D$10="","",'Final Calculation Sheet'!$D$10)</f>
        <v>21977</v>
      </c>
      <c r="F18" s="94">
        <f>IF('Final Calculation Sheet'!$A$10="","",'Final Calculation Sheet'!$A$10)</f>
        <v>4</v>
      </c>
      <c r="G18" s="94" t="str">
        <f>IF('Final Calculation Sheet'!$E$10="","",'Final Calculation Sheet'!$E$10)</f>
        <v>NO</v>
      </c>
      <c r="H18" s="95">
        <f>IF('Final Calculation Sheet'!$C$10="","",'Final Calculation Sheet'!$C$10)</f>
        <v>51511</v>
      </c>
      <c r="I18" s="95">
        <f>IF('Final Calculation Sheet'!$H$10="","",'Final Calculation Sheet'!$H$10)</f>
        <v>206044</v>
      </c>
      <c r="J18" s="95">
        <f>IF('Final Calculation Sheet'!$I$10="","",'Final Calculation Sheet'!$I$10)</f>
        <v>37088</v>
      </c>
      <c r="K18" s="95">
        <f>IF('Final Calculation Sheet'!$J$10="","",'Final Calculation Sheet'!$J$10)</f>
        <v>243132</v>
      </c>
      <c r="L18" s="95">
        <f>IF('Final Calculation Sheet'!$K$10="","",'Final Calculation Sheet'!$K$10)</f>
        <v>4863</v>
      </c>
      <c r="M18" s="95">
        <f>IF('Final Calculation Sheet'!$L$10="","",'Final Calculation Sheet'!$L$10)</f>
        <v>206.04400000000001</v>
      </c>
      <c r="N18" s="95">
        <f>IF('Final Calculation Sheet'!$M$10="","",'Final Calculation Sheet'!$M$10)</f>
        <v>5470.4681999999993</v>
      </c>
      <c r="O18" s="96">
        <f>IF('Final Calculation Sheet'!$N$10="","",'Final Calculation Sheet'!$N$10)</f>
        <v>92.719799999999992</v>
      </c>
      <c r="P18" s="95">
        <f>IF('Final Calculation Sheet'!$O$10="","",'Final Calculation Sheet'!$O$10)</f>
        <v>5377.7483999999995</v>
      </c>
      <c r="Q18" s="95">
        <f>IF('Final Calculation Sheet'!$P$10="","",'Final Calculation Sheet'!$P$10)</f>
        <v>5584</v>
      </c>
      <c r="R18" s="97">
        <f>IF('Final Calculation Sheet'!$Q$10="","",'Final Calculation Sheet'!$Q$10)</f>
        <v>0</v>
      </c>
      <c r="S18" s="95">
        <f>IF('Final Calculation Sheet'!$R$10="","",'Final Calculation Sheet'!$R$10)</f>
        <v>0</v>
      </c>
      <c r="T18" s="95">
        <f>IF('Final Calculation Sheet'!$S$10="","",'Final Calculation Sheet'!$S$10)</f>
        <v>242411</v>
      </c>
      <c r="U18" s="95">
        <f>IF('Final Calculation Sheet'!$T$10="","",'Final Calculation Sheet'!$T$10)</f>
        <v>51511</v>
      </c>
      <c r="V18" s="98">
        <f>IF('Final Calculation Sheet'!$U$10="","",'Final Calculation Sheet'!$U$10)</f>
        <v>51511</v>
      </c>
      <c r="W18" s="95" t="str">
        <f>IF('Final Calculation Sheet'!$V$10="","",'Final Calculation Sheet'!$V$10)</f>
        <v>13.08.2026</v>
      </c>
      <c r="X18" s="95">
        <f>IF('Final Calculation Sheet'!$W$10="","",'Final Calculation Sheet'!$W$10)</f>
        <v>190900</v>
      </c>
      <c r="Y18" s="95">
        <f>IF('Final Calculation Sheet'!$X$10="","",'Final Calculation Sheet'!$X$10)</f>
        <v>190900</v>
      </c>
      <c r="Z18" s="95" t="str">
        <f>IF('Final Calculation Sheet'!$Y$10="","",'Final Calculation Sheet'!$Y$10)</f>
        <v>24.08.2026</v>
      </c>
      <c r="AA18" s="95">
        <f>IF('Final Calculation Sheet'!$Z$10="","",'Final Calculation Sheet'!$Z$10)</f>
        <v>0</v>
      </c>
      <c r="AB18" s="95" t="str">
        <f>IF('Final Calculation Sheet'!$AA$10="","",'Final Calculation Sheet'!$AA$10)</f>
        <v/>
      </c>
      <c r="AC18" s="95" t="str">
        <f>IF('Final Calculation Sheet'!$AB$10="","",'Final Calculation Sheet'!$AB$10)</f>
        <v/>
      </c>
      <c r="AD18" s="95">
        <f>IF('Final Calculation Sheet'!$AC$10="","",'Final Calculation Sheet'!$AC$10)</f>
        <v>242411</v>
      </c>
      <c r="AE18" s="95">
        <f>IF('Final Calculation Sheet'!$AD$10="","",'Final Calculation Sheet'!$AD$10)</f>
        <v>0</v>
      </c>
      <c r="AF18" s="95" t="str">
        <f>IF('Final Calculation Sheet'!$AE$10="","",'Final Calculation Sheet'!$AE$10)</f>
        <v>DR2640100031</v>
      </c>
      <c r="AG18" s="99">
        <f>IF('Final Calculation Sheet'!$AF$10="","",'Final Calculation Sheet'!$AF$10)</f>
        <v>1800003303</v>
      </c>
      <c r="AH18" s="95" t="str">
        <f>IF('Final Calculation Sheet'!$AG$10="","",'Final Calculation Sheet'!$AG$10)</f>
        <v>27.08.2026</v>
      </c>
      <c r="AI18" s="100" t="str">
        <f>IF('Final Calculation Sheet'!$AD$10="","",IF('Final Calculation Sheet'!$AD$10&lt;=5,"SETTLED","OUTSTANDING"))</f>
        <v>SETTLED</v>
      </c>
      <c r="AJ18" t="b">
        <f>AND(IF($B$4="",TRUE(),IF($B$4="(blank)",'Final Calculation Sheet'!$F$16="",IF($B$4="(nonblank)",'Final Calculation Sheet'!$F$16&lt;&gt;"",ISNUMBER(SEARCH($B$4,'Final Calculation Sheet'!$F$16))))),IF($C$4="",TRUE(),IF($C$4="(blank)",'Final Calculation Sheet'!$G$16="",IF($C$4="(nonblank)",'Final Calculation Sheet'!$G$16&lt;&gt;"",ISNUMBER(SEARCH($C$4,'Final Calculation Sheet'!$G$16))))),IF($D$4="",TRUE(),IF($D$4="(blank)",'Final Calculation Sheet'!$B$16="",IF($D$4="(nonblank)",'Final Calculation Sheet'!$B$16&lt;&gt;"",ISNUMBER(SEARCH($D$4,'Final Calculation Sheet'!$B$16))))),IF($E$4="",TRUE(),IF($E$4="(blank)",'Final Calculation Sheet'!$D$16="",IF($E$4="(nonblank)",'Final Calculation Sheet'!$D$16&lt;&gt;"",ISNUMBER(SEARCH($E$4,'Final Calculation Sheet'!$D$16))))),IF($F$4="",TRUE(),IF($F$4="(blank)",'Final Calculation Sheet'!$A$16="",IF($F$4="(nonblank)",'Final Calculation Sheet'!$A$16&lt;&gt;"",ISNUMBER(SEARCH($F$4,'Final Calculation Sheet'!$A$16))))),IF($G$4="",TRUE(),IF($G$4="(blank)",'Final Calculation Sheet'!$E$16="",IF($G$4="(nonblank)",'Final Calculation Sheet'!$E$16&lt;&gt;"",ISNUMBER(SEARCH($G$4,'Final Calculation Sheet'!$E$16))))),IF($H$4="",TRUE(),IF($H$4="(blank)",'Final Calculation Sheet'!$C$16="",IF($H$4="(nonblank)",'Final Calculation Sheet'!$C$16&lt;&gt;"",ISNUMBER(SEARCH($H$4,'Final Calculation Sheet'!$C$16))))),IF($I$4="",TRUE(),IF($I$4="(blank)",'Final Calculation Sheet'!$H$16="",IF($I$4="(nonblank)",'Final Calculation Sheet'!$H$16&lt;&gt;"",ISNUMBER(SEARCH($I$4,'Final Calculation Sheet'!$H$16))))),IF($J$4="",TRUE(),IF($J$4="(blank)",'Final Calculation Sheet'!$I$16="",IF($J$4="(nonblank)",'Final Calculation Sheet'!$I$16&lt;&gt;"",ISNUMBER(SEARCH($J$4,'Final Calculation Sheet'!$I$16))))),IF($K$4="",TRUE(),IF($K$4="(blank)",'Final Calculation Sheet'!$J$16="",IF($K$4="(nonblank)",'Final Calculation Sheet'!$J$16&lt;&gt;"",ISNUMBER(SEARCH($K$4,'Final Calculation Sheet'!$J$16))))),IF($L$4="",TRUE(),IF($L$4="(blank)",'Final Calculation Sheet'!$K$16="",IF($L$4="(nonblank)",'Final Calculation Sheet'!$K$16&lt;&gt;"",ISNUMBER(SEARCH($L$4,'Final Calculation Sheet'!$K$16))))),IF($M$4="",TRUE(),IF($M$4="(blank)",'Final Calculation Sheet'!$L$16="",IF($M$4="(nonblank)",'Final Calculation Sheet'!$L$16&lt;&gt;"",ISNUMBER(SEARCH($M$4,'Final Calculation Sheet'!$L$16))))),IF($N$4="",TRUE(),IF($N$4="(blank)",'Final Calculation Sheet'!$M$16="",IF($N$4="(nonblank)",'Final Calculation Sheet'!$M$16&lt;&gt;"",ISNUMBER(SEARCH($N$4,'Final Calculation Sheet'!$M$16))))),IF($O$4="",TRUE(),IF($O$4="(blank)",'Final Calculation Sheet'!$N$16="",IF($O$4="(nonblank)",'Final Calculation Sheet'!$N$16&lt;&gt;"",ISNUMBER(SEARCH($O$4,'Final Calculation Sheet'!$N$16))))),IF($P$4="",TRUE(),IF($P$4="(blank)",'Final Calculation Sheet'!$O$16="",IF($P$4="(nonblank)",'Final Calculation Sheet'!$O$16&lt;&gt;"",ISNUMBER(SEARCH($P$4,'Final Calculation Sheet'!$O$16))))),IF($Q$4="",TRUE(),IF($Q$4="(blank)",'Final Calculation Sheet'!$P$16="",IF($Q$4="(nonblank)",'Final Calculation Sheet'!$P$16&lt;&gt;"",ISNUMBER(SEARCH($Q$4,'Final Calculation Sheet'!$P$16))))),IF($R$4="",TRUE(),IF($R$4="(blank)",'Final Calculation Sheet'!$Q$16="",IF($R$4="(nonblank)",'Final Calculation Sheet'!$Q$16&lt;&gt;"",ISNUMBER(SEARCH($R$4,'Final Calculation Sheet'!$Q$16))))),IF($S$4="",TRUE(),IF($S$4="(blank)",'Final Calculation Sheet'!$R$16="",IF($S$4="(nonblank)",'Final Calculation Sheet'!$R$16&lt;&gt;"",ISNUMBER(SEARCH($S$4,'Final Calculation Sheet'!$R$16))))),IF($T$4="",TRUE(),IF($T$4="(blank)",'Final Calculation Sheet'!$S$16="",IF($T$4="(nonblank)",'Final Calculation Sheet'!$S$16&lt;&gt;"",ISNUMBER(SEARCH($T$4,'Final Calculation Sheet'!$S$16))))),IF($U$4="",TRUE(),IF($U$4="(blank)",'Final Calculation Sheet'!$T$16="",IF($U$4="(nonblank)",'Final Calculation Sheet'!$T$16&lt;&gt;"",ISNUMBER(SEARCH($U$4,'Final Calculation Sheet'!$T$16))))),IF($V$4="",TRUE(),IF($V$4="(blank)",'Final Calculation Sheet'!$U$16="",IF($V$4="(nonblank)",'Final Calculation Sheet'!$U$16&lt;&gt;"",ISNUMBER(SEARCH($V$4,'Final Calculation Sheet'!$U$16))))),IF($W$4="",TRUE(),IF($W$4="(blank)",'Final Calculation Sheet'!$V$16="",IF($W$4="(nonblank)",'Final Calculation Sheet'!$V$16&lt;&gt;"",ISNUMBER(SEARCH($W$4,'Final Calculation Sheet'!$V$16))))),IF($X$4="",TRUE(),IF($X$4="(blank)",'Final Calculation Sheet'!$W$16="",IF($X$4="(nonblank)",'Final Calculation Sheet'!$W$16&lt;&gt;"",ISNUMBER(SEARCH($X$4,'Final Calculation Sheet'!$W$16))))),IF($Y$4="",TRUE(),IF($Y$4="(blank)",'Final Calculation Sheet'!$X$16="",IF($Y$4="(nonblank)",'Final Calculation Sheet'!$X$16&lt;&gt;"",ISNUMBER(SEARCH($Y$4,'Final Calculation Sheet'!$X$16))))),IF($Z$4="",TRUE(),IF($Z$4="(blank)",'Final Calculation Sheet'!$Y$16="",IF($Z$4="(nonblank)",'Final Calculation Sheet'!$Y$16&lt;&gt;"",ISNUMBER(SEARCH($Z$4,'Final Calculation Sheet'!$Y$16))))),IF($AA$4="",TRUE(),IF($AA$4="(blank)",'Final Calculation Sheet'!$Z$16="",IF($AA$4="(nonblank)",'Final Calculation Sheet'!$Z$16&lt;&gt;"",ISNUMBER(SEARCH($AA$4,'Final Calculation Sheet'!$Z$16))))),IF($AB$4="",TRUE(),IF($AB$4="(blank)",'Final Calculation Sheet'!$AA$16="",IF($AB$4="(nonblank)",'Final Calculation Sheet'!$AA$16&lt;&gt;"",ISNUMBER(SEARCH($AB$4,'Final Calculation Sheet'!$AA$16))))),IF($AC$4="",TRUE(),IF($AC$4="(blank)",'Final Calculation Sheet'!$AB$16="",IF($AC$4="(nonblank)",'Final Calculation Sheet'!$AB$16&lt;&gt;"",ISNUMBER(SEARCH($AC$4,'Final Calculation Sheet'!$AB$16))))),IF($AD$4="",TRUE(),IF($AD$4="(blank)",'Final Calculation Sheet'!$AC$16="",IF($AD$4="(nonblank)",'Final Calculation Sheet'!$AC$16&lt;&gt;"",ISNUMBER(SEARCH($AD$4,'Final Calculation Sheet'!$AC$16))))),IF($AE$4="",TRUE(),IF($AE$4="(blank)",'Final Calculation Sheet'!$AD$16="",IF($AE$4="(nonblank)",'Final Calculation Sheet'!$AD$16&lt;&gt;"",ISNUMBER(SEARCH($AE$4,'Final Calculation Sheet'!$AD$16))))),IF($AF$4="",TRUE(),IF($AF$4="(blank)",'Final Calculation Sheet'!$AE$16="",IF($AF$4="(nonblank)",'Final Calculation Sheet'!$AE$16&lt;&gt;"",ISNUMBER(SEARCH($AF$4,'Final Calculation Sheet'!$AE$16))))),IF($AG$4="",TRUE(),IF($AG$4="(blank)",'Final Calculation Sheet'!$AF$16="",IF($AG$4="(nonblank)",'Final Calculation Sheet'!$AF$16&lt;&gt;"",ISNUMBER(SEARCH($AG$4,'Final Calculation Sheet'!$AF$16))))),IF($AH$4="",TRUE(),IF($AH$4="(blank)",'Final Calculation Sheet'!$AG$16="",IF($AH$4="(nonblank)",'Final Calculation Sheet'!$AG$16&lt;&gt;"",ISNUMBER(SEARCH($AH$4,'Final Calculation Sheet'!$AG$16))))),IF($AI$4="",TRUE(),IF($AI$4="(blank)",IF('Final Calculation Sheet'!$AD$16&lt;=5,"SETTLED","OUTSTANDING")="",IF($AI$4="(nonblank)",IF('Final Calculation Sheet'!$AD$16&lt;=5,"SETTLED","OUTSTANDING")&lt;&gt;"",ISNUMBER(SEARCH($AI$4,IF('Final Calculation Sheet'!$AD$16&lt;=5,"SETTLED","OUTSTANDING")))))))</f>
        <v>1</v>
      </c>
      <c r="AK18" t="str">
        <f>IF(AJ18=1,COUNTIF(AJ$6:AJ18,1),"")</f>
        <v/>
      </c>
      <c r="AM18">
        <f>AM17+IF(AND(Lists!$O$18&lt;&gt;"",ISNUMBER(SEARCH($B$4,Lists!$O$18))),1,0)</f>
        <v>15</v>
      </c>
      <c r="AN18">
        <f>IF(ROW()-3&gt;MAX($AM$4:$AM$42),"",INDEX(Lists!$O$4:$O$42,MATCH(ROW()-3,$AM$4:$AM$42,0)))</f>
        <v>2018</v>
      </c>
      <c r="AO18">
        <f>AO17+IF(AND(Lists!$T$18&lt;&gt;"",ISNUMBER(SEARCH($C$4,Lists!$T$18))),1,0)</f>
        <v>13</v>
      </c>
      <c r="AP18" t="str">
        <f>IF(ROW()-3&gt;MAX($AO$4:$AO$42),"",INDEX(Lists!$T$4:$T$42,MATCH(ROW()-3,$AO$4:$AO$42,0)))</f>
        <v>(nonblank)</v>
      </c>
      <c r="AQ18">
        <f>AQ17+IF(AND(Lists!$Y$18&lt;&gt;"",ISNUMBER(SEARCH($D$4,Lists!$Y$18))),1,0)</f>
        <v>15</v>
      </c>
      <c r="AR18" t="str">
        <f>IF(ROW()-3&gt;MAX($AQ$4:$AQ$42),"",INDEX(Lists!$Y$4:$Y$42,MATCH(ROW()-3,$AQ$4:$AQ$42,0)))</f>
        <v>Scrap of 66 KV Isolater</v>
      </c>
      <c r="AS18">
        <f>AS17+IF(AND(Lists!$AD$18&lt;&gt;"",ISNUMBER(SEARCH($E$4,Lists!$AD$18))),1,0)</f>
        <v>4</v>
      </c>
      <c r="AT18" t="str">
        <f>IF(ROW()-3&gt;MAX($AS$4:$AS$42),"",INDEX(Lists!$AD$4:$AD$42,MATCH(ROW()-3,$AS$4:$AS$42,0)))</f>
        <v/>
      </c>
      <c r="AU18">
        <f>AU17+IF(AND(Lists!$AI$18&lt;&gt;"",ISNUMBER(SEARCH($F$4,Lists!$AI$18))),1,0)</f>
        <v>15</v>
      </c>
      <c r="AV18">
        <f>IF(ROW()-3&gt;MAX($AU$4:$AU$42),"",INDEX(Lists!$AI$4:$AI$42,MATCH(ROW()-3,$AU$4:$AU$42,0)))</f>
        <v>250</v>
      </c>
      <c r="AW18">
        <f>AW17+IF(AND(Lists!$AN$18&lt;&gt;"",ISNUMBER(SEARCH($G$4,Lists!$AN$18))),1,0)</f>
        <v>3</v>
      </c>
      <c r="AX18" t="str">
        <f>IF(ROW()-3&gt;MAX($AW$4:$AW$42),"",INDEX(Lists!$AN$4:$AN$42,MATCH(ROW()-3,$AW$4:$AW$42,0)))</f>
        <v/>
      </c>
      <c r="AY18">
        <f>AY17+IF(AND(Lists!$AS$18&lt;&gt;"",ISNUMBER(SEARCH($H$4,Lists!$AS$18))),1,0)</f>
        <v>15</v>
      </c>
      <c r="AZ18">
        <f>IF(ROW()-3&gt;MAX($AY$4:$AY$42),"",INDEX(Lists!$AS$4:$AS$42,MATCH(ROW()-3,$AY$4:$AY$42,0)))</f>
        <v>14001</v>
      </c>
      <c r="BA18">
        <f>BA17+IF(AND(Lists!$AX$18&lt;&gt;"",ISNUMBER(SEARCH($I$4,Lists!$AX$18))),1,0)</f>
        <v>15</v>
      </c>
      <c r="BB18">
        <f>IF(ROW()-3&gt;MAX($BA$4:$BA$42),"",INDEX(Lists!$AX$4:$AX$42,MATCH(ROW()-3,$BA$4:$BA$42,0)))</f>
        <v>75003</v>
      </c>
      <c r="BC18">
        <f>BC17+IF(AND(Lists!$BC$18&lt;&gt;"",ISNUMBER(SEARCH($J$4,Lists!$BC$18))),1,0)</f>
        <v>15</v>
      </c>
      <c r="BD18">
        <f>IF(ROW()-3&gt;MAX($BC$4:$BC$42),"",INDEX(Lists!$BC$4:$BC$42,MATCH(ROW()-3,$BC$4:$BC$42,0)))</f>
        <v>13501</v>
      </c>
      <c r="BE18">
        <f>BE17+IF(AND(Lists!$BH$18&lt;&gt;"",ISNUMBER(SEARCH($K$4,Lists!$BH$18))),1,0)</f>
        <v>15</v>
      </c>
      <c r="BF18">
        <f>IF(ROW()-3&gt;MAX($BE$4:$BE$42),"",INDEX(Lists!$BH$4:$BH$42,MATCH(ROW()-3,$BE$4:$BE$42,0)))</f>
        <v>88504</v>
      </c>
      <c r="BG18">
        <f>BG17+IF(AND(Lists!$BM$18&lt;&gt;"",ISNUMBER(SEARCH($L$4,Lists!$BM$18))),1,0)</f>
        <v>15</v>
      </c>
      <c r="BH18">
        <f>IF(ROW()-3&gt;MAX($BG$4:$BG$42),"",INDEX(Lists!$BM$4:$BM$42,MATCH(ROW()-3,$BG$4:$BG$42,0)))</f>
        <v>1770</v>
      </c>
      <c r="BI18">
        <f>BI17+IF(AND(Lists!$BR$18&lt;&gt;"",ISNUMBER(SEARCH($M$4,Lists!$BR$18))),1,0)</f>
        <v>15</v>
      </c>
      <c r="BJ18">
        <f>IF(ROW()-3&gt;MAX($BI$4:$BI$42),"",INDEX(Lists!$BR$4:$BR$42,MATCH(ROW()-3,$BI$4:$BI$42,0)))</f>
        <v>75.003</v>
      </c>
      <c r="BK18">
        <f>BK17+IF(AND(Lists!$BW$18&lt;&gt;"",ISNUMBER(SEARCH($N$4,Lists!$BW$18))),1,0)</f>
        <v>15</v>
      </c>
      <c r="BL18">
        <f>IF(ROW()-3&gt;MAX($BK$4:$BK$42),"",INDEX(Lists!$BW$4:$BW$42,MATCH(ROW()-3,$BK$4:$BK$42,0)))</f>
        <v>1991.3296499999997</v>
      </c>
      <c r="BM18">
        <f>BM17+IF(AND(Lists!$CB$18&lt;&gt;"",ISNUMBER(SEARCH($O$4,Lists!$CB$18))),1,0)</f>
        <v>15</v>
      </c>
      <c r="BN18">
        <f>IF(ROW()-3&gt;MAX($BM$4:$BM$42),"",INDEX(Lists!$CB$4:$CB$42,MATCH(ROW()-3,$BM$4:$BM$42,0)))</f>
        <v>33.751349999999995</v>
      </c>
      <c r="BO18">
        <f>BO17+IF(AND(Lists!$CG$18&lt;&gt;"",ISNUMBER(SEARCH($P$4,Lists!$CG$18))),1,0)</f>
        <v>15</v>
      </c>
      <c r="BP18">
        <f>IF(ROW()-3&gt;MAX($BO$4:$BO$42),"",INDEX(Lists!$CG$4:$CG$42,MATCH(ROW()-3,$BO$4:$BO$42,0)))</f>
        <v>1957.5782999999997</v>
      </c>
      <c r="BQ18">
        <f>BQ17+IF(AND(Lists!$CL$18&lt;&gt;"",ISNUMBER(SEARCH($Q$4,Lists!$CL$18))),1,0)</f>
        <v>15</v>
      </c>
      <c r="BR18">
        <f>IF(ROW()-3&gt;MAX($BQ$4:$BQ$42),"",INDEX(Lists!$CL$4:$CL$42,MATCH(ROW()-3,$BQ$4:$BQ$42,0)))</f>
        <v>2033</v>
      </c>
      <c r="BS18">
        <f>BS17+IF(AND(Lists!$CQ$18&lt;&gt;"",ISNUMBER(SEARCH($R$4,Lists!$CQ$18))),1,0)</f>
        <v>2</v>
      </c>
      <c r="BT18" t="str">
        <f>IF(ROW()-3&gt;MAX($BS$4:$BS$42),"",INDEX(Lists!$CQ$4:$CQ$42,MATCH(ROW()-3,$BS$4:$BS$42,0)))</f>
        <v/>
      </c>
      <c r="BU18">
        <f>BU17+IF(AND(Lists!$CV$18&lt;&gt;"",ISNUMBER(SEARCH($S$4,Lists!$CV$18))),1,0)</f>
        <v>5</v>
      </c>
      <c r="BV18" t="str">
        <f>IF(ROW()-3&gt;MAX($BU$4:$BU$42),"",INDEX(Lists!$CV$4:$CV$42,MATCH(ROW()-3,$BU$4:$BU$42,0)))</f>
        <v/>
      </c>
      <c r="BW18">
        <f>BW17+IF(AND(Lists!$DA$18&lt;&gt;"",ISNUMBER(SEARCH($T$4,Lists!$DA$18))),1,0)</f>
        <v>15</v>
      </c>
      <c r="BX18">
        <f>IF(ROW()-3&gt;MAX($BW$4:$BW$42),"",INDEX(Lists!$DA$4:$DA$42,MATCH(ROW()-3,$BW$4:$BW$42,0)))</f>
        <v>88241</v>
      </c>
      <c r="BY18">
        <f>BY17+IF(AND(Lists!$DF$18&lt;&gt;"",ISNUMBER(SEARCH($U$4,Lists!$DF$18))),1,0)</f>
        <v>15</v>
      </c>
      <c r="BZ18">
        <f>IF(ROW()-3&gt;MAX($BY$4:$BY$42),"",INDEX(Lists!$DF$4:$DF$42,MATCH(ROW()-3,$BY$4:$BY$42,0)))</f>
        <v>18751</v>
      </c>
      <c r="CA18">
        <f>CA17+IF(AND(Lists!$DK$18&lt;&gt;"",ISNUMBER(SEARCH($V$4,Lists!$DK$18))),1,0)</f>
        <v>15</v>
      </c>
      <c r="CB18">
        <f>IF(ROW()-3&gt;MAX($CA$4:$CA$42),"",INDEX(Lists!$DK$4:$DK$42,MATCH(ROW()-3,$CA$4:$CA$42,0)))</f>
        <v>18751</v>
      </c>
      <c r="CC18">
        <f>CC17+IF(AND(Lists!$DP$18&lt;&gt;"",ISNUMBER(SEARCH($W$4,Lists!$DP$18))),1,0)</f>
        <v>6</v>
      </c>
      <c r="CD18" t="str">
        <f>IF(ROW()-3&gt;MAX($CC$4:$CC$42),"",INDEX(Lists!$DP$4:$DP$42,MATCH(ROW()-3,$CC$4:$CC$42,0)))</f>
        <v/>
      </c>
      <c r="CE18">
        <f>CE17+IF(AND(Lists!$DU$18&lt;&gt;"",ISNUMBER(SEARCH($X$4,Lists!$DU$18))),1,0)</f>
        <v>15</v>
      </c>
      <c r="CF18">
        <f>IF(ROW()-3&gt;MAX($CE$4:$CE$42),"",INDEX(Lists!$DU$4:$DU$42,MATCH(ROW()-3,$CE$4:$CE$42,0)))</f>
        <v>69490</v>
      </c>
      <c r="CG18" t="e">
        <f>CG17+IF(AND(Lists!$DZ$18&lt;&gt;"",ISNUMBER(SEARCH($Y$4,Lists!$DZ$18))),1,0)</f>
        <v>#N/A</v>
      </c>
      <c r="CH18" t="e">
        <f>IF(ROW()-3&gt;MAX($CG$4:$CG$42),"",INDEX(Lists!$DZ$4:$DZ$42,MATCH(ROW()-3,$CG$4:$CG$42,0)))</f>
        <v>#N/A</v>
      </c>
      <c r="CI18" t="e">
        <f>CI17+IF(AND(Lists!$EE$18&lt;&gt;"",ISNUMBER(SEARCH($Z$4,Lists!$EE$18))),1,0)</f>
        <v>#N/A</v>
      </c>
      <c r="CJ18" t="e">
        <f>IF(ROW()-3&gt;MAX($CI$4:$CI$42),"",INDEX(Lists!$EE$4:$EE$42,MATCH(ROW()-3,$CI$4:$CI$42,0)))</f>
        <v>#N/A</v>
      </c>
      <c r="CK18">
        <f>CK17+IF(AND(Lists!$EJ$18&lt;&gt;"",ISNUMBER(SEARCH($AA$4,Lists!$EJ$18))),1,0)</f>
        <v>6</v>
      </c>
      <c r="CL18" t="str">
        <f>IF(ROW()-3&gt;MAX($CK$4:$CK$42),"",INDEX(Lists!$EJ$4:$EJ$42,MATCH(ROW()-3,$CK$4:$CK$42,0)))</f>
        <v/>
      </c>
      <c r="CM18" t="e">
        <f>CM17+IF(AND(Lists!$EO$18&lt;&gt;"",ISNUMBER(SEARCH($AB$4,Lists!$EO$18))),1,0)</f>
        <v>#N/A</v>
      </c>
      <c r="CN18" t="e">
        <f>IF(ROW()-3&gt;MAX($CM$4:$CM$42),"",INDEX(Lists!$EO$4:$EO$42,MATCH(ROW()-3,$CM$4:$CM$42,0)))</f>
        <v>#N/A</v>
      </c>
      <c r="CO18" t="e">
        <f>CO17+IF(AND(Lists!$ET$18&lt;&gt;"",ISNUMBER(SEARCH($AC$4,Lists!$ET$18))),1,0)</f>
        <v>#N/A</v>
      </c>
      <c r="CP18" t="e">
        <f>IF(ROW()-3&gt;MAX($CO$4:$CO$42),"",INDEX(Lists!$ET$4:$ET$42,MATCH(ROW()-3,$CO$4:$CO$42,0)))</f>
        <v>#N/A</v>
      </c>
      <c r="CQ18">
        <f>CQ17+IF(AND(Lists!$EY$18&lt;&gt;"",ISNUMBER(SEARCH($AD$4,Lists!$EY$18))),1,0)</f>
        <v>15</v>
      </c>
      <c r="CR18">
        <f>IF(ROW()-3&gt;MAX($CQ$4:$CQ$42),"",INDEX(Lists!$EY$4:$EY$42,MATCH(ROW()-3,$CQ$4:$CQ$42,0)))</f>
        <v>83532</v>
      </c>
      <c r="CS18" t="e">
        <f>CS17+IF(AND(Lists!$FD$18&lt;&gt;"",ISNUMBER(SEARCH($AE$4,Lists!$FD$18))),1,0)</f>
        <v>#N/A</v>
      </c>
      <c r="CT18" t="e">
        <f>IF(ROW()-3&gt;MAX($CS$4:$CS$42),"",INDEX(Lists!$FD$4:$FD$42,MATCH(ROW()-3,$CS$4:$CS$42,0)))</f>
        <v>#N/A</v>
      </c>
      <c r="CU18" t="e">
        <f>CU17+IF(AND(Lists!$FI$18&lt;&gt;"",ISNUMBER(SEARCH($AF$4,Lists!$FI$18))),1,0)</f>
        <v>#N/A</v>
      </c>
      <c r="CV18" t="e">
        <f>IF(ROW()-3&gt;MAX($CU$4:$CU$42),"",INDEX(Lists!$FI$4:$FI$42,MATCH(ROW()-3,$CU$4:$CU$42,0)))</f>
        <v>#N/A</v>
      </c>
      <c r="CW18" t="e">
        <f>CW17+IF(AND(Lists!$FN$18&lt;&gt;"",ISNUMBER(SEARCH($AG$4,Lists!$FN$18))),1,0)</f>
        <v>#N/A</v>
      </c>
      <c r="CX18" t="e">
        <f>IF(ROW()-3&gt;MAX($CW$4:$CW$42),"",INDEX(Lists!$FN$4:$FN$42,MATCH(ROW()-3,$CW$4:$CW$42,0)))</f>
        <v>#N/A</v>
      </c>
      <c r="CY18" t="e">
        <f>CY17+IF(AND(Lists!$FS$18&lt;&gt;"",ISNUMBER(SEARCH($AH$4,Lists!$FS$18))),1,0)</f>
        <v>#N/A</v>
      </c>
      <c r="CZ18" t="e">
        <f>IF(ROW()-3&gt;MAX($CY$4:$CY$42),"",INDEX(Lists!$FS$4:$FS$42,MATCH(ROW()-3,$CY$4:$CY$42,0)))</f>
        <v>#N/A</v>
      </c>
      <c r="DA18">
        <f>DA17+IF(AND(Lists!$FX$18&lt;&gt;"",ISNUMBER(SEARCH($AI$4,Lists!$FX$18))),1,0)</f>
        <v>2</v>
      </c>
      <c r="DB18" t="str">
        <f>IF(ROW()-3&gt;MAX($DA$4:$DA$42),"",INDEX(Lists!$FX$4:$FX$42,MATCH(ROW()-3,$DA$4:$DA$42,0)))</f>
        <v/>
      </c>
    </row>
    <row r="19" outlineLevel="1" ht="15" customHeight="1" s="137">
      <c r="A19" s="67" t="n">
        <v>3</v>
      </c>
      <c r="B19" s="76">
        <f>IF('Final Calculation Sheet'!$F$11="","",'Final Calculation Sheet'!$F$11)</f>
        <v>2003</v>
      </c>
      <c r="C19" s="76" t="str">
        <f>IF('Final Calculation Sheet'!$G$11="","",'Final Calculation Sheet'!$G$11)</f>
        <v>NATIONAL ENTERPRISES</v>
      </c>
      <c r="D19" s="80" t="str">
        <f>IF('Final Calculation Sheet'!$B$11="","",'Final Calculation Sheet'!$B$11)</f>
        <v>Scrap of 145 KV CB</v>
      </c>
      <c r="E19" s="80">
        <f>IF('Final Calculation Sheet'!$D$11="","",'Final Calculation Sheet'!$D$11)</f>
        <v>21977</v>
      </c>
      <c r="F19" s="80">
        <f>IF('Final Calculation Sheet'!$A$11="","",'Final Calculation Sheet'!$A$11)</f>
        <v>1</v>
      </c>
      <c r="G19" s="80" t="str">
        <f>IF('Final Calculation Sheet'!$E$11="","",'Final Calculation Sheet'!$E$11)</f>
        <v>NO</v>
      </c>
      <c r="H19" s="70">
        <f>IF('Final Calculation Sheet'!$C$11="","",'Final Calculation Sheet'!$C$11)</f>
        <v>65007</v>
      </c>
      <c r="I19" s="70">
        <f>IF('Final Calculation Sheet'!$H$11="","",'Final Calculation Sheet'!$H$11)</f>
        <v>65007</v>
      </c>
      <c r="J19" s="70">
        <f>IF('Final Calculation Sheet'!$I$11="","",'Final Calculation Sheet'!$I$11)</f>
        <v>11701</v>
      </c>
      <c r="K19" s="70">
        <f>IF('Final Calculation Sheet'!$J$11="","",'Final Calculation Sheet'!$J$11)</f>
        <v>76708</v>
      </c>
      <c r="L19" s="70">
        <f>IF('Final Calculation Sheet'!$K$11="","",'Final Calculation Sheet'!$K$11)</f>
        <v>1534</v>
      </c>
      <c r="M19" s="70">
        <f>IF('Final Calculation Sheet'!$L$11="","",'Final Calculation Sheet'!$L$11)</f>
        <v>65.007000000000005</v>
      </c>
      <c r="N19" s="70">
        <f>IF('Final Calculation Sheet'!$M$11="","",'Final Calculation Sheet'!$M$11)</f>
        <v>1725.9358499999998</v>
      </c>
      <c r="O19" s="71">
        <f>IF('Final Calculation Sheet'!$N$11="","",'Final Calculation Sheet'!$N$11)</f>
        <v>29.253150000000002</v>
      </c>
      <c r="P19" s="70">
        <f>IF('Final Calculation Sheet'!$O$11="","",'Final Calculation Sheet'!$O$11)</f>
        <v>1696.6826999999998</v>
      </c>
      <c r="Q19" s="70">
        <f>IF('Final Calculation Sheet'!$P$11="","",'Final Calculation Sheet'!$P$11)</f>
        <v>1762</v>
      </c>
      <c r="R19" s="72">
        <f>IF('Final Calculation Sheet'!$Q$11="","",'Final Calculation Sheet'!$Q$11)</f>
        <v>0</v>
      </c>
      <c r="S19" s="70">
        <f>IF('Final Calculation Sheet'!$R$11="","",'Final Calculation Sheet'!$R$11)</f>
        <v>0</v>
      </c>
      <c r="T19" s="70">
        <f>IF('Final Calculation Sheet'!$S$11="","",'Final Calculation Sheet'!$S$11)</f>
        <v>76481</v>
      </c>
      <c r="U19" s="70">
        <f>IF('Final Calculation Sheet'!$T$11="","",'Final Calculation Sheet'!$T$11)</f>
        <v>16252</v>
      </c>
      <c r="V19" s="73">
        <f>IF('Final Calculation Sheet'!$U$11="","",'Final Calculation Sheet'!$U$11)</f>
        <v>16252</v>
      </c>
      <c r="W19" s="70" t="str">
        <f>IF('Final Calculation Sheet'!$V$11="","",'Final Calculation Sheet'!$V$11)</f>
        <v>13.08.2026</v>
      </c>
      <c r="X19" s="70">
        <f>IF('Final Calculation Sheet'!$W$11="","",'Final Calculation Sheet'!$W$11)</f>
        <v>60229</v>
      </c>
      <c r="Y19" s="70">
        <f>IF('Final Calculation Sheet'!$X$11="","",'Final Calculation Sheet'!$X$11)</f>
        <v>60229</v>
      </c>
      <c r="Z19" s="70" t="str">
        <f>IF('Final Calculation Sheet'!$Y$11="","",'Final Calculation Sheet'!$Y$11)</f>
        <v>24.08.2026</v>
      </c>
      <c r="AA19" s="70">
        <f>IF('Final Calculation Sheet'!$Z$11="","",'Final Calculation Sheet'!$Z$11)</f>
        <v>0</v>
      </c>
      <c r="AB19" s="70" t="str">
        <f>IF('Final Calculation Sheet'!$AA$11="","",'Final Calculation Sheet'!$AA$11)</f>
        <v/>
      </c>
      <c r="AC19" s="70" t="str">
        <f>IF('Final Calculation Sheet'!$AB$11="","",'Final Calculation Sheet'!$AB$11)</f>
        <v/>
      </c>
      <c r="AD19" s="70">
        <f>IF('Final Calculation Sheet'!$AC$11="","",'Final Calculation Sheet'!$AC$11)</f>
        <v>76481</v>
      </c>
      <c r="AE19" s="70">
        <f>IF('Final Calculation Sheet'!$AD$11="","",'Final Calculation Sheet'!$AD$11)</f>
        <v>0</v>
      </c>
      <c r="AF19" s="70" t="str">
        <f>IF('Final Calculation Sheet'!$AE$11="","",'Final Calculation Sheet'!$AE$11)</f>
        <v>DR2640100032</v>
      </c>
      <c r="AG19" s="74">
        <f>IF('Final Calculation Sheet'!$AF$11="","",'Final Calculation Sheet'!$AF$11)</f>
        <v>1800003304</v>
      </c>
      <c r="AH19" s="70" t="str">
        <f>IF('Final Calculation Sheet'!$AG$11="","",'Final Calculation Sheet'!$AG$11)</f>
        <v>27.08.2026</v>
      </c>
      <c r="AI19" s="75" t="str">
        <f>IF('Final Calculation Sheet'!$AD$11="","",IF('Final Calculation Sheet'!$AD$11&lt;=5,"SETTLED","OUTSTANDING"))</f>
        <v>SETTLED</v>
      </c>
      <c r="AJ19" t="b">
        <f>AND(IF($B$4="",TRUE(),IF($B$4="(blank)",'Final Calculation Sheet'!$F$17="",IF($B$4="(nonblank)",'Final Calculation Sheet'!$F$17&lt;&gt;"",ISNUMBER(SEARCH($B$4,'Final Calculation Sheet'!$F$17))))),IF($C$4="",TRUE(),IF($C$4="(blank)",'Final Calculation Sheet'!$G$17="",IF($C$4="(nonblank)",'Final Calculation Sheet'!$G$17&lt;&gt;"",ISNUMBER(SEARCH($C$4,'Final Calculation Sheet'!$G$17))))),IF($D$4="",TRUE(),IF($D$4="(blank)",'Final Calculation Sheet'!$B$17="",IF($D$4="(nonblank)",'Final Calculation Sheet'!$B$17&lt;&gt;"",ISNUMBER(SEARCH($D$4,'Final Calculation Sheet'!$B$17))))),IF($E$4="",TRUE(),IF($E$4="(blank)",'Final Calculation Sheet'!$D$17="",IF($E$4="(nonblank)",'Final Calculation Sheet'!$D$17&lt;&gt;"",ISNUMBER(SEARCH($E$4,'Final Calculation Sheet'!$D$17))))),IF($F$4="",TRUE(),IF($F$4="(blank)",'Final Calculation Sheet'!$A$17="",IF($F$4="(nonblank)",'Final Calculation Sheet'!$A$17&lt;&gt;"",ISNUMBER(SEARCH($F$4,'Final Calculation Sheet'!$A$17))))),IF($G$4="",TRUE(),IF($G$4="(blank)",'Final Calculation Sheet'!$E$17="",IF($G$4="(nonblank)",'Final Calculation Sheet'!$E$17&lt;&gt;"",ISNUMBER(SEARCH($G$4,'Final Calculation Sheet'!$E$17))))),IF($H$4="",TRUE(),IF($H$4="(blank)",'Final Calculation Sheet'!$C$17="",IF($H$4="(nonblank)",'Final Calculation Sheet'!$C$17&lt;&gt;"",ISNUMBER(SEARCH($H$4,'Final Calculation Sheet'!$C$17))))),IF($I$4="",TRUE(),IF($I$4="(blank)",'Final Calculation Sheet'!$H$17="",IF($I$4="(nonblank)",'Final Calculation Sheet'!$H$17&lt;&gt;"",ISNUMBER(SEARCH($I$4,'Final Calculation Sheet'!$H$17))))),IF($J$4="",TRUE(),IF($J$4="(blank)",'Final Calculation Sheet'!$I$17="",IF($J$4="(nonblank)",'Final Calculation Sheet'!$I$17&lt;&gt;"",ISNUMBER(SEARCH($J$4,'Final Calculation Sheet'!$I$17))))),IF($K$4="",TRUE(),IF($K$4="(blank)",'Final Calculation Sheet'!$J$17="",IF($K$4="(nonblank)",'Final Calculation Sheet'!$J$17&lt;&gt;"",ISNUMBER(SEARCH($K$4,'Final Calculation Sheet'!$J$17))))),IF($L$4="",TRUE(),IF($L$4="(blank)",'Final Calculation Sheet'!$K$17="",IF($L$4="(nonblank)",'Final Calculation Sheet'!$K$17&lt;&gt;"",ISNUMBER(SEARCH($L$4,'Final Calculation Sheet'!$K$17))))),IF($M$4="",TRUE(),IF($M$4="(blank)",'Final Calculation Sheet'!$L$17="",IF($M$4="(nonblank)",'Final Calculation Sheet'!$L$17&lt;&gt;"",ISNUMBER(SEARCH($M$4,'Final Calculation Sheet'!$L$17))))),IF($N$4="",TRUE(),IF($N$4="(blank)",'Final Calculation Sheet'!$M$17="",IF($N$4="(nonblank)",'Final Calculation Sheet'!$M$17&lt;&gt;"",ISNUMBER(SEARCH($N$4,'Final Calculation Sheet'!$M$17))))),IF($O$4="",TRUE(),IF($O$4="(blank)",'Final Calculation Sheet'!$N$17="",IF($O$4="(nonblank)",'Final Calculation Sheet'!$N$17&lt;&gt;"",ISNUMBER(SEARCH($O$4,'Final Calculation Sheet'!$N$17))))),IF($P$4="",TRUE(),IF($P$4="(blank)",'Final Calculation Sheet'!$O$17="",IF($P$4="(nonblank)",'Final Calculation Sheet'!$O$17&lt;&gt;"",ISNUMBER(SEARCH($P$4,'Final Calculation Sheet'!$O$17))))),IF($Q$4="",TRUE(),IF($Q$4="(blank)",'Final Calculation Sheet'!$P$17="",IF($Q$4="(nonblank)",'Final Calculation Sheet'!$P$17&lt;&gt;"",ISNUMBER(SEARCH($Q$4,'Final Calculation Sheet'!$P$17))))),IF($R$4="",TRUE(),IF($R$4="(blank)",'Final Calculation Sheet'!$Q$17="",IF($R$4="(nonblank)",'Final Calculation Sheet'!$Q$17&lt;&gt;"",ISNUMBER(SEARCH($R$4,'Final Calculation Sheet'!$Q$17))))),IF($S$4="",TRUE(),IF($S$4="(blank)",'Final Calculation Sheet'!$R$17="",IF($S$4="(nonblank)",'Final Calculation Sheet'!$R$17&lt;&gt;"",ISNUMBER(SEARCH($S$4,'Final Calculation Sheet'!$R$17))))),IF($T$4="",TRUE(),IF($T$4="(blank)",'Final Calculation Sheet'!$S$17="",IF($T$4="(nonblank)",'Final Calculation Sheet'!$S$17&lt;&gt;"",ISNUMBER(SEARCH($T$4,'Final Calculation Sheet'!$S$17))))),IF($U$4="",TRUE(),IF($U$4="(blank)",'Final Calculation Sheet'!$T$17="",IF($U$4="(nonblank)",'Final Calculation Sheet'!$T$17&lt;&gt;"",ISNUMBER(SEARCH($U$4,'Final Calculation Sheet'!$T$17))))),IF($V$4="",TRUE(),IF($V$4="(blank)",'Final Calculation Sheet'!$U$17="",IF($V$4="(nonblank)",'Final Calculation Sheet'!$U$17&lt;&gt;"",ISNUMBER(SEARCH($V$4,'Final Calculation Sheet'!$U$17))))),IF($W$4="",TRUE(),IF($W$4="(blank)",'Final Calculation Sheet'!$V$17="",IF($W$4="(nonblank)",'Final Calculation Sheet'!$V$17&lt;&gt;"",ISNUMBER(SEARCH($W$4,'Final Calculation Sheet'!$V$17))))),IF($X$4="",TRUE(),IF($X$4="(blank)",'Final Calculation Sheet'!$W$17="",IF($X$4="(nonblank)",'Final Calculation Sheet'!$W$17&lt;&gt;"",ISNUMBER(SEARCH($X$4,'Final Calculation Sheet'!$W$17))))),IF($Y$4="",TRUE(),IF($Y$4="(blank)",'Final Calculation Sheet'!$X$17="",IF($Y$4="(nonblank)",'Final Calculation Sheet'!$X$17&lt;&gt;"",ISNUMBER(SEARCH($Y$4,'Final Calculation Sheet'!$X$17))))),IF($Z$4="",TRUE(),IF($Z$4="(blank)",'Final Calculation Sheet'!$Y$17="",IF($Z$4="(nonblank)",'Final Calculation Sheet'!$Y$17&lt;&gt;"",ISNUMBER(SEARCH($Z$4,'Final Calculation Sheet'!$Y$17))))),IF($AA$4="",TRUE(),IF($AA$4="(blank)",'Final Calculation Sheet'!$Z$17="",IF($AA$4="(nonblank)",'Final Calculation Sheet'!$Z$17&lt;&gt;"",ISNUMBER(SEARCH($AA$4,'Final Calculation Sheet'!$Z$17))))),IF($AB$4="",TRUE(),IF($AB$4="(blank)",'Final Calculation Sheet'!$AA$17="",IF($AB$4="(nonblank)",'Final Calculation Sheet'!$AA$17&lt;&gt;"",ISNUMBER(SEARCH($AB$4,'Final Calculation Sheet'!$AA$17))))),IF($AC$4="",TRUE(),IF($AC$4="(blank)",'Final Calculation Sheet'!$AB$17="",IF($AC$4="(nonblank)",'Final Calculation Sheet'!$AB$17&lt;&gt;"",ISNUMBER(SEARCH($AC$4,'Final Calculation Sheet'!$AB$17))))),IF($AD$4="",TRUE(),IF($AD$4="(blank)",'Final Calculation Sheet'!$AC$17="",IF($AD$4="(nonblank)",'Final Calculation Sheet'!$AC$17&lt;&gt;"",ISNUMBER(SEARCH($AD$4,'Final Calculation Sheet'!$AC$17))))),IF($AE$4="",TRUE(),IF($AE$4="(blank)",'Final Calculation Sheet'!$AD$17="",IF($AE$4="(nonblank)",'Final Calculation Sheet'!$AD$17&lt;&gt;"",ISNUMBER(SEARCH($AE$4,'Final Calculation Sheet'!$AD$17))))),IF($AF$4="",TRUE(),IF($AF$4="(blank)",'Final Calculation Sheet'!$AE$17="",IF($AF$4="(nonblank)",'Final Calculation Sheet'!$AE$17&lt;&gt;"",ISNUMBER(SEARCH($AF$4,'Final Calculation Sheet'!$AE$17))))),IF($AG$4="",TRUE(),IF($AG$4="(blank)",'Final Calculation Sheet'!$AF$17="",IF($AG$4="(nonblank)",'Final Calculation Sheet'!$AF$17&lt;&gt;"",ISNUMBER(SEARCH($AG$4,'Final Calculation Sheet'!$AF$17))))),IF($AH$4="",TRUE(),IF($AH$4="(blank)",'Final Calculation Sheet'!$AG$17="",IF($AH$4="(nonblank)",'Final Calculation Sheet'!$AG$17&lt;&gt;"",ISNUMBER(SEARCH($AH$4,'Final Calculation Sheet'!$AG$17))))),IF($AI$4="",TRUE(),IF($AI$4="(blank)",IF('Final Calculation Sheet'!$AD$17&lt;=5,"SETTLED","OUTSTANDING")="",IF($AI$4="(nonblank)",IF('Final Calculation Sheet'!$AD$17&lt;=5,"SETTLED","OUTSTANDING")&lt;&gt;"",ISNUMBER(SEARCH($AI$4,IF('Final Calculation Sheet'!$AD$17&lt;=5,"SETTLED","OUTSTANDING")))))))</f>
        <v>1</v>
      </c>
      <c r="AK19" t="str">
        <f>IF(AJ19=1,COUNTIF(AJ$6:AJ19,1),"")</f>
        <v/>
      </c>
      <c r="AM19">
        <f>AM18+IF(AND(Lists!$O$19&lt;&gt;"",ISNUMBER(SEARCH($B$4,Lists!$O$19))),1,0)</f>
        <v>16</v>
      </c>
      <c r="AN19">
        <f>IF(ROW()-3&gt;MAX($AM$4:$AM$42),"",INDEX(Lists!$O$4:$O$42,MATCH(ROW()-3,$AM$4:$AM$42,0)))</f>
        <v>2019</v>
      </c>
      <c r="AO19">
        <f>AO18+IF(AND(Lists!$T$19&lt;&gt;"",ISNUMBER(SEARCH($C$4,Lists!$T$19))),1,0)</f>
        <v>13</v>
      </c>
      <c r="AP19" t="str">
        <f>IF(ROW()-3&gt;MAX($AO$4:$AO$42),"",INDEX(Lists!$T$4:$T$42,MATCH(ROW()-3,$AO$4:$AO$42,0)))</f>
        <v/>
      </c>
      <c r="AQ19">
        <f>AQ18+IF(AND(Lists!$Y$19&lt;&gt;"",ISNUMBER(SEARCH($D$4,Lists!$Y$19))),1,0)</f>
        <v>16</v>
      </c>
      <c r="AR19" t="str">
        <f>IF(ROW()-3&gt;MAX($AQ$4:$AQ$42),"",INDEX(Lists!$Y$4:$Y$42,MATCH(ROW()-3,$AQ$4:$AQ$42,0)))</f>
        <v>Scrap of 66 kv TBC C &amp; R Panel</v>
      </c>
      <c r="AS19">
        <f>AS18+IF(AND(Lists!$AD$19&lt;&gt;"",ISNUMBER(SEARCH($E$4,Lists!$AD$19))),1,0)</f>
        <v>4</v>
      </c>
      <c r="AT19" t="str">
        <f>IF(ROW()-3&gt;MAX($AS$4:$AS$42),"",INDEX(Lists!$AD$4:$AD$42,MATCH(ROW()-3,$AS$4:$AS$42,0)))</f>
        <v/>
      </c>
      <c r="AU19">
        <f>AU18+IF(AND(Lists!$AI$19&lt;&gt;"",ISNUMBER(SEARCH($F$4,Lists!$AI$19))),1,0)</f>
        <v>16</v>
      </c>
      <c r="AV19">
        <f>IF(ROW()-3&gt;MAX($AU$4:$AU$42),"",INDEX(Lists!$AI$4:$AI$42,MATCH(ROW()-3,$AU$4:$AU$42,0)))</f>
        <v>270</v>
      </c>
      <c r="AW19">
        <f>AW18+IF(AND(Lists!$AN$19&lt;&gt;"",ISNUMBER(SEARCH($G$4,Lists!$AN$19))),1,0)</f>
        <v>3</v>
      </c>
      <c r="AX19" t="str">
        <f>IF(ROW()-3&gt;MAX($AW$4:$AW$42),"",INDEX(Lists!$AN$4:$AN$42,MATCH(ROW()-3,$AW$4:$AW$42,0)))</f>
        <v/>
      </c>
      <c r="AY19">
        <f>AY18+IF(AND(Lists!$AS$19&lt;&gt;"",ISNUMBER(SEARCH($H$4,Lists!$AS$19))),1,0)</f>
        <v>16</v>
      </c>
      <c r="AZ19">
        <f>IF(ROW()-3&gt;MAX($AY$4:$AY$42),"",INDEX(Lists!$AS$4:$AS$42,MATCH(ROW()-3,$AY$4:$AY$42,0)))</f>
        <v>15006</v>
      </c>
      <c r="BA19">
        <f>BA18+IF(AND(Lists!$AX$19&lt;&gt;"",ISNUMBER(SEARCH($I$4,Lists!$AX$19))),1,0)</f>
        <v>16</v>
      </c>
      <c r="BB19">
        <f>IF(ROW()-3&gt;MAX($BA$4:$BA$42),"",INDEX(Lists!$AX$4:$AX$42,MATCH(ROW()-3,$BA$4:$BA$42,0)))</f>
        <v>85650</v>
      </c>
      <c r="BC19">
        <f>BC18+IF(AND(Lists!$BC$19&lt;&gt;"",ISNUMBER(SEARCH($J$4,Lists!$BC$19))),1,0)</f>
        <v>16</v>
      </c>
      <c r="BD19">
        <f>IF(ROW()-3&gt;MAX($BC$4:$BC$42),"",INDEX(Lists!$BC$4:$BC$42,MATCH(ROW()-3,$BC$4:$BC$42,0)))</f>
        <v>15417</v>
      </c>
      <c r="BE19">
        <f>BE18+IF(AND(Lists!$BH$19&lt;&gt;"",ISNUMBER(SEARCH($K$4,Lists!$BH$19))),1,0)</f>
        <v>16</v>
      </c>
      <c r="BF19">
        <f>IF(ROW()-3&gt;MAX($BE$4:$BE$42),"",INDEX(Lists!$BH$4:$BH$42,MATCH(ROW()-3,$BE$4:$BE$42,0)))</f>
        <v>101067</v>
      </c>
      <c r="BG19">
        <f>BG18+IF(AND(Lists!$BM$19&lt;&gt;"",ISNUMBER(SEARCH($L$4,Lists!$BM$19))),1,0)</f>
        <v>16</v>
      </c>
      <c r="BH19">
        <f>IF(ROW()-3&gt;MAX($BG$4:$BG$42),"",INDEX(Lists!$BM$4:$BM$42,MATCH(ROW()-3,$BG$4:$BG$42,0)))</f>
        <v>2021</v>
      </c>
      <c r="BI19">
        <f>BI18+IF(AND(Lists!$BR$19&lt;&gt;"",ISNUMBER(SEARCH($M$4,Lists!$BR$19))),1,0)</f>
        <v>16</v>
      </c>
      <c r="BJ19">
        <f>IF(ROW()-3&gt;MAX($BI$4:$BI$42),"",INDEX(Lists!$BR$4:$BR$42,MATCH(ROW()-3,$BI$4:$BI$42,0)))</f>
        <v>85.65</v>
      </c>
      <c r="BK19">
        <f>BK18+IF(AND(Lists!$BW$19&lt;&gt;"",ISNUMBER(SEARCH($N$4,Lists!$BW$19))),1,0)</f>
        <v>16</v>
      </c>
      <c r="BL19">
        <f>IF(ROW()-3&gt;MAX($BK$4:$BK$42),"",INDEX(Lists!$BW$4:$BW$42,MATCH(ROW()-3,$BK$4:$BK$42,0)))</f>
        <v>2274.0074999999997</v>
      </c>
      <c r="BM19">
        <f>BM18+IF(AND(Lists!$CB$19&lt;&gt;"",ISNUMBER(SEARCH($O$4,Lists!$CB$19))),1,0)</f>
        <v>16</v>
      </c>
      <c r="BN19">
        <f>IF(ROW()-3&gt;MAX($BM$4:$BM$42),"",INDEX(Lists!$CB$4:$CB$42,MATCH(ROW()-3,$BM$4:$BM$42,0)))</f>
        <v>38.542500000000004</v>
      </c>
      <c r="BO19">
        <f>BO18+IF(AND(Lists!$CG$19&lt;&gt;"",ISNUMBER(SEARCH($P$4,Lists!$CG$19))),1,0)</f>
        <v>16</v>
      </c>
      <c r="BP19">
        <f>IF(ROW()-3&gt;MAX($BO$4:$BO$42),"",INDEX(Lists!$CG$4:$CG$42,MATCH(ROW()-3,$BO$4:$BO$42,0)))</f>
        <v>2235.4649999999997</v>
      </c>
      <c r="BQ19">
        <f>BQ18+IF(AND(Lists!$CL$19&lt;&gt;"",ISNUMBER(SEARCH($Q$4,Lists!$CL$19))),1,0)</f>
        <v>16</v>
      </c>
      <c r="BR19">
        <f>IF(ROW()-3&gt;MAX($BQ$4:$BQ$42),"",INDEX(Lists!$CL$4:$CL$42,MATCH(ROW()-3,$BQ$4:$BQ$42,0)))</f>
        <v>2321</v>
      </c>
      <c r="BS19">
        <f>BS18+IF(AND(Lists!$CQ$19&lt;&gt;"",ISNUMBER(SEARCH($R$4,Lists!$CQ$19))),1,0)</f>
        <v>2</v>
      </c>
      <c r="BT19" t="str">
        <f>IF(ROW()-3&gt;MAX($BS$4:$BS$42),"",INDEX(Lists!$CQ$4:$CQ$42,MATCH(ROW()-3,$BS$4:$BS$42,0)))</f>
        <v/>
      </c>
      <c r="BU19">
        <f>BU18+IF(AND(Lists!$CV$19&lt;&gt;"",ISNUMBER(SEARCH($S$4,Lists!$CV$19))),1,0)</f>
        <v>5</v>
      </c>
      <c r="BV19" t="str">
        <f>IF(ROW()-3&gt;MAX($BU$4:$BU$42),"",INDEX(Lists!$CV$4:$CV$42,MATCH(ROW()-3,$BU$4:$BU$42,0)))</f>
        <v/>
      </c>
      <c r="BW19">
        <f>BW18+IF(AND(Lists!$DA$19&lt;&gt;"",ISNUMBER(SEARCH($T$4,Lists!$DA$19))),1,0)</f>
        <v>16</v>
      </c>
      <c r="BX19">
        <f>IF(ROW()-3&gt;MAX($BW$4:$BW$42),"",INDEX(Lists!$DA$4:$DA$42,MATCH(ROW()-3,$BW$4:$BW$42,0)))</f>
        <v>100767</v>
      </c>
      <c r="BY19">
        <f>BY18+IF(AND(Lists!$DF$19&lt;&gt;"",ISNUMBER(SEARCH($U$4,Lists!$DF$19))),1,0)</f>
        <v>16</v>
      </c>
      <c r="BZ19">
        <f>IF(ROW()-3&gt;MAX($BY$4:$BY$42),"",INDEX(Lists!$DF$4:$DF$42,MATCH(ROW()-3,$BY$4:$BY$42,0)))</f>
        <v>21413</v>
      </c>
      <c r="CA19">
        <f>CA18+IF(AND(Lists!$DK$19&lt;&gt;"",ISNUMBER(SEARCH($V$4,Lists!$DK$19))),1,0)</f>
        <v>16</v>
      </c>
      <c r="CB19">
        <f>IF(ROW()-3&gt;MAX($CA$4:$CA$42),"",INDEX(Lists!$DK$4:$DK$42,MATCH(ROW()-3,$CA$4:$CA$42,0)))</f>
        <v>21413</v>
      </c>
      <c r="CC19">
        <f>CC18+IF(AND(Lists!$DP$19&lt;&gt;"",ISNUMBER(SEARCH($W$4,Lists!$DP$19))),1,0)</f>
        <v>6</v>
      </c>
      <c r="CD19" t="str">
        <f>IF(ROW()-3&gt;MAX($CC$4:$CC$42),"",INDEX(Lists!$DP$4:$DP$42,MATCH(ROW()-3,$CC$4:$CC$42,0)))</f>
        <v/>
      </c>
      <c r="CE19">
        <f>CE18+IF(AND(Lists!$DU$19&lt;&gt;"",ISNUMBER(SEARCH($X$4,Lists!$DU$19))),1,0)</f>
        <v>16</v>
      </c>
      <c r="CF19">
        <f>IF(ROW()-3&gt;MAX($CE$4:$CE$42),"",INDEX(Lists!$DU$4:$DU$42,MATCH(ROW()-3,$CE$4:$CE$42,0)))</f>
        <v>79355</v>
      </c>
      <c r="CG19" t="e">
        <f>CG18+IF(AND(Lists!$DZ$19&lt;&gt;"",ISNUMBER(SEARCH($Y$4,Lists!$DZ$19))),1,0)</f>
        <v>#N/A</v>
      </c>
      <c r="CH19" t="e">
        <f>IF(ROW()-3&gt;MAX($CG$4:$CG$42),"",INDEX(Lists!$DZ$4:$DZ$42,MATCH(ROW()-3,$CG$4:$CG$42,0)))</f>
        <v>#N/A</v>
      </c>
      <c r="CI19" t="e">
        <f>CI18+IF(AND(Lists!$EE$19&lt;&gt;"",ISNUMBER(SEARCH($Z$4,Lists!$EE$19))),1,0)</f>
        <v>#N/A</v>
      </c>
      <c r="CJ19" t="e">
        <f>IF(ROW()-3&gt;MAX($CI$4:$CI$42),"",INDEX(Lists!$EE$4:$EE$42,MATCH(ROW()-3,$CI$4:$CI$42,0)))</f>
        <v>#N/A</v>
      </c>
      <c r="CK19">
        <f>CK18+IF(AND(Lists!$EJ$19&lt;&gt;"",ISNUMBER(SEARCH($AA$4,Lists!$EJ$19))),1,0)</f>
        <v>6</v>
      </c>
      <c r="CL19" t="str">
        <f>IF(ROW()-3&gt;MAX($CK$4:$CK$42),"",INDEX(Lists!$EJ$4:$EJ$42,MATCH(ROW()-3,$CK$4:$CK$42,0)))</f>
        <v/>
      </c>
      <c r="CM19" t="e">
        <f>CM18+IF(AND(Lists!$EO$19&lt;&gt;"",ISNUMBER(SEARCH($AB$4,Lists!$EO$19))),1,0)</f>
        <v>#N/A</v>
      </c>
      <c r="CN19" t="e">
        <f>IF(ROW()-3&gt;MAX($CM$4:$CM$42),"",INDEX(Lists!$EO$4:$EO$42,MATCH(ROW()-3,$CM$4:$CM$42,0)))</f>
        <v>#N/A</v>
      </c>
      <c r="CO19" t="e">
        <f>CO18+IF(AND(Lists!$ET$19&lt;&gt;"",ISNUMBER(SEARCH($AC$4,Lists!$ET$19))),1,0)</f>
        <v>#N/A</v>
      </c>
      <c r="CP19" t="e">
        <f>IF(ROW()-3&gt;MAX($CO$4:$CO$42),"",INDEX(Lists!$ET$4:$ET$42,MATCH(ROW()-3,$CO$4:$CO$42,0)))</f>
        <v>#N/A</v>
      </c>
      <c r="CQ19">
        <f>CQ18+IF(AND(Lists!$EY$19&lt;&gt;"",ISNUMBER(SEARCH($AD$4,Lists!$EY$19))),1,0)</f>
        <v>16</v>
      </c>
      <c r="CR19">
        <f>IF(ROW()-3&gt;MAX($CQ$4:$CQ$42),"",INDEX(Lists!$EY$4:$EY$42,MATCH(ROW()-3,$CQ$4:$CQ$42,0)))</f>
        <v>88242</v>
      </c>
      <c r="CS19" t="e">
        <f>CS18+IF(AND(Lists!$FD$19&lt;&gt;"",ISNUMBER(SEARCH($AE$4,Lists!$FD$19))),1,0)</f>
        <v>#N/A</v>
      </c>
      <c r="CT19" t="e">
        <f>IF(ROW()-3&gt;MAX($CS$4:$CS$42),"",INDEX(Lists!$FD$4:$FD$42,MATCH(ROW()-3,$CS$4:$CS$42,0)))</f>
        <v>#N/A</v>
      </c>
      <c r="CU19" t="e">
        <f>CU18+IF(AND(Lists!$FI$19&lt;&gt;"",ISNUMBER(SEARCH($AF$4,Lists!$FI$19))),1,0)</f>
        <v>#N/A</v>
      </c>
      <c r="CV19" t="e">
        <f>IF(ROW()-3&gt;MAX($CU$4:$CU$42),"",INDEX(Lists!$FI$4:$FI$42,MATCH(ROW()-3,$CU$4:$CU$42,0)))</f>
        <v>#N/A</v>
      </c>
      <c r="CW19" t="e">
        <f>CW18+IF(AND(Lists!$FN$19&lt;&gt;"",ISNUMBER(SEARCH($AG$4,Lists!$FN$19))),1,0)</f>
        <v>#N/A</v>
      </c>
      <c r="CX19" t="e">
        <f>IF(ROW()-3&gt;MAX($CW$4:$CW$42),"",INDEX(Lists!$FN$4:$FN$42,MATCH(ROW()-3,$CW$4:$CW$42,0)))</f>
        <v>#N/A</v>
      </c>
      <c r="CY19" t="e">
        <f>CY18+IF(AND(Lists!$FS$19&lt;&gt;"",ISNUMBER(SEARCH($AH$4,Lists!$FS$19))),1,0)</f>
        <v>#N/A</v>
      </c>
      <c r="CZ19" t="e">
        <f>IF(ROW()-3&gt;MAX($CY$4:$CY$42),"",INDEX(Lists!$FS$4:$FS$42,MATCH(ROW()-3,$CY$4:$CY$42,0)))</f>
        <v>#N/A</v>
      </c>
      <c r="DA19">
        <f>DA18+IF(AND(Lists!$FX$19&lt;&gt;"",ISNUMBER(SEARCH($AI$4,Lists!$FX$19))),1,0)</f>
        <v>2</v>
      </c>
      <c r="DB19" t="str">
        <f>IF(ROW()-3&gt;MAX($DA$4:$DA$42),"",INDEX(Lists!$FX$4:$FX$42,MATCH(ROW()-3,$DA$4:$DA$42,0)))</f>
        <v/>
      </c>
    </row>
    <row r="20" outlineLevel="1" ht="15" customHeight="1" s="137">
      <c r="A20" s="90" t="n">
        <v>4</v>
      </c>
      <c r="B20" s="92">
        <f>IF('Final Calculation Sheet'!$F$12="","",'Final Calculation Sheet'!$F$12)</f>
        <v>2005</v>
      </c>
      <c r="C20" s="92" t="str">
        <f>IF('Final Calculation Sheet'!$G$12="","",'Final Calculation Sheet'!$G$12)</f>
        <v>NATIONAL ENTERPRISES</v>
      </c>
      <c r="D20" s="94" t="str">
        <f>IF('Final Calculation Sheet'!$B$12="","",'Final Calculation Sheet'!$B$12)</f>
        <v>Scrap of 220KV CT</v>
      </c>
      <c r="E20" s="94">
        <f>IF('Final Calculation Sheet'!$D$12="","",'Final Calculation Sheet'!$D$12)</f>
        <v>21977</v>
      </c>
      <c r="F20" s="94">
        <f>IF('Final Calculation Sheet'!$A$12="","",'Final Calculation Sheet'!$A$12)</f>
        <v>1</v>
      </c>
      <c r="G20" s="94" t="str">
        <f>IF('Final Calculation Sheet'!$E$12="","",'Final Calculation Sheet'!$E$12)</f>
        <v>NO</v>
      </c>
      <c r="H20" s="95">
        <f>IF('Final Calculation Sheet'!$C$12="","",'Final Calculation Sheet'!$C$12)</f>
        <v>70006</v>
      </c>
      <c r="I20" s="95">
        <f>IF('Final Calculation Sheet'!$H$12="","",'Final Calculation Sheet'!$H$12)</f>
        <v>70006</v>
      </c>
      <c r="J20" s="95">
        <f>IF('Final Calculation Sheet'!$I$12="","",'Final Calculation Sheet'!$I$12)</f>
        <v>12601</v>
      </c>
      <c r="K20" s="95">
        <f>IF('Final Calculation Sheet'!$J$12="","",'Final Calculation Sheet'!$J$12)</f>
        <v>82607</v>
      </c>
      <c r="L20" s="95">
        <f>IF('Final Calculation Sheet'!$K$12="","",'Final Calculation Sheet'!$K$12)</f>
        <v>1652</v>
      </c>
      <c r="M20" s="95">
        <f>IF('Final Calculation Sheet'!$L$12="","",'Final Calculation Sheet'!$L$12)</f>
        <v>70.006</v>
      </c>
      <c r="N20" s="95">
        <f>IF('Final Calculation Sheet'!$M$12="","",'Final Calculation Sheet'!$M$12)</f>
        <v>1858.6592999999998</v>
      </c>
      <c r="O20" s="96">
        <f>IF('Final Calculation Sheet'!$N$12="","",'Final Calculation Sheet'!$N$12)</f>
        <v>31.502700000000001</v>
      </c>
      <c r="P20" s="95">
        <f>IF('Final Calculation Sheet'!$O$12="","",'Final Calculation Sheet'!$O$12)</f>
        <v>1827.1565999999998</v>
      </c>
      <c r="Q20" s="95">
        <f>IF('Final Calculation Sheet'!$P$12="","",'Final Calculation Sheet'!$P$12)</f>
        <v>1897</v>
      </c>
      <c r="R20" s="97">
        <f>IF('Final Calculation Sheet'!$Q$12="","",'Final Calculation Sheet'!$Q$12)</f>
        <v>0</v>
      </c>
      <c r="S20" s="95">
        <f>IF('Final Calculation Sheet'!$R$12="","",'Final Calculation Sheet'!$R$12)</f>
        <v>0</v>
      </c>
      <c r="T20" s="95">
        <f>IF('Final Calculation Sheet'!$S$12="","",'Final Calculation Sheet'!$S$12)</f>
        <v>82362</v>
      </c>
      <c r="U20" s="95">
        <f>IF('Final Calculation Sheet'!$T$12="","",'Final Calculation Sheet'!$T$12)</f>
        <v>17502</v>
      </c>
      <c r="V20" s="98">
        <f>IF('Final Calculation Sheet'!$U$12="","",'Final Calculation Sheet'!$U$12)</f>
        <v>17502</v>
      </c>
      <c r="W20" s="95" t="str">
        <f>IF('Final Calculation Sheet'!$V$12="","",'Final Calculation Sheet'!$V$12)</f>
        <v>13.08.2026</v>
      </c>
      <c r="X20" s="95">
        <f>IF('Final Calculation Sheet'!$W$12="","",'Final Calculation Sheet'!$W$12)</f>
        <v>64861</v>
      </c>
      <c r="Y20" s="95">
        <f>IF('Final Calculation Sheet'!$X$12="","",'Final Calculation Sheet'!$X$12)</f>
        <v>64859</v>
      </c>
      <c r="Z20" s="95" t="str">
        <f>IF('Final Calculation Sheet'!$Y$12="","",'Final Calculation Sheet'!$Y$12)</f>
        <v>24.08.2026</v>
      </c>
      <c r="AA20" s="95">
        <f>IF('Final Calculation Sheet'!$Z$12="","",'Final Calculation Sheet'!$Z$12)</f>
        <v>0</v>
      </c>
      <c r="AB20" s="95" t="str">
        <f>IF('Final Calculation Sheet'!$AA$12="","",'Final Calculation Sheet'!$AA$12)</f>
        <v/>
      </c>
      <c r="AC20" s="95" t="str">
        <f>IF('Final Calculation Sheet'!$AB$12="","",'Final Calculation Sheet'!$AB$12)</f>
        <v/>
      </c>
      <c r="AD20" s="95">
        <f>IF('Final Calculation Sheet'!$AC$12="","",'Final Calculation Sheet'!$AC$12)</f>
        <v>82361</v>
      </c>
      <c r="AE20" s="95">
        <f>IF('Final Calculation Sheet'!$AD$12="","",'Final Calculation Sheet'!$AD$12)</f>
        <v>1</v>
      </c>
      <c r="AF20" s="95" t="str">
        <f>IF('Final Calculation Sheet'!$AE$12="","",'Final Calculation Sheet'!$AE$12)</f>
        <v>DR2640100033</v>
      </c>
      <c r="AG20" s="99">
        <f>IF('Final Calculation Sheet'!$AF$12="","",'Final Calculation Sheet'!$AF$12)</f>
        <v>1800003305</v>
      </c>
      <c r="AH20" s="95" t="str">
        <f>IF('Final Calculation Sheet'!$AG$12="","",'Final Calculation Sheet'!$AG$12)</f>
        <v>27.08.2026</v>
      </c>
      <c r="AI20" s="100" t="str">
        <f>IF('Final Calculation Sheet'!$AD$12="","",IF('Final Calculation Sheet'!$AD$12&lt;=5,"SETTLED","OUTSTANDING"))</f>
        <v>SETTLED</v>
      </c>
      <c r="AJ20" t="b">
        <f>AND(IF($B$4="",TRUE(),IF($B$4="(blank)",'Final Calculation Sheet'!$F$18="",IF($B$4="(nonblank)",'Final Calculation Sheet'!$F$18&lt;&gt;"",ISNUMBER(SEARCH($B$4,'Final Calculation Sheet'!$F$18))))),IF($C$4="",TRUE(),IF($C$4="(blank)",'Final Calculation Sheet'!$G$18="",IF($C$4="(nonblank)",'Final Calculation Sheet'!$G$18&lt;&gt;"",ISNUMBER(SEARCH($C$4,'Final Calculation Sheet'!$G$18))))),IF($D$4="",TRUE(),IF($D$4="(blank)",'Final Calculation Sheet'!$B$18="",IF($D$4="(nonblank)",'Final Calculation Sheet'!$B$18&lt;&gt;"",ISNUMBER(SEARCH($D$4,'Final Calculation Sheet'!$B$18))))),IF($E$4="",TRUE(),IF($E$4="(blank)",'Final Calculation Sheet'!$D$18="",IF($E$4="(nonblank)",'Final Calculation Sheet'!$D$18&lt;&gt;"",ISNUMBER(SEARCH($E$4,'Final Calculation Sheet'!$D$18))))),IF($F$4="",TRUE(),IF($F$4="(blank)",'Final Calculation Sheet'!$A$18="",IF($F$4="(nonblank)",'Final Calculation Sheet'!$A$18&lt;&gt;"",ISNUMBER(SEARCH($F$4,'Final Calculation Sheet'!$A$18))))),IF($G$4="",TRUE(),IF($G$4="(blank)",'Final Calculation Sheet'!$E$18="",IF($G$4="(nonblank)",'Final Calculation Sheet'!$E$18&lt;&gt;"",ISNUMBER(SEARCH($G$4,'Final Calculation Sheet'!$E$18))))),IF($H$4="",TRUE(),IF($H$4="(blank)",'Final Calculation Sheet'!$C$18="",IF($H$4="(nonblank)",'Final Calculation Sheet'!$C$18&lt;&gt;"",ISNUMBER(SEARCH($H$4,'Final Calculation Sheet'!$C$18))))),IF($I$4="",TRUE(),IF($I$4="(blank)",'Final Calculation Sheet'!$H$18="",IF($I$4="(nonblank)",'Final Calculation Sheet'!$H$18&lt;&gt;"",ISNUMBER(SEARCH($I$4,'Final Calculation Sheet'!$H$18))))),IF($J$4="",TRUE(),IF($J$4="(blank)",'Final Calculation Sheet'!$I$18="",IF($J$4="(nonblank)",'Final Calculation Sheet'!$I$18&lt;&gt;"",ISNUMBER(SEARCH($J$4,'Final Calculation Sheet'!$I$18))))),IF($K$4="",TRUE(),IF($K$4="(blank)",'Final Calculation Sheet'!$J$18="",IF($K$4="(nonblank)",'Final Calculation Sheet'!$J$18&lt;&gt;"",ISNUMBER(SEARCH($K$4,'Final Calculation Sheet'!$J$18))))),IF($L$4="",TRUE(),IF($L$4="(blank)",'Final Calculation Sheet'!$K$18="",IF($L$4="(nonblank)",'Final Calculation Sheet'!$K$18&lt;&gt;"",ISNUMBER(SEARCH($L$4,'Final Calculation Sheet'!$K$18))))),IF($M$4="",TRUE(),IF($M$4="(blank)",'Final Calculation Sheet'!$L$18="",IF($M$4="(nonblank)",'Final Calculation Sheet'!$L$18&lt;&gt;"",ISNUMBER(SEARCH($M$4,'Final Calculation Sheet'!$L$18))))),IF($N$4="",TRUE(),IF($N$4="(blank)",'Final Calculation Sheet'!$M$18="",IF($N$4="(nonblank)",'Final Calculation Sheet'!$M$18&lt;&gt;"",ISNUMBER(SEARCH($N$4,'Final Calculation Sheet'!$M$18))))),IF($O$4="",TRUE(),IF($O$4="(blank)",'Final Calculation Sheet'!$N$18="",IF($O$4="(nonblank)",'Final Calculation Sheet'!$N$18&lt;&gt;"",ISNUMBER(SEARCH($O$4,'Final Calculation Sheet'!$N$18))))),IF($P$4="",TRUE(),IF($P$4="(blank)",'Final Calculation Sheet'!$O$18="",IF($P$4="(nonblank)",'Final Calculation Sheet'!$O$18&lt;&gt;"",ISNUMBER(SEARCH($P$4,'Final Calculation Sheet'!$O$18))))),IF($Q$4="",TRUE(),IF($Q$4="(blank)",'Final Calculation Sheet'!$P$18="",IF($Q$4="(nonblank)",'Final Calculation Sheet'!$P$18&lt;&gt;"",ISNUMBER(SEARCH($Q$4,'Final Calculation Sheet'!$P$18))))),IF($R$4="",TRUE(),IF($R$4="(blank)",'Final Calculation Sheet'!$Q$18="",IF($R$4="(nonblank)",'Final Calculation Sheet'!$Q$18&lt;&gt;"",ISNUMBER(SEARCH($R$4,'Final Calculation Sheet'!$Q$18))))),IF($S$4="",TRUE(),IF($S$4="(blank)",'Final Calculation Sheet'!$R$18="",IF($S$4="(nonblank)",'Final Calculation Sheet'!$R$18&lt;&gt;"",ISNUMBER(SEARCH($S$4,'Final Calculation Sheet'!$R$18))))),IF($T$4="",TRUE(),IF($T$4="(blank)",'Final Calculation Sheet'!$S$18="",IF($T$4="(nonblank)",'Final Calculation Sheet'!$S$18&lt;&gt;"",ISNUMBER(SEARCH($T$4,'Final Calculation Sheet'!$S$18))))),IF($U$4="",TRUE(),IF($U$4="(blank)",'Final Calculation Sheet'!$T$18="",IF($U$4="(nonblank)",'Final Calculation Sheet'!$T$18&lt;&gt;"",ISNUMBER(SEARCH($U$4,'Final Calculation Sheet'!$T$18))))),IF($V$4="",TRUE(),IF($V$4="(blank)",'Final Calculation Sheet'!$U$18="",IF($V$4="(nonblank)",'Final Calculation Sheet'!$U$18&lt;&gt;"",ISNUMBER(SEARCH($V$4,'Final Calculation Sheet'!$U$18))))),IF($W$4="",TRUE(),IF($W$4="(blank)",'Final Calculation Sheet'!$V$18="",IF($W$4="(nonblank)",'Final Calculation Sheet'!$V$18&lt;&gt;"",ISNUMBER(SEARCH($W$4,'Final Calculation Sheet'!$V$18))))),IF($X$4="",TRUE(),IF($X$4="(blank)",'Final Calculation Sheet'!$W$18="",IF($X$4="(nonblank)",'Final Calculation Sheet'!$W$18&lt;&gt;"",ISNUMBER(SEARCH($X$4,'Final Calculation Sheet'!$W$18))))),IF($Y$4="",TRUE(),IF($Y$4="(blank)",'Final Calculation Sheet'!$X$18="",IF($Y$4="(nonblank)",'Final Calculation Sheet'!$X$18&lt;&gt;"",ISNUMBER(SEARCH($Y$4,'Final Calculation Sheet'!$X$18))))),IF($Z$4="",TRUE(),IF($Z$4="(blank)",'Final Calculation Sheet'!$Y$18="",IF($Z$4="(nonblank)",'Final Calculation Sheet'!$Y$18&lt;&gt;"",ISNUMBER(SEARCH($Z$4,'Final Calculation Sheet'!$Y$18))))),IF($AA$4="",TRUE(),IF($AA$4="(blank)",'Final Calculation Sheet'!$Z$18="",IF($AA$4="(nonblank)",'Final Calculation Sheet'!$Z$18&lt;&gt;"",ISNUMBER(SEARCH($AA$4,'Final Calculation Sheet'!$Z$18))))),IF($AB$4="",TRUE(),IF($AB$4="(blank)",'Final Calculation Sheet'!$AA$18="",IF($AB$4="(nonblank)",'Final Calculation Sheet'!$AA$18&lt;&gt;"",ISNUMBER(SEARCH($AB$4,'Final Calculation Sheet'!$AA$18))))),IF($AC$4="",TRUE(),IF($AC$4="(blank)",'Final Calculation Sheet'!$AB$18="",IF($AC$4="(nonblank)",'Final Calculation Sheet'!$AB$18&lt;&gt;"",ISNUMBER(SEARCH($AC$4,'Final Calculation Sheet'!$AB$18))))),IF($AD$4="",TRUE(),IF($AD$4="(blank)",'Final Calculation Sheet'!$AC$18="",IF($AD$4="(nonblank)",'Final Calculation Sheet'!$AC$18&lt;&gt;"",ISNUMBER(SEARCH($AD$4,'Final Calculation Sheet'!$AC$18))))),IF($AE$4="",TRUE(),IF($AE$4="(blank)",'Final Calculation Sheet'!$AD$18="",IF($AE$4="(nonblank)",'Final Calculation Sheet'!$AD$18&lt;&gt;"",ISNUMBER(SEARCH($AE$4,'Final Calculation Sheet'!$AD$18))))),IF($AF$4="",TRUE(),IF($AF$4="(blank)",'Final Calculation Sheet'!$AE$18="",IF($AF$4="(nonblank)",'Final Calculation Sheet'!$AE$18&lt;&gt;"",ISNUMBER(SEARCH($AF$4,'Final Calculation Sheet'!$AE$18))))),IF($AG$4="",TRUE(),IF($AG$4="(blank)",'Final Calculation Sheet'!$AF$18="",IF($AG$4="(nonblank)",'Final Calculation Sheet'!$AF$18&lt;&gt;"",ISNUMBER(SEARCH($AG$4,'Final Calculation Sheet'!$AF$18))))),IF($AH$4="",TRUE(),IF($AH$4="(blank)",'Final Calculation Sheet'!$AG$18="",IF($AH$4="(nonblank)",'Final Calculation Sheet'!$AG$18&lt;&gt;"",ISNUMBER(SEARCH($AH$4,'Final Calculation Sheet'!$AG$18))))),IF($AI$4="",TRUE(),IF($AI$4="(blank)",IF('Final Calculation Sheet'!$AD$18&lt;=5,"SETTLED","OUTSTANDING")="",IF($AI$4="(nonblank)",IF('Final Calculation Sheet'!$AD$18&lt;=5,"SETTLED","OUTSTANDING")&lt;&gt;"",ISNUMBER(SEARCH($AI$4,IF('Final Calculation Sheet'!$AD$18&lt;=5,"SETTLED","OUTSTANDING")))))))</f>
        <v>1</v>
      </c>
      <c r="AK20" t="str">
        <f>IF(AJ20=1,COUNTIF(AJ$6:AJ20,1),"")</f>
        <v/>
      </c>
      <c r="AM20">
        <f>AM19+IF(AND(Lists!$O$20&lt;&gt;"",ISNUMBER(SEARCH($B$4,Lists!$O$20))),1,0)</f>
        <v>17</v>
      </c>
      <c r="AN20">
        <f>IF(ROW()-3&gt;MAX($AM$4:$AM$42),"",INDEX(Lists!$O$4:$O$42,MATCH(ROW()-3,$AM$4:$AM$42,0)))</f>
        <v>2020</v>
      </c>
      <c r="AO20">
        <f>AO19+IF(AND(Lists!$T$20&lt;&gt;"",ISNUMBER(SEARCH($C$4,Lists!$T$20))),1,0)</f>
        <v>13</v>
      </c>
      <c r="AP20" t="str">
        <f>IF(ROW()-3&gt;MAX($AO$4:$AO$42),"",INDEX(Lists!$T$4:$T$42,MATCH(ROW()-3,$AO$4:$AO$42,0)))</f>
        <v/>
      </c>
      <c r="AQ20">
        <f>AQ19+IF(AND(Lists!$Y$20&lt;&gt;"",ISNUMBER(SEARCH($D$4,Lists!$Y$20))),1,0)</f>
        <v>17</v>
      </c>
      <c r="AR20" t="str">
        <f>IF(ROW()-3&gt;MAX($AQ$4:$AQ$42),"",INDEX(Lists!$Y$4:$Y$42,MATCH(ROW()-3,$AQ$4:$AQ$42,0)))</f>
        <v>Scrap of AAAC Earth wire</v>
      </c>
      <c r="AS20">
        <f>AS19+IF(AND(Lists!$AD$20&lt;&gt;"",ISNUMBER(SEARCH($E$4,Lists!$AD$20))),1,0)</f>
        <v>4</v>
      </c>
      <c r="AT20" t="str">
        <f>IF(ROW()-3&gt;MAX($AS$4:$AS$42),"",INDEX(Lists!$AD$4:$AD$42,MATCH(ROW()-3,$AS$4:$AS$42,0)))</f>
        <v/>
      </c>
      <c r="AU20">
        <f>AU19+IF(AND(Lists!$AI$20&lt;&gt;"",ISNUMBER(SEARCH($F$4,Lists!$AI$20))),1,0)</f>
        <v>17</v>
      </c>
      <c r="AV20">
        <f>IF(ROW()-3&gt;MAX($AU$4:$AU$42),"",INDEX(Lists!$AI$4:$AI$42,MATCH(ROW()-3,$AU$4:$AU$42,0)))</f>
        <v>669</v>
      </c>
      <c r="AW20">
        <f>AW19+IF(AND(Lists!$AN$20&lt;&gt;"",ISNUMBER(SEARCH($G$4,Lists!$AN$20))),1,0)</f>
        <v>3</v>
      </c>
      <c r="AX20" t="str">
        <f>IF(ROW()-3&gt;MAX($AW$4:$AW$42),"",INDEX(Lists!$AN$4:$AN$42,MATCH(ROW()-3,$AW$4:$AW$42,0)))</f>
        <v/>
      </c>
      <c r="AY20">
        <f>AY19+IF(AND(Lists!$AS$20&lt;&gt;"",ISNUMBER(SEARCH($H$4,Lists!$AS$20))),1,0)</f>
        <v>17</v>
      </c>
      <c r="AZ20">
        <f>IF(ROW()-3&gt;MAX($AY$4:$AY$42),"",INDEX(Lists!$AS$4:$AS$42,MATCH(ROW()-3,$AY$4:$AY$42,0)))</f>
        <v>25001</v>
      </c>
      <c r="BA20">
        <f>BA19+IF(AND(Lists!$AX$20&lt;&gt;"",ISNUMBER(SEARCH($I$4,Lists!$AX$20))),1,0)</f>
        <v>17</v>
      </c>
      <c r="BB20">
        <f>IF(ROW()-3&gt;MAX($BA$4:$BA$42),"",INDEX(Lists!$AX$4:$AX$42,MATCH(ROW()-3,$BA$4:$BA$42,0)))</f>
        <v>120009</v>
      </c>
      <c r="BC20">
        <f>BC19+IF(AND(Lists!$BC$20&lt;&gt;"",ISNUMBER(SEARCH($J$4,Lists!$BC$20))),1,0)</f>
        <v>17</v>
      </c>
      <c r="BD20">
        <f>IF(ROW()-3&gt;MAX($BC$4:$BC$42),"",INDEX(Lists!$BC$4:$BC$42,MATCH(ROW()-3,$BC$4:$BC$42,0)))</f>
        <v>21602</v>
      </c>
      <c r="BE20">
        <f>BE19+IF(AND(Lists!$BH$20&lt;&gt;"",ISNUMBER(SEARCH($K$4,Lists!$BH$20))),1,0)</f>
        <v>17</v>
      </c>
      <c r="BF20">
        <f>IF(ROW()-3&gt;MAX($BE$4:$BE$42),"",INDEX(Lists!$BH$4:$BH$42,MATCH(ROW()-3,$BE$4:$BE$42,0)))</f>
        <v>141611</v>
      </c>
      <c r="BG20">
        <f>BG19+IF(AND(Lists!$BM$20&lt;&gt;"",ISNUMBER(SEARCH($L$4,Lists!$BM$20))),1,0)</f>
        <v>17</v>
      </c>
      <c r="BH20">
        <f>IF(ROW()-3&gt;MAX($BG$4:$BG$42),"",INDEX(Lists!$BM$4:$BM$42,MATCH(ROW()-3,$BG$4:$BG$42,0)))</f>
        <v>2832</v>
      </c>
      <c r="BI20">
        <f>BI19+IF(AND(Lists!$BR$20&lt;&gt;"",ISNUMBER(SEARCH($M$4,Lists!$BR$20))),1,0)</f>
        <v>17</v>
      </c>
      <c r="BJ20">
        <f>IF(ROW()-3&gt;MAX($BI$4:$BI$42),"",INDEX(Lists!$BR$4:$BR$42,MATCH(ROW()-3,$BI$4:$BI$42,0)))</f>
        <v>120.009</v>
      </c>
      <c r="BK20">
        <f>BK19+IF(AND(Lists!$BW$20&lt;&gt;"",ISNUMBER(SEARCH($N$4,Lists!$BW$20))),1,0)</f>
        <v>17</v>
      </c>
      <c r="BL20">
        <f>IF(ROW()-3&gt;MAX($BK$4:$BK$42),"",INDEX(Lists!$BW$4:$BW$42,MATCH(ROW()-3,$BK$4:$BK$42,0)))</f>
        <v>3186.2389499999995</v>
      </c>
      <c r="BM20">
        <f>BM19+IF(AND(Lists!$CB$20&lt;&gt;"",ISNUMBER(SEARCH($O$4,Lists!$CB$20))),1,0)</f>
        <v>17</v>
      </c>
      <c r="BN20">
        <f>IF(ROW()-3&gt;MAX($BM$4:$BM$42),"",INDEX(Lists!$CB$4:$CB$42,MATCH(ROW()-3,$BM$4:$BM$42,0)))</f>
        <v>54.004049999999999</v>
      </c>
      <c r="BO20">
        <f>BO19+IF(AND(Lists!$CG$20&lt;&gt;"",ISNUMBER(SEARCH($P$4,Lists!$CG$20))),1,0)</f>
        <v>17</v>
      </c>
      <c r="BP20">
        <f>IF(ROW()-3&gt;MAX($BO$4:$BO$42),"",INDEX(Lists!$CG$4:$CG$42,MATCH(ROW()-3,$BO$4:$BO$42,0)))</f>
        <v>3132.2348999999995</v>
      </c>
      <c r="BQ20">
        <f>BQ19+IF(AND(Lists!$CL$20&lt;&gt;"",ISNUMBER(SEARCH($Q$4,Lists!$CL$20))),1,0)</f>
        <v>17</v>
      </c>
      <c r="BR20">
        <f>IF(ROW()-3&gt;MAX($BQ$4:$BQ$42),"",INDEX(Lists!$CL$4:$CL$42,MATCH(ROW()-3,$BQ$4:$BQ$42,0)))</f>
        <v>3252</v>
      </c>
      <c r="BS20">
        <f>BS19+IF(AND(Lists!$CQ$20&lt;&gt;"",ISNUMBER(SEARCH($R$4,Lists!$CQ$20))),1,0)</f>
        <v>2</v>
      </c>
      <c r="BT20" t="str">
        <f>IF(ROW()-3&gt;MAX($BS$4:$BS$42),"",INDEX(Lists!$CQ$4:$CQ$42,MATCH(ROW()-3,$BS$4:$BS$42,0)))</f>
        <v/>
      </c>
      <c r="BU20">
        <f>BU19+IF(AND(Lists!$CV$20&lt;&gt;"",ISNUMBER(SEARCH($S$4,Lists!$CV$20))),1,0)</f>
        <v>5</v>
      </c>
      <c r="BV20" t="str">
        <f>IF(ROW()-3&gt;MAX($BU$4:$BU$42),"",INDEX(Lists!$CV$4:$CV$42,MATCH(ROW()-3,$BU$4:$BU$42,0)))</f>
        <v/>
      </c>
      <c r="BW20">
        <f>BW19+IF(AND(Lists!$DA$20&lt;&gt;"",ISNUMBER(SEARCH($T$4,Lists!$DA$20))),1,0)</f>
        <v>17</v>
      </c>
      <c r="BX20">
        <f>IF(ROW()-3&gt;MAX($BW$4:$BW$42),"",INDEX(Lists!$DA$4:$DA$42,MATCH(ROW()-3,$BW$4:$BW$42,0)))</f>
        <v>141191</v>
      </c>
      <c r="BY20">
        <f>BY19+IF(AND(Lists!$DF$20&lt;&gt;"",ISNUMBER(SEARCH($U$4,Lists!$DF$20))),1,0)</f>
        <v>17</v>
      </c>
      <c r="BZ20">
        <f>IF(ROW()-3&gt;MAX($BY$4:$BY$42),"",INDEX(Lists!$DF$4:$DF$42,MATCH(ROW()-3,$BY$4:$BY$42,0)))</f>
        <v>30002</v>
      </c>
      <c r="CA20">
        <f>CA19+IF(AND(Lists!$DK$20&lt;&gt;"",ISNUMBER(SEARCH($V$4,Lists!$DK$20))),1,0)</f>
        <v>17</v>
      </c>
      <c r="CB20">
        <f>IF(ROW()-3&gt;MAX($CA$4:$CA$42),"",INDEX(Lists!$DK$4:$DK$42,MATCH(ROW()-3,$CA$4:$CA$42,0)))</f>
        <v>30002</v>
      </c>
      <c r="CC20">
        <f>CC19+IF(AND(Lists!$DP$20&lt;&gt;"",ISNUMBER(SEARCH($W$4,Lists!$DP$20))),1,0)</f>
        <v>6</v>
      </c>
      <c r="CD20" t="str">
        <f>IF(ROW()-3&gt;MAX($CC$4:$CC$42),"",INDEX(Lists!$DP$4:$DP$42,MATCH(ROW()-3,$CC$4:$CC$42,0)))</f>
        <v/>
      </c>
      <c r="CE20">
        <f>CE19+IF(AND(Lists!$DU$20&lt;&gt;"",ISNUMBER(SEARCH($X$4,Lists!$DU$20))),1,0)</f>
        <v>17</v>
      </c>
      <c r="CF20">
        <f>IF(ROW()-3&gt;MAX($CE$4:$CE$42),"",INDEX(Lists!$DU$4:$DU$42,MATCH(ROW()-3,$CE$4:$CE$42,0)))</f>
        <v>111188</v>
      </c>
      <c r="CG20" t="e">
        <f>CG19+IF(AND(Lists!$DZ$20&lt;&gt;"",ISNUMBER(SEARCH($Y$4,Lists!$DZ$20))),1,0)</f>
        <v>#N/A</v>
      </c>
      <c r="CH20" t="e">
        <f>IF(ROW()-3&gt;MAX($CG$4:$CG$42),"",INDEX(Lists!$DZ$4:$DZ$42,MATCH(ROW()-3,$CG$4:$CG$42,0)))</f>
        <v>#N/A</v>
      </c>
      <c r="CI20" t="e">
        <f>CI19+IF(AND(Lists!$EE$20&lt;&gt;"",ISNUMBER(SEARCH($Z$4,Lists!$EE$20))),1,0)</f>
        <v>#N/A</v>
      </c>
      <c r="CJ20" t="e">
        <f>IF(ROW()-3&gt;MAX($CI$4:$CI$42),"",INDEX(Lists!$EE$4:$EE$42,MATCH(ROW()-3,$CI$4:$CI$42,0)))</f>
        <v>#N/A</v>
      </c>
      <c r="CK20">
        <f>CK19+IF(AND(Lists!$EJ$20&lt;&gt;"",ISNUMBER(SEARCH($AA$4,Lists!$EJ$20))),1,0)</f>
        <v>6</v>
      </c>
      <c r="CL20" t="str">
        <f>IF(ROW()-3&gt;MAX($CK$4:$CK$42),"",INDEX(Lists!$EJ$4:$EJ$42,MATCH(ROW()-3,$CK$4:$CK$42,0)))</f>
        <v/>
      </c>
      <c r="CM20" t="e">
        <f>CM19+IF(AND(Lists!$EO$20&lt;&gt;"",ISNUMBER(SEARCH($AB$4,Lists!$EO$20))),1,0)</f>
        <v>#N/A</v>
      </c>
      <c r="CN20" t="e">
        <f>IF(ROW()-3&gt;MAX($CM$4:$CM$42),"",INDEX(Lists!$EO$4:$EO$42,MATCH(ROW()-3,$CM$4:$CM$42,0)))</f>
        <v>#N/A</v>
      </c>
      <c r="CO20" t="e">
        <f>CO19+IF(AND(Lists!$ET$20&lt;&gt;"",ISNUMBER(SEARCH($AC$4,Lists!$ET$20))),1,0)</f>
        <v>#N/A</v>
      </c>
      <c r="CP20" t="e">
        <f>IF(ROW()-3&gt;MAX($CO$4:$CO$42),"",INDEX(Lists!$ET$4:$ET$42,MATCH(ROW()-3,$CO$4:$CO$42,0)))</f>
        <v>#N/A</v>
      </c>
      <c r="CQ20">
        <f>CQ19+IF(AND(Lists!$EY$20&lt;&gt;"",ISNUMBER(SEARCH($AD$4,Lists!$EY$20))),1,0)</f>
        <v>17</v>
      </c>
      <c r="CR20">
        <f>IF(ROW()-3&gt;MAX($CQ$4:$CQ$42),"",INDEX(Lists!$EY$4:$EY$42,MATCH(ROW()-3,$CQ$4:$CQ$42,0)))</f>
        <v>100767</v>
      </c>
      <c r="CS20" t="e">
        <f>CS19+IF(AND(Lists!$FD$20&lt;&gt;"",ISNUMBER(SEARCH($AE$4,Lists!$FD$20))),1,0)</f>
        <v>#N/A</v>
      </c>
      <c r="CT20" t="e">
        <f>IF(ROW()-3&gt;MAX($CS$4:$CS$42),"",INDEX(Lists!$FD$4:$FD$42,MATCH(ROW()-3,$CS$4:$CS$42,0)))</f>
        <v>#N/A</v>
      </c>
      <c r="CU20" t="e">
        <f>CU19+IF(AND(Lists!$FI$20&lt;&gt;"",ISNUMBER(SEARCH($AF$4,Lists!$FI$20))),1,0)</f>
        <v>#N/A</v>
      </c>
      <c r="CV20" t="e">
        <f>IF(ROW()-3&gt;MAX($CU$4:$CU$42),"",INDEX(Lists!$FI$4:$FI$42,MATCH(ROW()-3,$CU$4:$CU$42,0)))</f>
        <v>#N/A</v>
      </c>
      <c r="CW20" t="e">
        <f>CW19+IF(AND(Lists!$FN$20&lt;&gt;"",ISNUMBER(SEARCH($AG$4,Lists!$FN$20))),1,0)</f>
        <v>#N/A</v>
      </c>
      <c r="CX20" t="e">
        <f>IF(ROW()-3&gt;MAX($CW$4:$CW$42),"",INDEX(Lists!$FN$4:$FN$42,MATCH(ROW()-3,$CW$4:$CW$42,0)))</f>
        <v>#N/A</v>
      </c>
      <c r="CY20" t="e">
        <f>CY19+IF(AND(Lists!$FS$20&lt;&gt;"",ISNUMBER(SEARCH($AH$4,Lists!$FS$20))),1,0)</f>
        <v>#N/A</v>
      </c>
      <c r="CZ20" t="e">
        <f>IF(ROW()-3&gt;MAX($CY$4:$CY$42),"",INDEX(Lists!$FS$4:$FS$42,MATCH(ROW()-3,$CY$4:$CY$42,0)))</f>
        <v>#N/A</v>
      </c>
      <c r="DA20">
        <f>DA19+IF(AND(Lists!$FX$20&lt;&gt;"",ISNUMBER(SEARCH($AI$4,Lists!$FX$20))),1,0)</f>
        <v>2</v>
      </c>
      <c r="DB20" t="str">
        <f>IF(ROW()-3&gt;MAX($DA$4:$DA$42),"",INDEX(Lists!$FX$4:$FX$42,MATCH(ROW()-3,$DA$4:$DA$42,0)))</f>
        <v/>
      </c>
    </row>
    <row r="21" outlineLevel="1" ht="15" customHeight="1" s="137">
      <c r="A21" s="67" t="n">
        <v>5</v>
      </c>
      <c r="B21" s="76">
        <f>IF('Final Calculation Sheet'!$F$18="","",'Final Calculation Sheet'!$F$18)</f>
        <v>2018</v>
      </c>
      <c r="C21" s="76" t="str">
        <f>IF('Final Calculation Sheet'!$G$18="","",'Final Calculation Sheet'!$G$18)</f>
        <v>NATIONAL ENTERPRISES</v>
      </c>
      <c r="D21" s="80" t="str">
        <f>IF('Final Calculation Sheet'!$B$18="","",'Final Calculation Sheet'!$B$18)</f>
        <v>Scrap of 220 KV Circuit Breaker</v>
      </c>
      <c r="E21" s="80">
        <f>IF('Final Calculation Sheet'!$D$18="","",'Final Calculation Sheet'!$D$18)</f>
        <v>21978</v>
      </c>
      <c r="F21" s="80">
        <f>IF('Final Calculation Sheet'!$A$18="","",'Final Calculation Sheet'!$A$18)</f>
        <v>1</v>
      </c>
      <c r="G21" s="80" t="str">
        <f>IF('Final Calculation Sheet'!$E$18="","",'Final Calculation Sheet'!$E$18)</f>
        <v>NO</v>
      </c>
      <c r="H21" s="70">
        <f>IF('Final Calculation Sheet'!$C$18="","",'Final Calculation Sheet'!$C$18)</f>
        <v>220001</v>
      </c>
      <c r="I21" s="70">
        <f>IF('Final Calculation Sheet'!$H$18="","",'Final Calculation Sheet'!$H$18)</f>
        <v>220001</v>
      </c>
      <c r="J21" s="70">
        <f>IF('Final Calculation Sheet'!$I$18="","",'Final Calculation Sheet'!$I$18)</f>
        <v>39600</v>
      </c>
      <c r="K21" s="70">
        <f>IF('Final Calculation Sheet'!$J$18="","",'Final Calculation Sheet'!$J$18)</f>
        <v>259601</v>
      </c>
      <c r="L21" s="70">
        <f>IF('Final Calculation Sheet'!$K$18="","",'Final Calculation Sheet'!$K$18)</f>
        <v>5192</v>
      </c>
      <c r="M21" s="70">
        <f>IF('Final Calculation Sheet'!$L$18="","",'Final Calculation Sheet'!$L$18)</f>
        <v>220.001</v>
      </c>
      <c r="N21" s="70">
        <f>IF('Final Calculation Sheet'!$M$18="","",'Final Calculation Sheet'!$M$18)</f>
        <v>5841.0265499999996</v>
      </c>
      <c r="O21" s="71">
        <f>IF('Final Calculation Sheet'!$N$18="","",'Final Calculation Sheet'!$N$18)</f>
        <v>99.000450000000001</v>
      </c>
      <c r="P21" s="70">
        <f>IF('Final Calculation Sheet'!$O$18="","",'Final Calculation Sheet'!$O$18)</f>
        <v>5742.0260999999991</v>
      </c>
      <c r="Q21" s="70">
        <f>IF('Final Calculation Sheet'!$P$18="","",'Final Calculation Sheet'!$P$18)</f>
        <v>5962</v>
      </c>
      <c r="R21" s="72">
        <f>IF('Final Calculation Sheet'!$Q$18="","",'Final Calculation Sheet'!$Q$18)</f>
        <v>0</v>
      </c>
      <c r="S21" s="70">
        <f>IF('Final Calculation Sheet'!$R$18="","",'Final Calculation Sheet'!$R$18)</f>
        <v>0</v>
      </c>
      <c r="T21" s="70">
        <f>IF('Final Calculation Sheet'!$S$18="","",'Final Calculation Sheet'!$S$18)</f>
        <v>258831</v>
      </c>
      <c r="U21" s="70">
        <f>IF('Final Calculation Sheet'!$T$18="","",'Final Calculation Sheet'!$T$18)</f>
        <v>55000</v>
      </c>
      <c r="V21" s="73">
        <f>IF('Final Calculation Sheet'!$U$18="","",'Final Calculation Sheet'!$U$18)</f>
        <v>55000</v>
      </c>
      <c r="W21" s="70" t="str">
        <f>IF('Final Calculation Sheet'!$V$18="","",'Final Calculation Sheet'!$V$18)</f>
        <v>13.08.2026</v>
      </c>
      <c r="X21" s="70">
        <f>IF('Final Calculation Sheet'!$W$18="","",'Final Calculation Sheet'!$W$18)</f>
        <v>203831</v>
      </c>
      <c r="Y21" s="70">
        <f>IF('Final Calculation Sheet'!$X$18="","",'Final Calculation Sheet'!$X$18)</f>
        <v>203831</v>
      </c>
      <c r="Z21" s="70" t="str">
        <f>IF('Final Calculation Sheet'!$Y$18="","",'Final Calculation Sheet'!$Y$18)</f>
        <v>24.08.2026</v>
      </c>
      <c r="AA21" s="70">
        <f>IF('Final Calculation Sheet'!$Z$18="","",'Final Calculation Sheet'!$Z$18)</f>
        <v>0</v>
      </c>
      <c r="AB21" s="70" t="str">
        <f>IF('Final Calculation Sheet'!$AA$18="","",'Final Calculation Sheet'!$AA$18)</f>
        <v/>
      </c>
      <c r="AC21" s="70" t="str">
        <f>IF('Final Calculation Sheet'!$AB$18="","",'Final Calculation Sheet'!$AB$18)</f>
        <v/>
      </c>
      <c r="AD21" s="70">
        <f>IF('Final Calculation Sheet'!$AC$18="","",'Final Calculation Sheet'!$AC$18)</f>
        <v>258831</v>
      </c>
      <c r="AE21" s="70">
        <f>IF('Final Calculation Sheet'!$AD$18="","",'Final Calculation Sheet'!$AD$18)</f>
        <v>0</v>
      </c>
      <c r="AF21" s="70" t="str">
        <f>IF('Final Calculation Sheet'!$AE$18="","",'Final Calculation Sheet'!$AE$18)</f>
        <v>DR2640100034</v>
      </c>
      <c r="AG21" s="74">
        <f>IF('Final Calculation Sheet'!$AF$18="","",'Final Calculation Sheet'!$AF$18)</f>
        <v>1800003306</v>
      </c>
      <c r="AH21" s="70" t="str">
        <f>IF('Final Calculation Sheet'!$AG$18="","",'Final Calculation Sheet'!$AG$18)</f>
        <v>27.08.2026</v>
      </c>
      <c r="AI21" s="75" t="str">
        <f>IF('Final Calculation Sheet'!$AD$18="","",IF('Final Calculation Sheet'!$AD$18&lt;=5,"SETTLED","OUTSTANDING"))</f>
        <v>SETTLED</v>
      </c>
      <c r="AJ21" t="b">
        <f>AND(IF($B$4="",TRUE(),IF($B$4="(blank)",'Final Calculation Sheet'!$F$19="",IF($B$4="(nonblank)",'Final Calculation Sheet'!$F$19&lt;&gt;"",ISNUMBER(SEARCH($B$4,'Final Calculation Sheet'!$F$19))))),IF($C$4="",TRUE(),IF($C$4="(blank)",'Final Calculation Sheet'!$G$19="",IF($C$4="(nonblank)",'Final Calculation Sheet'!$G$19&lt;&gt;"",ISNUMBER(SEARCH($C$4,'Final Calculation Sheet'!$G$19))))),IF($D$4="",TRUE(),IF($D$4="(blank)",'Final Calculation Sheet'!$B$19="",IF($D$4="(nonblank)",'Final Calculation Sheet'!$B$19&lt;&gt;"",ISNUMBER(SEARCH($D$4,'Final Calculation Sheet'!$B$19))))),IF($E$4="",TRUE(),IF($E$4="(blank)",'Final Calculation Sheet'!$D$19="",IF($E$4="(nonblank)",'Final Calculation Sheet'!$D$19&lt;&gt;"",ISNUMBER(SEARCH($E$4,'Final Calculation Sheet'!$D$19))))),IF($F$4="",TRUE(),IF($F$4="(blank)",'Final Calculation Sheet'!$A$19="",IF($F$4="(nonblank)",'Final Calculation Sheet'!$A$19&lt;&gt;"",ISNUMBER(SEARCH($F$4,'Final Calculation Sheet'!$A$19))))),IF($G$4="",TRUE(),IF($G$4="(blank)",'Final Calculation Sheet'!$E$19="",IF($G$4="(nonblank)",'Final Calculation Sheet'!$E$19&lt;&gt;"",ISNUMBER(SEARCH($G$4,'Final Calculation Sheet'!$E$19))))),IF($H$4="",TRUE(),IF($H$4="(blank)",'Final Calculation Sheet'!$C$19="",IF($H$4="(nonblank)",'Final Calculation Sheet'!$C$19&lt;&gt;"",ISNUMBER(SEARCH($H$4,'Final Calculation Sheet'!$C$19))))),IF($I$4="",TRUE(),IF($I$4="(blank)",'Final Calculation Sheet'!$H$19="",IF($I$4="(nonblank)",'Final Calculation Sheet'!$H$19&lt;&gt;"",ISNUMBER(SEARCH($I$4,'Final Calculation Sheet'!$H$19))))),IF($J$4="",TRUE(),IF($J$4="(blank)",'Final Calculation Sheet'!$I$19="",IF($J$4="(nonblank)",'Final Calculation Sheet'!$I$19&lt;&gt;"",ISNUMBER(SEARCH($J$4,'Final Calculation Sheet'!$I$19))))),IF($K$4="",TRUE(),IF($K$4="(blank)",'Final Calculation Sheet'!$J$19="",IF($K$4="(nonblank)",'Final Calculation Sheet'!$J$19&lt;&gt;"",ISNUMBER(SEARCH($K$4,'Final Calculation Sheet'!$J$19))))),IF($L$4="",TRUE(),IF($L$4="(blank)",'Final Calculation Sheet'!$K$19="",IF($L$4="(nonblank)",'Final Calculation Sheet'!$K$19&lt;&gt;"",ISNUMBER(SEARCH($L$4,'Final Calculation Sheet'!$K$19))))),IF($M$4="",TRUE(),IF($M$4="(blank)",'Final Calculation Sheet'!$L$19="",IF($M$4="(nonblank)",'Final Calculation Sheet'!$L$19&lt;&gt;"",ISNUMBER(SEARCH($M$4,'Final Calculation Sheet'!$L$19))))),IF($N$4="",TRUE(),IF($N$4="(blank)",'Final Calculation Sheet'!$M$19="",IF($N$4="(nonblank)",'Final Calculation Sheet'!$M$19&lt;&gt;"",ISNUMBER(SEARCH($N$4,'Final Calculation Sheet'!$M$19))))),IF($O$4="",TRUE(),IF($O$4="(blank)",'Final Calculation Sheet'!$N$19="",IF($O$4="(nonblank)",'Final Calculation Sheet'!$N$19&lt;&gt;"",ISNUMBER(SEARCH($O$4,'Final Calculation Sheet'!$N$19))))),IF($P$4="",TRUE(),IF($P$4="(blank)",'Final Calculation Sheet'!$O$19="",IF($P$4="(nonblank)",'Final Calculation Sheet'!$O$19&lt;&gt;"",ISNUMBER(SEARCH($P$4,'Final Calculation Sheet'!$O$19))))),IF($Q$4="",TRUE(),IF($Q$4="(blank)",'Final Calculation Sheet'!$P$19="",IF($Q$4="(nonblank)",'Final Calculation Sheet'!$P$19&lt;&gt;"",ISNUMBER(SEARCH($Q$4,'Final Calculation Sheet'!$P$19))))),IF($R$4="",TRUE(),IF($R$4="(blank)",'Final Calculation Sheet'!$Q$19="",IF($R$4="(nonblank)",'Final Calculation Sheet'!$Q$19&lt;&gt;"",ISNUMBER(SEARCH($R$4,'Final Calculation Sheet'!$Q$19))))),IF($S$4="",TRUE(),IF($S$4="(blank)",'Final Calculation Sheet'!$R$19="",IF($S$4="(nonblank)",'Final Calculation Sheet'!$R$19&lt;&gt;"",ISNUMBER(SEARCH($S$4,'Final Calculation Sheet'!$R$19))))),IF($T$4="",TRUE(),IF($T$4="(blank)",'Final Calculation Sheet'!$S$19="",IF($T$4="(nonblank)",'Final Calculation Sheet'!$S$19&lt;&gt;"",ISNUMBER(SEARCH($T$4,'Final Calculation Sheet'!$S$19))))),IF($U$4="",TRUE(),IF($U$4="(blank)",'Final Calculation Sheet'!$T$19="",IF($U$4="(nonblank)",'Final Calculation Sheet'!$T$19&lt;&gt;"",ISNUMBER(SEARCH($U$4,'Final Calculation Sheet'!$T$19))))),IF($V$4="",TRUE(),IF($V$4="(blank)",'Final Calculation Sheet'!$U$19="",IF($V$4="(nonblank)",'Final Calculation Sheet'!$U$19&lt;&gt;"",ISNUMBER(SEARCH($V$4,'Final Calculation Sheet'!$U$19))))),IF($W$4="",TRUE(),IF($W$4="(blank)",'Final Calculation Sheet'!$V$19="",IF($W$4="(nonblank)",'Final Calculation Sheet'!$V$19&lt;&gt;"",ISNUMBER(SEARCH($W$4,'Final Calculation Sheet'!$V$19))))),IF($X$4="",TRUE(),IF($X$4="(blank)",'Final Calculation Sheet'!$W$19="",IF($X$4="(nonblank)",'Final Calculation Sheet'!$W$19&lt;&gt;"",ISNUMBER(SEARCH($X$4,'Final Calculation Sheet'!$W$19))))),IF($Y$4="",TRUE(),IF($Y$4="(blank)",'Final Calculation Sheet'!$X$19="",IF($Y$4="(nonblank)",'Final Calculation Sheet'!$X$19&lt;&gt;"",ISNUMBER(SEARCH($Y$4,'Final Calculation Sheet'!$X$19))))),IF($Z$4="",TRUE(),IF($Z$4="(blank)",'Final Calculation Sheet'!$Y$19="",IF($Z$4="(nonblank)",'Final Calculation Sheet'!$Y$19&lt;&gt;"",ISNUMBER(SEARCH($Z$4,'Final Calculation Sheet'!$Y$19))))),IF($AA$4="",TRUE(),IF($AA$4="(blank)",'Final Calculation Sheet'!$Z$19="",IF($AA$4="(nonblank)",'Final Calculation Sheet'!$Z$19&lt;&gt;"",ISNUMBER(SEARCH($AA$4,'Final Calculation Sheet'!$Z$19))))),IF($AB$4="",TRUE(),IF($AB$4="(blank)",'Final Calculation Sheet'!$AA$19="",IF($AB$4="(nonblank)",'Final Calculation Sheet'!$AA$19&lt;&gt;"",ISNUMBER(SEARCH($AB$4,'Final Calculation Sheet'!$AA$19))))),IF($AC$4="",TRUE(),IF($AC$4="(blank)",'Final Calculation Sheet'!$AB$19="",IF($AC$4="(nonblank)",'Final Calculation Sheet'!$AB$19&lt;&gt;"",ISNUMBER(SEARCH($AC$4,'Final Calculation Sheet'!$AB$19))))),IF($AD$4="",TRUE(),IF($AD$4="(blank)",'Final Calculation Sheet'!$AC$19="",IF($AD$4="(nonblank)",'Final Calculation Sheet'!$AC$19&lt;&gt;"",ISNUMBER(SEARCH($AD$4,'Final Calculation Sheet'!$AC$19))))),IF($AE$4="",TRUE(),IF($AE$4="(blank)",'Final Calculation Sheet'!$AD$19="",IF($AE$4="(nonblank)",'Final Calculation Sheet'!$AD$19&lt;&gt;"",ISNUMBER(SEARCH($AE$4,'Final Calculation Sheet'!$AD$19))))),IF($AF$4="",TRUE(),IF($AF$4="(blank)",'Final Calculation Sheet'!$AE$19="",IF($AF$4="(nonblank)",'Final Calculation Sheet'!$AE$19&lt;&gt;"",ISNUMBER(SEARCH($AF$4,'Final Calculation Sheet'!$AE$19))))),IF($AG$4="",TRUE(),IF($AG$4="(blank)",'Final Calculation Sheet'!$AF$19="",IF($AG$4="(nonblank)",'Final Calculation Sheet'!$AF$19&lt;&gt;"",ISNUMBER(SEARCH($AG$4,'Final Calculation Sheet'!$AF$19))))),IF($AH$4="",TRUE(),IF($AH$4="(blank)",'Final Calculation Sheet'!$AG$19="",IF($AH$4="(nonblank)",'Final Calculation Sheet'!$AG$19&lt;&gt;"",ISNUMBER(SEARCH($AH$4,'Final Calculation Sheet'!$AG$19))))),IF($AI$4="",TRUE(),IF($AI$4="(blank)",IF('Final Calculation Sheet'!$AD$19&lt;=5,"SETTLED","OUTSTANDING")="",IF($AI$4="(nonblank)",IF('Final Calculation Sheet'!$AD$19&lt;=5,"SETTLED","OUTSTANDING")&lt;&gt;"",ISNUMBER(SEARCH($AI$4,IF('Final Calculation Sheet'!$AD$19&lt;=5,"SETTLED","OUTSTANDING")))))))</f>
        <v>1</v>
      </c>
      <c r="AK21" t="str">
        <f>IF(AJ21=1,COUNTIF(AJ$6:AJ21,1),"")</f>
        <v/>
      </c>
      <c r="AM21">
        <f>AM20+IF(AND(Lists!$O$21&lt;&gt;"",ISNUMBER(SEARCH($B$4,Lists!$O$21))),1,0)</f>
        <v>18</v>
      </c>
      <c r="AN21">
        <f>IF(ROW()-3&gt;MAX($AM$4:$AM$42),"",INDEX(Lists!$O$4:$O$42,MATCH(ROW()-3,$AM$4:$AM$42,0)))</f>
        <v>2022</v>
      </c>
      <c r="AO21">
        <f>AO20+IF(AND(Lists!$T$21&lt;&gt;"",ISNUMBER(SEARCH($C$4,Lists!$T$21))),1,0)</f>
        <v>13</v>
      </c>
      <c r="AP21" t="str">
        <f>IF(ROW()-3&gt;MAX($AO$4:$AO$42),"",INDEX(Lists!$T$4:$T$42,MATCH(ROW()-3,$AO$4:$AO$42,0)))</f>
        <v/>
      </c>
      <c r="AQ21">
        <f>AQ20+IF(AND(Lists!$Y$21&lt;&gt;"",ISNUMBER(SEARCH($D$4,Lists!$Y$21))),1,0)</f>
        <v>18</v>
      </c>
      <c r="AR21" t="str">
        <f>IF(ROW()-3&gt;MAX($AQ$4:$AQ$42),"",INDEX(Lists!$Y$4:$Y$42,MATCH(ROW()-3,$AQ$4:$AQ$42,0)))</f>
        <v>Scrap of Copper of faulty AC compressor</v>
      </c>
      <c r="AS21">
        <f>AS20+IF(AND(Lists!$AD$21&lt;&gt;"",ISNUMBER(SEARCH($E$4,Lists!$AD$21))),1,0)</f>
        <v>4</v>
      </c>
      <c r="AT21" t="str">
        <f>IF(ROW()-3&gt;MAX($AS$4:$AS$42),"",INDEX(Lists!$AD$4:$AD$42,MATCH(ROW()-3,$AS$4:$AS$42,0)))</f>
        <v/>
      </c>
      <c r="AU21">
        <f>AU20+IF(AND(Lists!$AI$21&lt;&gt;"",ISNUMBER(SEARCH($F$4,Lists!$AI$21))),1,0)</f>
        <v>18</v>
      </c>
      <c r="AV21">
        <f>IF(ROW()-3&gt;MAX($AU$4:$AU$42),"",INDEX(Lists!$AI$4:$AI$42,MATCH(ROW()-3,$AU$4:$AU$42,0)))</f>
        <v>670</v>
      </c>
      <c r="AW21">
        <f>AW20+IF(AND(Lists!$AN$21&lt;&gt;"",ISNUMBER(SEARCH($G$4,Lists!$AN$21))),1,0)</f>
        <v>3</v>
      </c>
      <c r="AX21" t="str">
        <f>IF(ROW()-3&gt;MAX($AW$4:$AW$42),"",INDEX(Lists!$AN$4:$AN$42,MATCH(ROW()-3,$AW$4:$AW$42,0)))</f>
        <v/>
      </c>
      <c r="AY21">
        <f>AY20+IF(AND(Lists!$AS$21&lt;&gt;"",ISNUMBER(SEARCH($H$4,Lists!$AS$21))),1,0)</f>
        <v>18</v>
      </c>
      <c r="AZ21">
        <f>IF(ROW()-3&gt;MAX($AY$4:$AY$42),"",INDEX(Lists!$AS$4:$AS$42,MATCH(ROW()-3,$AY$4:$AY$42,0)))</f>
        <v>29502</v>
      </c>
      <c r="BA21">
        <f>BA20+IF(AND(Lists!$AX$21&lt;&gt;"",ISNUMBER(SEARCH($I$4,Lists!$AX$21))),1,0)</f>
        <v>18</v>
      </c>
      <c r="BB21">
        <f>IF(ROW()-3&gt;MAX($BA$4:$BA$42),"",INDEX(Lists!$AX$4:$AX$42,MATCH(ROW()-3,$BA$4:$BA$42,0)))</f>
        <v>135750</v>
      </c>
      <c r="BC21">
        <f>BC20+IF(AND(Lists!$BC$21&lt;&gt;"",ISNUMBER(SEARCH($J$4,Lists!$BC$21))),1,0)</f>
        <v>18</v>
      </c>
      <c r="BD21">
        <f>IF(ROW()-3&gt;MAX($BC$4:$BC$42),"",INDEX(Lists!$BC$4:$BC$42,MATCH(ROW()-3,$BC$4:$BC$42,0)))</f>
        <v>24435</v>
      </c>
      <c r="BE21">
        <f>BE20+IF(AND(Lists!$BH$21&lt;&gt;"",ISNUMBER(SEARCH($K$4,Lists!$BH$21))),1,0)</f>
        <v>18</v>
      </c>
      <c r="BF21">
        <f>IF(ROW()-3&gt;MAX($BE$4:$BE$42),"",INDEX(Lists!$BH$4:$BH$42,MATCH(ROW()-3,$BE$4:$BE$42,0)))</f>
        <v>160185</v>
      </c>
      <c r="BG21">
        <f>BG20+IF(AND(Lists!$BM$21&lt;&gt;"",ISNUMBER(SEARCH($L$4,Lists!$BM$21))),1,0)</f>
        <v>18</v>
      </c>
      <c r="BH21">
        <f>IF(ROW()-3&gt;MAX($BG$4:$BG$42),"",INDEX(Lists!$BM$4:$BM$42,MATCH(ROW()-3,$BG$4:$BG$42,0)))</f>
        <v>3204</v>
      </c>
      <c r="BI21">
        <f>BI20+IF(AND(Lists!$BR$21&lt;&gt;"",ISNUMBER(SEARCH($M$4,Lists!$BR$21))),1,0)</f>
        <v>18</v>
      </c>
      <c r="BJ21">
        <f>IF(ROW()-3&gt;MAX($BI$4:$BI$42),"",INDEX(Lists!$BR$4:$BR$42,MATCH(ROW()-3,$BI$4:$BI$42,0)))</f>
        <v>135.75</v>
      </c>
      <c r="BK21">
        <f>BK20+IF(AND(Lists!$BW$21&lt;&gt;"",ISNUMBER(SEARCH($N$4,Lists!$BW$21))),1,0)</f>
        <v>18</v>
      </c>
      <c r="BL21">
        <f>IF(ROW()-3&gt;MAX($BK$4:$BK$42),"",INDEX(Lists!$BW$4:$BW$42,MATCH(ROW()-3,$BK$4:$BK$42,0)))</f>
        <v>3604.1624999999999</v>
      </c>
      <c r="BM21">
        <f>BM20+IF(AND(Lists!$CB$21&lt;&gt;"",ISNUMBER(SEARCH($O$4,Lists!$CB$21))),1,0)</f>
        <v>18</v>
      </c>
      <c r="BN21">
        <f>IF(ROW()-3&gt;MAX($BM$4:$BM$42),"",INDEX(Lists!$CB$4:$CB$42,MATCH(ROW()-3,$BM$4:$BM$42,0)))</f>
        <v>61.087499999999999</v>
      </c>
      <c r="BO21">
        <f>BO20+IF(AND(Lists!$CG$21&lt;&gt;"",ISNUMBER(SEARCH($P$4,Lists!$CG$21))),1,0)</f>
        <v>18</v>
      </c>
      <c r="BP21">
        <f>IF(ROW()-3&gt;MAX($BO$4:$BO$42),"",INDEX(Lists!$CG$4:$CG$42,MATCH(ROW()-3,$BO$4:$BO$42,0)))</f>
        <v>3543.0749999999998</v>
      </c>
      <c r="BQ21">
        <f>BQ20+IF(AND(Lists!$CL$21&lt;&gt;"",ISNUMBER(SEARCH($Q$4,Lists!$CL$21))),1,0)</f>
        <v>18</v>
      </c>
      <c r="BR21">
        <f>IF(ROW()-3&gt;MAX($BQ$4:$BQ$42),"",INDEX(Lists!$CL$4:$CL$42,MATCH(ROW()-3,$BQ$4:$BQ$42,0)))</f>
        <v>3679</v>
      </c>
      <c r="BS21">
        <f>BS20+IF(AND(Lists!$CQ$21&lt;&gt;"",ISNUMBER(SEARCH($R$4,Lists!$CQ$21))),1,0)</f>
        <v>2</v>
      </c>
      <c r="BT21" t="str">
        <f>IF(ROW()-3&gt;MAX($BS$4:$BS$42),"",INDEX(Lists!$CQ$4:$CQ$42,MATCH(ROW()-3,$BS$4:$BS$42,0)))</f>
        <v/>
      </c>
      <c r="BU21">
        <f>BU20+IF(AND(Lists!$CV$21&lt;&gt;"",ISNUMBER(SEARCH($S$4,Lists!$CV$21))),1,0)</f>
        <v>5</v>
      </c>
      <c r="BV21" t="str">
        <f>IF(ROW()-3&gt;MAX($BU$4:$BU$42),"",INDEX(Lists!$CV$4:$CV$42,MATCH(ROW()-3,$BU$4:$BU$42,0)))</f>
        <v/>
      </c>
      <c r="BW21">
        <f>BW20+IF(AND(Lists!$DA$21&lt;&gt;"",ISNUMBER(SEARCH($T$4,Lists!$DA$21))),1,0)</f>
        <v>18</v>
      </c>
      <c r="BX21">
        <f>IF(ROW()-3&gt;MAX($BW$4:$BW$42),"",INDEX(Lists!$DA$4:$DA$42,MATCH(ROW()-3,$BW$4:$BW$42,0)))</f>
        <v>159710</v>
      </c>
      <c r="BY21">
        <f>BY20+IF(AND(Lists!$DF$21&lt;&gt;"",ISNUMBER(SEARCH($U$4,Lists!$DF$21))),1,0)</f>
        <v>18</v>
      </c>
      <c r="BZ21">
        <f>IF(ROW()-3&gt;MAX($BY$4:$BY$42),"",INDEX(Lists!$DF$4:$DF$42,MATCH(ROW()-3,$BY$4:$BY$42,0)))</f>
        <v>33938</v>
      </c>
      <c r="CA21">
        <f>CA20+IF(AND(Lists!$DK$21&lt;&gt;"",ISNUMBER(SEARCH($V$4,Lists!$DK$21))),1,0)</f>
        <v>18</v>
      </c>
      <c r="CB21">
        <f>IF(ROW()-3&gt;MAX($CA$4:$CA$42),"",INDEX(Lists!$DK$4:$DK$42,MATCH(ROW()-3,$CA$4:$CA$42,0)))</f>
        <v>33938</v>
      </c>
      <c r="CC21">
        <f>CC20+IF(AND(Lists!$DP$21&lt;&gt;"",ISNUMBER(SEARCH($W$4,Lists!$DP$21))),1,0)</f>
        <v>6</v>
      </c>
      <c r="CD21" t="str">
        <f>IF(ROW()-3&gt;MAX($CC$4:$CC$42),"",INDEX(Lists!$DP$4:$DP$42,MATCH(ROW()-3,$CC$4:$CC$42,0)))</f>
        <v/>
      </c>
      <c r="CE21">
        <f>CE20+IF(AND(Lists!$DU$21&lt;&gt;"",ISNUMBER(SEARCH($X$4,Lists!$DU$21))),1,0)</f>
        <v>18</v>
      </c>
      <c r="CF21">
        <f>IF(ROW()-3&gt;MAX($CE$4:$CE$42),"",INDEX(Lists!$DU$4:$DU$42,MATCH(ROW()-3,$CE$4:$CE$42,0)))</f>
        <v>125772</v>
      </c>
      <c r="CG21" t="e">
        <f>CG20+IF(AND(Lists!$DZ$21&lt;&gt;"",ISNUMBER(SEARCH($Y$4,Lists!$DZ$21))),1,0)</f>
        <v>#N/A</v>
      </c>
      <c r="CH21" t="e">
        <f>IF(ROW()-3&gt;MAX($CG$4:$CG$42),"",INDEX(Lists!$DZ$4:$DZ$42,MATCH(ROW()-3,$CG$4:$CG$42,0)))</f>
        <v>#N/A</v>
      </c>
      <c r="CI21" t="e">
        <f>CI20+IF(AND(Lists!$EE$21&lt;&gt;"",ISNUMBER(SEARCH($Z$4,Lists!$EE$21))),1,0)</f>
        <v>#N/A</v>
      </c>
      <c r="CJ21" t="e">
        <f>IF(ROW()-3&gt;MAX($CI$4:$CI$42),"",INDEX(Lists!$EE$4:$EE$42,MATCH(ROW()-3,$CI$4:$CI$42,0)))</f>
        <v>#N/A</v>
      </c>
      <c r="CK21">
        <f>CK20+IF(AND(Lists!$EJ$21&lt;&gt;"",ISNUMBER(SEARCH($AA$4,Lists!$EJ$21))),1,0)</f>
        <v>6</v>
      </c>
      <c r="CL21" t="str">
        <f>IF(ROW()-3&gt;MAX($CK$4:$CK$42),"",INDEX(Lists!$EJ$4:$EJ$42,MATCH(ROW()-3,$CK$4:$CK$42,0)))</f>
        <v/>
      </c>
      <c r="CM21" t="e">
        <f>CM20+IF(AND(Lists!$EO$21&lt;&gt;"",ISNUMBER(SEARCH($AB$4,Lists!$EO$21))),1,0)</f>
        <v>#N/A</v>
      </c>
      <c r="CN21" t="e">
        <f>IF(ROW()-3&gt;MAX($CM$4:$CM$42),"",INDEX(Lists!$EO$4:$EO$42,MATCH(ROW()-3,$CM$4:$CM$42,0)))</f>
        <v>#N/A</v>
      </c>
      <c r="CO21" t="e">
        <f>CO20+IF(AND(Lists!$ET$21&lt;&gt;"",ISNUMBER(SEARCH($AC$4,Lists!$ET$21))),1,0)</f>
        <v>#N/A</v>
      </c>
      <c r="CP21" t="e">
        <f>IF(ROW()-3&gt;MAX($CO$4:$CO$42),"",INDEX(Lists!$ET$4:$ET$42,MATCH(ROW()-3,$CO$4:$CO$42,0)))</f>
        <v>#N/A</v>
      </c>
      <c r="CQ21">
        <f>CQ20+IF(AND(Lists!$EY$21&lt;&gt;"",ISNUMBER(SEARCH($AD$4,Lists!$EY$21))),1,0)</f>
        <v>18</v>
      </c>
      <c r="CR21">
        <f>IF(ROW()-3&gt;MAX($CQ$4:$CQ$42),"",INDEX(Lists!$EY$4:$EY$42,MATCH(ROW()-3,$CQ$4:$CQ$42,0)))</f>
        <v>137350</v>
      </c>
      <c r="CS21" t="e">
        <f>CS20+IF(AND(Lists!$FD$21&lt;&gt;"",ISNUMBER(SEARCH($AE$4,Lists!$FD$21))),1,0)</f>
        <v>#N/A</v>
      </c>
      <c r="CT21" t="e">
        <f>IF(ROW()-3&gt;MAX($CS$4:$CS$42),"",INDEX(Lists!$FD$4:$FD$42,MATCH(ROW()-3,$CS$4:$CS$42,0)))</f>
        <v>#N/A</v>
      </c>
      <c r="CU21" t="e">
        <f>CU20+IF(AND(Lists!$FI$21&lt;&gt;"",ISNUMBER(SEARCH($AF$4,Lists!$FI$21))),1,0)</f>
        <v>#N/A</v>
      </c>
      <c r="CV21" t="e">
        <f>IF(ROW()-3&gt;MAX($CU$4:$CU$42),"",INDEX(Lists!$FI$4:$FI$42,MATCH(ROW()-3,$CU$4:$CU$42,0)))</f>
        <v>#N/A</v>
      </c>
      <c r="CW21" t="e">
        <f>CW20+IF(AND(Lists!$FN$21&lt;&gt;"",ISNUMBER(SEARCH($AG$4,Lists!$FN$21))),1,0)</f>
        <v>#N/A</v>
      </c>
      <c r="CX21" t="e">
        <f>IF(ROW()-3&gt;MAX($CW$4:$CW$42),"",INDEX(Lists!$FN$4:$FN$42,MATCH(ROW()-3,$CW$4:$CW$42,0)))</f>
        <v>#N/A</v>
      </c>
      <c r="CY21" t="e">
        <f>CY20+IF(AND(Lists!$FS$21&lt;&gt;"",ISNUMBER(SEARCH($AH$4,Lists!$FS$21))),1,0)</f>
        <v>#N/A</v>
      </c>
      <c r="CZ21" t="e">
        <f>IF(ROW()-3&gt;MAX($CY$4:$CY$42),"",INDEX(Lists!$FS$4:$FS$42,MATCH(ROW()-3,$CY$4:$CY$42,0)))</f>
        <v>#N/A</v>
      </c>
      <c r="DA21">
        <f>DA20+IF(AND(Lists!$FX$21&lt;&gt;"",ISNUMBER(SEARCH($AI$4,Lists!$FX$21))),1,0)</f>
        <v>2</v>
      </c>
      <c r="DB21" t="str">
        <f>IF(ROW()-3&gt;MAX($DA$4:$DA$42),"",INDEX(Lists!$FX$4:$FX$42,MATCH(ROW()-3,$DA$4:$DA$42,0)))</f>
        <v/>
      </c>
    </row>
    <row r="22" outlineLevel="1" ht="15" customHeight="1" s="137">
      <c r="A22" s="90" t="n">
        <v>6</v>
      </c>
      <c r="B22" s="92">
        <f>IF('Final Calculation Sheet'!$F$19="","",'Final Calculation Sheet'!$F$19)</f>
        <v>2019</v>
      </c>
      <c r="C22" s="92" t="str">
        <f>IF('Final Calculation Sheet'!$G$19="","",'Final Calculation Sheet'!$G$19)</f>
        <v>NATIONAL ENTERPRISES</v>
      </c>
      <c r="D22" s="94" t="str">
        <f>IF('Final Calculation Sheet'!$B$19="","",'Final Calculation Sheet'!$B$19)</f>
        <v>Scrap of 220 KV Circuit Breaker</v>
      </c>
      <c r="E22" s="94">
        <f>IF('Final Calculation Sheet'!$D$19="","",'Final Calculation Sheet'!$D$19)</f>
        <v>21978</v>
      </c>
      <c r="F22" s="94">
        <f>IF('Final Calculation Sheet'!$A$19="","",'Final Calculation Sheet'!$A$19)</f>
        <v>1</v>
      </c>
      <c r="G22" s="94" t="str">
        <f>IF('Final Calculation Sheet'!$E$19="","",'Final Calculation Sheet'!$E$19)</f>
        <v>NO</v>
      </c>
      <c r="H22" s="95">
        <f>IF('Final Calculation Sheet'!$C$19="","",'Final Calculation Sheet'!$C$19)</f>
        <v>210001</v>
      </c>
      <c r="I22" s="95">
        <f>IF('Final Calculation Sheet'!$H$19="","",'Final Calculation Sheet'!$H$19)</f>
        <v>210001</v>
      </c>
      <c r="J22" s="95">
        <f>IF('Final Calculation Sheet'!$I$19="","",'Final Calculation Sheet'!$I$19)</f>
        <v>37800</v>
      </c>
      <c r="K22" s="95">
        <f>IF('Final Calculation Sheet'!$J$19="","",'Final Calculation Sheet'!$J$19)</f>
        <v>247801</v>
      </c>
      <c r="L22" s="95">
        <f>IF('Final Calculation Sheet'!$K$19="","",'Final Calculation Sheet'!$K$19)</f>
        <v>4956</v>
      </c>
      <c r="M22" s="95">
        <f>IF('Final Calculation Sheet'!$L$19="","",'Final Calculation Sheet'!$L$19)</f>
        <v>210.001</v>
      </c>
      <c r="N22" s="95">
        <f>IF('Final Calculation Sheet'!$M$19="","",'Final Calculation Sheet'!$M$19)</f>
        <v>5575.5265499999996</v>
      </c>
      <c r="O22" s="96">
        <f>IF('Final Calculation Sheet'!$N$19="","",'Final Calculation Sheet'!$N$19)</f>
        <v>94.500450000000001</v>
      </c>
      <c r="P22" s="95">
        <f>IF('Final Calculation Sheet'!$O$19="","",'Final Calculation Sheet'!$O$19)</f>
        <v>5481.0260999999991</v>
      </c>
      <c r="Q22" s="95">
        <f>IF('Final Calculation Sheet'!$P$19="","",'Final Calculation Sheet'!$P$19)</f>
        <v>5691</v>
      </c>
      <c r="R22" s="97">
        <f>IF('Final Calculation Sheet'!$Q$19="","",'Final Calculation Sheet'!$Q$19)</f>
        <v>0</v>
      </c>
      <c r="S22" s="95">
        <f>IF('Final Calculation Sheet'!$R$19="","",'Final Calculation Sheet'!$R$19)</f>
        <v>0</v>
      </c>
      <c r="T22" s="95">
        <f>IF('Final Calculation Sheet'!$S$19="","",'Final Calculation Sheet'!$S$19)</f>
        <v>247066</v>
      </c>
      <c r="U22" s="95">
        <f>IF('Final Calculation Sheet'!$T$19="","",'Final Calculation Sheet'!$T$19)</f>
        <v>52500</v>
      </c>
      <c r="V22" s="98">
        <f>IF('Final Calculation Sheet'!$U$19="","",'Final Calculation Sheet'!$U$19)</f>
        <v>52500</v>
      </c>
      <c r="W22" s="95" t="str">
        <f>IF('Final Calculation Sheet'!$V$19="","",'Final Calculation Sheet'!$V$19)</f>
        <v>13.08.2026</v>
      </c>
      <c r="X22" s="95">
        <f>IF('Final Calculation Sheet'!$W$19="","",'Final Calculation Sheet'!$W$19)</f>
        <v>194566</v>
      </c>
      <c r="Y22" s="95">
        <f>IF('Final Calculation Sheet'!$X$19="","",'Final Calculation Sheet'!$X$19)</f>
        <v>194566</v>
      </c>
      <c r="Z22" s="95" t="str">
        <f>IF('Final Calculation Sheet'!$Y$19="","",'Final Calculation Sheet'!$Y$19)</f>
        <v>24.08.2026</v>
      </c>
      <c r="AA22" s="95">
        <f>IF('Final Calculation Sheet'!$Z$19="","",'Final Calculation Sheet'!$Z$19)</f>
        <v>0</v>
      </c>
      <c r="AB22" s="95" t="str">
        <f>IF('Final Calculation Sheet'!$AA$19="","",'Final Calculation Sheet'!$AA$19)</f>
        <v/>
      </c>
      <c r="AC22" s="95" t="str">
        <f>IF('Final Calculation Sheet'!$AB$19="","",'Final Calculation Sheet'!$AB$19)</f>
        <v/>
      </c>
      <c r="AD22" s="95">
        <f>IF('Final Calculation Sheet'!$AC$19="","",'Final Calculation Sheet'!$AC$19)</f>
        <v>247066</v>
      </c>
      <c r="AE22" s="95">
        <f>IF('Final Calculation Sheet'!$AD$19="","",'Final Calculation Sheet'!$AD$19)</f>
        <v>0</v>
      </c>
      <c r="AF22" s="95" t="str">
        <f>IF('Final Calculation Sheet'!$AE$19="","",'Final Calculation Sheet'!$AE$19)</f>
        <v>DR2640100035</v>
      </c>
      <c r="AG22" s="99">
        <f>IF('Final Calculation Sheet'!$AF$19="","",'Final Calculation Sheet'!$AF$19)</f>
        <v>1800003307</v>
      </c>
      <c r="AH22" s="95" t="str">
        <f>IF('Final Calculation Sheet'!$AG$19="","",'Final Calculation Sheet'!$AG$19)</f>
        <v>27.08.2026</v>
      </c>
      <c r="AI22" s="100" t="str">
        <f>IF('Final Calculation Sheet'!$AD$19="","",IF('Final Calculation Sheet'!$AD$19&lt;=5,"SETTLED","OUTSTANDING"))</f>
        <v>SETTLED</v>
      </c>
      <c r="AJ22" t="b">
        <f>AND(IF($B$4="",TRUE(),IF($B$4="(blank)",'Final Calculation Sheet'!$F$20="",IF($B$4="(nonblank)",'Final Calculation Sheet'!$F$20&lt;&gt;"",ISNUMBER(SEARCH($B$4,'Final Calculation Sheet'!$F$20))))),IF($C$4="",TRUE(),IF($C$4="(blank)",'Final Calculation Sheet'!$G$20="",IF($C$4="(nonblank)",'Final Calculation Sheet'!$G$20&lt;&gt;"",ISNUMBER(SEARCH($C$4,'Final Calculation Sheet'!$G$20))))),IF($D$4="",TRUE(),IF($D$4="(blank)",'Final Calculation Sheet'!$B$20="",IF($D$4="(nonblank)",'Final Calculation Sheet'!$B$20&lt;&gt;"",ISNUMBER(SEARCH($D$4,'Final Calculation Sheet'!$B$20))))),IF($E$4="",TRUE(),IF($E$4="(blank)",'Final Calculation Sheet'!$D$20="",IF($E$4="(nonblank)",'Final Calculation Sheet'!$D$20&lt;&gt;"",ISNUMBER(SEARCH($E$4,'Final Calculation Sheet'!$D$20))))),IF($F$4="",TRUE(),IF($F$4="(blank)",'Final Calculation Sheet'!$A$20="",IF($F$4="(nonblank)",'Final Calculation Sheet'!$A$20&lt;&gt;"",ISNUMBER(SEARCH($F$4,'Final Calculation Sheet'!$A$20))))),IF($G$4="",TRUE(),IF($G$4="(blank)",'Final Calculation Sheet'!$E$20="",IF($G$4="(nonblank)",'Final Calculation Sheet'!$E$20&lt;&gt;"",ISNUMBER(SEARCH($G$4,'Final Calculation Sheet'!$E$20))))),IF($H$4="",TRUE(),IF($H$4="(blank)",'Final Calculation Sheet'!$C$20="",IF($H$4="(nonblank)",'Final Calculation Sheet'!$C$20&lt;&gt;"",ISNUMBER(SEARCH($H$4,'Final Calculation Sheet'!$C$20))))),IF($I$4="",TRUE(),IF($I$4="(blank)",'Final Calculation Sheet'!$H$20="",IF($I$4="(nonblank)",'Final Calculation Sheet'!$H$20&lt;&gt;"",ISNUMBER(SEARCH($I$4,'Final Calculation Sheet'!$H$20))))),IF($J$4="",TRUE(),IF($J$4="(blank)",'Final Calculation Sheet'!$I$20="",IF($J$4="(nonblank)",'Final Calculation Sheet'!$I$20&lt;&gt;"",ISNUMBER(SEARCH($J$4,'Final Calculation Sheet'!$I$20))))),IF($K$4="",TRUE(),IF($K$4="(blank)",'Final Calculation Sheet'!$J$20="",IF($K$4="(nonblank)",'Final Calculation Sheet'!$J$20&lt;&gt;"",ISNUMBER(SEARCH($K$4,'Final Calculation Sheet'!$J$20))))),IF($L$4="",TRUE(),IF($L$4="(blank)",'Final Calculation Sheet'!$K$20="",IF($L$4="(nonblank)",'Final Calculation Sheet'!$K$20&lt;&gt;"",ISNUMBER(SEARCH($L$4,'Final Calculation Sheet'!$K$20))))),IF($M$4="",TRUE(),IF($M$4="(blank)",'Final Calculation Sheet'!$L$20="",IF($M$4="(nonblank)",'Final Calculation Sheet'!$L$20&lt;&gt;"",ISNUMBER(SEARCH($M$4,'Final Calculation Sheet'!$L$20))))),IF($N$4="",TRUE(),IF($N$4="(blank)",'Final Calculation Sheet'!$M$20="",IF($N$4="(nonblank)",'Final Calculation Sheet'!$M$20&lt;&gt;"",ISNUMBER(SEARCH($N$4,'Final Calculation Sheet'!$M$20))))),IF($O$4="",TRUE(),IF($O$4="(blank)",'Final Calculation Sheet'!$N$20="",IF($O$4="(nonblank)",'Final Calculation Sheet'!$N$20&lt;&gt;"",ISNUMBER(SEARCH($O$4,'Final Calculation Sheet'!$N$20))))),IF($P$4="",TRUE(),IF($P$4="(blank)",'Final Calculation Sheet'!$O$20="",IF($P$4="(nonblank)",'Final Calculation Sheet'!$O$20&lt;&gt;"",ISNUMBER(SEARCH($P$4,'Final Calculation Sheet'!$O$20))))),IF($Q$4="",TRUE(),IF($Q$4="(blank)",'Final Calculation Sheet'!$P$20="",IF($Q$4="(nonblank)",'Final Calculation Sheet'!$P$20&lt;&gt;"",ISNUMBER(SEARCH($Q$4,'Final Calculation Sheet'!$P$20))))),IF($R$4="",TRUE(),IF($R$4="(blank)",'Final Calculation Sheet'!$Q$20="",IF($R$4="(nonblank)",'Final Calculation Sheet'!$Q$20&lt;&gt;"",ISNUMBER(SEARCH($R$4,'Final Calculation Sheet'!$Q$20))))),IF($S$4="",TRUE(),IF($S$4="(blank)",'Final Calculation Sheet'!$R$20="",IF($S$4="(nonblank)",'Final Calculation Sheet'!$R$20&lt;&gt;"",ISNUMBER(SEARCH($S$4,'Final Calculation Sheet'!$R$20))))),IF($T$4="",TRUE(),IF($T$4="(blank)",'Final Calculation Sheet'!$S$20="",IF($T$4="(nonblank)",'Final Calculation Sheet'!$S$20&lt;&gt;"",ISNUMBER(SEARCH($T$4,'Final Calculation Sheet'!$S$20))))),IF($U$4="",TRUE(),IF($U$4="(blank)",'Final Calculation Sheet'!$T$20="",IF($U$4="(nonblank)",'Final Calculation Sheet'!$T$20&lt;&gt;"",ISNUMBER(SEARCH($U$4,'Final Calculation Sheet'!$T$20))))),IF($V$4="",TRUE(),IF($V$4="(blank)",'Final Calculation Sheet'!$U$20="",IF($V$4="(nonblank)",'Final Calculation Sheet'!$U$20&lt;&gt;"",ISNUMBER(SEARCH($V$4,'Final Calculation Sheet'!$U$20))))),IF($W$4="",TRUE(),IF($W$4="(blank)",'Final Calculation Sheet'!$V$20="",IF($W$4="(nonblank)",'Final Calculation Sheet'!$V$20&lt;&gt;"",ISNUMBER(SEARCH($W$4,'Final Calculation Sheet'!$V$20))))),IF($X$4="",TRUE(),IF($X$4="(blank)",'Final Calculation Sheet'!$W$20="",IF($X$4="(nonblank)",'Final Calculation Sheet'!$W$20&lt;&gt;"",ISNUMBER(SEARCH($X$4,'Final Calculation Sheet'!$W$20))))),IF($Y$4="",TRUE(),IF($Y$4="(blank)",'Final Calculation Sheet'!$X$20="",IF($Y$4="(nonblank)",'Final Calculation Sheet'!$X$20&lt;&gt;"",ISNUMBER(SEARCH($Y$4,'Final Calculation Sheet'!$X$20))))),IF($Z$4="",TRUE(),IF($Z$4="(blank)",'Final Calculation Sheet'!$Y$20="",IF($Z$4="(nonblank)",'Final Calculation Sheet'!$Y$20&lt;&gt;"",ISNUMBER(SEARCH($Z$4,'Final Calculation Sheet'!$Y$20))))),IF($AA$4="",TRUE(),IF($AA$4="(blank)",'Final Calculation Sheet'!$Z$20="",IF($AA$4="(nonblank)",'Final Calculation Sheet'!$Z$20&lt;&gt;"",ISNUMBER(SEARCH($AA$4,'Final Calculation Sheet'!$Z$20))))),IF($AB$4="",TRUE(),IF($AB$4="(blank)",'Final Calculation Sheet'!$AA$20="",IF($AB$4="(nonblank)",'Final Calculation Sheet'!$AA$20&lt;&gt;"",ISNUMBER(SEARCH($AB$4,'Final Calculation Sheet'!$AA$20))))),IF($AC$4="",TRUE(),IF($AC$4="(blank)",'Final Calculation Sheet'!$AB$20="",IF($AC$4="(nonblank)",'Final Calculation Sheet'!$AB$20&lt;&gt;"",ISNUMBER(SEARCH($AC$4,'Final Calculation Sheet'!$AB$20))))),IF($AD$4="",TRUE(),IF($AD$4="(blank)",'Final Calculation Sheet'!$AC$20="",IF($AD$4="(nonblank)",'Final Calculation Sheet'!$AC$20&lt;&gt;"",ISNUMBER(SEARCH($AD$4,'Final Calculation Sheet'!$AC$20))))),IF($AE$4="",TRUE(),IF($AE$4="(blank)",'Final Calculation Sheet'!$AD$20="",IF($AE$4="(nonblank)",'Final Calculation Sheet'!$AD$20&lt;&gt;"",ISNUMBER(SEARCH($AE$4,'Final Calculation Sheet'!$AD$20))))),IF($AF$4="",TRUE(),IF($AF$4="(blank)",'Final Calculation Sheet'!$AE$20="",IF($AF$4="(nonblank)",'Final Calculation Sheet'!$AE$20&lt;&gt;"",ISNUMBER(SEARCH($AF$4,'Final Calculation Sheet'!$AE$20))))),IF($AG$4="",TRUE(),IF($AG$4="(blank)",'Final Calculation Sheet'!$AF$20="",IF($AG$4="(nonblank)",'Final Calculation Sheet'!$AF$20&lt;&gt;"",ISNUMBER(SEARCH($AG$4,'Final Calculation Sheet'!$AF$20))))),IF($AH$4="",TRUE(),IF($AH$4="(blank)",'Final Calculation Sheet'!$AG$20="",IF($AH$4="(nonblank)",'Final Calculation Sheet'!$AG$20&lt;&gt;"",ISNUMBER(SEARCH($AH$4,'Final Calculation Sheet'!$AG$20))))),IF($AI$4="",TRUE(),IF($AI$4="(blank)",IF('Final Calculation Sheet'!$AD$20&lt;=5,"SETTLED","OUTSTANDING")="",IF($AI$4="(nonblank)",IF('Final Calculation Sheet'!$AD$20&lt;=5,"SETTLED","OUTSTANDING")&lt;&gt;"",ISNUMBER(SEARCH($AI$4,IF('Final Calculation Sheet'!$AD$20&lt;=5,"SETTLED","OUTSTANDING")))))))</f>
        <v>1</v>
      </c>
      <c r="AK22" t="str">
        <f>IF(AJ22=1,COUNTIF(AJ$6:AJ22,1),"")</f>
        <v/>
      </c>
      <c r="AM22">
        <f>AM21+IF(AND(Lists!$O$22&lt;&gt;"",ISNUMBER(SEARCH($B$4,Lists!$O$22))),1,0)</f>
        <v>19</v>
      </c>
      <c r="AN22">
        <f>IF(ROW()-3&gt;MAX($AM$4:$AM$42),"",INDEX(Lists!$O$4:$O$42,MATCH(ROW()-3,$AM$4:$AM$42,0)))</f>
        <v>2023</v>
      </c>
      <c r="AO22">
        <f>AO21+IF(AND(Lists!$T$22&lt;&gt;"",ISNUMBER(SEARCH($C$4,Lists!$T$22))),1,0)</f>
        <v>13</v>
      </c>
      <c r="AP22" t="str">
        <f>IF(ROW()-3&gt;MAX($AO$4:$AO$42),"",INDEX(Lists!$T$4:$T$42,MATCH(ROW()-3,$AO$4:$AO$42,0)))</f>
        <v/>
      </c>
      <c r="AQ22">
        <f>AQ21+IF(AND(Lists!$Y$22&lt;&gt;"",ISNUMBER(SEARCH($D$4,Lists!$Y$22))),1,0)</f>
        <v>19</v>
      </c>
      <c r="AR22" t="str">
        <f>IF(ROW()-3&gt;MAX($AQ$4:$AQ$42),"",INDEX(Lists!$Y$4:$Y$42,MATCH(ROW()-3,$AQ$4:$AQ$42,0)))</f>
        <v>Scrap of empty oil Barrel</v>
      </c>
      <c r="AS22">
        <f>AS21+IF(AND(Lists!$AD$22&lt;&gt;"",ISNUMBER(SEARCH($E$4,Lists!$AD$22))),1,0)</f>
        <v>4</v>
      </c>
      <c r="AT22" t="str">
        <f>IF(ROW()-3&gt;MAX($AS$4:$AS$42),"",INDEX(Lists!$AD$4:$AD$42,MATCH(ROW()-3,$AS$4:$AS$42,0)))</f>
        <v/>
      </c>
      <c r="AU22">
        <f>AU21+IF(AND(Lists!$AI$22&lt;&gt;"",ISNUMBER(SEARCH($F$4,Lists!$AI$22))),1,0)</f>
        <v>19</v>
      </c>
      <c r="AV22">
        <f>IF(ROW()-3&gt;MAX($AU$4:$AU$42),"",INDEX(Lists!$AI$4:$AI$42,MATCH(ROW()-3,$AU$4:$AU$42,0)))</f>
        <v>1000</v>
      </c>
      <c r="AW22">
        <f>AW21+IF(AND(Lists!$AN$22&lt;&gt;"",ISNUMBER(SEARCH($G$4,Lists!$AN$22))),1,0)</f>
        <v>3</v>
      </c>
      <c r="AX22" t="str">
        <f>IF(ROW()-3&gt;MAX($AW$4:$AW$42),"",INDEX(Lists!$AN$4:$AN$42,MATCH(ROW()-3,$AW$4:$AW$42,0)))</f>
        <v/>
      </c>
      <c r="AY22">
        <f>AY21+IF(AND(Lists!$AS$22&lt;&gt;"",ISNUMBER(SEARCH($H$4,Lists!$AS$22))),1,0)</f>
        <v>19</v>
      </c>
      <c r="AZ22">
        <f>IF(ROW()-3&gt;MAX($AY$4:$AY$42),"",INDEX(Lists!$AS$4:$AS$42,MATCH(ROW()-3,$AY$4:$AY$42,0)))</f>
        <v>40003</v>
      </c>
      <c r="BA22">
        <f>BA21+IF(AND(Lists!$AX$22&lt;&gt;"",ISNUMBER(SEARCH($I$4,Lists!$AX$22))),1,0)</f>
        <v>19</v>
      </c>
      <c r="BB22">
        <f>IF(ROW()-3&gt;MAX($BA$4:$BA$42),"",INDEX(Lists!$AX$4:$AX$42,MATCH(ROW()-3,$BA$4:$BA$42,0)))</f>
        <v>156600</v>
      </c>
      <c r="BC22">
        <f>BC21+IF(AND(Lists!$BC$22&lt;&gt;"",ISNUMBER(SEARCH($J$4,Lists!$BC$22))),1,0)</f>
        <v>19</v>
      </c>
      <c r="BD22">
        <f>IF(ROW()-3&gt;MAX($BC$4:$BC$42),"",INDEX(Lists!$BC$4:$BC$42,MATCH(ROW()-3,$BC$4:$BC$42,0)))</f>
        <v>28188</v>
      </c>
      <c r="BE22">
        <f>BE21+IF(AND(Lists!$BH$22&lt;&gt;"",ISNUMBER(SEARCH($K$4,Lists!$BH$22))),1,0)</f>
        <v>19</v>
      </c>
      <c r="BF22">
        <f>IF(ROW()-3&gt;MAX($BE$4:$BE$42),"",INDEX(Lists!$BH$4:$BH$42,MATCH(ROW()-3,$BE$4:$BE$42,0)))</f>
        <v>184788</v>
      </c>
      <c r="BG22">
        <f>BG21+IF(AND(Lists!$BM$22&lt;&gt;"",ISNUMBER(SEARCH($L$4,Lists!$BM$22))),1,0)</f>
        <v>19</v>
      </c>
      <c r="BH22">
        <f>IF(ROW()-3&gt;MAX($BG$4:$BG$42),"",INDEX(Lists!$BM$4:$BM$42,MATCH(ROW()-3,$BG$4:$BG$42,0)))</f>
        <v>3696</v>
      </c>
      <c r="BI22">
        <f>BI21+IF(AND(Lists!$BR$22&lt;&gt;"",ISNUMBER(SEARCH($M$4,Lists!$BR$22))),1,0)</f>
        <v>19</v>
      </c>
      <c r="BJ22">
        <f>IF(ROW()-3&gt;MAX($BI$4:$BI$42),"",INDEX(Lists!$BR$4:$BR$42,MATCH(ROW()-3,$BI$4:$BI$42,0)))</f>
        <v>156.6</v>
      </c>
      <c r="BK22">
        <f>BK21+IF(AND(Lists!$BW$22&lt;&gt;"",ISNUMBER(SEARCH($N$4,Lists!$BW$22))),1,0)</f>
        <v>19</v>
      </c>
      <c r="BL22">
        <f>IF(ROW()-3&gt;MAX($BK$4:$BK$42),"",INDEX(Lists!$BW$4:$BW$42,MATCH(ROW()-3,$BK$4:$BK$42,0)))</f>
        <v>4157.7299999999996</v>
      </c>
      <c r="BM22">
        <f>BM21+IF(AND(Lists!$CB$22&lt;&gt;"",ISNUMBER(SEARCH($O$4,Lists!$CB$22))),1,0)</f>
        <v>19</v>
      </c>
      <c r="BN22">
        <f>IF(ROW()-3&gt;MAX($BM$4:$BM$42),"",INDEX(Lists!$CB$4:$CB$42,MATCH(ROW()-3,$BM$4:$BM$42,0)))</f>
        <v>70.47</v>
      </c>
      <c r="BO22">
        <f>BO21+IF(AND(Lists!$CG$22&lt;&gt;"",ISNUMBER(SEARCH($P$4,Lists!$CG$22))),1,0)</f>
        <v>19</v>
      </c>
      <c r="BP22">
        <f>IF(ROW()-3&gt;MAX($BO$4:$BO$42),"",INDEX(Lists!$CG$4:$CG$42,MATCH(ROW()-3,$BO$4:$BO$42,0)))</f>
        <v>4087.2599999999998</v>
      </c>
      <c r="BQ22">
        <f>BQ21+IF(AND(Lists!$CL$22&lt;&gt;"",ISNUMBER(SEARCH($Q$4,Lists!$CL$22))),1,0)</f>
        <v>19</v>
      </c>
      <c r="BR22">
        <f>IF(ROW()-3&gt;MAX($BQ$4:$BQ$42),"",INDEX(Lists!$CL$4:$CL$42,MATCH(ROW()-3,$BQ$4:$BQ$42,0)))</f>
        <v>4244</v>
      </c>
      <c r="BS22">
        <f>BS21+IF(AND(Lists!$CQ$22&lt;&gt;"",ISNUMBER(SEARCH($R$4,Lists!$CQ$22))),1,0)</f>
        <v>2</v>
      </c>
      <c r="BT22" t="str">
        <f>IF(ROW()-3&gt;MAX($BS$4:$BS$42),"",INDEX(Lists!$CQ$4:$CQ$42,MATCH(ROW()-3,$BS$4:$BS$42,0)))</f>
        <v/>
      </c>
      <c r="BU22">
        <f>BU21+IF(AND(Lists!$CV$22&lt;&gt;"",ISNUMBER(SEARCH($S$4,Lists!$CV$22))),1,0)</f>
        <v>5</v>
      </c>
      <c r="BV22" t="str">
        <f>IF(ROW()-3&gt;MAX($BU$4:$BU$42),"",INDEX(Lists!$CV$4:$CV$42,MATCH(ROW()-3,$BU$4:$BU$42,0)))</f>
        <v/>
      </c>
      <c r="BW22">
        <f>BW21+IF(AND(Lists!$DA$22&lt;&gt;"",ISNUMBER(SEARCH($T$4,Lists!$DA$22))),1,0)</f>
        <v>19</v>
      </c>
      <c r="BX22">
        <f>IF(ROW()-3&gt;MAX($BW$4:$BW$42),"",INDEX(Lists!$DA$4:$DA$42,MATCH(ROW()-3,$BW$4:$BW$42,0)))</f>
        <v>184240</v>
      </c>
      <c r="BY22">
        <f>BY21+IF(AND(Lists!$DF$22&lt;&gt;"",ISNUMBER(SEARCH($U$4,Lists!$DF$22))),1,0)</f>
        <v>19</v>
      </c>
      <c r="BZ22">
        <f>IF(ROW()-3&gt;MAX($BY$4:$BY$42),"",INDEX(Lists!$DF$4:$DF$42,MATCH(ROW()-3,$BY$4:$BY$42,0)))</f>
        <v>39150</v>
      </c>
      <c r="CA22">
        <f>CA21+IF(AND(Lists!$DK$22&lt;&gt;"",ISNUMBER(SEARCH($V$4,Lists!$DK$22))),1,0)</f>
        <v>19</v>
      </c>
      <c r="CB22">
        <f>IF(ROW()-3&gt;MAX($CA$4:$CA$42),"",INDEX(Lists!$DK$4:$DK$42,MATCH(ROW()-3,$CA$4:$CA$42,0)))</f>
        <v>39150</v>
      </c>
      <c r="CC22">
        <f>CC21+IF(AND(Lists!$DP$22&lt;&gt;"",ISNUMBER(SEARCH($W$4,Lists!$DP$22))),1,0)</f>
        <v>6</v>
      </c>
      <c r="CD22" t="str">
        <f>IF(ROW()-3&gt;MAX($CC$4:$CC$42),"",INDEX(Lists!$DP$4:$DP$42,MATCH(ROW()-3,$CC$4:$CC$42,0)))</f>
        <v/>
      </c>
      <c r="CE22">
        <f>CE21+IF(AND(Lists!$DU$22&lt;&gt;"",ISNUMBER(SEARCH($X$4,Lists!$DU$22))),1,0)</f>
        <v>19</v>
      </c>
      <c r="CF22">
        <f>IF(ROW()-3&gt;MAX($CE$4:$CE$42),"",INDEX(Lists!$DU$4:$DU$42,MATCH(ROW()-3,$CE$4:$CE$42,0)))</f>
        <v>145090</v>
      </c>
      <c r="CG22" t="e">
        <f>CG21+IF(AND(Lists!$DZ$22&lt;&gt;"",ISNUMBER(SEARCH($Y$4,Lists!$DZ$22))),1,0)</f>
        <v>#N/A</v>
      </c>
      <c r="CH22" t="e">
        <f>IF(ROW()-3&gt;MAX($CG$4:$CG$42),"",INDEX(Lists!$DZ$4:$DZ$42,MATCH(ROW()-3,$CG$4:$CG$42,0)))</f>
        <v>#N/A</v>
      </c>
      <c r="CI22" t="e">
        <f>CI21+IF(AND(Lists!$EE$22&lt;&gt;"",ISNUMBER(SEARCH($Z$4,Lists!$EE$22))),1,0)</f>
        <v>#N/A</v>
      </c>
      <c r="CJ22" t="e">
        <f>IF(ROW()-3&gt;MAX($CI$4:$CI$42),"",INDEX(Lists!$EE$4:$EE$42,MATCH(ROW()-3,$CI$4:$CI$42,0)))</f>
        <v>#N/A</v>
      </c>
      <c r="CK22">
        <f>CK21+IF(AND(Lists!$EJ$22&lt;&gt;"",ISNUMBER(SEARCH($AA$4,Lists!$EJ$22))),1,0)</f>
        <v>6</v>
      </c>
      <c r="CL22" t="str">
        <f>IF(ROW()-3&gt;MAX($CK$4:$CK$42),"",INDEX(Lists!$EJ$4:$EJ$42,MATCH(ROW()-3,$CK$4:$CK$42,0)))</f>
        <v/>
      </c>
      <c r="CM22" t="e">
        <f>CM21+IF(AND(Lists!$EO$22&lt;&gt;"",ISNUMBER(SEARCH($AB$4,Lists!$EO$22))),1,0)</f>
        <v>#N/A</v>
      </c>
      <c r="CN22" t="e">
        <f>IF(ROW()-3&gt;MAX($CM$4:$CM$42),"",INDEX(Lists!$EO$4:$EO$42,MATCH(ROW()-3,$CM$4:$CM$42,0)))</f>
        <v>#N/A</v>
      </c>
      <c r="CO22" t="e">
        <f>CO21+IF(AND(Lists!$ET$22&lt;&gt;"",ISNUMBER(SEARCH($AC$4,Lists!$ET$22))),1,0)</f>
        <v>#N/A</v>
      </c>
      <c r="CP22" t="e">
        <f>IF(ROW()-3&gt;MAX($CO$4:$CO$42),"",INDEX(Lists!$ET$4:$ET$42,MATCH(ROW()-3,$CO$4:$CO$42,0)))</f>
        <v>#N/A</v>
      </c>
      <c r="CQ22">
        <f>CQ21+IF(AND(Lists!$EY$22&lt;&gt;"",ISNUMBER(SEARCH($AD$4,Lists!$EY$22))),1,0)</f>
        <v>19</v>
      </c>
      <c r="CR22">
        <f>IF(ROW()-3&gt;MAX($CQ$4:$CQ$42),"",INDEX(Lists!$EY$4:$EY$42,MATCH(ROW()-3,$CQ$4:$CQ$42,0)))</f>
        <v>144023</v>
      </c>
      <c r="CS22" t="e">
        <f>CS21+IF(AND(Lists!$FD$22&lt;&gt;"",ISNUMBER(SEARCH($AE$4,Lists!$FD$22))),1,0)</f>
        <v>#N/A</v>
      </c>
      <c r="CT22" t="e">
        <f>IF(ROW()-3&gt;MAX($CS$4:$CS$42),"",INDEX(Lists!$FD$4:$FD$42,MATCH(ROW()-3,$CS$4:$CS$42,0)))</f>
        <v>#N/A</v>
      </c>
      <c r="CU22" t="e">
        <f>CU21+IF(AND(Lists!$FI$22&lt;&gt;"",ISNUMBER(SEARCH($AF$4,Lists!$FI$22))),1,0)</f>
        <v>#N/A</v>
      </c>
      <c r="CV22" t="e">
        <f>IF(ROW()-3&gt;MAX($CU$4:$CU$42),"",INDEX(Lists!$FI$4:$FI$42,MATCH(ROW()-3,$CU$4:$CU$42,0)))</f>
        <v>#N/A</v>
      </c>
      <c r="CW22" t="e">
        <f>CW21+IF(AND(Lists!$FN$22&lt;&gt;"",ISNUMBER(SEARCH($AG$4,Lists!$FN$22))),1,0)</f>
        <v>#N/A</v>
      </c>
      <c r="CX22" t="e">
        <f>IF(ROW()-3&gt;MAX($CW$4:$CW$42),"",INDEX(Lists!$FN$4:$FN$42,MATCH(ROW()-3,$CW$4:$CW$42,0)))</f>
        <v>#N/A</v>
      </c>
      <c r="CY22" t="e">
        <f>CY21+IF(AND(Lists!$FS$22&lt;&gt;"",ISNUMBER(SEARCH($AH$4,Lists!$FS$22))),1,0)</f>
        <v>#N/A</v>
      </c>
      <c r="CZ22" t="e">
        <f>IF(ROW()-3&gt;MAX($CY$4:$CY$42),"",INDEX(Lists!$FS$4:$FS$42,MATCH(ROW()-3,$CY$4:$CY$42,0)))</f>
        <v>#N/A</v>
      </c>
      <c r="DA22">
        <f>DA21+IF(AND(Lists!$FX$22&lt;&gt;"",ISNUMBER(SEARCH($AI$4,Lists!$FX$22))),1,0)</f>
        <v>2</v>
      </c>
      <c r="DB22" t="str">
        <f>IF(ROW()-3&gt;MAX($DA$4:$DA$42),"",INDEX(Lists!$FX$4:$FX$42,MATCH(ROW()-3,$DA$4:$DA$42,0)))</f>
        <v/>
      </c>
    </row>
    <row r="23" outlineLevel="1" ht="15" customHeight="1" s="137">
      <c r="A23" s="67" t="n">
        <v>7</v>
      </c>
      <c r="B23" s="76">
        <f>IF('Final Calculation Sheet'!$F$22="","",'Final Calculation Sheet'!$F$22)</f>
        <v>2023</v>
      </c>
      <c r="C23" s="76" t="str">
        <f>IF('Final Calculation Sheet'!$G$22="","",'Final Calculation Sheet'!$G$22)</f>
        <v>NATIONAL ENTERPRISES</v>
      </c>
      <c r="D23" s="80" t="str">
        <f>IF('Final Calculation Sheet'!$B$22="","",'Final Calculation Sheet'!$B$22)</f>
        <v>Scrap of 132 KV CT</v>
      </c>
      <c r="E23" s="80">
        <f>IF('Final Calculation Sheet'!$D$22="","",'Final Calculation Sheet'!$D$22)</f>
        <v>21978</v>
      </c>
      <c r="F23" s="80">
        <f>IF('Final Calculation Sheet'!$A$22="","",'Final Calculation Sheet'!$A$22)</f>
        <v>3</v>
      </c>
      <c r="G23" s="80" t="str">
        <f>IF('Final Calculation Sheet'!$E$22="","",'Final Calculation Sheet'!$E$22)</f>
        <v>NO</v>
      </c>
      <c r="H23" s="70">
        <f>IF('Final Calculation Sheet'!$C$22="","",'Final Calculation Sheet'!$C$22)</f>
        <v>83743</v>
      </c>
      <c r="I23" s="70">
        <f>IF('Final Calculation Sheet'!$H$22="","",'Final Calculation Sheet'!$H$22)</f>
        <v>251229</v>
      </c>
      <c r="J23" s="70">
        <f>IF('Final Calculation Sheet'!$I$22="","",'Final Calculation Sheet'!$I$22)</f>
        <v>45221</v>
      </c>
      <c r="K23" s="70">
        <f>IF('Final Calculation Sheet'!$J$22="","",'Final Calculation Sheet'!$J$22)</f>
        <v>296450</v>
      </c>
      <c r="L23" s="70">
        <f>IF('Final Calculation Sheet'!$K$22="","",'Final Calculation Sheet'!$K$22)</f>
        <v>5929</v>
      </c>
      <c r="M23" s="70">
        <f>IF('Final Calculation Sheet'!$L$22="","",'Final Calculation Sheet'!$L$22)</f>
        <v>251.22900000000001</v>
      </c>
      <c r="N23" s="70">
        <f>IF('Final Calculation Sheet'!$M$22="","",'Final Calculation Sheet'!$M$22)</f>
        <v>6670.1299499999996</v>
      </c>
      <c r="O23" s="71">
        <f>IF('Final Calculation Sheet'!$N$22="","",'Final Calculation Sheet'!$N$22)</f>
        <v>113.05305</v>
      </c>
      <c r="P23" s="70">
        <f>IF('Final Calculation Sheet'!$O$22="","",'Final Calculation Sheet'!$O$22)</f>
        <v>6557.0768999999991</v>
      </c>
      <c r="Q23" s="70">
        <f>IF('Final Calculation Sheet'!$P$22="","",'Final Calculation Sheet'!$P$22)</f>
        <v>6808</v>
      </c>
      <c r="R23" s="72">
        <f>IF('Final Calculation Sheet'!$Q$22="","",'Final Calculation Sheet'!$Q$22)</f>
        <v>0</v>
      </c>
      <c r="S23" s="70">
        <f>IF('Final Calculation Sheet'!$R$22="","",'Final Calculation Sheet'!$R$22)</f>
        <v>0</v>
      </c>
      <c r="T23" s="70">
        <f>IF('Final Calculation Sheet'!$S$22="","",'Final Calculation Sheet'!$S$22)</f>
        <v>295571</v>
      </c>
      <c r="U23" s="70">
        <f>IF('Final Calculation Sheet'!$T$22="","",'Final Calculation Sheet'!$T$22)</f>
        <v>62807</v>
      </c>
      <c r="V23" s="73">
        <f>IF('Final Calculation Sheet'!$U$22="","",'Final Calculation Sheet'!$U$22)</f>
        <v>62807</v>
      </c>
      <c r="W23" s="70" t="str">
        <f>IF('Final Calculation Sheet'!$V$22="","",'Final Calculation Sheet'!$V$22)</f>
        <v>13.08.2026</v>
      </c>
      <c r="X23" s="70">
        <f>IF('Final Calculation Sheet'!$W$22="","",'Final Calculation Sheet'!$W$22)</f>
        <v>232764</v>
      </c>
      <c r="Y23" s="70">
        <f>IF('Final Calculation Sheet'!$X$22="","",'Final Calculation Sheet'!$X$22)</f>
        <v>232764</v>
      </c>
      <c r="Z23" s="70" t="str">
        <f>IF('Final Calculation Sheet'!$Y$22="","",'Final Calculation Sheet'!$Y$22)</f>
        <v>24.08.2026</v>
      </c>
      <c r="AA23" s="70">
        <f>IF('Final Calculation Sheet'!$Z$22="","",'Final Calculation Sheet'!$Z$22)</f>
        <v>0</v>
      </c>
      <c r="AB23" s="70" t="str">
        <f>IF('Final Calculation Sheet'!$AA$22="","",'Final Calculation Sheet'!$AA$22)</f>
        <v/>
      </c>
      <c r="AC23" s="70" t="str">
        <f>IF('Final Calculation Sheet'!$AB$22="","",'Final Calculation Sheet'!$AB$22)</f>
        <v/>
      </c>
      <c r="AD23" s="70">
        <f>IF('Final Calculation Sheet'!$AC$22="","",'Final Calculation Sheet'!$AC$22)</f>
        <v>295571</v>
      </c>
      <c r="AE23" s="70">
        <f>IF('Final Calculation Sheet'!$AD$22="","",'Final Calculation Sheet'!$AD$22)</f>
        <v>0</v>
      </c>
      <c r="AF23" s="70" t="str">
        <f>IF('Final Calculation Sheet'!$AE$22="","",'Final Calculation Sheet'!$AE$22)</f>
        <v>DR2640100044</v>
      </c>
      <c r="AG23" s="74">
        <f>IF('Final Calculation Sheet'!$AF$22="","",'Final Calculation Sheet'!$AF$22)</f>
        <v>1800003308</v>
      </c>
      <c r="AH23" s="70" t="str">
        <f>IF('Final Calculation Sheet'!$AG$22="","",'Final Calculation Sheet'!$AG$22)</f>
        <v>27.08.2026</v>
      </c>
      <c r="AI23" s="75" t="str">
        <f>IF('Final Calculation Sheet'!$AD$22="","",IF('Final Calculation Sheet'!$AD$22&lt;=5,"SETTLED","OUTSTANDING"))</f>
        <v>SETTLED</v>
      </c>
      <c r="AJ23" t="b">
        <f>AND(IF($B$4="",TRUE(),IF($B$4="(blank)",'Final Calculation Sheet'!$F$21="",IF($B$4="(nonblank)",'Final Calculation Sheet'!$F$21&lt;&gt;"",ISNUMBER(SEARCH($B$4,'Final Calculation Sheet'!$F$21))))),IF($C$4="",TRUE(),IF($C$4="(blank)",'Final Calculation Sheet'!$G$21="",IF($C$4="(nonblank)",'Final Calculation Sheet'!$G$21&lt;&gt;"",ISNUMBER(SEARCH($C$4,'Final Calculation Sheet'!$G$21))))),IF($D$4="",TRUE(),IF($D$4="(blank)",'Final Calculation Sheet'!$B$21="",IF($D$4="(nonblank)",'Final Calculation Sheet'!$B$21&lt;&gt;"",ISNUMBER(SEARCH($D$4,'Final Calculation Sheet'!$B$21))))),IF($E$4="",TRUE(),IF($E$4="(blank)",'Final Calculation Sheet'!$D$21="",IF($E$4="(nonblank)",'Final Calculation Sheet'!$D$21&lt;&gt;"",ISNUMBER(SEARCH($E$4,'Final Calculation Sheet'!$D$21))))),IF($F$4="",TRUE(),IF($F$4="(blank)",'Final Calculation Sheet'!$A$21="",IF($F$4="(nonblank)",'Final Calculation Sheet'!$A$21&lt;&gt;"",ISNUMBER(SEARCH($F$4,'Final Calculation Sheet'!$A$21))))),IF($G$4="",TRUE(),IF($G$4="(blank)",'Final Calculation Sheet'!$E$21="",IF($G$4="(nonblank)",'Final Calculation Sheet'!$E$21&lt;&gt;"",ISNUMBER(SEARCH($G$4,'Final Calculation Sheet'!$E$21))))),IF($H$4="",TRUE(),IF($H$4="(blank)",'Final Calculation Sheet'!$C$21="",IF($H$4="(nonblank)",'Final Calculation Sheet'!$C$21&lt;&gt;"",ISNUMBER(SEARCH($H$4,'Final Calculation Sheet'!$C$21))))),IF($I$4="",TRUE(),IF($I$4="(blank)",'Final Calculation Sheet'!$H$21="",IF($I$4="(nonblank)",'Final Calculation Sheet'!$H$21&lt;&gt;"",ISNUMBER(SEARCH($I$4,'Final Calculation Sheet'!$H$21))))),IF($J$4="",TRUE(),IF($J$4="(blank)",'Final Calculation Sheet'!$I$21="",IF($J$4="(nonblank)",'Final Calculation Sheet'!$I$21&lt;&gt;"",ISNUMBER(SEARCH($J$4,'Final Calculation Sheet'!$I$21))))),IF($K$4="",TRUE(),IF($K$4="(blank)",'Final Calculation Sheet'!$J$21="",IF($K$4="(nonblank)",'Final Calculation Sheet'!$J$21&lt;&gt;"",ISNUMBER(SEARCH($K$4,'Final Calculation Sheet'!$J$21))))),IF($L$4="",TRUE(),IF($L$4="(blank)",'Final Calculation Sheet'!$K$21="",IF($L$4="(nonblank)",'Final Calculation Sheet'!$K$21&lt;&gt;"",ISNUMBER(SEARCH($L$4,'Final Calculation Sheet'!$K$21))))),IF($M$4="",TRUE(),IF($M$4="(blank)",'Final Calculation Sheet'!$L$21="",IF($M$4="(nonblank)",'Final Calculation Sheet'!$L$21&lt;&gt;"",ISNUMBER(SEARCH($M$4,'Final Calculation Sheet'!$L$21))))),IF($N$4="",TRUE(),IF($N$4="(blank)",'Final Calculation Sheet'!$M$21="",IF($N$4="(nonblank)",'Final Calculation Sheet'!$M$21&lt;&gt;"",ISNUMBER(SEARCH($N$4,'Final Calculation Sheet'!$M$21))))),IF($O$4="",TRUE(),IF($O$4="(blank)",'Final Calculation Sheet'!$N$21="",IF($O$4="(nonblank)",'Final Calculation Sheet'!$N$21&lt;&gt;"",ISNUMBER(SEARCH($O$4,'Final Calculation Sheet'!$N$21))))),IF($P$4="",TRUE(),IF($P$4="(blank)",'Final Calculation Sheet'!$O$21="",IF($P$4="(nonblank)",'Final Calculation Sheet'!$O$21&lt;&gt;"",ISNUMBER(SEARCH($P$4,'Final Calculation Sheet'!$O$21))))),IF($Q$4="",TRUE(),IF($Q$4="(blank)",'Final Calculation Sheet'!$P$21="",IF($Q$4="(nonblank)",'Final Calculation Sheet'!$P$21&lt;&gt;"",ISNUMBER(SEARCH($Q$4,'Final Calculation Sheet'!$P$21))))),IF($R$4="",TRUE(),IF($R$4="(blank)",'Final Calculation Sheet'!$Q$21="",IF($R$4="(nonblank)",'Final Calculation Sheet'!$Q$21&lt;&gt;"",ISNUMBER(SEARCH($R$4,'Final Calculation Sheet'!$Q$21))))),IF($S$4="",TRUE(),IF($S$4="(blank)",'Final Calculation Sheet'!$R$21="",IF($S$4="(nonblank)",'Final Calculation Sheet'!$R$21&lt;&gt;"",ISNUMBER(SEARCH($S$4,'Final Calculation Sheet'!$R$21))))),IF($T$4="",TRUE(),IF($T$4="(blank)",'Final Calculation Sheet'!$S$21="",IF($T$4="(nonblank)",'Final Calculation Sheet'!$S$21&lt;&gt;"",ISNUMBER(SEARCH($T$4,'Final Calculation Sheet'!$S$21))))),IF($U$4="",TRUE(),IF($U$4="(blank)",'Final Calculation Sheet'!$T$21="",IF($U$4="(nonblank)",'Final Calculation Sheet'!$T$21&lt;&gt;"",ISNUMBER(SEARCH($U$4,'Final Calculation Sheet'!$T$21))))),IF($V$4="",TRUE(),IF($V$4="(blank)",'Final Calculation Sheet'!$U$21="",IF($V$4="(nonblank)",'Final Calculation Sheet'!$U$21&lt;&gt;"",ISNUMBER(SEARCH($V$4,'Final Calculation Sheet'!$U$21))))),IF($W$4="",TRUE(),IF($W$4="(blank)",'Final Calculation Sheet'!$V$21="",IF($W$4="(nonblank)",'Final Calculation Sheet'!$V$21&lt;&gt;"",ISNUMBER(SEARCH($W$4,'Final Calculation Sheet'!$V$21))))),IF($X$4="",TRUE(),IF($X$4="(blank)",'Final Calculation Sheet'!$W$21="",IF($X$4="(nonblank)",'Final Calculation Sheet'!$W$21&lt;&gt;"",ISNUMBER(SEARCH($X$4,'Final Calculation Sheet'!$W$21))))),IF($Y$4="",TRUE(),IF($Y$4="(blank)",'Final Calculation Sheet'!$X$21="",IF($Y$4="(nonblank)",'Final Calculation Sheet'!$X$21&lt;&gt;"",ISNUMBER(SEARCH($Y$4,'Final Calculation Sheet'!$X$21))))),IF($Z$4="",TRUE(),IF($Z$4="(blank)",'Final Calculation Sheet'!$Y$21="",IF($Z$4="(nonblank)",'Final Calculation Sheet'!$Y$21&lt;&gt;"",ISNUMBER(SEARCH($Z$4,'Final Calculation Sheet'!$Y$21))))),IF($AA$4="",TRUE(),IF($AA$4="(blank)",'Final Calculation Sheet'!$Z$21="",IF($AA$4="(nonblank)",'Final Calculation Sheet'!$Z$21&lt;&gt;"",ISNUMBER(SEARCH($AA$4,'Final Calculation Sheet'!$Z$21))))),IF($AB$4="",TRUE(),IF($AB$4="(blank)",'Final Calculation Sheet'!$AA$21="",IF($AB$4="(nonblank)",'Final Calculation Sheet'!$AA$21&lt;&gt;"",ISNUMBER(SEARCH($AB$4,'Final Calculation Sheet'!$AA$21))))),IF($AC$4="",TRUE(),IF($AC$4="(blank)",'Final Calculation Sheet'!$AB$21="",IF($AC$4="(nonblank)",'Final Calculation Sheet'!$AB$21&lt;&gt;"",ISNUMBER(SEARCH($AC$4,'Final Calculation Sheet'!$AB$21))))),IF($AD$4="",TRUE(),IF($AD$4="(blank)",'Final Calculation Sheet'!$AC$21="",IF($AD$4="(nonblank)",'Final Calculation Sheet'!$AC$21&lt;&gt;"",ISNUMBER(SEARCH($AD$4,'Final Calculation Sheet'!$AC$21))))),IF($AE$4="",TRUE(),IF($AE$4="(blank)",'Final Calculation Sheet'!$AD$21="",IF($AE$4="(nonblank)",'Final Calculation Sheet'!$AD$21&lt;&gt;"",ISNUMBER(SEARCH($AE$4,'Final Calculation Sheet'!$AD$21))))),IF($AF$4="",TRUE(),IF($AF$4="(blank)",'Final Calculation Sheet'!$AE$21="",IF($AF$4="(nonblank)",'Final Calculation Sheet'!$AE$21&lt;&gt;"",ISNUMBER(SEARCH($AF$4,'Final Calculation Sheet'!$AE$21))))),IF($AG$4="",TRUE(),IF($AG$4="(blank)",'Final Calculation Sheet'!$AF$21="",IF($AG$4="(nonblank)",'Final Calculation Sheet'!$AF$21&lt;&gt;"",ISNUMBER(SEARCH($AG$4,'Final Calculation Sheet'!$AF$21))))),IF($AH$4="",TRUE(),IF($AH$4="(blank)",'Final Calculation Sheet'!$AG$21="",IF($AH$4="(nonblank)",'Final Calculation Sheet'!$AG$21&lt;&gt;"",ISNUMBER(SEARCH($AH$4,'Final Calculation Sheet'!$AG$21))))),IF($AI$4="",TRUE(),IF($AI$4="(blank)",IF('Final Calculation Sheet'!$AD$21&lt;=5,"SETTLED","OUTSTANDING")="",IF($AI$4="(nonblank)",IF('Final Calculation Sheet'!$AD$21&lt;=5,"SETTLED","OUTSTANDING")&lt;&gt;"",ISNUMBER(SEARCH($AI$4,IF('Final Calculation Sheet'!$AD$21&lt;=5,"SETTLED","OUTSTANDING")))))))</f>
        <v>1</v>
      </c>
      <c r="AK23" t="str">
        <f>IF(AJ23=1,COUNTIF(AJ$6:AJ23,1),"")</f>
        <v/>
      </c>
      <c r="AM23">
        <f>AM22+IF(AND(Lists!$O$23&lt;&gt;"",ISNUMBER(SEARCH($B$4,Lists!$O$23))),1,0)</f>
        <v>20</v>
      </c>
      <c r="AN23">
        <f>IF(ROW()-3&gt;MAX($AM$4:$AM$42),"",INDEX(Lists!$O$4:$O$42,MATCH(ROW()-3,$AM$4:$AM$42,0)))</f>
        <v>2025</v>
      </c>
      <c r="AO23">
        <f>AO22+IF(AND(Lists!$T$23&lt;&gt;"",ISNUMBER(SEARCH($C$4,Lists!$T$23))),1,0)</f>
        <v>13</v>
      </c>
      <c r="AP23" t="str">
        <f>IF(ROW()-3&gt;MAX($AO$4:$AO$42),"",INDEX(Lists!$T$4:$T$42,MATCH(ROW()-3,$AO$4:$AO$42,0)))</f>
        <v/>
      </c>
      <c r="AQ23">
        <f>AQ22+IF(AND(Lists!$Y$23&lt;&gt;"",ISNUMBER(SEARCH($D$4,Lists!$Y$23))),1,0)</f>
        <v>20</v>
      </c>
      <c r="AR23" t="str">
        <f>IF(ROW()-3&gt;MAX($AQ$4:$AQ$42),"",INDEX(Lists!$Y$4:$Y$42,MATCH(ROW()-3,$AQ$4:$AQ$42,0)))</f>
        <v>Scrap of empty oil Barrels</v>
      </c>
      <c r="AS23">
        <f>AS22+IF(AND(Lists!$AD$23&lt;&gt;"",ISNUMBER(SEARCH($E$4,Lists!$AD$23))),1,0)</f>
        <v>4</v>
      </c>
      <c r="AT23" t="str">
        <f>IF(ROW()-3&gt;MAX($AS$4:$AS$42),"",INDEX(Lists!$AD$4:$AD$42,MATCH(ROW()-3,$AS$4:$AS$42,0)))</f>
        <v/>
      </c>
      <c r="AU23">
        <f>AU22+IF(AND(Lists!$AI$23&lt;&gt;"",ISNUMBER(SEARCH($F$4,Lists!$AI$23))),1,0)</f>
        <v>20</v>
      </c>
      <c r="AV23">
        <f>IF(ROW()-3&gt;MAX($AU$4:$AU$42),"",INDEX(Lists!$AI$4:$AI$42,MATCH(ROW()-3,$AU$4:$AU$42,0)))</f>
        <v>3000</v>
      </c>
      <c r="AW23">
        <f>AW22+IF(AND(Lists!$AN$23&lt;&gt;"",ISNUMBER(SEARCH($G$4,Lists!$AN$23))),1,0)</f>
        <v>3</v>
      </c>
      <c r="AX23" t="str">
        <f>IF(ROW()-3&gt;MAX($AW$4:$AW$42),"",INDEX(Lists!$AN$4:$AN$42,MATCH(ROW()-3,$AW$4:$AW$42,0)))</f>
        <v/>
      </c>
      <c r="AY23">
        <f>AY22+IF(AND(Lists!$AS$23&lt;&gt;"",ISNUMBER(SEARCH($H$4,Lists!$AS$23))),1,0)</f>
        <v>20</v>
      </c>
      <c r="AZ23">
        <f>IF(ROW()-3&gt;MAX($AY$4:$AY$42),"",INDEX(Lists!$AS$4:$AS$42,MATCH(ROW()-3,$AY$4:$AY$42,0)))</f>
        <v>50003</v>
      </c>
      <c r="BA23">
        <f>BA22+IF(AND(Lists!$AX$23&lt;&gt;"",ISNUMBER(SEARCH($I$4,Lists!$AX$23))),1,0)</f>
        <v>20</v>
      </c>
      <c r="BB23">
        <f>IF(ROW()-3&gt;MAX($BA$4:$BA$42),"",INDEX(Lists!$AX$4:$AX$42,MATCH(ROW()-3,$BA$4:$BA$42,0)))</f>
        <v>160012</v>
      </c>
      <c r="BC23">
        <f>BC22+IF(AND(Lists!$BC$23&lt;&gt;"",ISNUMBER(SEARCH($J$4,Lists!$BC$23))),1,0)</f>
        <v>20</v>
      </c>
      <c r="BD23">
        <f>IF(ROW()-3&gt;MAX($BC$4:$BC$42),"",INDEX(Lists!$BC$4:$BC$42,MATCH(ROW()-3,$BC$4:$BC$42,0)))</f>
        <v>28802</v>
      </c>
      <c r="BE23">
        <f>BE22+IF(AND(Lists!$BH$23&lt;&gt;"",ISNUMBER(SEARCH($K$4,Lists!$BH$23))),1,0)</f>
        <v>20</v>
      </c>
      <c r="BF23">
        <f>IF(ROW()-3&gt;MAX($BE$4:$BE$42),"",INDEX(Lists!$BH$4:$BH$42,MATCH(ROW()-3,$BE$4:$BE$42,0)))</f>
        <v>188814</v>
      </c>
      <c r="BG23">
        <f>BG22+IF(AND(Lists!$BM$23&lt;&gt;"",ISNUMBER(SEARCH($L$4,Lists!$BM$23))),1,0)</f>
        <v>20</v>
      </c>
      <c r="BH23">
        <f>IF(ROW()-3&gt;MAX($BG$4:$BG$42),"",INDEX(Lists!$BM$4:$BM$42,MATCH(ROW()-3,$BG$4:$BG$42,0)))</f>
        <v>3776</v>
      </c>
      <c r="BI23">
        <f>BI22+IF(AND(Lists!$BR$23&lt;&gt;"",ISNUMBER(SEARCH($M$4,Lists!$BR$23))),1,0)</f>
        <v>20</v>
      </c>
      <c r="BJ23">
        <f>IF(ROW()-3&gt;MAX($BI$4:$BI$42),"",INDEX(Lists!$BR$4:$BR$42,MATCH(ROW()-3,$BI$4:$BI$42,0)))</f>
        <v>160.012</v>
      </c>
      <c r="BK23">
        <f>BK22+IF(AND(Lists!$BW$23&lt;&gt;"",ISNUMBER(SEARCH($N$4,Lists!$BW$23))),1,0)</f>
        <v>20</v>
      </c>
      <c r="BL23">
        <f>IF(ROW()-3&gt;MAX($BK$4:$BK$42),"",INDEX(Lists!$BW$4:$BW$42,MATCH(ROW()-3,$BK$4:$BK$42,0)))</f>
        <v>4248.3185999999996</v>
      </c>
      <c r="BM23">
        <f>BM22+IF(AND(Lists!$CB$23&lt;&gt;"",ISNUMBER(SEARCH($O$4,Lists!$CB$23))),1,0)</f>
        <v>20</v>
      </c>
      <c r="BN23">
        <f>IF(ROW()-3&gt;MAX($BM$4:$BM$42),"",INDEX(Lists!$CB$4:$CB$42,MATCH(ROW()-3,$BM$4:$BM$42,0)))</f>
        <v>72.005399999999995</v>
      </c>
      <c r="BO23">
        <f>BO22+IF(AND(Lists!$CG$23&lt;&gt;"",ISNUMBER(SEARCH($P$4,Lists!$CG$23))),1,0)</f>
        <v>20</v>
      </c>
      <c r="BP23">
        <f>IF(ROW()-3&gt;MAX($BO$4:$BO$42),"",INDEX(Lists!$CG$4:$CG$42,MATCH(ROW()-3,$BO$4:$BO$42,0)))</f>
        <v>4176.3131999999996</v>
      </c>
      <c r="BQ23">
        <f>BQ22+IF(AND(Lists!$CL$23&lt;&gt;"",ISNUMBER(SEARCH($Q$4,Lists!$CL$23))),1,0)</f>
        <v>20</v>
      </c>
      <c r="BR23">
        <f>IF(ROW()-3&gt;MAX($BQ$4:$BQ$42),"",INDEX(Lists!$CL$4:$CL$42,MATCH(ROW()-3,$BQ$4:$BQ$42,0)))</f>
        <v>4336</v>
      </c>
      <c r="BS23">
        <f>BS22+IF(AND(Lists!$CQ$23&lt;&gt;"",ISNUMBER(SEARCH($R$4,Lists!$CQ$23))),1,0)</f>
        <v>2</v>
      </c>
      <c r="BT23" t="str">
        <f>IF(ROW()-3&gt;MAX($BS$4:$BS$42),"",INDEX(Lists!$CQ$4:$CQ$42,MATCH(ROW()-3,$BS$4:$BS$42,0)))</f>
        <v/>
      </c>
      <c r="BU23">
        <f>BU22+IF(AND(Lists!$CV$23&lt;&gt;"",ISNUMBER(SEARCH($S$4,Lists!$CV$23))),1,0)</f>
        <v>5</v>
      </c>
      <c r="BV23" t="str">
        <f>IF(ROW()-3&gt;MAX($BU$4:$BU$42),"",INDEX(Lists!$CV$4:$CV$42,MATCH(ROW()-3,$BU$4:$BU$42,0)))</f>
        <v/>
      </c>
      <c r="BW23">
        <f>BW22+IF(AND(Lists!$DA$23&lt;&gt;"",ISNUMBER(SEARCH($T$4,Lists!$DA$23))),1,0)</f>
        <v>20</v>
      </c>
      <c r="BX23">
        <f>IF(ROW()-3&gt;MAX($BW$4:$BW$42),"",INDEX(Lists!$DA$4:$DA$42,MATCH(ROW()-3,$BW$4:$BW$42,0)))</f>
        <v>188254</v>
      </c>
      <c r="BY23">
        <f>BY22+IF(AND(Lists!$DF$23&lt;&gt;"",ISNUMBER(SEARCH($U$4,Lists!$DF$23))),1,0)</f>
        <v>20</v>
      </c>
      <c r="BZ23">
        <f>IF(ROW()-3&gt;MAX($BY$4:$BY$42),"",INDEX(Lists!$DF$4:$DF$42,MATCH(ROW()-3,$BY$4:$BY$42,0)))</f>
        <v>40003</v>
      </c>
      <c r="CA23">
        <f>CA22+IF(AND(Lists!$DK$23&lt;&gt;"",ISNUMBER(SEARCH($V$4,Lists!$DK$23))),1,0)</f>
        <v>20</v>
      </c>
      <c r="CB23">
        <f>IF(ROW()-3&gt;MAX($CA$4:$CA$42),"",INDEX(Lists!$DK$4:$DK$42,MATCH(ROW()-3,$CA$4:$CA$42,0)))</f>
        <v>40003</v>
      </c>
      <c r="CC23">
        <f>CC22+IF(AND(Lists!$DP$23&lt;&gt;"",ISNUMBER(SEARCH($W$4,Lists!$DP$23))),1,0)</f>
        <v>6</v>
      </c>
      <c r="CD23" t="str">
        <f>IF(ROW()-3&gt;MAX($CC$4:$CC$42),"",INDEX(Lists!$DP$4:$DP$42,MATCH(ROW()-3,$CC$4:$CC$42,0)))</f>
        <v/>
      </c>
      <c r="CE23">
        <f>CE22+IF(AND(Lists!$DU$23&lt;&gt;"",ISNUMBER(SEARCH($X$4,Lists!$DU$23))),1,0)</f>
        <v>20</v>
      </c>
      <c r="CF23">
        <f>IF(ROW()-3&gt;MAX($CE$4:$CE$42),"",INDEX(Lists!$DU$4:$DU$42,MATCH(ROW()-3,$CE$4:$CE$42,0)))</f>
        <v>148251</v>
      </c>
      <c r="CG23" t="e">
        <f>CG22+IF(AND(Lists!$DZ$23&lt;&gt;"",ISNUMBER(SEARCH($Y$4,Lists!$DZ$23))),1,0)</f>
        <v>#N/A</v>
      </c>
      <c r="CH23" t="e">
        <f>IF(ROW()-3&gt;MAX($CG$4:$CG$42),"",INDEX(Lists!$DZ$4:$DZ$42,MATCH(ROW()-3,$CG$4:$CG$42,0)))</f>
        <v>#N/A</v>
      </c>
      <c r="CI23" t="e">
        <f>CI22+IF(AND(Lists!$EE$23&lt;&gt;"",ISNUMBER(SEARCH($Z$4,Lists!$EE$23))),1,0)</f>
        <v>#N/A</v>
      </c>
      <c r="CJ23" t="e">
        <f>IF(ROW()-3&gt;MAX($CI$4:$CI$42),"",INDEX(Lists!$EE$4:$EE$42,MATCH(ROW()-3,$CI$4:$CI$42,0)))</f>
        <v>#N/A</v>
      </c>
      <c r="CK23">
        <f>CK22+IF(AND(Lists!$EJ$23&lt;&gt;"",ISNUMBER(SEARCH($AA$4,Lists!$EJ$23))),1,0)</f>
        <v>6</v>
      </c>
      <c r="CL23" t="str">
        <f>IF(ROW()-3&gt;MAX($CK$4:$CK$42),"",INDEX(Lists!$EJ$4:$EJ$42,MATCH(ROW()-3,$CK$4:$CK$42,0)))</f>
        <v/>
      </c>
      <c r="CM23" t="e">
        <f>CM22+IF(AND(Lists!$EO$23&lt;&gt;"",ISNUMBER(SEARCH($AB$4,Lists!$EO$23))),1,0)</f>
        <v>#N/A</v>
      </c>
      <c r="CN23" t="e">
        <f>IF(ROW()-3&gt;MAX($CM$4:$CM$42),"",INDEX(Lists!$EO$4:$EO$42,MATCH(ROW()-3,$CM$4:$CM$42,0)))</f>
        <v>#N/A</v>
      </c>
      <c r="CO23" t="e">
        <f>CO22+IF(AND(Lists!$ET$23&lt;&gt;"",ISNUMBER(SEARCH($AC$4,Lists!$ET$23))),1,0)</f>
        <v>#N/A</v>
      </c>
      <c r="CP23" t="e">
        <f>IF(ROW()-3&gt;MAX($CO$4:$CO$42),"",INDEX(Lists!$ET$4:$ET$42,MATCH(ROW()-3,$CO$4:$CO$42,0)))</f>
        <v>#N/A</v>
      </c>
      <c r="CQ23">
        <f>CQ22+IF(AND(Lists!$EY$23&lt;&gt;"",ISNUMBER(SEARCH($AD$4,Lists!$EY$23))),1,0)</f>
        <v>20</v>
      </c>
      <c r="CR23">
        <f>IF(ROW()-3&gt;MAX($CQ$4:$CQ$42),"",INDEX(Lists!$EY$4:$EY$42,MATCH(ROW()-3,$CQ$4:$CQ$42,0)))</f>
        <v>159710</v>
      </c>
      <c r="CS23" t="e">
        <f>CS22+IF(AND(Lists!$FD$23&lt;&gt;"",ISNUMBER(SEARCH($AE$4,Lists!$FD$23))),1,0)</f>
        <v>#N/A</v>
      </c>
      <c r="CT23" t="e">
        <f>IF(ROW()-3&gt;MAX($CS$4:$CS$42),"",INDEX(Lists!$FD$4:$FD$42,MATCH(ROW()-3,$CS$4:$CS$42,0)))</f>
        <v>#N/A</v>
      </c>
      <c r="CU23" t="e">
        <f>CU22+IF(AND(Lists!$FI$23&lt;&gt;"",ISNUMBER(SEARCH($AF$4,Lists!$FI$23))),1,0)</f>
        <v>#N/A</v>
      </c>
      <c r="CV23" t="e">
        <f>IF(ROW()-3&gt;MAX($CU$4:$CU$42),"",INDEX(Lists!$FI$4:$FI$42,MATCH(ROW()-3,$CU$4:$CU$42,0)))</f>
        <v>#N/A</v>
      </c>
      <c r="CW23" t="e">
        <f>CW22+IF(AND(Lists!$FN$23&lt;&gt;"",ISNUMBER(SEARCH($AG$4,Lists!$FN$23))),1,0)</f>
        <v>#N/A</v>
      </c>
      <c r="CX23" t="e">
        <f>IF(ROW()-3&gt;MAX($CW$4:$CW$42),"",INDEX(Lists!$FN$4:$FN$42,MATCH(ROW()-3,$CW$4:$CW$42,0)))</f>
        <v>#N/A</v>
      </c>
      <c r="CY23" t="e">
        <f>CY22+IF(AND(Lists!$FS$23&lt;&gt;"",ISNUMBER(SEARCH($AH$4,Lists!$FS$23))),1,0)</f>
        <v>#N/A</v>
      </c>
      <c r="CZ23" t="e">
        <f>IF(ROW()-3&gt;MAX($CY$4:$CY$42),"",INDEX(Lists!$FS$4:$FS$42,MATCH(ROW()-3,$CY$4:$CY$42,0)))</f>
        <v>#N/A</v>
      </c>
      <c r="DA23">
        <f>DA22+IF(AND(Lists!$FX$23&lt;&gt;"",ISNUMBER(SEARCH($AI$4,Lists!$FX$23))),1,0)</f>
        <v>2</v>
      </c>
      <c r="DB23" t="str">
        <f>IF(ROW()-3&gt;MAX($DA$4:$DA$42),"",INDEX(Lists!$FX$4:$FX$42,MATCH(ROW()-3,$DA$4:$DA$42,0)))</f>
        <v/>
      </c>
    </row>
    <row r="24" outlineLevel="1" ht="15" customHeight="1" s="137">
      <c r="A24" s="90" t="n">
        <v>8</v>
      </c>
      <c r="B24" s="92">
        <f>IF('Final Calculation Sheet'!$F$24="","",'Final Calculation Sheet'!$F$24)</f>
        <v>2027</v>
      </c>
      <c r="C24" s="92" t="str">
        <f>IF('Final Calculation Sheet'!$G$24="","",'Final Calculation Sheet'!$G$24)</f>
        <v>NATIONAL ENTERPRISES</v>
      </c>
      <c r="D24" s="94" t="str">
        <f>IF('Final Calculation Sheet'!$B$24="","",'Final Calculation Sheet'!$B$24)</f>
        <v>Scrap of 132 KV CT</v>
      </c>
      <c r="E24" s="94">
        <f>IF('Final Calculation Sheet'!$D$24="","",'Final Calculation Sheet'!$D$24)</f>
        <v>21978</v>
      </c>
      <c r="F24" s="94">
        <f>IF('Final Calculation Sheet'!$A$24="","",'Final Calculation Sheet'!$A$24)</f>
        <v>1</v>
      </c>
      <c r="G24" s="94" t="str">
        <f>IF('Final Calculation Sheet'!$E$24="","",'Final Calculation Sheet'!$E$24)</f>
        <v>NO</v>
      </c>
      <c r="H24" s="95">
        <f>IF('Final Calculation Sheet'!$C$24="","",'Final Calculation Sheet'!$C$24)</f>
        <v>50003</v>
      </c>
      <c r="I24" s="95">
        <f>IF('Final Calculation Sheet'!$H$24="","",'Final Calculation Sheet'!$H$24)</f>
        <v>50003</v>
      </c>
      <c r="J24" s="95">
        <f>IF('Final Calculation Sheet'!$I$24="","",'Final Calculation Sheet'!$I$24)</f>
        <v>9001</v>
      </c>
      <c r="K24" s="95">
        <f>IF('Final Calculation Sheet'!$J$24="","",'Final Calculation Sheet'!$J$24)</f>
        <v>59004</v>
      </c>
      <c r="L24" s="95">
        <f>IF('Final Calculation Sheet'!$K$24="","",'Final Calculation Sheet'!$K$24)</f>
        <v>1180</v>
      </c>
      <c r="M24" s="95">
        <f>IF('Final Calculation Sheet'!$L$24="","",'Final Calculation Sheet'!$L$24)</f>
        <v>50.003</v>
      </c>
      <c r="N24" s="95">
        <f>IF('Final Calculation Sheet'!$M$24="","",'Final Calculation Sheet'!$M$24)</f>
        <v>1327.5796499999999</v>
      </c>
      <c r="O24" s="96">
        <f>IF('Final Calculation Sheet'!$N$24="","",'Final Calculation Sheet'!$N$24)</f>
        <v>22.501349999999999</v>
      </c>
      <c r="P24" s="95">
        <f>IF('Final Calculation Sheet'!$O$24="","",'Final Calculation Sheet'!$O$24)</f>
        <v>1305.0782999999999</v>
      </c>
      <c r="Q24" s="95">
        <f>IF('Final Calculation Sheet'!$P$24="","",'Final Calculation Sheet'!$P$24)</f>
        <v>1355</v>
      </c>
      <c r="R24" s="97">
        <f>IF('Final Calculation Sheet'!$Q$24="","",'Final Calculation Sheet'!$Q$24)</f>
        <v>0</v>
      </c>
      <c r="S24" s="95">
        <f>IF('Final Calculation Sheet'!$R$24="","",'Final Calculation Sheet'!$R$24)</f>
        <v>0</v>
      </c>
      <c r="T24" s="95">
        <f>IF('Final Calculation Sheet'!$S$24="","",'Final Calculation Sheet'!$S$24)</f>
        <v>58829</v>
      </c>
      <c r="U24" s="95">
        <f>IF('Final Calculation Sheet'!$T$24="","",'Final Calculation Sheet'!$T$24)</f>
        <v>12501</v>
      </c>
      <c r="V24" s="98">
        <f>IF('Final Calculation Sheet'!$U$24="","",'Final Calculation Sheet'!$U$24)</f>
        <v>12501</v>
      </c>
      <c r="W24" s="95" t="str">
        <f>IF('Final Calculation Sheet'!$V$24="","",'Final Calculation Sheet'!$V$24)</f>
        <v>13.08.2026</v>
      </c>
      <c r="X24" s="95">
        <f>IF('Final Calculation Sheet'!$W$24="","",'Final Calculation Sheet'!$W$24)</f>
        <v>46328</v>
      </c>
      <c r="Y24" s="95">
        <f>IF('Final Calculation Sheet'!$X$24="","",'Final Calculation Sheet'!$X$24)</f>
        <v>46328</v>
      </c>
      <c r="Z24" s="95" t="str">
        <f>IF('Final Calculation Sheet'!$Y$24="","",'Final Calculation Sheet'!$Y$24)</f>
        <v>24.08.2026</v>
      </c>
      <c r="AA24" s="95">
        <f>IF('Final Calculation Sheet'!$Z$24="","",'Final Calculation Sheet'!$Z$24)</f>
        <v>0</v>
      </c>
      <c r="AB24" s="95" t="str">
        <f>IF('Final Calculation Sheet'!$AA$24="","",'Final Calculation Sheet'!$AA$24)</f>
        <v/>
      </c>
      <c r="AC24" s="95" t="str">
        <f>IF('Final Calculation Sheet'!$AB$24="","",'Final Calculation Sheet'!$AB$24)</f>
        <v/>
      </c>
      <c r="AD24" s="95">
        <f>IF('Final Calculation Sheet'!$AC$24="","",'Final Calculation Sheet'!$AC$24)</f>
        <v>58829</v>
      </c>
      <c r="AE24" s="95">
        <f>IF('Final Calculation Sheet'!$AD$24="","",'Final Calculation Sheet'!$AD$24)</f>
        <v>0</v>
      </c>
      <c r="AF24" s="95" t="str">
        <f>IF('Final Calculation Sheet'!$AE$24="","",'Final Calculation Sheet'!$AE$24)</f>
        <v>DR2640100036</v>
      </c>
      <c r="AG24" s="99">
        <f>IF('Final Calculation Sheet'!$AF$24="","",'Final Calculation Sheet'!$AF$24)</f>
        <v>1800003309</v>
      </c>
      <c r="AH24" s="95" t="str">
        <f>IF('Final Calculation Sheet'!$AG$24="","",'Final Calculation Sheet'!$AG$24)</f>
        <v>27.08.2026</v>
      </c>
      <c r="AI24" s="100" t="str">
        <f>IF('Final Calculation Sheet'!$AD$24="","",IF('Final Calculation Sheet'!$AD$24&lt;=5,"SETTLED","OUTSTANDING"))</f>
        <v>SETTLED</v>
      </c>
      <c r="AJ24" t="b">
        <f>AND(IF($B$4="",TRUE(),IF($B$4="(blank)",'Final Calculation Sheet'!$F$22="",IF($B$4="(nonblank)",'Final Calculation Sheet'!$F$22&lt;&gt;"",ISNUMBER(SEARCH($B$4,'Final Calculation Sheet'!$F$22))))),IF($C$4="",TRUE(),IF($C$4="(blank)",'Final Calculation Sheet'!$G$22="",IF($C$4="(nonblank)",'Final Calculation Sheet'!$G$22&lt;&gt;"",ISNUMBER(SEARCH($C$4,'Final Calculation Sheet'!$G$22))))),IF($D$4="",TRUE(),IF($D$4="(blank)",'Final Calculation Sheet'!$B$22="",IF($D$4="(nonblank)",'Final Calculation Sheet'!$B$22&lt;&gt;"",ISNUMBER(SEARCH($D$4,'Final Calculation Sheet'!$B$22))))),IF($E$4="",TRUE(),IF($E$4="(blank)",'Final Calculation Sheet'!$D$22="",IF($E$4="(nonblank)",'Final Calculation Sheet'!$D$22&lt;&gt;"",ISNUMBER(SEARCH($E$4,'Final Calculation Sheet'!$D$22))))),IF($F$4="",TRUE(),IF($F$4="(blank)",'Final Calculation Sheet'!$A$22="",IF($F$4="(nonblank)",'Final Calculation Sheet'!$A$22&lt;&gt;"",ISNUMBER(SEARCH($F$4,'Final Calculation Sheet'!$A$22))))),IF($G$4="",TRUE(),IF($G$4="(blank)",'Final Calculation Sheet'!$E$22="",IF($G$4="(nonblank)",'Final Calculation Sheet'!$E$22&lt;&gt;"",ISNUMBER(SEARCH($G$4,'Final Calculation Sheet'!$E$22))))),IF($H$4="",TRUE(),IF($H$4="(blank)",'Final Calculation Sheet'!$C$22="",IF($H$4="(nonblank)",'Final Calculation Sheet'!$C$22&lt;&gt;"",ISNUMBER(SEARCH($H$4,'Final Calculation Sheet'!$C$22))))),IF($I$4="",TRUE(),IF($I$4="(blank)",'Final Calculation Sheet'!$H$22="",IF($I$4="(nonblank)",'Final Calculation Sheet'!$H$22&lt;&gt;"",ISNUMBER(SEARCH($I$4,'Final Calculation Sheet'!$H$22))))),IF($J$4="",TRUE(),IF($J$4="(blank)",'Final Calculation Sheet'!$I$22="",IF($J$4="(nonblank)",'Final Calculation Sheet'!$I$22&lt;&gt;"",ISNUMBER(SEARCH($J$4,'Final Calculation Sheet'!$I$22))))),IF($K$4="",TRUE(),IF($K$4="(blank)",'Final Calculation Sheet'!$J$22="",IF($K$4="(nonblank)",'Final Calculation Sheet'!$J$22&lt;&gt;"",ISNUMBER(SEARCH($K$4,'Final Calculation Sheet'!$J$22))))),IF($L$4="",TRUE(),IF($L$4="(blank)",'Final Calculation Sheet'!$K$22="",IF($L$4="(nonblank)",'Final Calculation Sheet'!$K$22&lt;&gt;"",ISNUMBER(SEARCH($L$4,'Final Calculation Sheet'!$K$22))))),IF($M$4="",TRUE(),IF($M$4="(blank)",'Final Calculation Sheet'!$L$22="",IF($M$4="(nonblank)",'Final Calculation Sheet'!$L$22&lt;&gt;"",ISNUMBER(SEARCH($M$4,'Final Calculation Sheet'!$L$22))))),IF($N$4="",TRUE(),IF($N$4="(blank)",'Final Calculation Sheet'!$M$22="",IF($N$4="(nonblank)",'Final Calculation Sheet'!$M$22&lt;&gt;"",ISNUMBER(SEARCH($N$4,'Final Calculation Sheet'!$M$22))))),IF($O$4="",TRUE(),IF($O$4="(blank)",'Final Calculation Sheet'!$N$22="",IF($O$4="(nonblank)",'Final Calculation Sheet'!$N$22&lt;&gt;"",ISNUMBER(SEARCH($O$4,'Final Calculation Sheet'!$N$22))))),IF($P$4="",TRUE(),IF($P$4="(blank)",'Final Calculation Sheet'!$O$22="",IF($P$4="(nonblank)",'Final Calculation Sheet'!$O$22&lt;&gt;"",ISNUMBER(SEARCH($P$4,'Final Calculation Sheet'!$O$22))))),IF($Q$4="",TRUE(),IF($Q$4="(blank)",'Final Calculation Sheet'!$P$22="",IF($Q$4="(nonblank)",'Final Calculation Sheet'!$P$22&lt;&gt;"",ISNUMBER(SEARCH($Q$4,'Final Calculation Sheet'!$P$22))))),IF($R$4="",TRUE(),IF($R$4="(blank)",'Final Calculation Sheet'!$Q$22="",IF($R$4="(nonblank)",'Final Calculation Sheet'!$Q$22&lt;&gt;"",ISNUMBER(SEARCH($R$4,'Final Calculation Sheet'!$Q$22))))),IF($S$4="",TRUE(),IF($S$4="(blank)",'Final Calculation Sheet'!$R$22="",IF($S$4="(nonblank)",'Final Calculation Sheet'!$R$22&lt;&gt;"",ISNUMBER(SEARCH($S$4,'Final Calculation Sheet'!$R$22))))),IF($T$4="",TRUE(),IF($T$4="(blank)",'Final Calculation Sheet'!$S$22="",IF($T$4="(nonblank)",'Final Calculation Sheet'!$S$22&lt;&gt;"",ISNUMBER(SEARCH($T$4,'Final Calculation Sheet'!$S$22))))),IF($U$4="",TRUE(),IF($U$4="(blank)",'Final Calculation Sheet'!$T$22="",IF($U$4="(nonblank)",'Final Calculation Sheet'!$T$22&lt;&gt;"",ISNUMBER(SEARCH($U$4,'Final Calculation Sheet'!$T$22))))),IF($V$4="",TRUE(),IF($V$4="(blank)",'Final Calculation Sheet'!$U$22="",IF($V$4="(nonblank)",'Final Calculation Sheet'!$U$22&lt;&gt;"",ISNUMBER(SEARCH($V$4,'Final Calculation Sheet'!$U$22))))),IF($W$4="",TRUE(),IF($W$4="(blank)",'Final Calculation Sheet'!$V$22="",IF($W$4="(nonblank)",'Final Calculation Sheet'!$V$22&lt;&gt;"",ISNUMBER(SEARCH($W$4,'Final Calculation Sheet'!$V$22))))),IF($X$4="",TRUE(),IF($X$4="(blank)",'Final Calculation Sheet'!$W$22="",IF($X$4="(nonblank)",'Final Calculation Sheet'!$W$22&lt;&gt;"",ISNUMBER(SEARCH($X$4,'Final Calculation Sheet'!$W$22))))),IF($Y$4="",TRUE(),IF($Y$4="(blank)",'Final Calculation Sheet'!$X$22="",IF($Y$4="(nonblank)",'Final Calculation Sheet'!$X$22&lt;&gt;"",ISNUMBER(SEARCH($Y$4,'Final Calculation Sheet'!$X$22))))),IF($Z$4="",TRUE(),IF($Z$4="(blank)",'Final Calculation Sheet'!$Y$22="",IF($Z$4="(nonblank)",'Final Calculation Sheet'!$Y$22&lt;&gt;"",ISNUMBER(SEARCH($Z$4,'Final Calculation Sheet'!$Y$22))))),IF($AA$4="",TRUE(),IF($AA$4="(blank)",'Final Calculation Sheet'!$Z$22="",IF($AA$4="(nonblank)",'Final Calculation Sheet'!$Z$22&lt;&gt;"",ISNUMBER(SEARCH($AA$4,'Final Calculation Sheet'!$Z$22))))),IF($AB$4="",TRUE(),IF($AB$4="(blank)",'Final Calculation Sheet'!$AA$22="",IF($AB$4="(nonblank)",'Final Calculation Sheet'!$AA$22&lt;&gt;"",ISNUMBER(SEARCH($AB$4,'Final Calculation Sheet'!$AA$22))))),IF($AC$4="",TRUE(),IF($AC$4="(blank)",'Final Calculation Sheet'!$AB$22="",IF($AC$4="(nonblank)",'Final Calculation Sheet'!$AB$22&lt;&gt;"",ISNUMBER(SEARCH($AC$4,'Final Calculation Sheet'!$AB$22))))),IF($AD$4="",TRUE(),IF($AD$4="(blank)",'Final Calculation Sheet'!$AC$22="",IF($AD$4="(nonblank)",'Final Calculation Sheet'!$AC$22&lt;&gt;"",ISNUMBER(SEARCH($AD$4,'Final Calculation Sheet'!$AC$22))))),IF($AE$4="",TRUE(),IF($AE$4="(blank)",'Final Calculation Sheet'!$AD$22="",IF($AE$4="(nonblank)",'Final Calculation Sheet'!$AD$22&lt;&gt;"",ISNUMBER(SEARCH($AE$4,'Final Calculation Sheet'!$AD$22))))),IF($AF$4="",TRUE(),IF($AF$4="(blank)",'Final Calculation Sheet'!$AE$22="",IF($AF$4="(nonblank)",'Final Calculation Sheet'!$AE$22&lt;&gt;"",ISNUMBER(SEARCH($AF$4,'Final Calculation Sheet'!$AE$22))))),IF($AG$4="",TRUE(),IF($AG$4="(blank)",'Final Calculation Sheet'!$AF$22="",IF($AG$4="(nonblank)",'Final Calculation Sheet'!$AF$22&lt;&gt;"",ISNUMBER(SEARCH($AG$4,'Final Calculation Sheet'!$AF$22))))),IF($AH$4="",TRUE(),IF($AH$4="(blank)",'Final Calculation Sheet'!$AG$22="",IF($AH$4="(nonblank)",'Final Calculation Sheet'!$AG$22&lt;&gt;"",ISNUMBER(SEARCH($AH$4,'Final Calculation Sheet'!$AG$22))))),IF($AI$4="",TRUE(),IF($AI$4="(blank)",IF('Final Calculation Sheet'!$AD$22&lt;=5,"SETTLED","OUTSTANDING")="",IF($AI$4="(nonblank)",IF('Final Calculation Sheet'!$AD$22&lt;=5,"SETTLED","OUTSTANDING")&lt;&gt;"",ISNUMBER(SEARCH($AI$4,IF('Final Calculation Sheet'!$AD$22&lt;=5,"SETTLED","OUTSTANDING")))))))</f>
        <v>1</v>
      </c>
      <c r="AK24" t="str">
        <f>IF(AJ24=1,COUNTIF(AJ$6:AJ24,1),"")</f>
        <v/>
      </c>
      <c r="AM24">
        <f>AM23+IF(AND(Lists!$O$24&lt;&gt;"",ISNUMBER(SEARCH($B$4,Lists!$O$24))),1,0)</f>
        <v>21</v>
      </c>
      <c r="AN24">
        <f>IF(ROW()-3&gt;MAX($AM$4:$AM$42),"",INDEX(Lists!$O$4:$O$42,MATCH(ROW()-3,$AM$4:$AM$42,0)))</f>
        <v>2027</v>
      </c>
      <c r="AO24">
        <f>AO23+IF(AND(Lists!$T$24&lt;&gt;"",ISNUMBER(SEARCH($C$4,Lists!$T$24))),1,0)</f>
        <v>13</v>
      </c>
      <c r="AP24" t="str">
        <f>IF(ROW()-3&gt;MAX($AO$4:$AO$42),"",INDEX(Lists!$T$4:$T$42,MATCH(ROW()-3,$AO$4:$AO$42,0)))</f>
        <v/>
      </c>
      <c r="AQ24">
        <f>AQ23+IF(AND(Lists!$Y$24&lt;&gt;"",ISNUMBER(SEARCH($D$4,Lists!$Y$24))),1,0)</f>
        <v>21</v>
      </c>
      <c r="AR24" t="str">
        <f>IF(ROW()-3&gt;MAX($AQ$4:$AQ$42),"",INDEX(Lists!$Y$4:$Y$42,MATCH(ROW()-3,$AQ$4:$AQ$42,0)))</f>
        <v>Scrap of empty oil Druam</v>
      </c>
      <c r="AS24">
        <f>AS23+IF(AND(Lists!$AD$24&lt;&gt;"",ISNUMBER(SEARCH($E$4,Lists!$AD$24))),1,0)</f>
        <v>4</v>
      </c>
      <c r="AT24" t="str">
        <f>IF(ROW()-3&gt;MAX($AS$4:$AS$42),"",INDEX(Lists!$AD$4:$AD$42,MATCH(ROW()-3,$AS$4:$AS$42,0)))</f>
        <v/>
      </c>
      <c r="AU24">
        <f>AU23+IF(AND(Lists!$AI$24&lt;&gt;"",ISNUMBER(SEARCH($F$4,Lists!$AI$24))),1,0)</f>
        <v>21</v>
      </c>
      <c r="AV24">
        <f>IF(ROW()-3&gt;MAX($AU$4:$AU$42),"",INDEX(Lists!$AI$4:$AI$42,MATCH(ROW()-3,$AU$4:$AU$42,0)))</f>
        <v>3500</v>
      </c>
      <c r="AW24">
        <f>AW23+IF(AND(Lists!$AN$24&lt;&gt;"",ISNUMBER(SEARCH($G$4,Lists!$AN$24))),1,0)</f>
        <v>3</v>
      </c>
      <c r="AX24" t="str">
        <f>IF(ROW()-3&gt;MAX($AW$4:$AW$42),"",INDEX(Lists!$AN$4:$AN$42,MATCH(ROW()-3,$AW$4:$AW$42,0)))</f>
        <v/>
      </c>
      <c r="AY24">
        <f>AY23+IF(AND(Lists!$AS$24&lt;&gt;"",ISNUMBER(SEARCH($H$4,Lists!$AS$24))),1,0)</f>
        <v>21</v>
      </c>
      <c r="AZ24">
        <f>IF(ROW()-3&gt;MAX($AY$4:$AY$42),"",INDEX(Lists!$AS$4:$AS$42,MATCH(ROW()-3,$AY$4:$AY$42,0)))</f>
        <v>51511</v>
      </c>
      <c r="BA24">
        <f>BA23+IF(AND(Lists!$AX$24&lt;&gt;"",ISNUMBER(SEARCH($I$4,Lists!$AX$24))),1,0)</f>
        <v>21</v>
      </c>
      <c r="BB24">
        <f>IF(ROW()-3&gt;MAX($BA$4:$BA$42),"",INDEX(Lists!$AX$4:$AX$42,MATCH(ROW()-3,$BA$4:$BA$42,0)))</f>
        <v>198000</v>
      </c>
      <c r="BC24">
        <f>BC23+IF(AND(Lists!$BC$24&lt;&gt;"",ISNUMBER(SEARCH($J$4,Lists!$BC$24))),1,0)</f>
        <v>21</v>
      </c>
      <c r="BD24">
        <f>IF(ROW()-3&gt;MAX($BC$4:$BC$42),"",INDEX(Lists!$BC$4:$BC$42,MATCH(ROW()-3,$BC$4:$BC$42,0)))</f>
        <v>35640</v>
      </c>
      <c r="BE24">
        <f>BE23+IF(AND(Lists!$BH$24&lt;&gt;"",ISNUMBER(SEARCH($K$4,Lists!$BH$24))),1,0)</f>
        <v>21</v>
      </c>
      <c r="BF24">
        <f>IF(ROW()-3&gt;MAX($BE$4:$BE$42),"",INDEX(Lists!$BH$4:$BH$42,MATCH(ROW()-3,$BE$4:$BE$42,0)))</f>
        <v>233640</v>
      </c>
      <c r="BG24">
        <f>BG23+IF(AND(Lists!$BM$24&lt;&gt;"",ISNUMBER(SEARCH($L$4,Lists!$BM$24))),1,0)</f>
        <v>21</v>
      </c>
      <c r="BH24">
        <f>IF(ROW()-3&gt;MAX($BG$4:$BG$42),"",INDEX(Lists!$BM$4:$BM$42,MATCH(ROW()-3,$BG$4:$BG$42,0)))</f>
        <v>4673</v>
      </c>
      <c r="BI24">
        <f>BI23+IF(AND(Lists!$BR$24&lt;&gt;"",ISNUMBER(SEARCH($M$4,Lists!$BR$24))),1,0)</f>
        <v>21</v>
      </c>
      <c r="BJ24">
        <f>IF(ROW()-3&gt;MAX($BI$4:$BI$42),"",INDEX(Lists!$BR$4:$BR$42,MATCH(ROW()-3,$BI$4:$BI$42,0)))</f>
        <v>198</v>
      </c>
      <c r="BK24">
        <f>BK23+IF(AND(Lists!$BW$24&lt;&gt;"",ISNUMBER(SEARCH($N$4,Lists!$BW$24))),1,0)</f>
        <v>21</v>
      </c>
      <c r="BL24">
        <f>IF(ROW()-3&gt;MAX($BK$4:$BK$42),"",INDEX(Lists!$BW$4:$BW$42,MATCH(ROW()-3,$BK$4:$BK$42,0)))</f>
        <v>5256.9</v>
      </c>
      <c r="BM24">
        <f>BM23+IF(AND(Lists!$CB$24&lt;&gt;"",ISNUMBER(SEARCH($O$4,Lists!$CB$24))),1,0)</f>
        <v>21</v>
      </c>
      <c r="BN24">
        <f>IF(ROW()-3&gt;MAX($BM$4:$BM$42),"",INDEX(Lists!$CB$4:$CB$42,MATCH(ROW()-3,$BM$4:$BM$42,0)))</f>
        <v>89.100000000000009</v>
      </c>
      <c r="BO24">
        <f>BO23+IF(AND(Lists!$CG$24&lt;&gt;"",ISNUMBER(SEARCH($P$4,Lists!$CG$24))),1,0)</f>
        <v>21</v>
      </c>
      <c r="BP24">
        <f>IF(ROW()-3&gt;MAX($BO$4:$BO$42),"",INDEX(Lists!$CG$4:$CG$42,MATCH(ROW()-3,$BO$4:$BO$42,0)))</f>
        <v>5167.7999999999993</v>
      </c>
      <c r="BQ24">
        <f>BQ23+IF(AND(Lists!$CL$24&lt;&gt;"",ISNUMBER(SEARCH($Q$4,Lists!$CL$24))),1,0)</f>
        <v>21</v>
      </c>
      <c r="BR24">
        <f>IF(ROW()-3&gt;MAX($BQ$4:$BQ$42),"",INDEX(Lists!$CL$4:$CL$42,MATCH(ROW()-3,$BQ$4:$BQ$42,0)))</f>
        <v>5366</v>
      </c>
      <c r="BS24">
        <f>BS23+IF(AND(Lists!$CQ$24&lt;&gt;"",ISNUMBER(SEARCH($R$4,Lists!$CQ$24))),1,0)</f>
        <v>2</v>
      </c>
      <c r="BT24" t="str">
        <f>IF(ROW()-3&gt;MAX($BS$4:$BS$42),"",INDEX(Lists!$CQ$4:$CQ$42,MATCH(ROW()-3,$BS$4:$BS$42,0)))</f>
        <v/>
      </c>
      <c r="BU24">
        <f>BU23+IF(AND(Lists!$CV$24&lt;&gt;"",ISNUMBER(SEARCH($S$4,Lists!$CV$24))),1,0)</f>
        <v>5</v>
      </c>
      <c r="BV24" t="str">
        <f>IF(ROW()-3&gt;MAX($BU$4:$BU$42),"",INDEX(Lists!$CV$4:$CV$42,MATCH(ROW()-3,$BU$4:$BU$42,0)))</f>
        <v/>
      </c>
      <c r="BW24">
        <f>BW23+IF(AND(Lists!$DA$24&lt;&gt;"",ISNUMBER(SEARCH($T$4,Lists!$DA$24))),1,0)</f>
        <v>21</v>
      </c>
      <c r="BX24">
        <f>IF(ROW()-3&gt;MAX($BW$4:$BW$42),"",INDEX(Lists!$DA$4:$DA$42,MATCH(ROW()-3,$BW$4:$BW$42,0)))</f>
        <v>232947</v>
      </c>
      <c r="BY24">
        <f>BY23+IF(AND(Lists!$DF$24&lt;&gt;"",ISNUMBER(SEARCH($U$4,Lists!$DF$24))),1,0)</f>
        <v>21</v>
      </c>
      <c r="BZ24">
        <f>IF(ROW()-3&gt;MAX($BY$4:$BY$42),"",INDEX(Lists!$DF$4:$DF$42,MATCH(ROW()-3,$BY$4:$BY$42,0)))</f>
        <v>49500</v>
      </c>
      <c r="CA24">
        <f>CA23+IF(AND(Lists!$DK$24&lt;&gt;"",ISNUMBER(SEARCH($V$4,Lists!$DK$24))),1,0)</f>
        <v>21</v>
      </c>
      <c r="CB24">
        <f>IF(ROW()-3&gt;MAX($CA$4:$CA$42),"",INDEX(Lists!$DK$4:$DK$42,MATCH(ROW()-3,$CA$4:$CA$42,0)))</f>
        <v>49500</v>
      </c>
      <c r="CC24">
        <f>CC23+IF(AND(Lists!$DP$24&lt;&gt;"",ISNUMBER(SEARCH($W$4,Lists!$DP$24))),1,0)</f>
        <v>6</v>
      </c>
      <c r="CD24" t="str">
        <f>IF(ROW()-3&gt;MAX($CC$4:$CC$42),"",INDEX(Lists!$DP$4:$DP$42,MATCH(ROW()-3,$CC$4:$CC$42,0)))</f>
        <v/>
      </c>
      <c r="CE24">
        <f>CE23+IF(AND(Lists!$DU$24&lt;&gt;"",ISNUMBER(SEARCH($X$4,Lists!$DU$24))),1,0)</f>
        <v>21</v>
      </c>
      <c r="CF24">
        <f>IF(ROW()-3&gt;MAX($CE$4:$CE$42),"",INDEX(Lists!$DU$4:$DU$42,MATCH(ROW()-3,$CE$4:$CE$42,0)))</f>
        <v>183447</v>
      </c>
      <c r="CG24" t="e">
        <f>CG23+IF(AND(Lists!$DZ$24&lt;&gt;"",ISNUMBER(SEARCH($Y$4,Lists!$DZ$24))),1,0)</f>
        <v>#N/A</v>
      </c>
      <c r="CH24" t="e">
        <f>IF(ROW()-3&gt;MAX($CG$4:$CG$42),"",INDEX(Lists!$DZ$4:$DZ$42,MATCH(ROW()-3,$CG$4:$CG$42,0)))</f>
        <v>#N/A</v>
      </c>
      <c r="CI24" t="e">
        <f>CI23+IF(AND(Lists!$EE$24&lt;&gt;"",ISNUMBER(SEARCH($Z$4,Lists!$EE$24))),1,0)</f>
        <v>#N/A</v>
      </c>
      <c r="CJ24" t="e">
        <f>IF(ROW()-3&gt;MAX($CI$4:$CI$42),"",INDEX(Lists!$EE$4:$EE$42,MATCH(ROW()-3,$CI$4:$CI$42,0)))</f>
        <v>#N/A</v>
      </c>
      <c r="CK24">
        <f>CK23+IF(AND(Lists!$EJ$24&lt;&gt;"",ISNUMBER(SEARCH($AA$4,Lists!$EJ$24))),1,0)</f>
        <v>6</v>
      </c>
      <c r="CL24" t="str">
        <f>IF(ROW()-3&gt;MAX($CK$4:$CK$42),"",INDEX(Lists!$EJ$4:$EJ$42,MATCH(ROW()-3,$CK$4:$CK$42,0)))</f>
        <v/>
      </c>
      <c r="CM24" t="e">
        <f>CM23+IF(AND(Lists!$EO$24&lt;&gt;"",ISNUMBER(SEARCH($AB$4,Lists!$EO$24))),1,0)</f>
        <v>#N/A</v>
      </c>
      <c r="CN24" t="e">
        <f>IF(ROW()-3&gt;MAX($CM$4:$CM$42),"",INDEX(Lists!$EO$4:$EO$42,MATCH(ROW()-3,$CM$4:$CM$42,0)))</f>
        <v>#N/A</v>
      </c>
      <c r="CO24" t="e">
        <f>CO23+IF(AND(Lists!$ET$24&lt;&gt;"",ISNUMBER(SEARCH($AC$4,Lists!$ET$24))),1,0)</f>
        <v>#N/A</v>
      </c>
      <c r="CP24" t="e">
        <f>IF(ROW()-3&gt;MAX($CO$4:$CO$42),"",INDEX(Lists!$ET$4:$ET$42,MATCH(ROW()-3,$CO$4:$CO$42,0)))</f>
        <v>#N/A</v>
      </c>
      <c r="CQ24">
        <f>CQ23+IF(AND(Lists!$EY$24&lt;&gt;"",ISNUMBER(SEARCH($AD$4,Lists!$EY$24))),1,0)</f>
        <v>21</v>
      </c>
      <c r="CR24">
        <f>IF(ROW()-3&gt;MAX($CQ$4:$CQ$42),"",INDEX(Lists!$EY$4:$EY$42,MATCH(ROW()-3,$CQ$4:$CQ$42,0)))</f>
        <v>184240</v>
      </c>
      <c r="CS24" t="e">
        <f>CS23+IF(AND(Lists!$FD$24&lt;&gt;"",ISNUMBER(SEARCH($AE$4,Lists!$FD$24))),1,0)</f>
        <v>#N/A</v>
      </c>
      <c r="CT24" t="e">
        <f>IF(ROW()-3&gt;MAX($CS$4:$CS$42),"",INDEX(Lists!$FD$4:$FD$42,MATCH(ROW()-3,$CS$4:$CS$42,0)))</f>
        <v>#N/A</v>
      </c>
      <c r="CU24" t="e">
        <f>CU23+IF(AND(Lists!$FI$24&lt;&gt;"",ISNUMBER(SEARCH($AF$4,Lists!$FI$24))),1,0)</f>
        <v>#N/A</v>
      </c>
      <c r="CV24" t="e">
        <f>IF(ROW()-3&gt;MAX($CU$4:$CU$42),"",INDEX(Lists!$FI$4:$FI$42,MATCH(ROW()-3,$CU$4:$CU$42,0)))</f>
        <v>#N/A</v>
      </c>
      <c r="CW24" t="e">
        <f>CW23+IF(AND(Lists!$FN$24&lt;&gt;"",ISNUMBER(SEARCH($AG$4,Lists!$FN$24))),1,0)</f>
        <v>#N/A</v>
      </c>
      <c r="CX24" t="e">
        <f>IF(ROW()-3&gt;MAX($CW$4:$CW$42),"",INDEX(Lists!$FN$4:$FN$42,MATCH(ROW()-3,$CW$4:$CW$42,0)))</f>
        <v>#N/A</v>
      </c>
      <c r="CY24" t="e">
        <f>CY23+IF(AND(Lists!$FS$24&lt;&gt;"",ISNUMBER(SEARCH($AH$4,Lists!$FS$24))),1,0)</f>
        <v>#N/A</v>
      </c>
      <c r="CZ24" t="e">
        <f>IF(ROW()-3&gt;MAX($CY$4:$CY$42),"",INDEX(Lists!$FS$4:$FS$42,MATCH(ROW()-3,$CY$4:$CY$42,0)))</f>
        <v>#N/A</v>
      </c>
      <c r="DA24">
        <f>DA23+IF(AND(Lists!$FX$24&lt;&gt;"",ISNUMBER(SEARCH($AI$4,Lists!$FX$24))),1,0)</f>
        <v>2</v>
      </c>
      <c r="DB24" t="str">
        <f>IF(ROW()-3&gt;MAX($DA$4:$DA$42),"",INDEX(Lists!$FX$4:$FX$42,MATCH(ROW()-3,$DA$4:$DA$42,0)))</f>
        <v/>
      </c>
    </row>
    <row r="25" outlineLevel="1" ht="15" customHeight="1" s="137">
      <c r="A25" s="67" t="n">
        <v>9</v>
      </c>
      <c r="B25" s="76">
        <f>IF('Final Calculation Sheet'!$F$26="","",'Final Calculation Sheet'!$F$26)</f>
        <v>2035</v>
      </c>
      <c r="C25" s="76" t="str">
        <f>IF('Final Calculation Sheet'!$G$26="","",'Final Calculation Sheet'!$G$26)</f>
        <v>NATIONAL ENTERPRISES</v>
      </c>
      <c r="D25" s="80" t="str">
        <f>IF('Final Calculation Sheet'!$B$26="","",'Final Calculation Sheet'!$B$26)</f>
        <v>Scrap of 132 KV Wave Trap</v>
      </c>
      <c r="E25" s="80">
        <f>IF('Final Calculation Sheet'!$D$26="","",'Final Calculation Sheet'!$D$26)</f>
        <v>21978</v>
      </c>
      <c r="F25" s="80">
        <f>IF('Final Calculation Sheet'!$A$26="","",'Final Calculation Sheet'!$A$26)</f>
        <v>2</v>
      </c>
      <c r="G25" s="80" t="str">
        <f>IF('Final Calculation Sheet'!$E$26="","",'Final Calculation Sheet'!$E$26)</f>
        <v>NO</v>
      </c>
      <c r="H25" s="70">
        <f>IF('Final Calculation Sheet'!$C$26="","",'Final Calculation Sheet'!$C$26)</f>
        <v>14001</v>
      </c>
      <c r="I25" s="70">
        <f>IF('Final Calculation Sheet'!$H$26="","",'Final Calculation Sheet'!$H$26)</f>
        <v>28002</v>
      </c>
      <c r="J25" s="70">
        <f>IF('Final Calculation Sheet'!$I$26="","",'Final Calculation Sheet'!$I$26)</f>
        <v>5040</v>
      </c>
      <c r="K25" s="70">
        <f>IF('Final Calculation Sheet'!$J$26="","",'Final Calculation Sheet'!$J$26)</f>
        <v>33042</v>
      </c>
      <c r="L25" s="70">
        <f>IF('Final Calculation Sheet'!$K$26="","",'Final Calculation Sheet'!$K$26)</f>
        <v>661</v>
      </c>
      <c r="M25" s="70">
        <f>IF('Final Calculation Sheet'!$L$26="","",'Final Calculation Sheet'!$L$26)</f>
        <v>28.001999999999999</v>
      </c>
      <c r="N25" s="70">
        <f>IF('Final Calculation Sheet'!$M$26="","",'Final Calculation Sheet'!$M$26)</f>
        <v>743.45309999999995</v>
      </c>
      <c r="O25" s="71">
        <f>IF('Final Calculation Sheet'!$N$26="","",'Final Calculation Sheet'!$N$26)</f>
        <v>12.600899999999999</v>
      </c>
      <c r="P25" s="70">
        <f>IF('Final Calculation Sheet'!$O$26="","",'Final Calculation Sheet'!$O$26)</f>
        <v>730.85219999999993</v>
      </c>
      <c r="Q25" s="70">
        <f>IF('Final Calculation Sheet'!$P$26="","",'Final Calculation Sheet'!$P$26)</f>
        <v>759</v>
      </c>
      <c r="R25" s="72">
        <f>IF('Final Calculation Sheet'!$Q$26="","",'Final Calculation Sheet'!$Q$26)</f>
        <v>0</v>
      </c>
      <c r="S25" s="70">
        <f>IF('Final Calculation Sheet'!$R$26="","",'Final Calculation Sheet'!$R$26)</f>
        <v>0</v>
      </c>
      <c r="T25" s="70">
        <f>IF('Final Calculation Sheet'!$S$26="","",'Final Calculation Sheet'!$S$26)</f>
        <v>32944</v>
      </c>
      <c r="U25" s="70">
        <f>IF('Final Calculation Sheet'!$T$26="","",'Final Calculation Sheet'!$T$26)</f>
        <v>7001</v>
      </c>
      <c r="V25" s="73">
        <f>IF('Final Calculation Sheet'!$U$26="","",'Final Calculation Sheet'!$U$26)</f>
        <v>7001</v>
      </c>
      <c r="W25" s="70" t="str">
        <f>IF('Final Calculation Sheet'!$V$26="","",'Final Calculation Sheet'!$V$26)</f>
        <v>13.08.2026</v>
      </c>
      <c r="X25" s="70">
        <f>IF('Final Calculation Sheet'!$W$26="","",'Final Calculation Sheet'!$W$26)</f>
        <v>25944</v>
      </c>
      <c r="Y25" s="70">
        <f>IF('Final Calculation Sheet'!$X$26="","",'Final Calculation Sheet'!$X$26)</f>
        <v>25943</v>
      </c>
      <c r="Z25" s="70" t="str">
        <f>IF('Final Calculation Sheet'!$Y$26="","",'Final Calculation Sheet'!$Y$26)</f>
        <v>24.08.2026</v>
      </c>
      <c r="AA25" s="70">
        <f>IF('Final Calculation Sheet'!$Z$26="","",'Final Calculation Sheet'!$Z$26)</f>
        <v>0</v>
      </c>
      <c r="AB25" s="70" t="str">
        <f>IF('Final Calculation Sheet'!$AA$26="","",'Final Calculation Sheet'!$AA$26)</f>
        <v/>
      </c>
      <c r="AC25" s="70" t="str">
        <f>IF('Final Calculation Sheet'!$AB$26="","",'Final Calculation Sheet'!$AB$26)</f>
        <v/>
      </c>
      <c r="AD25" s="70">
        <f>IF('Final Calculation Sheet'!$AC$26="","",'Final Calculation Sheet'!$AC$26)</f>
        <v>32944</v>
      </c>
      <c r="AE25" s="70">
        <f>IF('Final Calculation Sheet'!$AD$26="","",'Final Calculation Sheet'!$AD$26)</f>
        <v>0</v>
      </c>
      <c r="AF25" s="70" t="str">
        <f>IF('Final Calculation Sheet'!$AE$26="","",'Final Calculation Sheet'!$AE$26)</f>
        <v>DR2640100037</v>
      </c>
      <c r="AG25" s="74">
        <f>IF('Final Calculation Sheet'!$AF$26="","",'Final Calculation Sheet'!$AF$26)</f>
        <v>1800003310</v>
      </c>
      <c r="AH25" s="70" t="str">
        <f>IF('Final Calculation Sheet'!$AG$26="","",'Final Calculation Sheet'!$AG$26)</f>
        <v>27.08.2026</v>
      </c>
      <c r="AI25" s="75" t="str">
        <f>IF('Final Calculation Sheet'!$AD$26="","",IF('Final Calculation Sheet'!$AD$26&lt;=5,"SETTLED","OUTSTANDING"))</f>
        <v>SETTLED</v>
      </c>
      <c r="AJ25" t="b">
        <f>AND(IF($B$4="",TRUE(),IF($B$4="(blank)",'Final Calculation Sheet'!$F$23="",IF($B$4="(nonblank)",'Final Calculation Sheet'!$F$23&lt;&gt;"",ISNUMBER(SEARCH($B$4,'Final Calculation Sheet'!$F$23))))),IF($C$4="",TRUE(),IF($C$4="(blank)",'Final Calculation Sheet'!$G$23="",IF($C$4="(nonblank)",'Final Calculation Sheet'!$G$23&lt;&gt;"",ISNUMBER(SEARCH($C$4,'Final Calculation Sheet'!$G$23))))),IF($D$4="",TRUE(),IF($D$4="(blank)",'Final Calculation Sheet'!$B$23="",IF($D$4="(nonblank)",'Final Calculation Sheet'!$B$23&lt;&gt;"",ISNUMBER(SEARCH($D$4,'Final Calculation Sheet'!$B$23))))),IF($E$4="",TRUE(),IF($E$4="(blank)",'Final Calculation Sheet'!$D$23="",IF($E$4="(nonblank)",'Final Calculation Sheet'!$D$23&lt;&gt;"",ISNUMBER(SEARCH($E$4,'Final Calculation Sheet'!$D$23))))),IF($F$4="",TRUE(),IF($F$4="(blank)",'Final Calculation Sheet'!$A$23="",IF($F$4="(nonblank)",'Final Calculation Sheet'!$A$23&lt;&gt;"",ISNUMBER(SEARCH($F$4,'Final Calculation Sheet'!$A$23))))),IF($G$4="",TRUE(),IF($G$4="(blank)",'Final Calculation Sheet'!$E$23="",IF($G$4="(nonblank)",'Final Calculation Sheet'!$E$23&lt;&gt;"",ISNUMBER(SEARCH($G$4,'Final Calculation Sheet'!$E$23))))),IF($H$4="",TRUE(),IF($H$4="(blank)",'Final Calculation Sheet'!$C$23="",IF($H$4="(nonblank)",'Final Calculation Sheet'!$C$23&lt;&gt;"",ISNUMBER(SEARCH($H$4,'Final Calculation Sheet'!$C$23))))),IF($I$4="",TRUE(),IF($I$4="(blank)",'Final Calculation Sheet'!$H$23="",IF($I$4="(nonblank)",'Final Calculation Sheet'!$H$23&lt;&gt;"",ISNUMBER(SEARCH($I$4,'Final Calculation Sheet'!$H$23))))),IF($J$4="",TRUE(),IF($J$4="(blank)",'Final Calculation Sheet'!$I$23="",IF($J$4="(nonblank)",'Final Calculation Sheet'!$I$23&lt;&gt;"",ISNUMBER(SEARCH($J$4,'Final Calculation Sheet'!$I$23))))),IF($K$4="",TRUE(),IF($K$4="(blank)",'Final Calculation Sheet'!$J$23="",IF($K$4="(nonblank)",'Final Calculation Sheet'!$J$23&lt;&gt;"",ISNUMBER(SEARCH($K$4,'Final Calculation Sheet'!$J$23))))),IF($L$4="",TRUE(),IF($L$4="(blank)",'Final Calculation Sheet'!$K$23="",IF($L$4="(nonblank)",'Final Calculation Sheet'!$K$23&lt;&gt;"",ISNUMBER(SEARCH($L$4,'Final Calculation Sheet'!$K$23))))),IF($M$4="",TRUE(),IF($M$4="(blank)",'Final Calculation Sheet'!$L$23="",IF($M$4="(nonblank)",'Final Calculation Sheet'!$L$23&lt;&gt;"",ISNUMBER(SEARCH($M$4,'Final Calculation Sheet'!$L$23))))),IF($N$4="",TRUE(),IF($N$4="(blank)",'Final Calculation Sheet'!$M$23="",IF($N$4="(nonblank)",'Final Calculation Sheet'!$M$23&lt;&gt;"",ISNUMBER(SEARCH($N$4,'Final Calculation Sheet'!$M$23))))),IF($O$4="",TRUE(),IF($O$4="(blank)",'Final Calculation Sheet'!$N$23="",IF($O$4="(nonblank)",'Final Calculation Sheet'!$N$23&lt;&gt;"",ISNUMBER(SEARCH($O$4,'Final Calculation Sheet'!$N$23))))),IF($P$4="",TRUE(),IF($P$4="(blank)",'Final Calculation Sheet'!$O$23="",IF($P$4="(nonblank)",'Final Calculation Sheet'!$O$23&lt;&gt;"",ISNUMBER(SEARCH($P$4,'Final Calculation Sheet'!$O$23))))),IF($Q$4="",TRUE(),IF($Q$4="(blank)",'Final Calculation Sheet'!$P$23="",IF($Q$4="(nonblank)",'Final Calculation Sheet'!$P$23&lt;&gt;"",ISNUMBER(SEARCH($Q$4,'Final Calculation Sheet'!$P$23))))),IF($R$4="",TRUE(),IF($R$4="(blank)",'Final Calculation Sheet'!$Q$23="",IF($R$4="(nonblank)",'Final Calculation Sheet'!$Q$23&lt;&gt;"",ISNUMBER(SEARCH($R$4,'Final Calculation Sheet'!$Q$23))))),IF($S$4="",TRUE(),IF($S$4="(blank)",'Final Calculation Sheet'!$R$23="",IF($S$4="(nonblank)",'Final Calculation Sheet'!$R$23&lt;&gt;"",ISNUMBER(SEARCH($S$4,'Final Calculation Sheet'!$R$23))))),IF($T$4="",TRUE(),IF($T$4="(blank)",'Final Calculation Sheet'!$S$23="",IF($T$4="(nonblank)",'Final Calculation Sheet'!$S$23&lt;&gt;"",ISNUMBER(SEARCH($T$4,'Final Calculation Sheet'!$S$23))))),IF($U$4="",TRUE(),IF($U$4="(blank)",'Final Calculation Sheet'!$T$23="",IF($U$4="(nonblank)",'Final Calculation Sheet'!$T$23&lt;&gt;"",ISNUMBER(SEARCH($U$4,'Final Calculation Sheet'!$T$23))))),IF($V$4="",TRUE(),IF($V$4="(blank)",'Final Calculation Sheet'!$U$23="",IF($V$4="(nonblank)",'Final Calculation Sheet'!$U$23&lt;&gt;"",ISNUMBER(SEARCH($V$4,'Final Calculation Sheet'!$U$23))))),IF($W$4="",TRUE(),IF($W$4="(blank)",'Final Calculation Sheet'!$V$23="",IF($W$4="(nonblank)",'Final Calculation Sheet'!$V$23&lt;&gt;"",ISNUMBER(SEARCH($W$4,'Final Calculation Sheet'!$V$23))))),IF($X$4="",TRUE(),IF($X$4="(blank)",'Final Calculation Sheet'!$W$23="",IF($X$4="(nonblank)",'Final Calculation Sheet'!$W$23&lt;&gt;"",ISNUMBER(SEARCH($X$4,'Final Calculation Sheet'!$W$23))))),IF($Y$4="",TRUE(),IF($Y$4="(blank)",'Final Calculation Sheet'!$X$23="",IF($Y$4="(nonblank)",'Final Calculation Sheet'!$X$23&lt;&gt;"",ISNUMBER(SEARCH($Y$4,'Final Calculation Sheet'!$X$23))))),IF($Z$4="",TRUE(),IF($Z$4="(blank)",'Final Calculation Sheet'!$Y$23="",IF($Z$4="(nonblank)",'Final Calculation Sheet'!$Y$23&lt;&gt;"",ISNUMBER(SEARCH($Z$4,'Final Calculation Sheet'!$Y$23))))),IF($AA$4="",TRUE(),IF($AA$4="(blank)",'Final Calculation Sheet'!$Z$23="",IF($AA$4="(nonblank)",'Final Calculation Sheet'!$Z$23&lt;&gt;"",ISNUMBER(SEARCH($AA$4,'Final Calculation Sheet'!$Z$23))))),IF($AB$4="",TRUE(),IF($AB$4="(blank)",'Final Calculation Sheet'!$AA$23="",IF($AB$4="(nonblank)",'Final Calculation Sheet'!$AA$23&lt;&gt;"",ISNUMBER(SEARCH($AB$4,'Final Calculation Sheet'!$AA$23))))),IF($AC$4="",TRUE(),IF($AC$4="(blank)",'Final Calculation Sheet'!$AB$23="",IF($AC$4="(nonblank)",'Final Calculation Sheet'!$AB$23&lt;&gt;"",ISNUMBER(SEARCH($AC$4,'Final Calculation Sheet'!$AB$23))))),IF($AD$4="",TRUE(),IF($AD$4="(blank)",'Final Calculation Sheet'!$AC$23="",IF($AD$4="(nonblank)",'Final Calculation Sheet'!$AC$23&lt;&gt;"",ISNUMBER(SEARCH($AD$4,'Final Calculation Sheet'!$AC$23))))),IF($AE$4="",TRUE(),IF($AE$4="(blank)",'Final Calculation Sheet'!$AD$23="",IF($AE$4="(nonblank)",'Final Calculation Sheet'!$AD$23&lt;&gt;"",ISNUMBER(SEARCH($AE$4,'Final Calculation Sheet'!$AD$23))))),IF($AF$4="",TRUE(),IF($AF$4="(blank)",'Final Calculation Sheet'!$AE$23="",IF($AF$4="(nonblank)",'Final Calculation Sheet'!$AE$23&lt;&gt;"",ISNUMBER(SEARCH($AF$4,'Final Calculation Sheet'!$AE$23))))),IF($AG$4="",TRUE(),IF($AG$4="(blank)",'Final Calculation Sheet'!$AF$23="",IF($AG$4="(nonblank)",'Final Calculation Sheet'!$AF$23&lt;&gt;"",ISNUMBER(SEARCH($AG$4,'Final Calculation Sheet'!$AF$23))))),IF($AH$4="",TRUE(),IF($AH$4="(blank)",'Final Calculation Sheet'!$AG$23="",IF($AH$4="(nonblank)",'Final Calculation Sheet'!$AG$23&lt;&gt;"",ISNUMBER(SEARCH($AH$4,'Final Calculation Sheet'!$AG$23))))),IF($AI$4="",TRUE(),IF($AI$4="(blank)",IF('Final Calculation Sheet'!$AD$23&lt;=5,"SETTLED","OUTSTANDING")="",IF($AI$4="(nonblank)",IF('Final Calculation Sheet'!$AD$23&lt;=5,"SETTLED","OUTSTANDING")&lt;&gt;"",ISNUMBER(SEARCH($AI$4,IF('Final Calculation Sheet'!$AD$23&lt;=5,"SETTLED","OUTSTANDING")))))))</f>
        <v>1</v>
      </c>
      <c r="AK25" t="str">
        <f>IF(AJ25=1,COUNTIF(AJ$6:AJ25,1),"")</f>
        <v/>
      </c>
      <c r="AM25">
        <f>AM24+IF(AND(Lists!$O$25&lt;&gt;"",ISNUMBER(SEARCH($B$4,Lists!$O$25))),1,0)</f>
        <v>22</v>
      </c>
      <c r="AN25">
        <f>IF(ROW()-3&gt;MAX($AM$4:$AM$42),"",INDEX(Lists!$O$4:$O$42,MATCH(ROW()-3,$AM$4:$AM$42,0)))</f>
        <v>2033</v>
      </c>
      <c r="AO25">
        <f>AO24+IF(AND(Lists!$T$25&lt;&gt;"",ISNUMBER(SEARCH($C$4,Lists!$T$25))),1,0)</f>
        <v>13</v>
      </c>
      <c r="AP25" t="str">
        <f>IF(ROW()-3&gt;MAX($AO$4:$AO$42),"",INDEX(Lists!$T$4:$T$42,MATCH(ROW()-3,$AO$4:$AO$42,0)))</f>
        <v/>
      </c>
      <c r="AQ25">
        <f>AQ24+IF(AND(Lists!$Y$25&lt;&gt;"",ISNUMBER(SEARCH($D$4,Lists!$Y$25))),1,0)</f>
        <v>22</v>
      </c>
      <c r="AR25" t="str">
        <f>IF(ROW()-3&gt;MAX($AQ$4:$AQ$42),"",INDEX(Lists!$Y$4:$Y$42,MATCH(ROW()-3,$AQ$4:$AQ$42,0)))</f>
        <v>Scrap of Empty oil drum</v>
      </c>
      <c r="AS25">
        <f>AS24+IF(AND(Lists!$AD$25&lt;&gt;"",ISNUMBER(SEARCH($E$4,Lists!$AD$25))),1,0)</f>
        <v>4</v>
      </c>
      <c r="AT25" t="str">
        <f>IF(ROW()-3&gt;MAX($AS$4:$AS$42),"",INDEX(Lists!$AD$4:$AD$42,MATCH(ROW()-3,$AS$4:$AS$42,0)))</f>
        <v/>
      </c>
      <c r="AU25">
        <f>AU24+IF(AND(Lists!$AI$25&lt;&gt;"",ISNUMBER(SEARCH($F$4,Lists!$AI$25))),1,0)</f>
        <v>22</v>
      </c>
      <c r="AV25">
        <f>IF(ROW()-3&gt;MAX($AU$4:$AU$42),"",INDEX(Lists!$AI$4:$AI$42,MATCH(ROW()-3,$AU$4:$AU$42,0)))</f>
        <v>7253</v>
      </c>
      <c r="AW25">
        <f>AW24+IF(AND(Lists!$AN$25&lt;&gt;"",ISNUMBER(SEARCH($G$4,Lists!$AN$25))),1,0)</f>
        <v>3</v>
      </c>
      <c r="AX25" t="str">
        <f>IF(ROW()-3&gt;MAX($AW$4:$AW$42),"",INDEX(Lists!$AN$4:$AN$42,MATCH(ROW()-3,$AW$4:$AW$42,0)))</f>
        <v/>
      </c>
      <c r="AY25">
        <f>AY24+IF(AND(Lists!$AS$25&lt;&gt;"",ISNUMBER(SEARCH($H$4,Lists!$AS$25))),1,0)</f>
        <v>22</v>
      </c>
      <c r="AZ25">
        <f>IF(ROW()-3&gt;MAX($AY$4:$AY$42),"",INDEX(Lists!$AS$4:$AS$42,MATCH(ROW()-3,$AY$4:$AY$42,0)))</f>
        <v>54000</v>
      </c>
      <c r="BA25">
        <f>BA24+IF(AND(Lists!$AX$25&lt;&gt;"",ISNUMBER(SEARCH($I$4,Lists!$AX$25))),1,0)</f>
        <v>22</v>
      </c>
      <c r="BB25">
        <f>IF(ROW()-3&gt;MAX($BA$4:$BA$42),"",INDEX(Lists!$AX$4:$AX$42,MATCH(ROW()-3,$BA$4:$BA$42,0)))</f>
        <v>206044</v>
      </c>
      <c r="BC25">
        <f>BC24+IF(AND(Lists!$BC$25&lt;&gt;"",ISNUMBER(SEARCH($J$4,Lists!$BC$25))),1,0)</f>
        <v>22</v>
      </c>
      <c r="BD25">
        <f>IF(ROW()-3&gt;MAX($BC$4:$BC$42),"",INDEX(Lists!$BC$4:$BC$42,MATCH(ROW()-3,$BC$4:$BC$42,0)))</f>
        <v>37088</v>
      </c>
      <c r="BE25">
        <f>BE24+IF(AND(Lists!$BH$25&lt;&gt;"",ISNUMBER(SEARCH($K$4,Lists!$BH$25))),1,0)</f>
        <v>22</v>
      </c>
      <c r="BF25">
        <f>IF(ROW()-3&gt;MAX($BE$4:$BE$42),"",INDEX(Lists!$BH$4:$BH$42,MATCH(ROW()-3,$BE$4:$BE$42,0)))</f>
        <v>243132</v>
      </c>
      <c r="BG25">
        <f>BG24+IF(AND(Lists!$BM$25&lt;&gt;"",ISNUMBER(SEARCH($L$4,Lists!$BM$25))),1,0)</f>
        <v>22</v>
      </c>
      <c r="BH25">
        <f>IF(ROW()-3&gt;MAX($BG$4:$BG$42),"",INDEX(Lists!$BM$4:$BM$42,MATCH(ROW()-3,$BG$4:$BG$42,0)))</f>
        <v>4863</v>
      </c>
      <c r="BI25">
        <f>BI24+IF(AND(Lists!$BR$25&lt;&gt;"",ISNUMBER(SEARCH($M$4,Lists!$BR$25))),1,0)</f>
        <v>22</v>
      </c>
      <c r="BJ25">
        <f>IF(ROW()-3&gt;MAX($BI$4:$BI$42),"",INDEX(Lists!$BR$4:$BR$42,MATCH(ROW()-3,$BI$4:$BI$42,0)))</f>
        <v>206.04400000000001</v>
      </c>
      <c r="BK25">
        <f>BK24+IF(AND(Lists!$BW$25&lt;&gt;"",ISNUMBER(SEARCH($N$4,Lists!$BW$25))),1,0)</f>
        <v>22</v>
      </c>
      <c r="BL25">
        <f>IF(ROW()-3&gt;MAX($BK$4:$BK$42),"",INDEX(Lists!$BW$4:$BW$42,MATCH(ROW()-3,$BK$4:$BK$42,0)))</f>
        <v>5470.4681999999993</v>
      </c>
      <c r="BM25">
        <f>BM24+IF(AND(Lists!$CB$25&lt;&gt;"",ISNUMBER(SEARCH($O$4,Lists!$CB$25))),1,0)</f>
        <v>22</v>
      </c>
      <c r="BN25">
        <f>IF(ROW()-3&gt;MAX($BM$4:$BM$42),"",INDEX(Lists!$CB$4:$CB$42,MATCH(ROW()-3,$BM$4:$BM$42,0)))</f>
        <v>92.719799999999992</v>
      </c>
      <c r="BO25">
        <f>BO24+IF(AND(Lists!$CG$25&lt;&gt;"",ISNUMBER(SEARCH($P$4,Lists!$CG$25))),1,0)</f>
        <v>22</v>
      </c>
      <c r="BP25">
        <f>IF(ROW()-3&gt;MAX($BO$4:$BO$42),"",INDEX(Lists!$CG$4:$CG$42,MATCH(ROW()-3,$BO$4:$BO$42,0)))</f>
        <v>5377.7483999999995</v>
      </c>
      <c r="BQ25">
        <f>BQ24+IF(AND(Lists!$CL$25&lt;&gt;"",ISNUMBER(SEARCH($Q$4,Lists!$CL$25))),1,0)</f>
        <v>22</v>
      </c>
      <c r="BR25">
        <f>IF(ROW()-3&gt;MAX($BQ$4:$BQ$42),"",INDEX(Lists!$CL$4:$CL$42,MATCH(ROW()-3,$BQ$4:$BQ$42,0)))</f>
        <v>5584</v>
      </c>
      <c r="BS25">
        <f>BS24+IF(AND(Lists!$CQ$25&lt;&gt;"",ISNUMBER(SEARCH($R$4,Lists!$CQ$25))),1,0)</f>
        <v>2</v>
      </c>
      <c r="BT25" t="str">
        <f>IF(ROW()-3&gt;MAX($BS$4:$BS$42),"",INDEX(Lists!$CQ$4:$CQ$42,MATCH(ROW()-3,$BS$4:$BS$42,0)))</f>
        <v/>
      </c>
      <c r="BU25">
        <f>BU24+IF(AND(Lists!$CV$25&lt;&gt;"",ISNUMBER(SEARCH($S$4,Lists!$CV$25))),1,0)</f>
        <v>5</v>
      </c>
      <c r="BV25" t="str">
        <f>IF(ROW()-3&gt;MAX($BU$4:$BU$42),"",INDEX(Lists!$CV$4:$CV$42,MATCH(ROW()-3,$BU$4:$BU$42,0)))</f>
        <v/>
      </c>
      <c r="BW25">
        <f>BW24+IF(AND(Lists!$DA$25&lt;&gt;"",ISNUMBER(SEARCH($T$4,Lists!$DA$25))),1,0)</f>
        <v>22</v>
      </c>
      <c r="BX25">
        <f>IF(ROW()-3&gt;MAX($BW$4:$BW$42),"",INDEX(Lists!$DA$4:$DA$42,MATCH(ROW()-3,$BW$4:$BW$42,0)))</f>
        <v>242411</v>
      </c>
      <c r="BY25">
        <f>BY24+IF(AND(Lists!$DF$25&lt;&gt;"",ISNUMBER(SEARCH($U$4,Lists!$DF$25))),1,0)</f>
        <v>22</v>
      </c>
      <c r="BZ25">
        <f>IF(ROW()-3&gt;MAX($BY$4:$BY$42),"",INDEX(Lists!$DF$4:$DF$42,MATCH(ROW()-3,$BY$4:$BY$42,0)))</f>
        <v>51511</v>
      </c>
      <c r="CA25">
        <f>CA24+IF(AND(Lists!$DK$25&lt;&gt;"",ISNUMBER(SEARCH($V$4,Lists!$DK$25))),1,0)</f>
        <v>22</v>
      </c>
      <c r="CB25">
        <f>IF(ROW()-3&gt;MAX($CA$4:$CA$42),"",INDEX(Lists!$DK$4:$DK$42,MATCH(ROW()-3,$CA$4:$CA$42,0)))</f>
        <v>51511</v>
      </c>
      <c r="CC25">
        <f>CC24+IF(AND(Lists!$DP$25&lt;&gt;"",ISNUMBER(SEARCH($W$4,Lists!$DP$25))),1,0)</f>
        <v>6</v>
      </c>
      <c r="CD25" t="str">
        <f>IF(ROW()-3&gt;MAX($CC$4:$CC$42),"",INDEX(Lists!$DP$4:$DP$42,MATCH(ROW()-3,$CC$4:$CC$42,0)))</f>
        <v/>
      </c>
      <c r="CE25">
        <f>CE24+IF(AND(Lists!$DU$25&lt;&gt;"",ISNUMBER(SEARCH($X$4,Lists!$DU$25))),1,0)</f>
        <v>22</v>
      </c>
      <c r="CF25">
        <f>IF(ROW()-3&gt;MAX($CE$4:$CE$42),"",INDEX(Lists!$DU$4:$DU$42,MATCH(ROW()-3,$CE$4:$CE$42,0)))</f>
        <v>190900</v>
      </c>
      <c r="CG25" t="e">
        <f>CG24+IF(AND(Lists!$DZ$25&lt;&gt;"",ISNUMBER(SEARCH($Y$4,Lists!$DZ$25))),1,0)</f>
        <v>#N/A</v>
      </c>
      <c r="CH25" t="e">
        <f>IF(ROW()-3&gt;MAX($CG$4:$CG$42),"",INDEX(Lists!$DZ$4:$DZ$42,MATCH(ROW()-3,$CG$4:$CG$42,0)))</f>
        <v>#N/A</v>
      </c>
      <c r="CI25" t="e">
        <f>CI24+IF(AND(Lists!$EE$25&lt;&gt;"",ISNUMBER(SEARCH($Z$4,Lists!$EE$25))),1,0)</f>
        <v>#N/A</v>
      </c>
      <c r="CJ25" t="e">
        <f>IF(ROW()-3&gt;MAX($CI$4:$CI$42),"",INDEX(Lists!$EE$4:$EE$42,MATCH(ROW()-3,$CI$4:$CI$42,0)))</f>
        <v>#N/A</v>
      </c>
      <c r="CK25">
        <f>CK24+IF(AND(Lists!$EJ$25&lt;&gt;"",ISNUMBER(SEARCH($AA$4,Lists!$EJ$25))),1,0)</f>
        <v>6</v>
      </c>
      <c r="CL25" t="str">
        <f>IF(ROW()-3&gt;MAX($CK$4:$CK$42),"",INDEX(Lists!$EJ$4:$EJ$42,MATCH(ROW()-3,$CK$4:$CK$42,0)))</f>
        <v/>
      </c>
      <c r="CM25" t="e">
        <f>CM24+IF(AND(Lists!$EO$25&lt;&gt;"",ISNUMBER(SEARCH($AB$4,Lists!$EO$25))),1,0)</f>
        <v>#N/A</v>
      </c>
      <c r="CN25" t="e">
        <f>IF(ROW()-3&gt;MAX($CM$4:$CM$42),"",INDEX(Lists!$EO$4:$EO$42,MATCH(ROW()-3,$CM$4:$CM$42,0)))</f>
        <v>#N/A</v>
      </c>
      <c r="CO25" t="e">
        <f>CO24+IF(AND(Lists!$ET$25&lt;&gt;"",ISNUMBER(SEARCH($AC$4,Lists!$ET$25))),1,0)</f>
        <v>#N/A</v>
      </c>
      <c r="CP25" t="e">
        <f>IF(ROW()-3&gt;MAX($CO$4:$CO$42),"",INDEX(Lists!$ET$4:$ET$42,MATCH(ROW()-3,$CO$4:$CO$42,0)))</f>
        <v>#N/A</v>
      </c>
      <c r="CQ25">
        <f>CQ24+IF(AND(Lists!$EY$25&lt;&gt;"",ISNUMBER(SEARCH($AD$4,Lists!$EY$25))),1,0)</f>
        <v>22</v>
      </c>
      <c r="CR25">
        <f>IF(ROW()-3&gt;MAX($CQ$4:$CQ$42),"",INDEX(Lists!$EY$4:$EY$42,MATCH(ROW()-3,$CQ$4:$CQ$42,0)))</f>
        <v>188254</v>
      </c>
      <c r="CS25" t="e">
        <f>CS24+IF(AND(Lists!$FD$25&lt;&gt;"",ISNUMBER(SEARCH($AE$4,Lists!$FD$25))),1,0)</f>
        <v>#N/A</v>
      </c>
      <c r="CT25" t="e">
        <f>IF(ROW()-3&gt;MAX($CS$4:$CS$42),"",INDEX(Lists!$FD$4:$FD$42,MATCH(ROW()-3,$CS$4:$CS$42,0)))</f>
        <v>#N/A</v>
      </c>
      <c r="CU25" t="e">
        <f>CU24+IF(AND(Lists!$FI$25&lt;&gt;"",ISNUMBER(SEARCH($AF$4,Lists!$FI$25))),1,0)</f>
        <v>#N/A</v>
      </c>
      <c r="CV25" t="e">
        <f>IF(ROW()-3&gt;MAX($CU$4:$CU$42),"",INDEX(Lists!$FI$4:$FI$42,MATCH(ROW()-3,$CU$4:$CU$42,0)))</f>
        <v>#N/A</v>
      </c>
      <c r="CW25" t="e">
        <f>CW24+IF(AND(Lists!$FN$25&lt;&gt;"",ISNUMBER(SEARCH($AG$4,Lists!$FN$25))),1,0)</f>
        <v>#N/A</v>
      </c>
      <c r="CX25" t="e">
        <f>IF(ROW()-3&gt;MAX($CW$4:$CW$42),"",INDEX(Lists!$FN$4:$FN$42,MATCH(ROW()-3,$CW$4:$CW$42,0)))</f>
        <v>#N/A</v>
      </c>
      <c r="CY25" t="e">
        <f>CY24+IF(AND(Lists!$FS$25&lt;&gt;"",ISNUMBER(SEARCH($AH$4,Lists!$FS$25))),1,0)</f>
        <v>#N/A</v>
      </c>
      <c r="CZ25" t="e">
        <f>IF(ROW()-3&gt;MAX($CY$4:$CY$42),"",INDEX(Lists!$FS$4:$FS$42,MATCH(ROW()-3,$CY$4:$CY$42,0)))</f>
        <v>#N/A</v>
      </c>
      <c r="DA25">
        <f>DA24+IF(AND(Lists!$FX$25&lt;&gt;"",ISNUMBER(SEARCH($AI$4,Lists!$FX$25))),1,0)</f>
        <v>2</v>
      </c>
      <c r="DB25" t="str">
        <f>IF(ROW()-3&gt;MAX($DA$4:$DA$42),"",INDEX(Lists!$FX$4:$FX$42,MATCH(ROW()-3,$DA$4:$DA$42,0)))</f>
        <v/>
      </c>
    </row>
    <row r="26" outlineLevel="1" ht="15" customHeight="1" s="137">
      <c r="A26" s="90" t="n">
        <v>10</v>
      </c>
      <c r="B26" s="92">
        <f>IF('Final Calculation Sheet'!$F$30="","",'Final Calculation Sheet'!$F$30)</f>
        <v>2043</v>
      </c>
      <c r="C26" s="92" t="str">
        <f>IF('Final Calculation Sheet'!$G$30="","",'Final Calculation Sheet'!$G$30)</f>
        <v>NATIONAL ENTERPRISES</v>
      </c>
      <c r="D26" s="94" t="str">
        <f>IF('Final Calculation Sheet'!$B$30="","",'Final Calculation Sheet'!$B$30)</f>
        <v>Scrap of 132 KV CT</v>
      </c>
      <c r="E26" s="94">
        <f>IF('Final Calculation Sheet'!$D$30="","",'Final Calculation Sheet'!$D$30)</f>
        <v>21979</v>
      </c>
      <c r="F26" s="94">
        <f>IF('Final Calculation Sheet'!$A$30="","",'Final Calculation Sheet'!$A$30)</f>
        <v>5</v>
      </c>
      <c r="G26" s="94" t="str">
        <f>IF('Final Calculation Sheet'!$E$30="","",'Final Calculation Sheet'!$E$30)</f>
        <v>NO</v>
      </c>
      <c r="H26" s="95">
        <f>IF('Final Calculation Sheet'!$C$30="","",'Final Calculation Sheet'!$C$30)</f>
        <v>80000</v>
      </c>
      <c r="I26" s="95">
        <f>IF('Final Calculation Sheet'!$H$30="","",'Final Calculation Sheet'!$H$30)</f>
        <v>400000</v>
      </c>
      <c r="J26" s="95">
        <f>IF('Final Calculation Sheet'!$I$30="","",'Final Calculation Sheet'!$I$30)</f>
        <v>72000</v>
      </c>
      <c r="K26" s="95">
        <f>IF('Final Calculation Sheet'!$J$30="","",'Final Calculation Sheet'!$J$30)</f>
        <v>472000</v>
      </c>
      <c r="L26" s="95">
        <f>IF('Final Calculation Sheet'!$K$30="","",'Final Calculation Sheet'!$K$30)</f>
        <v>9440</v>
      </c>
      <c r="M26" s="95">
        <f>IF('Final Calculation Sheet'!$L$30="","",'Final Calculation Sheet'!$L$30)</f>
        <v>400</v>
      </c>
      <c r="N26" s="95">
        <f>IF('Final Calculation Sheet'!$M$30="","",'Final Calculation Sheet'!$M$30)</f>
        <v>10620</v>
      </c>
      <c r="O26" s="96">
        <f>IF('Final Calculation Sheet'!$N$30="","",'Final Calculation Sheet'!$N$30)</f>
        <v>180</v>
      </c>
      <c r="P26" s="95">
        <f>IF('Final Calculation Sheet'!$O$30="","",'Final Calculation Sheet'!$O$30)</f>
        <v>10440</v>
      </c>
      <c r="Q26" s="95">
        <f>IF('Final Calculation Sheet'!$P$30="","",'Final Calculation Sheet'!$P$30)</f>
        <v>10840</v>
      </c>
      <c r="R26" s="97">
        <f>IF('Final Calculation Sheet'!$Q$30="","",'Final Calculation Sheet'!$Q$30)</f>
        <v>0</v>
      </c>
      <c r="S26" s="95">
        <f>IF('Final Calculation Sheet'!$R$30="","",'Final Calculation Sheet'!$R$30)</f>
        <v>0</v>
      </c>
      <c r="T26" s="95">
        <f>IF('Final Calculation Sheet'!$S$30="","",'Final Calculation Sheet'!$S$30)</f>
        <v>470600</v>
      </c>
      <c r="U26" s="95">
        <f>IF('Final Calculation Sheet'!$T$30="","",'Final Calculation Sheet'!$T$30)</f>
        <v>100000</v>
      </c>
      <c r="V26" s="98">
        <f>IF('Final Calculation Sheet'!$U$30="","",'Final Calculation Sheet'!$U$30)</f>
        <v>100000</v>
      </c>
      <c r="W26" s="95" t="str">
        <f>IF('Final Calculation Sheet'!$V$30="","",'Final Calculation Sheet'!$V$30)</f>
        <v>13.08.2026</v>
      </c>
      <c r="X26" s="95">
        <f>IF('Final Calculation Sheet'!$W$30="","",'Final Calculation Sheet'!$W$30)</f>
        <v>370600</v>
      </c>
      <c r="Y26" s="95">
        <f>IF('Final Calculation Sheet'!$X$30="","",'Final Calculation Sheet'!$X$30)</f>
        <v>370600</v>
      </c>
      <c r="Z26" s="95" t="str">
        <f>IF('Final Calculation Sheet'!$Y$30="","",'Final Calculation Sheet'!$Y$30)</f>
        <v>24.08.2026</v>
      </c>
      <c r="AA26" s="95">
        <f>IF('Final Calculation Sheet'!$Z$30="","",'Final Calculation Sheet'!$Z$30)</f>
        <v>0</v>
      </c>
      <c r="AB26" s="95" t="str">
        <f>IF('Final Calculation Sheet'!$AA$30="","",'Final Calculation Sheet'!$AA$30)</f>
        <v/>
      </c>
      <c r="AC26" s="95" t="str">
        <f>IF('Final Calculation Sheet'!$AB$30="","",'Final Calculation Sheet'!$AB$30)</f>
        <v/>
      </c>
      <c r="AD26" s="95">
        <f>IF('Final Calculation Sheet'!$AC$30="","",'Final Calculation Sheet'!$AC$30)</f>
        <v>470600</v>
      </c>
      <c r="AE26" s="95">
        <f>IF('Final Calculation Sheet'!$AD$30="","",'Final Calculation Sheet'!$AD$30)</f>
        <v>0</v>
      </c>
      <c r="AF26" s="95" t="str">
        <f>IF('Final Calculation Sheet'!$AE$30="","",'Final Calculation Sheet'!$AE$30)</f>
        <v>DR2640100038</v>
      </c>
      <c r="AG26" s="99">
        <f>IF('Final Calculation Sheet'!$AF$30="","",'Final Calculation Sheet'!$AF$30)</f>
        <v>1800003311</v>
      </c>
      <c r="AH26" s="95" t="str">
        <f>IF('Final Calculation Sheet'!$AG$30="","",'Final Calculation Sheet'!$AG$30)</f>
        <v>27.08.2026</v>
      </c>
      <c r="AI26" s="100" t="str">
        <f>IF('Final Calculation Sheet'!$AD$30="","",IF('Final Calculation Sheet'!$AD$30&lt;=5,"SETTLED","OUTSTANDING"))</f>
        <v>SETTLED</v>
      </c>
      <c r="AJ26" t="b">
        <f>AND(IF($B$4="",TRUE(),IF($B$4="(blank)",'Final Calculation Sheet'!$F$24="",IF($B$4="(nonblank)",'Final Calculation Sheet'!$F$24&lt;&gt;"",ISNUMBER(SEARCH($B$4,'Final Calculation Sheet'!$F$24))))),IF($C$4="",TRUE(),IF($C$4="(blank)",'Final Calculation Sheet'!$G$24="",IF($C$4="(nonblank)",'Final Calculation Sheet'!$G$24&lt;&gt;"",ISNUMBER(SEARCH($C$4,'Final Calculation Sheet'!$G$24))))),IF($D$4="",TRUE(),IF($D$4="(blank)",'Final Calculation Sheet'!$B$24="",IF($D$4="(nonblank)",'Final Calculation Sheet'!$B$24&lt;&gt;"",ISNUMBER(SEARCH($D$4,'Final Calculation Sheet'!$B$24))))),IF($E$4="",TRUE(),IF($E$4="(blank)",'Final Calculation Sheet'!$D$24="",IF($E$4="(nonblank)",'Final Calculation Sheet'!$D$24&lt;&gt;"",ISNUMBER(SEARCH($E$4,'Final Calculation Sheet'!$D$24))))),IF($F$4="",TRUE(),IF($F$4="(blank)",'Final Calculation Sheet'!$A$24="",IF($F$4="(nonblank)",'Final Calculation Sheet'!$A$24&lt;&gt;"",ISNUMBER(SEARCH($F$4,'Final Calculation Sheet'!$A$24))))),IF($G$4="",TRUE(),IF($G$4="(blank)",'Final Calculation Sheet'!$E$24="",IF($G$4="(nonblank)",'Final Calculation Sheet'!$E$24&lt;&gt;"",ISNUMBER(SEARCH($G$4,'Final Calculation Sheet'!$E$24))))),IF($H$4="",TRUE(),IF($H$4="(blank)",'Final Calculation Sheet'!$C$24="",IF($H$4="(nonblank)",'Final Calculation Sheet'!$C$24&lt;&gt;"",ISNUMBER(SEARCH($H$4,'Final Calculation Sheet'!$C$24))))),IF($I$4="",TRUE(),IF($I$4="(blank)",'Final Calculation Sheet'!$H$24="",IF($I$4="(nonblank)",'Final Calculation Sheet'!$H$24&lt;&gt;"",ISNUMBER(SEARCH($I$4,'Final Calculation Sheet'!$H$24))))),IF($J$4="",TRUE(),IF($J$4="(blank)",'Final Calculation Sheet'!$I$24="",IF($J$4="(nonblank)",'Final Calculation Sheet'!$I$24&lt;&gt;"",ISNUMBER(SEARCH($J$4,'Final Calculation Sheet'!$I$24))))),IF($K$4="",TRUE(),IF($K$4="(blank)",'Final Calculation Sheet'!$J$24="",IF($K$4="(nonblank)",'Final Calculation Sheet'!$J$24&lt;&gt;"",ISNUMBER(SEARCH($K$4,'Final Calculation Sheet'!$J$24))))),IF($L$4="",TRUE(),IF($L$4="(blank)",'Final Calculation Sheet'!$K$24="",IF($L$4="(nonblank)",'Final Calculation Sheet'!$K$24&lt;&gt;"",ISNUMBER(SEARCH($L$4,'Final Calculation Sheet'!$K$24))))),IF($M$4="",TRUE(),IF($M$4="(blank)",'Final Calculation Sheet'!$L$24="",IF($M$4="(nonblank)",'Final Calculation Sheet'!$L$24&lt;&gt;"",ISNUMBER(SEARCH($M$4,'Final Calculation Sheet'!$L$24))))),IF($N$4="",TRUE(),IF($N$4="(blank)",'Final Calculation Sheet'!$M$24="",IF($N$4="(nonblank)",'Final Calculation Sheet'!$M$24&lt;&gt;"",ISNUMBER(SEARCH($N$4,'Final Calculation Sheet'!$M$24))))),IF($O$4="",TRUE(),IF($O$4="(blank)",'Final Calculation Sheet'!$N$24="",IF($O$4="(nonblank)",'Final Calculation Sheet'!$N$24&lt;&gt;"",ISNUMBER(SEARCH($O$4,'Final Calculation Sheet'!$N$24))))),IF($P$4="",TRUE(),IF($P$4="(blank)",'Final Calculation Sheet'!$O$24="",IF($P$4="(nonblank)",'Final Calculation Sheet'!$O$24&lt;&gt;"",ISNUMBER(SEARCH($P$4,'Final Calculation Sheet'!$O$24))))),IF($Q$4="",TRUE(),IF($Q$4="(blank)",'Final Calculation Sheet'!$P$24="",IF($Q$4="(nonblank)",'Final Calculation Sheet'!$P$24&lt;&gt;"",ISNUMBER(SEARCH($Q$4,'Final Calculation Sheet'!$P$24))))),IF($R$4="",TRUE(),IF($R$4="(blank)",'Final Calculation Sheet'!$Q$24="",IF($R$4="(nonblank)",'Final Calculation Sheet'!$Q$24&lt;&gt;"",ISNUMBER(SEARCH($R$4,'Final Calculation Sheet'!$Q$24))))),IF($S$4="",TRUE(),IF($S$4="(blank)",'Final Calculation Sheet'!$R$24="",IF($S$4="(nonblank)",'Final Calculation Sheet'!$R$24&lt;&gt;"",ISNUMBER(SEARCH($S$4,'Final Calculation Sheet'!$R$24))))),IF($T$4="",TRUE(),IF($T$4="(blank)",'Final Calculation Sheet'!$S$24="",IF($T$4="(nonblank)",'Final Calculation Sheet'!$S$24&lt;&gt;"",ISNUMBER(SEARCH($T$4,'Final Calculation Sheet'!$S$24))))),IF($U$4="",TRUE(),IF($U$4="(blank)",'Final Calculation Sheet'!$T$24="",IF($U$4="(nonblank)",'Final Calculation Sheet'!$T$24&lt;&gt;"",ISNUMBER(SEARCH($U$4,'Final Calculation Sheet'!$T$24))))),IF($V$4="",TRUE(),IF($V$4="(blank)",'Final Calculation Sheet'!$U$24="",IF($V$4="(nonblank)",'Final Calculation Sheet'!$U$24&lt;&gt;"",ISNUMBER(SEARCH($V$4,'Final Calculation Sheet'!$U$24))))),IF($W$4="",TRUE(),IF($W$4="(blank)",'Final Calculation Sheet'!$V$24="",IF($W$4="(nonblank)",'Final Calculation Sheet'!$V$24&lt;&gt;"",ISNUMBER(SEARCH($W$4,'Final Calculation Sheet'!$V$24))))),IF($X$4="",TRUE(),IF($X$4="(blank)",'Final Calculation Sheet'!$W$24="",IF($X$4="(nonblank)",'Final Calculation Sheet'!$W$24&lt;&gt;"",ISNUMBER(SEARCH($X$4,'Final Calculation Sheet'!$W$24))))),IF($Y$4="",TRUE(),IF($Y$4="(blank)",'Final Calculation Sheet'!$X$24="",IF($Y$4="(nonblank)",'Final Calculation Sheet'!$X$24&lt;&gt;"",ISNUMBER(SEARCH($Y$4,'Final Calculation Sheet'!$X$24))))),IF($Z$4="",TRUE(),IF($Z$4="(blank)",'Final Calculation Sheet'!$Y$24="",IF($Z$4="(nonblank)",'Final Calculation Sheet'!$Y$24&lt;&gt;"",ISNUMBER(SEARCH($Z$4,'Final Calculation Sheet'!$Y$24))))),IF($AA$4="",TRUE(),IF($AA$4="(blank)",'Final Calculation Sheet'!$Z$24="",IF($AA$4="(nonblank)",'Final Calculation Sheet'!$Z$24&lt;&gt;"",ISNUMBER(SEARCH($AA$4,'Final Calculation Sheet'!$Z$24))))),IF($AB$4="",TRUE(),IF($AB$4="(blank)",'Final Calculation Sheet'!$AA$24="",IF($AB$4="(nonblank)",'Final Calculation Sheet'!$AA$24&lt;&gt;"",ISNUMBER(SEARCH($AB$4,'Final Calculation Sheet'!$AA$24))))),IF($AC$4="",TRUE(),IF($AC$4="(blank)",'Final Calculation Sheet'!$AB$24="",IF($AC$4="(nonblank)",'Final Calculation Sheet'!$AB$24&lt;&gt;"",ISNUMBER(SEARCH($AC$4,'Final Calculation Sheet'!$AB$24))))),IF($AD$4="",TRUE(),IF($AD$4="(blank)",'Final Calculation Sheet'!$AC$24="",IF($AD$4="(nonblank)",'Final Calculation Sheet'!$AC$24&lt;&gt;"",ISNUMBER(SEARCH($AD$4,'Final Calculation Sheet'!$AC$24))))),IF($AE$4="",TRUE(),IF($AE$4="(blank)",'Final Calculation Sheet'!$AD$24="",IF($AE$4="(nonblank)",'Final Calculation Sheet'!$AD$24&lt;&gt;"",ISNUMBER(SEARCH($AE$4,'Final Calculation Sheet'!$AD$24))))),IF($AF$4="",TRUE(),IF($AF$4="(blank)",'Final Calculation Sheet'!$AE$24="",IF($AF$4="(nonblank)",'Final Calculation Sheet'!$AE$24&lt;&gt;"",ISNUMBER(SEARCH($AF$4,'Final Calculation Sheet'!$AE$24))))),IF($AG$4="",TRUE(),IF($AG$4="(blank)",'Final Calculation Sheet'!$AF$24="",IF($AG$4="(nonblank)",'Final Calculation Sheet'!$AF$24&lt;&gt;"",ISNUMBER(SEARCH($AG$4,'Final Calculation Sheet'!$AF$24))))),IF($AH$4="",TRUE(),IF($AH$4="(blank)",'Final Calculation Sheet'!$AG$24="",IF($AH$4="(nonblank)",'Final Calculation Sheet'!$AG$24&lt;&gt;"",ISNUMBER(SEARCH($AH$4,'Final Calculation Sheet'!$AG$24))))),IF($AI$4="",TRUE(),IF($AI$4="(blank)",IF('Final Calculation Sheet'!$AD$24&lt;=5,"SETTLED","OUTSTANDING")="",IF($AI$4="(nonblank)",IF('Final Calculation Sheet'!$AD$24&lt;=5,"SETTLED","OUTSTANDING")&lt;&gt;"",ISNUMBER(SEARCH($AI$4,IF('Final Calculation Sheet'!$AD$24&lt;=5,"SETTLED","OUTSTANDING")))))))</f>
        <v>1</v>
      </c>
      <c r="AK26" t="str">
        <f>IF(AJ26=1,COUNTIF(AJ$6:AJ26,1),"")</f>
        <v/>
      </c>
      <c r="AM26">
        <f>AM25+IF(AND(Lists!$O$26&lt;&gt;"",ISNUMBER(SEARCH($B$4,Lists!$O$26))),1,0)</f>
        <v>23</v>
      </c>
      <c r="AN26">
        <f>IF(ROW()-3&gt;MAX($AM$4:$AM$42),"",INDEX(Lists!$O$4:$O$42,MATCH(ROW()-3,$AM$4:$AM$42,0)))</f>
        <v>2035</v>
      </c>
      <c r="AO26">
        <f>AO25+IF(AND(Lists!$T$26&lt;&gt;"",ISNUMBER(SEARCH($C$4,Lists!$T$26))),1,0)</f>
        <v>13</v>
      </c>
      <c r="AP26" t="str">
        <f>IF(ROW()-3&gt;MAX($AO$4:$AO$42),"",INDEX(Lists!$T$4:$T$42,MATCH(ROW()-3,$AO$4:$AO$42,0)))</f>
        <v/>
      </c>
      <c r="AQ26">
        <f>AQ25+IF(AND(Lists!$Y$26&lt;&gt;"",ISNUMBER(SEARCH($D$4,Lists!$Y$26))),1,0)</f>
        <v>23</v>
      </c>
      <c r="AR26" t="str">
        <f>IF(ROW()-3&gt;MAX($AQ$4:$AQ$42),"",INDEX(Lists!$Y$4:$Y$42,MATCH(ROW()-3,$AQ$4:$AQ$42,0)))</f>
        <v>Scrap of empty oil drums</v>
      </c>
      <c r="AS26">
        <f>AS25+IF(AND(Lists!$AD$26&lt;&gt;"",ISNUMBER(SEARCH($E$4,Lists!$AD$26))),1,0)</f>
        <v>4</v>
      </c>
      <c r="AT26" t="str">
        <f>IF(ROW()-3&gt;MAX($AS$4:$AS$42),"",INDEX(Lists!$AD$4:$AD$42,MATCH(ROW()-3,$AS$4:$AS$42,0)))</f>
        <v/>
      </c>
      <c r="AU26">
        <f>AU25+IF(AND(Lists!$AI$26&lt;&gt;"",ISNUMBER(SEARCH($F$4,Lists!$AI$26))),1,0)</f>
        <v>22</v>
      </c>
      <c r="AV26" t="str">
        <f>IF(ROW()-3&gt;MAX($AU$4:$AU$42),"",INDEX(Lists!$AI$4:$AI$42,MATCH(ROW()-3,$AU$4:$AU$42,0)))</f>
        <v>(blank)</v>
      </c>
      <c r="AW26">
        <f>AW25+IF(AND(Lists!$AN$26&lt;&gt;"",ISNUMBER(SEARCH($G$4,Lists!$AN$26))),1,0)</f>
        <v>3</v>
      </c>
      <c r="AX26" t="str">
        <f>IF(ROW()-3&gt;MAX($AW$4:$AW$42),"",INDEX(Lists!$AN$4:$AN$42,MATCH(ROW()-3,$AW$4:$AW$42,0)))</f>
        <v/>
      </c>
      <c r="AY26">
        <f>AY25+IF(AND(Lists!$AS$26&lt;&gt;"",ISNUMBER(SEARCH($H$4,Lists!$AS$26))),1,0)</f>
        <v>23</v>
      </c>
      <c r="AZ26">
        <f>IF(ROW()-3&gt;MAX($AY$4:$AY$42),"",INDEX(Lists!$AS$4:$AS$42,MATCH(ROW()-3,$AY$4:$AY$42,0)))</f>
        <v>65007</v>
      </c>
      <c r="BA26">
        <f>BA25+IF(AND(Lists!$AX$26&lt;&gt;"",ISNUMBER(SEARCH($I$4,Lists!$AX$26))),1,0)</f>
        <v>23</v>
      </c>
      <c r="BB26">
        <f>IF(ROW()-3&gt;MAX($BA$4:$BA$42),"",INDEX(Lists!$AX$4:$AX$42,MATCH(ROW()-3,$BA$4:$BA$42,0)))</f>
        <v>207030</v>
      </c>
      <c r="BC26">
        <f>BC25+IF(AND(Lists!$BC$26&lt;&gt;"",ISNUMBER(SEARCH($J$4,Lists!$BC$26))),1,0)</f>
        <v>23</v>
      </c>
      <c r="BD26">
        <f>IF(ROW()-3&gt;MAX($BC$4:$BC$42),"",INDEX(Lists!$BC$4:$BC$42,MATCH(ROW()-3,$BC$4:$BC$42,0)))</f>
        <v>37265</v>
      </c>
      <c r="BE26">
        <f>BE25+IF(AND(Lists!$BH$26&lt;&gt;"",ISNUMBER(SEARCH($K$4,Lists!$BH$26))),1,0)</f>
        <v>23</v>
      </c>
      <c r="BF26">
        <f>IF(ROW()-3&gt;MAX($BE$4:$BE$42),"",INDEX(Lists!$BH$4:$BH$42,MATCH(ROW()-3,$BE$4:$BE$42,0)))</f>
        <v>244295</v>
      </c>
      <c r="BG26">
        <f>BG25+IF(AND(Lists!$BM$26&lt;&gt;"",ISNUMBER(SEARCH($L$4,Lists!$BM$26))),1,0)</f>
        <v>23</v>
      </c>
      <c r="BH26">
        <f>IF(ROW()-3&gt;MAX($BG$4:$BG$42),"",INDEX(Lists!$BM$4:$BM$42,MATCH(ROW()-3,$BG$4:$BG$42,0)))</f>
        <v>4886</v>
      </c>
      <c r="BI26">
        <f>BI25+IF(AND(Lists!$BR$26&lt;&gt;"",ISNUMBER(SEARCH($M$4,Lists!$BR$26))),1,0)</f>
        <v>23</v>
      </c>
      <c r="BJ26">
        <f>IF(ROW()-3&gt;MAX($BI$4:$BI$42),"",INDEX(Lists!$BR$4:$BR$42,MATCH(ROW()-3,$BI$4:$BI$42,0)))</f>
        <v>207.03</v>
      </c>
      <c r="BK26">
        <f>BK25+IF(AND(Lists!$BW$26&lt;&gt;"",ISNUMBER(SEARCH($N$4,Lists!$BW$26))),1,0)</f>
        <v>23</v>
      </c>
      <c r="BL26">
        <f>IF(ROW()-3&gt;MAX($BK$4:$BK$42),"",INDEX(Lists!$BW$4:$BW$42,MATCH(ROW()-3,$BK$4:$BK$42,0)))</f>
        <v>5496.6464999999998</v>
      </c>
      <c r="BM26">
        <f>BM25+IF(AND(Lists!$CB$26&lt;&gt;"",ISNUMBER(SEARCH($O$4,Lists!$CB$26))),1,0)</f>
        <v>23</v>
      </c>
      <c r="BN26">
        <f>IF(ROW()-3&gt;MAX($BM$4:$BM$42),"",INDEX(Lists!$CB$4:$CB$42,MATCH(ROW()-3,$BM$4:$BM$42,0)))</f>
        <v>93.163499999999999</v>
      </c>
      <c r="BO26">
        <f>BO25+IF(AND(Lists!$CG$26&lt;&gt;"",ISNUMBER(SEARCH($P$4,Lists!$CG$26))),1,0)</f>
        <v>23</v>
      </c>
      <c r="BP26">
        <f>IF(ROW()-3&gt;MAX($BO$4:$BO$42),"",INDEX(Lists!$CG$4:$CG$42,MATCH(ROW()-3,$BO$4:$BO$42,0)))</f>
        <v>5403.4830000000002</v>
      </c>
      <c r="BQ26">
        <f>BQ25+IF(AND(Lists!$CL$26&lt;&gt;"",ISNUMBER(SEARCH($Q$4,Lists!$CL$26))),1,0)</f>
        <v>23</v>
      </c>
      <c r="BR26">
        <f>IF(ROW()-3&gt;MAX($BQ$4:$BQ$42),"",INDEX(Lists!$CL$4:$CL$42,MATCH(ROW()-3,$BQ$4:$BQ$42,0)))</f>
        <v>5611</v>
      </c>
      <c r="BS26">
        <f>BS25+IF(AND(Lists!$CQ$26&lt;&gt;"",ISNUMBER(SEARCH($R$4,Lists!$CQ$26))),1,0)</f>
        <v>2</v>
      </c>
      <c r="BT26" t="str">
        <f>IF(ROW()-3&gt;MAX($BS$4:$BS$42),"",INDEX(Lists!$CQ$4:$CQ$42,MATCH(ROW()-3,$BS$4:$BS$42,0)))</f>
        <v/>
      </c>
      <c r="BU26">
        <f>BU25+IF(AND(Lists!$CV$26&lt;&gt;"",ISNUMBER(SEARCH($S$4,Lists!$CV$26))),1,0)</f>
        <v>5</v>
      </c>
      <c r="BV26" t="str">
        <f>IF(ROW()-3&gt;MAX($BU$4:$BU$42),"",INDEX(Lists!$CV$4:$CV$42,MATCH(ROW()-3,$BU$4:$BU$42,0)))</f>
        <v/>
      </c>
      <c r="BW26">
        <f>BW25+IF(AND(Lists!$DA$26&lt;&gt;"",ISNUMBER(SEARCH($T$4,Lists!$DA$26))),1,0)</f>
        <v>23</v>
      </c>
      <c r="BX26">
        <f>IF(ROW()-3&gt;MAX($BW$4:$BW$42),"",INDEX(Lists!$DA$4:$DA$42,MATCH(ROW()-3,$BW$4:$BW$42,0)))</f>
        <v>243571</v>
      </c>
      <c r="BY26">
        <f>BY25+IF(AND(Lists!$DF$26&lt;&gt;"",ISNUMBER(SEARCH($U$4,Lists!$DF$26))),1,0)</f>
        <v>23</v>
      </c>
      <c r="BZ26">
        <f>IF(ROW()-3&gt;MAX($BY$4:$BY$42),"",INDEX(Lists!$DF$4:$DF$42,MATCH(ROW()-3,$BY$4:$BY$42,0)))</f>
        <v>51758</v>
      </c>
      <c r="CA26">
        <f>CA25+IF(AND(Lists!$DK$26&lt;&gt;"",ISNUMBER(SEARCH($V$4,Lists!$DK$26))),1,0)</f>
        <v>23</v>
      </c>
      <c r="CB26">
        <f>IF(ROW()-3&gt;MAX($CA$4:$CA$42),"",INDEX(Lists!$DK$4:$DK$42,MATCH(ROW()-3,$CA$4:$CA$42,0)))</f>
        <v>51758</v>
      </c>
      <c r="CC26">
        <f>CC25+IF(AND(Lists!$DP$26&lt;&gt;"",ISNUMBER(SEARCH($W$4,Lists!$DP$26))),1,0)</f>
        <v>6</v>
      </c>
      <c r="CD26" t="str">
        <f>IF(ROW()-3&gt;MAX($CC$4:$CC$42),"",INDEX(Lists!$DP$4:$DP$42,MATCH(ROW()-3,$CC$4:$CC$42,0)))</f>
        <v/>
      </c>
      <c r="CE26">
        <f>CE25+IF(AND(Lists!$DU$26&lt;&gt;"",ISNUMBER(SEARCH($X$4,Lists!$DU$26))),1,0)</f>
        <v>23</v>
      </c>
      <c r="CF26">
        <f>IF(ROW()-3&gt;MAX($CE$4:$CE$42),"",INDEX(Lists!$DU$4:$DU$42,MATCH(ROW()-3,$CE$4:$CE$42,0)))</f>
        <v>191813</v>
      </c>
      <c r="CG26" t="e">
        <f>CG25+IF(AND(Lists!$DZ$26&lt;&gt;"",ISNUMBER(SEARCH($Y$4,Lists!$DZ$26))),1,0)</f>
        <v>#N/A</v>
      </c>
      <c r="CH26" t="e">
        <f>IF(ROW()-3&gt;MAX($CG$4:$CG$42),"",INDEX(Lists!$DZ$4:$DZ$42,MATCH(ROW()-3,$CG$4:$CG$42,0)))</f>
        <v>#N/A</v>
      </c>
      <c r="CI26" t="e">
        <f>CI25+IF(AND(Lists!$EE$26&lt;&gt;"",ISNUMBER(SEARCH($Z$4,Lists!$EE$26))),1,0)</f>
        <v>#N/A</v>
      </c>
      <c r="CJ26" t="e">
        <f>IF(ROW()-3&gt;MAX($CI$4:$CI$42),"",INDEX(Lists!$EE$4:$EE$42,MATCH(ROW()-3,$CI$4:$CI$42,0)))</f>
        <v>#N/A</v>
      </c>
      <c r="CK26">
        <f>CK25+IF(AND(Lists!$EJ$26&lt;&gt;"",ISNUMBER(SEARCH($AA$4,Lists!$EJ$26))),1,0)</f>
        <v>6</v>
      </c>
      <c r="CL26" t="str">
        <f>IF(ROW()-3&gt;MAX($CK$4:$CK$42),"",INDEX(Lists!$EJ$4:$EJ$42,MATCH(ROW()-3,$CK$4:$CK$42,0)))</f>
        <v/>
      </c>
      <c r="CM26" t="e">
        <f>CM25+IF(AND(Lists!$EO$26&lt;&gt;"",ISNUMBER(SEARCH($AB$4,Lists!$EO$26))),1,0)</f>
        <v>#N/A</v>
      </c>
      <c r="CN26" t="e">
        <f>IF(ROW()-3&gt;MAX($CM$4:$CM$42),"",INDEX(Lists!$EO$4:$EO$42,MATCH(ROW()-3,$CM$4:$CM$42,0)))</f>
        <v>#N/A</v>
      </c>
      <c r="CO26" t="e">
        <f>CO25+IF(AND(Lists!$ET$26&lt;&gt;"",ISNUMBER(SEARCH($AC$4,Lists!$ET$26))),1,0)</f>
        <v>#N/A</v>
      </c>
      <c r="CP26" t="e">
        <f>IF(ROW()-3&gt;MAX($CO$4:$CO$42),"",INDEX(Lists!$ET$4:$ET$42,MATCH(ROW()-3,$CO$4:$CO$42,0)))</f>
        <v>#N/A</v>
      </c>
      <c r="CQ26">
        <f>CQ25+IF(AND(Lists!$EY$26&lt;&gt;"",ISNUMBER(SEARCH($AD$4,Lists!$EY$26))),1,0)</f>
        <v>23</v>
      </c>
      <c r="CR26">
        <f>IF(ROW()-3&gt;MAX($CQ$4:$CQ$42),"",INDEX(Lists!$EY$4:$EY$42,MATCH(ROW()-3,$CQ$4:$CQ$42,0)))</f>
        <v>232946</v>
      </c>
      <c r="CS26" t="e">
        <f>CS25+IF(AND(Lists!$FD$26&lt;&gt;"",ISNUMBER(SEARCH($AE$4,Lists!$FD$26))),1,0)</f>
        <v>#N/A</v>
      </c>
      <c r="CT26" t="e">
        <f>IF(ROW()-3&gt;MAX($CS$4:$CS$42),"",INDEX(Lists!$FD$4:$FD$42,MATCH(ROW()-3,$CS$4:$CS$42,0)))</f>
        <v>#N/A</v>
      </c>
      <c r="CU26" t="e">
        <f>CU25+IF(AND(Lists!$FI$26&lt;&gt;"",ISNUMBER(SEARCH($AF$4,Lists!$FI$26))),1,0)</f>
        <v>#N/A</v>
      </c>
      <c r="CV26" t="e">
        <f>IF(ROW()-3&gt;MAX($CU$4:$CU$42),"",INDEX(Lists!$FI$4:$FI$42,MATCH(ROW()-3,$CU$4:$CU$42,0)))</f>
        <v>#N/A</v>
      </c>
      <c r="CW26" t="e">
        <f>CW25+IF(AND(Lists!$FN$26&lt;&gt;"",ISNUMBER(SEARCH($AG$4,Lists!$FN$26))),1,0)</f>
        <v>#N/A</v>
      </c>
      <c r="CX26" t="e">
        <f>IF(ROW()-3&gt;MAX($CW$4:$CW$42),"",INDEX(Lists!$FN$4:$FN$42,MATCH(ROW()-3,$CW$4:$CW$42,0)))</f>
        <v>#N/A</v>
      </c>
      <c r="CY26" t="e">
        <f>CY25+IF(AND(Lists!$FS$26&lt;&gt;"",ISNUMBER(SEARCH($AH$4,Lists!$FS$26))),1,0)</f>
        <v>#N/A</v>
      </c>
      <c r="CZ26" t="e">
        <f>IF(ROW()-3&gt;MAX($CY$4:$CY$42),"",INDEX(Lists!$FS$4:$FS$42,MATCH(ROW()-3,$CY$4:$CY$42,0)))</f>
        <v>#N/A</v>
      </c>
      <c r="DA26">
        <f>DA25+IF(AND(Lists!$FX$26&lt;&gt;"",ISNUMBER(SEARCH($AI$4,Lists!$FX$26))),1,0)</f>
        <v>2</v>
      </c>
      <c r="DB26" t="str">
        <f>IF(ROW()-3&gt;MAX($DA$4:$DA$42),"",INDEX(Lists!$FX$4:$FX$42,MATCH(ROW()-3,$DA$4:$DA$42,0)))</f>
        <v/>
      </c>
    </row>
    <row r="27" outlineLevel="1" ht="15" customHeight="1" s="137">
      <c r="A27" s="67" t="n">
        <v>11</v>
      </c>
      <c r="B27" s="76">
        <f>IF('Final Calculation Sheet'!$F$32="","",'Final Calculation Sheet'!$F$32)</f>
        <v>2055</v>
      </c>
      <c r="C27" s="76" t="str">
        <f>IF('Final Calculation Sheet'!$G$32="","",'Final Calculation Sheet'!$G$32)</f>
        <v>NATIONAL ENTERPRISES</v>
      </c>
      <c r="D27" s="80" t="str">
        <f>IF('Final Calculation Sheet'!$B$32="","",'Final Calculation Sheet'!$B$32)</f>
        <v>Scrap of 220 KV CT</v>
      </c>
      <c r="E27" s="80">
        <f>IF('Final Calculation Sheet'!$D$32="","",'Final Calculation Sheet'!$D$32)</f>
        <v>21979</v>
      </c>
      <c r="F27" s="80">
        <f>IF('Final Calculation Sheet'!$A$32="","",'Final Calculation Sheet'!$A$32)</f>
        <v>2</v>
      </c>
      <c r="G27" s="80" t="str">
        <f>IF('Final Calculation Sheet'!$E$32="","",'Final Calculation Sheet'!$E$32)</f>
        <v>NO</v>
      </c>
      <c r="H27" s="70">
        <f>IF('Final Calculation Sheet'!$C$32="","",'Final Calculation Sheet'!$C$32)</f>
        <v>80006</v>
      </c>
      <c r="I27" s="70">
        <f>IF('Final Calculation Sheet'!$H$32="","",'Final Calculation Sheet'!$H$32)</f>
        <v>160012</v>
      </c>
      <c r="J27" s="70">
        <f>IF('Final Calculation Sheet'!$I$32="","",'Final Calculation Sheet'!$I$32)</f>
        <v>28802</v>
      </c>
      <c r="K27" s="70">
        <f>IF('Final Calculation Sheet'!$J$32="","",'Final Calculation Sheet'!$J$32)</f>
        <v>188814</v>
      </c>
      <c r="L27" s="70">
        <f>IF('Final Calculation Sheet'!$K$32="","",'Final Calculation Sheet'!$K$32)</f>
        <v>3776</v>
      </c>
      <c r="M27" s="70">
        <f>IF('Final Calculation Sheet'!$L$32="","",'Final Calculation Sheet'!$L$32)</f>
        <v>160.012</v>
      </c>
      <c r="N27" s="70">
        <f>IF('Final Calculation Sheet'!$M$32="","",'Final Calculation Sheet'!$M$32)</f>
        <v>4248.3185999999996</v>
      </c>
      <c r="O27" s="71">
        <f>IF('Final Calculation Sheet'!$N$32="","",'Final Calculation Sheet'!$N$32)</f>
        <v>72.005399999999995</v>
      </c>
      <c r="P27" s="70">
        <f>IF('Final Calculation Sheet'!$O$32="","",'Final Calculation Sheet'!$O$32)</f>
        <v>4176.3131999999996</v>
      </c>
      <c r="Q27" s="70">
        <f>IF('Final Calculation Sheet'!$P$32="","",'Final Calculation Sheet'!$P$32)</f>
        <v>4336</v>
      </c>
      <c r="R27" s="72">
        <f>IF('Final Calculation Sheet'!$Q$32="","",'Final Calculation Sheet'!$Q$32)</f>
        <v>0</v>
      </c>
      <c r="S27" s="70">
        <f>IF('Final Calculation Sheet'!$R$32="","",'Final Calculation Sheet'!$R$32)</f>
        <v>0</v>
      </c>
      <c r="T27" s="70">
        <f>IF('Final Calculation Sheet'!$S$32="","",'Final Calculation Sheet'!$S$32)</f>
        <v>188254</v>
      </c>
      <c r="U27" s="70">
        <f>IF('Final Calculation Sheet'!$T$32="","",'Final Calculation Sheet'!$T$32)</f>
        <v>40003</v>
      </c>
      <c r="V27" s="73">
        <f>IF('Final Calculation Sheet'!$U$32="","",'Final Calculation Sheet'!$U$32)</f>
        <v>40003</v>
      </c>
      <c r="W27" s="70" t="str">
        <f>IF('Final Calculation Sheet'!$V$32="","",'Final Calculation Sheet'!$V$32)</f>
        <v>13.08.2026</v>
      </c>
      <c r="X27" s="70">
        <f>IF('Final Calculation Sheet'!$W$32="","",'Final Calculation Sheet'!$W$32)</f>
        <v>148251</v>
      </c>
      <c r="Y27" s="70">
        <f>IF('Final Calculation Sheet'!$X$32="","",'Final Calculation Sheet'!$X$32)</f>
        <v>148251</v>
      </c>
      <c r="Z27" s="70" t="str">
        <f>IF('Final Calculation Sheet'!$Y$32="","",'Final Calculation Sheet'!$Y$32)</f>
        <v>24.08.2026</v>
      </c>
      <c r="AA27" s="70">
        <f>IF('Final Calculation Sheet'!$Z$32="","",'Final Calculation Sheet'!$Z$32)</f>
        <v>0</v>
      </c>
      <c r="AB27" s="70" t="str">
        <f>IF('Final Calculation Sheet'!$AA$32="","",'Final Calculation Sheet'!$AA$32)</f>
        <v/>
      </c>
      <c r="AC27" s="70" t="str">
        <f>IF('Final Calculation Sheet'!$AB$32="","",'Final Calculation Sheet'!$AB$32)</f>
        <v/>
      </c>
      <c r="AD27" s="70">
        <f>IF('Final Calculation Sheet'!$AC$32="","",'Final Calculation Sheet'!$AC$32)</f>
        <v>188254</v>
      </c>
      <c r="AE27" s="70">
        <f>IF('Final Calculation Sheet'!$AD$32="","",'Final Calculation Sheet'!$AD$32)</f>
        <v>0</v>
      </c>
      <c r="AF27" s="70" t="str">
        <f>IF('Final Calculation Sheet'!$AE$32="","",'Final Calculation Sheet'!$AE$32)</f>
        <v>DR2640100039</v>
      </c>
      <c r="AG27" s="74">
        <f>IF('Final Calculation Sheet'!$AF$32="","",'Final Calculation Sheet'!$AF$32)</f>
        <v>1800003312</v>
      </c>
      <c r="AH27" s="70" t="str">
        <f>IF('Final Calculation Sheet'!$AG$32="","",'Final Calculation Sheet'!$AG$32)</f>
        <v>27.08.2026</v>
      </c>
      <c r="AI27" s="75" t="str">
        <f>IF('Final Calculation Sheet'!$AD$32="","",IF('Final Calculation Sheet'!$AD$32&lt;=5,"SETTLED","OUTSTANDING"))</f>
        <v>SETTLED</v>
      </c>
      <c r="AJ27" t="b">
        <f>AND(IF($B$4="",TRUE(),IF($B$4="(blank)",'Final Calculation Sheet'!$F$25="",IF($B$4="(nonblank)",'Final Calculation Sheet'!$F$25&lt;&gt;"",ISNUMBER(SEARCH($B$4,'Final Calculation Sheet'!$F$25))))),IF($C$4="",TRUE(),IF($C$4="(blank)",'Final Calculation Sheet'!$G$25="",IF($C$4="(nonblank)",'Final Calculation Sheet'!$G$25&lt;&gt;"",ISNUMBER(SEARCH($C$4,'Final Calculation Sheet'!$G$25))))),IF($D$4="",TRUE(),IF($D$4="(blank)",'Final Calculation Sheet'!$B$25="",IF($D$4="(nonblank)",'Final Calculation Sheet'!$B$25&lt;&gt;"",ISNUMBER(SEARCH($D$4,'Final Calculation Sheet'!$B$25))))),IF($E$4="",TRUE(),IF($E$4="(blank)",'Final Calculation Sheet'!$D$25="",IF($E$4="(nonblank)",'Final Calculation Sheet'!$D$25&lt;&gt;"",ISNUMBER(SEARCH($E$4,'Final Calculation Sheet'!$D$25))))),IF($F$4="",TRUE(),IF($F$4="(blank)",'Final Calculation Sheet'!$A$25="",IF($F$4="(nonblank)",'Final Calculation Sheet'!$A$25&lt;&gt;"",ISNUMBER(SEARCH($F$4,'Final Calculation Sheet'!$A$25))))),IF($G$4="",TRUE(),IF($G$4="(blank)",'Final Calculation Sheet'!$E$25="",IF($G$4="(nonblank)",'Final Calculation Sheet'!$E$25&lt;&gt;"",ISNUMBER(SEARCH($G$4,'Final Calculation Sheet'!$E$25))))),IF($H$4="",TRUE(),IF($H$4="(blank)",'Final Calculation Sheet'!$C$25="",IF($H$4="(nonblank)",'Final Calculation Sheet'!$C$25&lt;&gt;"",ISNUMBER(SEARCH($H$4,'Final Calculation Sheet'!$C$25))))),IF($I$4="",TRUE(),IF($I$4="(blank)",'Final Calculation Sheet'!$H$25="",IF($I$4="(nonblank)",'Final Calculation Sheet'!$H$25&lt;&gt;"",ISNUMBER(SEARCH($I$4,'Final Calculation Sheet'!$H$25))))),IF($J$4="",TRUE(),IF($J$4="(blank)",'Final Calculation Sheet'!$I$25="",IF($J$4="(nonblank)",'Final Calculation Sheet'!$I$25&lt;&gt;"",ISNUMBER(SEARCH($J$4,'Final Calculation Sheet'!$I$25))))),IF($K$4="",TRUE(),IF($K$4="(blank)",'Final Calculation Sheet'!$J$25="",IF($K$4="(nonblank)",'Final Calculation Sheet'!$J$25&lt;&gt;"",ISNUMBER(SEARCH($K$4,'Final Calculation Sheet'!$J$25))))),IF($L$4="",TRUE(),IF($L$4="(blank)",'Final Calculation Sheet'!$K$25="",IF($L$4="(nonblank)",'Final Calculation Sheet'!$K$25&lt;&gt;"",ISNUMBER(SEARCH($L$4,'Final Calculation Sheet'!$K$25))))),IF($M$4="",TRUE(),IF($M$4="(blank)",'Final Calculation Sheet'!$L$25="",IF($M$4="(nonblank)",'Final Calculation Sheet'!$L$25&lt;&gt;"",ISNUMBER(SEARCH($M$4,'Final Calculation Sheet'!$L$25))))),IF($N$4="",TRUE(),IF($N$4="(blank)",'Final Calculation Sheet'!$M$25="",IF($N$4="(nonblank)",'Final Calculation Sheet'!$M$25&lt;&gt;"",ISNUMBER(SEARCH($N$4,'Final Calculation Sheet'!$M$25))))),IF($O$4="",TRUE(),IF($O$4="(blank)",'Final Calculation Sheet'!$N$25="",IF($O$4="(nonblank)",'Final Calculation Sheet'!$N$25&lt;&gt;"",ISNUMBER(SEARCH($O$4,'Final Calculation Sheet'!$N$25))))),IF($P$4="",TRUE(),IF($P$4="(blank)",'Final Calculation Sheet'!$O$25="",IF($P$4="(nonblank)",'Final Calculation Sheet'!$O$25&lt;&gt;"",ISNUMBER(SEARCH($P$4,'Final Calculation Sheet'!$O$25))))),IF($Q$4="",TRUE(),IF($Q$4="(blank)",'Final Calculation Sheet'!$P$25="",IF($Q$4="(nonblank)",'Final Calculation Sheet'!$P$25&lt;&gt;"",ISNUMBER(SEARCH($Q$4,'Final Calculation Sheet'!$P$25))))),IF($R$4="",TRUE(),IF($R$4="(blank)",'Final Calculation Sheet'!$Q$25="",IF($R$4="(nonblank)",'Final Calculation Sheet'!$Q$25&lt;&gt;"",ISNUMBER(SEARCH($R$4,'Final Calculation Sheet'!$Q$25))))),IF($S$4="",TRUE(),IF($S$4="(blank)",'Final Calculation Sheet'!$R$25="",IF($S$4="(nonblank)",'Final Calculation Sheet'!$R$25&lt;&gt;"",ISNUMBER(SEARCH($S$4,'Final Calculation Sheet'!$R$25))))),IF($T$4="",TRUE(),IF($T$4="(blank)",'Final Calculation Sheet'!$S$25="",IF($T$4="(nonblank)",'Final Calculation Sheet'!$S$25&lt;&gt;"",ISNUMBER(SEARCH($T$4,'Final Calculation Sheet'!$S$25))))),IF($U$4="",TRUE(),IF($U$4="(blank)",'Final Calculation Sheet'!$T$25="",IF($U$4="(nonblank)",'Final Calculation Sheet'!$T$25&lt;&gt;"",ISNUMBER(SEARCH($U$4,'Final Calculation Sheet'!$T$25))))),IF($V$4="",TRUE(),IF($V$4="(blank)",'Final Calculation Sheet'!$U$25="",IF($V$4="(nonblank)",'Final Calculation Sheet'!$U$25&lt;&gt;"",ISNUMBER(SEARCH($V$4,'Final Calculation Sheet'!$U$25))))),IF($W$4="",TRUE(),IF($W$4="(blank)",'Final Calculation Sheet'!$V$25="",IF($W$4="(nonblank)",'Final Calculation Sheet'!$V$25&lt;&gt;"",ISNUMBER(SEARCH($W$4,'Final Calculation Sheet'!$V$25))))),IF($X$4="",TRUE(),IF($X$4="(blank)",'Final Calculation Sheet'!$W$25="",IF($X$4="(nonblank)",'Final Calculation Sheet'!$W$25&lt;&gt;"",ISNUMBER(SEARCH($X$4,'Final Calculation Sheet'!$W$25))))),IF($Y$4="",TRUE(),IF($Y$4="(blank)",'Final Calculation Sheet'!$X$25="",IF($Y$4="(nonblank)",'Final Calculation Sheet'!$X$25&lt;&gt;"",ISNUMBER(SEARCH($Y$4,'Final Calculation Sheet'!$X$25))))),IF($Z$4="",TRUE(),IF($Z$4="(blank)",'Final Calculation Sheet'!$Y$25="",IF($Z$4="(nonblank)",'Final Calculation Sheet'!$Y$25&lt;&gt;"",ISNUMBER(SEARCH($Z$4,'Final Calculation Sheet'!$Y$25))))),IF($AA$4="",TRUE(),IF($AA$4="(blank)",'Final Calculation Sheet'!$Z$25="",IF($AA$4="(nonblank)",'Final Calculation Sheet'!$Z$25&lt;&gt;"",ISNUMBER(SEARCH($AA$4,'Final Calculation Sheet'!$Z$25))))),IF($AB$4="",TRUE(),IF($AB$4="(blank)",'Final Calculation Sheet'!$AA$25="",IF($AB$4="(nonblank)",'Final Calculation Sheet'!$AA$25&lt;&gt;"",ISNUMBER(SEARCH($AB$4,'Final Calculation Sheet'!$AA$25))))),IF($AC$4="",TRUE(),IF($AC$4="(blank)",'Final Calculation Sheet'!$AB$25="",IF($AC$4="(nonblank)",'Final Calculation Sheet'!$AB$25&lt;&gt;"",ISNUMBER(SEARCH($AC$4,'Final Calculation Sheet'!$AB$25))))),IF($AD$4="",TRUE(),IF($AD$4="(blank)",'Final Calculation Sheet'!$AC$25="",IF($AD$4="(nonblank)",'Final Calculation Sheet'!$AC$25&lt;&gt;"",ISNUMBER(SEARCH($AD$4,'Final Calculation Sheet'!$AC$25))))),IF($AE$4="",TRUE(),IF($AE$4="(blank)",'Final Calculation Sheet'!$AD$25="",IF($AE$4="(nonblank)",'Final Calculation Sheet'!$AD$25&lt;&gt;"",ISNUMBER(SEARCH($AE$4,'Final Calculation Sheet'!$AD$25))))),IF($AF$4="",TRUE(),IF($AF$4="(blank)",'Final Calculation Sheet'!$AE$25="",IF($AF$4="(nonblank)",'Final Calculation Sheet'!$AE$25&lt;&gt;"",ISNUMBER(SEARCH($AF$4,'Final Calculation Sheet'!$AE$25))))),IF($AG$4="",TRUE(),IF($AG$4="(blank)",'Final Calculation Sheet'!$AF$25="",IF($AG$4="(nonblank)",'Final Calculation Sheet'!$AF$25&lt;&gt;"",ISNUMBER(SEARCH($AG$4,'Final Calculation Sheet'!$AF$25))))),IF($AH$4="",TRUE(),IF($AH$4="(blank)",'Final Calculation Sheet'!$AG$25="",IF($AH$4="(nonblank)",'Final Calculation Sheet'!$AG$25&lt;&gt;"",ISNUMBER(SEARCH($AH$4,'Final Calculation Sheet'!$AG$25))))),IF($AI$4="",TRUE(),IF($AI$4="(blank)",IF('Final Calculation Sheet'!$AD$25&lt;=5,"SETTLED","OUTSTANDING")="",IF($AI$4="(nonblank)",IF('Final Calculation Sheet'!$AD$25&lt;=5,"SETTLED","OUTSTANDING")&lt;&gt;"",ISNUMBER(SEARCH($AI$4,IF('Final Calculation Sheet'!$AD$25&lt;=5,"SETTLED","OUTSTANDING")))))))</f>
        <v>1</v>
      </c>
      <c r="AK27" t="str">
        <f>IF(AJ27=1,COUNTIF(AJ$6:AJ27,1),"")</f>
        <v/>
      </c>
      <c r="AM27">
        <f>AM26+IF(AND(Lists!$O$27&lt;&gt;"",ISNUMBER(SEARCH($B$4,Lists!$O$27))),1,0)</f>
        <v>24</v>
      </c>
      <c r="AN27">
        <f>IF(ROW()-3&gt;MAX($AM$4:$AM$42),"",INDEX(Lists!$O$4:$O$42,MATCH(ROW()-3,$AM$4:$AM$42,0)))</f>
        <v>2036</v>
      </c>
      <c r="AO27">
        <f>AO26+IF(AND(Lists!$T$27&lt;&gt;"",ISNUMBER(SEARCH($C$4,Lists!$T$27))),1,0)</f>
        <v>13</v>
      </c>
      <c r="AP27" t="str">
        <f>IF(ROW()-3&gt;MAX($AO$4:$AO$42),"",INDEX(Lists!$T$4:$T$42,MATCH(ROW()-3,$AO$4:$AO$42,0)))</f>
        <v/>
      </c>
      <c r="AQ27">
        <f>AQ26+IF(AND(Lists!$Y$27&lt;&gt;"",ISNUMBER(SEARCH($D$4,Lists!$Y$27))),1,0)</f>
        <v>24</v>
      </c>
      <c r="AR27" t="str">
        <f>IF(ROW()-3&gt;MAX($AQ$4:$AQ$42),"",INDEX(Lists!$Y$4:$Y$42,MATCH(ROW()-3,$AQ$4:$AQ$42,0)))</f>
        <v>Scrap of MS (extracted from equip cage and empty Sf6 gas cylinder)</v>
      </c>
      <c r="AS27">
        <f>AS26+IF(AND(Lists!$AD$27&lt;&gt;"",ISNUMBER(SEARCH($E$4,Lists!$AD$27))),1,0)</f>
        <v>4</v>
      </c>
      <c r="AT27" t="str">
        <f>IF(ROW()-3&gt;MAX($AS$4:$AS$42),"",INDEX(Lists!$AD$4:$AD$42,MATCH(ROW()-3,$AS$4:$AS$42,0)))</f>
        <v/>
      </c>
      <c r="AU27">
        <f>AU26+IF(AND(Lists!$AI$27&lt;&gt;"",ISNUMBER(SEARCH($F$4,Lists!$AI$27))),1,0)</f>
        <v>22</v>
      </c>
      <c r="AV27" t="str">
        <f>IF(ROW()-3&gt;MAX($AU$4:$AU$42),"",INDEX(Lists!$AI$4:$AI$42,MATCH(ROW()-3,$AU$4:$AU$42,0)))</f>
        <v>(nonblank)</v>
      </c>
      <c r="AW27">
        <f>AW26+IF(AND(Lists!$AN$27&lt;&gt;"",ISNUMBER(SEARCH($G$4,Lists!$AN$27))),1,0)</f>
        <v>3</v>
      </c>
      <c r="AX27" t="str">
        <f>IF(ROW()-3&gt;MAX($AW$4:$AW$42),"",INDEX(Lists!$AN$4:$AN$42,MATCH(ROW()-3,$AW$4:$AW$42,0)))</f>
        <v/>
      </c>
      <c r="AY27">
        <f>AY26+IF(AND(Lists!$AS$27&lt;&gt;"",ISNUMBER(SEARCH($H$4,Lists!$AS$27))),1,0)</f>
        <v>24</v>
      </c>
      <c r="AZ27">
        <f>IF(ROW()-3&gt;MAX($AY$4:$AY$42),"",INDEX(Lists!$AS$4:$AS$42,MATCH(ROW()-3,$AY$4:$AY$42,0)))</f>
        <v>67000</v>
      </c>
      <c r="BA27">
        <f>BA26+IF(AND(Lists!$AX$27&lt;&gt;"",ISNUMBER(SEARCH($I$4,Lists!$AX$27))),1,0)</f>
        <v>24</v>
      </c>
      <c r="BB27">
        <f>IF(ROW()-3&gt;MAX($BA$4:$BA$42),"",INDEX(Lists!$AX$4:$AX$42,MATCH(ROW()-3,$BA$4:$BA$42,0)))</f>
        <v>210001</v>
      </c>
      <c r="BC27">
        <f>BC26+IF(AND(Lists!$BC$27&lt;&gt;"",ISNUMBER(SEARCH($J$4,Lists!$BC$27))),1,0)</f>
        <v>24</v>
      </c>
      <c r="BD27">
        <f>IF(ROW()-3&gt;MAX($BC$4:$BC$42),"",INDEX(Lists!$BC$4:$BC$42,MATCH(ROW()-3,$BC$4:$BC$42,0)))</f>
        <v>37800</v>
      </c>
      <c r="BE27">
        <f>BE26+IF(AND(Lists!$BH$27&lt;&gt;"",ISNUMBER(SEARCH($K$4,Lists!$BH$27))),1,0)</f>
        <v>24</v>
      </c>
      <c r="BF27">
        <f>IF(ROW()-3&gt;MAX($BE$4:$BE$42),"",INDEX(Lists!$BH$4:$BH$42,MATCH(ROW()-3,$BE$4:$BE$42,0)))</f>
        <v>247801</v>
      </c>
      <c r="BG27">
        <f>BG26+IF(AND(Lists!$BM$27&lt;&gt;"",ISNUMBER(SEARCH($L$4,Lists!$BM$27))),1,0)</f>
        <v>24</v>
      </c>
      <c r="BH27">
        <f>IF(ROW()-3&gt;MAX($BG$4:$BG$42),"",INDEX(Lists!$BM$4:$BM$42,MATCH(ROW()-3,$BG$4:$BG$42,0)))</f>
        <v>4956</v>
      </c>
      <c r="BI27">
        <f>BI26+IF(AND(Lists!$BR$27&lt;&gt;"",ISNUMBER(SEARCH($M$4,Lists!$BR$27))),1,0)</f>
        <v>24</v>
      </c>
      <c r="BJ27">
        <f>IF(ROW()-3&gt;MAX($BI$4:$BI$42),"",INDEX(Lists!$BR$4:$BR$42,MATCH(ROW()-3,$BI$4:$BI$42,0)))</f>
        <v>210.001</v>
      </c>
      <c r="BK27">
        <f>BK26+IF(AND(Lists!$BW$27&lt;&gt;"",ISNUMBER(SEARCH($N$4,Lists!$BW$27))),1,0)</f>
        <v>24</v>
      </c>
      <c r="BL27">
        <f>IF(ROW()-3&gt;MAX($BK$4:$BK$42),"",INDEX(Lists!$BW$4:$BW$42,MATCH(ROW()-3,$BK$4:$BK$42,0)))</f>
        <v>5575.5265499999996</v>
      </c>
      <c r="BM27">
        <f>BM26+IF(AND(Lists!$CB$27&lt;&gt;"",ISNUMBER(SEARCH($O$4,Lists!$CB$27))),1,0)</f>
        <v>24</v>
      </c>
      <c r="BN27">
        <f>IF(ROW()-3&gt;MAX($BM$4:$BM$42),"",INDEX(Lists!$CB$4:$CB$42,MATCH(ROW()-3,$BM$4:$BM$42,0)))</f>
        <v>94.500450000000001</v>
      </c>
      <c r="BO27">
        <f>BO26+IF(AND(Lists!$CG$27&lt;&gt;"",ISNUMBER(SEARCH($P$4,Lists!$CG$27))),1,0)</f>
        <v>24</v>
      </c>
      <c r="BP27">
        <f>IF(ROW()-3&gt;MAX($BO$4:$BO$42),"",INDEX(Lists!$CG$4:$CG$42,MATCH(ROW()-3,$BO$4:$BO$42,0)))</f>
        <v>5481.0260999999991</v>
      </c>
      <c r="BQ27">
        <f>BQ26+IF(AND(Lists!$CL$27&lt;&gt;"",ISNUMBER(SEARCH($Q$4,Lists!$CL$27))),1,0)</f>
        <v>24</v>
      </c>
      <c r="BR27">
        <f>IF(ROW()-3&gt;MAX($BQ$4:$BQ$42),"",INDEX(Lists!$CL$4:$CL$42,MATCH(ROW()-3,$BQ$4:$BQ$42,0)))</f>
        <v>5691</v>
      </c>
      <c r="BS27">
        <f>BS26+IF(AND(Lists!$CQ$27&lt;&gt;"",ISNUMBER(SEARCH($R$4,Lists!$CQ$27))),1,0)</f>
        <v>2</v>
      </c>
      <c r="BT27" t="str">
        <f>IF(ROW()-3&gt;MAX($BS$4:$BS$42),"",INDEX(Lists!$CQ$4:$CQ$42,MATCH(ROW()-3,$BS$4:$BS$42,0)))</f>
        <v/>
      </c>
      <c r="BU27">
        <f>BU26+IF(AND(Lists!$CV$27&lt;&gt;"",ISNUMBER(SEARCH($S$4,Lists!$CV$27))),1,0)</f>
        <v>5</v>
      </c>
      <c r="BV27" t="str">
        <f>IF(ROW()-3&gt;MAX($BU$4:$BU$42),"",INDEX(Lists!$CV$4:$CV$42,MATCH(ROW()-3,$BU$4:$BU$42,0)))</f>
        <v/>
      </c>
      <c r="BW27">
        <f>BW26+IF(AND(Lists!$DA$27&lt;&gt;"",ISNUMBER(SEARCH($T$4,Lists!$DA$27))),1,0)</f>
        <v>24</v>
      </c>
      <c r="BX27">
        <f>IF(ROW()-3&gt;MAX($BW$4:$BW$42),"",INDEX(Lists!$DA$4:$DA$42,MATCH(ROW()-3,$BW$4:$BW$42,0)))</f>
        <v>247066</v>
      </c>
      <c r="BY27">
        <f>BY26+IF(AND(Lists!$DF$27&lt;&gt;"",ISNUMBER(SEARCH($U$4,Lists!$DF$27))),1,0)</f>
        <v>24</v>
      </c>
      <c r="BZ27">
        <f>IF(ROW()-3&gt;MAX($BY$4:$BY$42),"",INDEX(Lists!$DF$4:$DF$42,MATCH(ROW()-3,$BY$4:$BY$42,0)))</f>
        <v>52500</v>
      </c>
      <c r="CA27">
        <f>CA26+IF(AND(Lists!$DK$27&lt;&gt;"",ISNUMBER(SEARCH($V$4,Lists!$DK$27))),1,0)</f>
        <v>24</v>
      </c>
      <c r="CB27">
        <f>IF(ROW()-3&gt;MAX($CA$4:$CA$42),"",INDEX(Lists!$DK$4:$DK$42,MATCH(ROW()-3,$CA$4:$CA$42,0)))</f>
        <v>52500</v>
      </c>
      <c r="CC27">
        <f>CC26+IF(AND(Lists!$DP$27&lt;&gt;"",ISNUMBER(SEARCH($W$4,Lists!$DP$27))),1,0)</f>
        <v>6</v>
      </c>
      <c r="CD27" t="str">
        <f>IF(ROW()-3&gt;MAX($CC$4:$CC$42),"",INDEX(Lists!$DP$4:$DP$42,MATCH(ROW()-3,$CC$4:$CC$42,0)))</f>
        <v/>
      </c>
      <c r="CE27">
        <f>CE26+IF(AND(Lists!$DU$27&lt;&gt;"",ISNUMBER(SEARCH($X$4,Lists!$DU$27))),1,0)</f>
        <v>24</v>
      </c>
      <c r="CF27">
        <f>IF(ROW()-3&gt;MAX($CE$4:$CE$42),"",INDEX(Lists!$DU$4:$DU$42,MATCH(ROW()-3,$CE$4:$CE$42,0)))</f>
        <v>194566</v>
      </c>
      <c r="CG27" t="e">
        <f>CG26+IF(AND(Lists!$DZ$27&lt;&gt;"",ISNUMBER(SEARCH($Y$4,Lists!$DZ$27))),1,0)</f>
        <v>#N/A</v>
      </c>
      <c r="CH27" t="e">
        <f>IF(ROW()-3&gt;MAX($CG$4:$CG$42),"",INDEX(Lists!$DZ$4:$DZ$42,MATCH(ROW()-3,$CG$4:$CG$42,0)))</f>
        <v>#N/A</v>
      </c>
      <c r="CI27" t="e">
        <f>CI26+IF(AND(Lists!$EE$27&lt;&gt;"",ISNUMBER(SEARCH($Z$4,Lists!$EE$27))),1,0)</f>
        <v>#N/A</v>
      </c>
      <c r="CJ27" t="e">
        <f>IF(ROW()-3&gt;MAX($CI$4:$CI$42),"",INDEX(Lists!$EE$4:$EE$42,MATCH(ROW()-3,$CI$4:$CI$42,0)))</f>
        <v>#N/A</v>
      </c>
      <c r="CK27">
        <f>CK26+IF(AND(Lists!$EJ$27&lt;&gt;"",ISNUMBER(SEARCH($AA$4,Lists!$EJ$27))),1,0)</f>
        <v>6</v>
      </c>
      <c r="CL27" t="str">
        <f>IF(ROW()-3&gt;MAX($CK$4:$CK$42),"",INDEX(Lists!$EJ$4:$EJ$42,MATCH(ROW()-3,$CK$4:$CK$42,0)))</f>
        <v/>
      </c>
      <c r="CM27" t="e">
        <f>CM26+IF(AND(Lists!$EO$27&lt;&gt;"",ISNUMBER(SEARCH($AB$4,Lists!$EO$27))),1,0)</f>
        <v>#N/A</v>
      </c>
      <c r="CN27" t="e">
        <f>IF(ROW()-3&gt;MAX($CM$4:$CM$42),"",INDEX(Lists!$EO$4:$EO$42,MATCH(ROW()-3,$CM$4:$CM$42,0)))</f>
        <v>#N/A</v>
      </c>
      <c r="CO27" t="e">
        <f>CO26+IF(AND(Lists!$ET$27&lt;&gt;"",ISNUMBER(SEARCH($AC$4,Lists!$ET$27))),1,0)</f>
        <v>#N/A</v>
      </c>
      <c r="CP27" t="e">
        <f>IF(ROW()-3&gt;MAX($CO$4:$CO$42),"",INDEX(Lists!$ET$4:$ET$42,MATCH(ROW()-3,$CO$4:$CO$42,0)))</f>
        <v>#N/A</v>
      </c>
      <c r="CQ27">
        <f>CQ26+IF(AND(Lists!$EY$27&lt;&gt;"",ISNUMBER(SEARCH($AD$4,Lists!$EY$27))),1,0)</f>
        <v>24</v>
      </c>
      <c r="CR27">
        <f>IF(ROW()-3&gt;MAX($CQ$4:$CQ$42),"",INDEX(Lists!$EY$4:$EY$42,MATCH(ROW()-3,$CQ$4:$CQ$42,0)))</f>
        <v>242411</v>
      </c>
      <c r="CS27" t="e">
        <f>CS26+IF(AND(Lists!$FD$27&lt;&gt;"",ISNUMBER(SEARCH($AE$4,Lists!$FD$27))),1,0)</f>
        <v>#N/A</v>
      </c>
      <c r="CT27" t="e">
        <f>IF(ROW()-3&gt;MAX($CS$4:$CS$42),"",INDEX(Lists!$FD$4:$FD$42,MATCH(ROW()-3,$CS$4:$CS$42,0)))</f>
        <v>#N/A</v>
      </c>
      <c r="CU27" t="e">
        <f>CU26+IF(AND(Lists!$FI$27&lt;&gt;"",ISNUMBER(SEARCH($AF$4,Lists!$FI$27))),1,0)</f>
        <v>#N/A</v>
      </c>
      <c r="CV27" t="e">
        <f>IF(ROW()-3&gt;MAX($CU$4:$CU$42),"",INDEX(Lists!$FI$4:$FI$42,MATCH(ROW()-3,$CU$4:$CU$42,0)))</f>
        <v>#N/A</v>
      </c>
      <c r="CW27" t="e">
        <f>CW26+IF(AND(Lists!$FN$27&lt;&gt;"",ISNUMBER(SEARCH($AG$4,Lists!$FN$27))),1,0)</f>
        <v>#N/A</v>
      </c>
      <c r="CX27" t="e">
        <f>IF(ROW()-3&gt;MAX($CW$4:$CW$42),"",INDEX(Lists!$FN$4:$FN$42,MATCH(ROW()-3,$CW$4:$CW$42,0)))</f>
        <v>#N/A</v>
      </c>
      <c r="CY27" t="e">
        <f>CY26+IF(AND(Lists!$FS$27&lt;&gt;"",ISNUMBER(SEARCH($AH$4,Lists!$FS$27))),1,0)</f>
        <v>#N/A</v>
      </c>
      <c r="CZ27" t="e">
        <f>IF(ROW()-3&gt;MAX($CY$4:$CY$42),"",INDEX(Lists!$FS$4:$FS$42,MATCH(ROW()-3,$CY$4:$CY$42,0)))</f>
        <v>#N/A</v>
      </c>
      <c r="DA27">
        <f>DA26+IF(AND(Lists!$FX$27&lt;&gt;"",ISNUMBER(SEARCH($AI$4,Lists!$FX$27))),1,0)</f>
        <v>2</v>
      </c>
      <c r="DB27" t="str">
        <f>IF(ROW()-3&gt;MAX($DA$4:$DA$42),"",INDEX(Lists!$FX$4:$FX$42,MATCH(ROW()-3,$DA$4:$DA$42,0)))</f>
        <v/>
      </c>
    </row>
    <row r="28" outlineLevel="1" ht="15" customHeight="1" s="137">
      <c r="A28" s="90" t="n">
        <v>12</v>
      </c>
      <c r="B28" s="92">
        <f>IF('Final Calculation Sheet'!$F$33="","",'Final Calculation Sheet'!$F$33)</f>
        <v>2059</v>
      </c>
      <c r="C28" s="92" t="str">
        <f>IF('Final Calculation Sheet'!$G$33="","",'Final Calculation Sheet'!$G$33)</f>
        <v>NATIONAL ENTERPRISES</v>
      </c>
      <c r="D28" s="94" t="str">
        <f>IF('Final Calculation Sheet'!$B$33="","",'Final Calculation Sheet'!$B$33)</f>
        <v>Scrap of 33 KV GCB</v>
      </c>
      <c r="E28" s="94">
        <f>IF('Final Calculation Sheet'!$D$33="","",'Final Calculation Sheet'!$D$33)</f>
        <v>21979</v>
      </c>
      <c r="F28" s="94">
        <f>IF('Final Calculation Sheet'!$A$33="","",'Final Calculation Sheet'!$A$33)</f>
        <v>1</v>
      </c>
      <c r="G28" s="94" t="str">
        <f>IF('Final Calculation Sheet'!$E$33="","",'Final Calculation Sheet'!$E$33)</f>
        <v>NO</v>
      </c>
      <c r="H28" s="95">
        <f>IF('Final Calculation Sheet'!$C$33="","",'Final Calculation Sheet'!$C$33)</f>
        <v>29502</v>
      </c>
      <c r="I28" s="95">
        <f>IF('Final Calculation Sheet'!$H$33="","",'Final Calculation Sheet'!$H$33)</f>
        <v>29502</v>
      </c>
      <c r="J28" s="95">
        <f>IF('Final Calculation Sheet'!$I$33="","",'Final Calculation Sheet'!$I$33)</f>
        <v>5310</v>
      </c>
      <c r="K28" s="95">
        <f>IF('Final Calculation Sheet'!$J$33="","",'Final Calculation Sheet'!$J$33)</f>
        <v>34812</v>
      </c>
      <c r="L28" s="95">
        <f>IF('Final Calculation Sheet'!$K$33="","",'Final Calculation Sheet'!$K$33)</f>
        <v>696</v>
      </c>
      <c r="M28" s="95">
        <f>IF('Final Calculation Sheet'!$L$33="","",'Final Calculation Sheet'!$L$33)</f>
        <v>29.501999999999999</v>
      </c>
      <c r="N28" s="95">
        <f>IF('Final Calculation Sheet'!$M$33="","",'Final Calculation Sheet'!$M$33)</f>
        <v>783.27809999999988</v>
      </c>
      <c r="O28" s="96">
        <f>IF('Final Calculation Sheet'!$N$33="","",'Final Calculation Sheet'!$N$33)</f>
        <v>13.2759</v>
      </c>
      <c r="P28" s="95">
        <f>IF('Final Calculation Sheet'!$O$33="","",'Final Calculation Sheet'!$O$33)</f>
        <v>770.0021999999999</v>
      </c>
      <c r="Q28" s="95">
        <f>IF('Final Calculation Sheet'!$P$33="","",'Final Calculation Sheet'!$P$33)</f>
        <v>800</v>
      </c>
      <c r="R28" s="97">
        <f>IF('Final Calculation Sheet'!$Q$33="","",'Final Calculation Sheet'!$Q$33)</f>
        <v>0</v>
      </c>
      <c r="S28" s="95">
        <f>IF('Final Calculation Sheet'!$R$33="","",'Final Calculation Sheet'!$R$33)</f>
        <v>0</v>
      </c>
      <c r="T28" s="95">
        <f>IF('Final Calculation Sheet'!$S$33="","",'Final Calculation Sheet'!$S$33)</f>
        <v>34709</v>
      </c>
      <c r="U28" s="95">
        <f>IF('Final Calculation Sheet'!$T$33="","",'Final Calculation Sheet'!$T$33)</f>
        <v>7376</v>
      </c>
      <c r="V28" s="98">
        <f>IF('Final Calculation Sheet'!$U$33="","",'Final Calculation Sheet'!$U$33)</f>
        <v>7376</v>
      </c>
      <c r="W28" s="95" t="str">
        <f>IF('Final Calculation Sheet'!$V$33="","",'Final Calculation Sheet'!$V$33)</f>
        <v>13.08.2026</v>
      </c>
      <c r="X28" s="95">
        <f>IF('Final Calculation Sheet'!$W$33="","",'Final Calculation Sheet'!$W$33)</f>
        <v>27334</v>
      </c>
      <c r="Y28" s="95">
        <f>IF('Final Calculation Sheet'!$X$33="","",'Final Calculation Sheet'!$X$33)</f>
        <v>27332</v>
      </c>
      <c r="Z28" s="95" t="str">
        <f>IF('Final Calculation Sheet'!$Y$33="","",'Final Calculation Sheet'!$Y$33)</f>
        <v>24.08.2026</v>
      </c>
      <c r="AA28" s="95">
        <f>IF('Final Calculation Sheet'!$Z$33="","",'Final Calculation Sheet'!$Z$33)</f>
        <v>0</v>
      </c>
      <c r="AB28" s="95" t="str">
        <f>IF('Final Calculation Sheet'!$AA$33="","",'Final Calculation Sheet'!$AA$33)</f>
        <v/>
      </c>
      <c r="AC28" s="95" t="str">
        <f>IF('Final Calculation Sheet'!$AB$33="","",'Final Calculation Sheet'!$AB$33)</f>
        <v/>
      </c>
      <c r="AD28" s="95">
        <f>IF('Final Calculation Sheet'!$AC$33="","",'Final Calculation Sheet'!$AC$33)</f>
        <v>34708</v>
      </c>
      <c r="AE28" s="95">
        <f>IF('Final Calculation Sheet'!$AD$33="","",'Final Calculation Sheet'!$AD$33)</f>
        <v>1</v>
      </c>
      <c r="AF28" s="95" t="str">
        <f>IF('Final Calculation Sheet'!$AE$33="","",'Final Calculation Sheet'!$AE$33)</f>
        <v>DR2640100046</v>
      </c>
      <c r="AG28" s="99">
        <f>IF('Final Calculation Sheet'!$AF$33="","",'Final Calculation Sheet'!$AF$33)</f>
        <v>1800003313</v>
      </c>
      <c r="AH28" s="95" t="str">
        <f>IF('Final Calculation Sheet'!$AG$33="","",'Final Calculation Sheet'!$AG$33)</f>
        <v>27.08.2026</v>
      </c>
      <c r="AI28" s="100" t="str">
        <f>IF('Final Calculation Sheet'!$AD$33="","",IF('Final Calculation Sheet'!$AD$33&lt;=5,"SETTLED","OUTSTANDING"))</f>
        <v>SETTLED</v>
      </c>
      <c r="AJ28" t="b">
        <f>AND(IF($B$4="",TRUE(),IF($B$4="(blank)",'Final Calculation Sheet'!$F$26="",IF($B$4="(nonblank)",'Final Calculation Sheet'!$F$26&lt;&gt;"",ISNUMBER(SEARCH($B$4,'Final Calculation Sheet'!$F$26))))),IF($C$4="",TRUE(),IF($C$4="(blank)",'Final Calculation Sheet'!$G$26="",IF($C$4="(nonblank)",'Final Calculation Sheet'!$G$26&lt;&gt;"",ISNUMBER(SEARCH($C$4,'Final Calculation Sheet'!$G$26))))),IF($D$4="",TRUE(),IF($D$4="(blank)",'Final Calculation Sheet'!$B$26="",IF($D$4="(nonblank)",'Final Calculation Sheet'!$B$26&lt;&gt;"",ISNUMBER(SEARCH($D$4,'Final Calculation Sheet'!$B$26))))),IF($E$4="",TRUE(),IF($E$4="(blank)",'Final Calculation Sheet'!$D$26="",IF($E$4="(nonblank)",'Final Calculation Sheet'!$D$26&lt;&gt;"",ISNUMBER(SEARCH($E$4,'Final Calculation Sheet'!$D$26))))),IF($F$4="",TRUE(),IF($F$4="(blank)",'Final Calculation Sheet'!$A$26="",IF($F$4="(nonblank)",'Final Calculation Sheet'!$A$26&lt;&gt;"",ISNUMBER(SEARCH($F$4,'Final Calculation Sheet'!$A$26))))),IF($G$4="",TRUE(),IF($G$4="(blank)",'Final Calculation Sheet'!$E$26="",IF($G$4="(nonblank)",'Final Calculation Sheet'!$E$26&lt;&gt;"",ISNUMBER(SEARCH($G$4,'Final Calculation Sheet'!$E$26))))),IF($H$4="",TRUE(),IF($H$4="(blank)",'Final Calculation Sheet'!$C$26="",IF($H$4="(nonblank)",'Final Calculation Sheet'!$C$26&lt;&gt;"",ISNUMBER(SEARCH($H$4,'Final Calculation Sheet'!$C$26))))),IF($I$4="",TRUE(),IF($I$4="(blank)",'Final Calculation Sheet'!$H$26="",IF($I$4="(nonblank)",'Final Calculation Sheet'!$H$26&lt;&gt;"",ISNUMBER(SEARCH($I$4,'Final Calculation Sheet'!$H$26))))),IF($J$4="",TRUE(),IF($J$4="(blank)",'Final Calculation Sheet'!$I$26="",IF($J$4="(nonblank)",'Final Calculation Sheet'!$I$26&lt;&gt;"",ISNUMBER(SEARCH($J$4,'Final Calculation Sheet'!$I$26))))),IF($K$4="",TRUE(),IF($K$4="(blank)",'Final Calculation Sheet'!$J$26="",IF($K$4="(nonblank)",'Final Calculation Sheet'!$J$26&lt;&gt;"",ISNUMBER(SEARCH($K$4,'Final Calculation Sheet'!$J$26))))),IF($L$4="",TRUE(),IF($L$4="(blank)",'Final Calculation Sheet'!$K$26="",IF($L$4="(nonblank)",'Final Calculation Sheet'!$K$26&lt;&gt;"",ISNUMBER(SEARCH($L$4,'Final Calculation Sheet'!$K$26))))),IF($M$4="",TRUE(),IF($M$4="(blank)",'Final Calculation Sheet'!$L$26="",IF($M$4="(nonblank)",'Final Calculation Sheet'!$L$26&lt;&gt;"",ISNUMBER(SEARCH($M$4,'Final Calculation Sheet'!$L$26))))),IF($N$4="",TRUE(),IF($N$4="(blank)",'Final Calculation Sheet'!$M$26="",IF($N$4="(nonblank)",'Final Calculation Sheet'!$M$26&lt;&gt;"",ISNUMBER(SEARCH($N$4,'Final Calculation Sheet'!$M$26))))),IF($O$4="",TRUE(),IF($O$4="(blank)",'Final Calculation Sheet'!$N$26="",IF($O$4="(nonblank)",'Final Calculation Sheet'!$N$26&lt;&gt;"",ISNUMBER(SEARCH($O$4,'Final Calculation Sheet'!$N$26))))),IF($P$4="",TRUE(),IF($P$4="(blank)",'Final Calculation Sheet'!$O$26="",IF($P$4="(nonblank)",'Final Calculation Sheet'!$O$26&lt;&gt;"",ISNUMBER(SEARCH($P$4,'Final Calculation Sheet'!$O$26))))),IF($Q$4="",TRUE(),IF($Q$4="(blank)",'Final Calculation Sheet'!$P$26="",IF($Q$4="(nonblank)",'Final Calculation Sheet'!$P$26&lt;&gt;"",ISNUMBER(SEARCH($Q$4,'Final Calculation Sheet'!$P$26))))),IF($R$4="",TRUE(),IF($R$4="(blank)",'Final Calculation Sheet'!$Q$26="",IF($R$4="(nonblank)",'Final Calculation Sheet'!$Q$26&lt;&gt;"",ISNUMBER(SEARCH($R$4,'Final Calculation Sheet'!$Q$26))))),IF($S$4="",TRUE(),IF($S$4="(blank)",'Final Calculation Sheet'!$R$26="",IF($S$4="(nonblank)",'Final Calculation Sheet'!$R$26&lt;&gt;"",ISNUMBER(SEARCH($S$4,'Final Calculation Sheet'!$R$26))))),IF($T$4="",TRUE(),IF($T$4="(blank)",'Final Calculation Sheet'!$S$26="",IF($T$4="(nonblank)",'Final Calculation Sheet'!$S$26&lt;&gt;"",ISNUMBER(SEARCH($T$4,'Final Calculation Sheet'!$S$26))))),IF($U$4="",TRUE(),IF($U$4="(blank)",'Final Calculation Sheet'!$T$26="",IF($U$4="(nonblank)",'Final Calculation Sheet'!$T$26&lt;&gt;"",ISNUMBER(SEARCH($U$4,'Final Calculation Sheet'!$T$26))))),IF($V$4="",TRUE(),IF($V$4="(blank)",'Final Calculation Sheet'!$U$26="",IF($V$4="(nonblank)",'Final Calculation Sheet'!$U$26&lt;&gt;"",ISNUMBER(SEARCH($V$4,'Final Calculation Sheet'!$U$26))))),IF($W$4="",TRUE(),IF($W$4="(blank)",'Final Calculation Sheet'!$V$26="",IF($W$4="(nonblank)",'Final Calculation Sheet'!$V$26&lt;&gt;"",ISNUMBER(SEARCH($W$4,'Final Calculation Sheet'!$V$26))))),IF($X$4="",TRUE(),IF($X$4="(blank)",'Final Calculation Sheet'!$W$26="",IF($X$4="(nonblank)",'Final Calculation Sheet'!$W$26&lt;&gt;"",ISNUMBER(SEARCH($X$4,'Final Calculation Sheet'!$W$26))))),IF($Y$4="",TRUE(),IF($Y$4="(blank)",'Final Calculation Sheet'!$X$26="",IF($Y$4="(nonblank)",'Final Calculation Sheet'!$X$26&lt;&gt;"",ISNUMBER(SEARCH($Y$4,'Final Calculation Sheet'!$X$26))))),IF($Z$4="",TRUE(),IF($Z$4="(blank)",'Final Calculation Sheet'!$Y$26="",IF($Z$4="(nonblank)",'Final Calculation Sheet'!$Y$26&lt;&gt;"",ISNUMBER(SEARCH($Z$4,'Final Calculation Sheet'!$Y$26))))),IF($AA$4="",TRUE(),IF($AA$4="(blank)",'Final Calculation Sheet'!$Z$26="",IF($AA$4="(nonblank)",'Final Calculation Sheet'!$Z$26&lt;&gt;"",ISNUMBER(SEARCH($AA$4,'Final Calculation Sheet'!$Z$26))))),IF($AB$4="",TRUE(),IF($AB$4="(blank)",'Final Calculation Sheet'!$AA$26="",IF($AB$4="(nonblank)",'Final Calculation Sheet'!$AA$26&lt;&gt;"",ISNUMBER(SEARCH($AB$4,'Final Calculation Sheet'!$AA$26))))),IF($AC$4="",TRUE(),IF($AC$4="(blank)",'Final Calculation Sheet'!$AB$26="",IF($AC$4="(nonblank)",'Final Calculation Sheet'!$AB$26&lt;&gt;"",ISNUMBER(SEARCH($AC$4,'Final Calculation Sheet'!$AB$26))))),IF($AD$4="",TRUE(),IF($AD$4="(blank)",'Final Calculation Sheet'!$AC$26="",IF($AD$4="(nonblank)",'Final Calculation Sheet'!$AC$26&lt;&gt;"",ISNUMBER(SEARCH($AD$4,'Final Calculation Sheet'!$AC$26))))),IF($AE$4="",TRUE(),IF($AE$4="(blank)",'Final Calculation Sheet'!$AD$26="",IF($AE$4="(nonblank)",'Final Calculation Sheet'!$AD$26&lt;&gt;"",ISNUMBER(SEARCH($AE$4,'Final Calculation Sheet'!$AD$26))))),IF($AF$4="",TRUE(),IF($AF$4="(blank)",'Final Calculation Sheet'!$AE$26="",IF($AF$4="(nonblank)",'Final Calculation Sheet'!$AE$26&lt;&gt;"",ISNUMBER(SEARCH($AF$4,'Final Calculation Sheet'!$AE$26))))),IF($AG$4="",TRUE(),IF($AG$4="(blank)",'Final Calculation Sheet'!$AF$26="",IF($AG$4="(nonblank)",'Final Calculation Sheet'!$AF$26&lt;&gt;"",ISNUMBER(SEARCH($AG$4,'Final Calculation Sheet'!$AF$26))))),IF($AH$4="",TRUE(),IF($AH$4="(blank)",'Final Calculation Sheet'!$AG$26="",IF($AH$4="(nonblank)",'Final Calculation Sheet'!$AG$26&lt;&gt;"",ISNUMBER(SEARCH($AH$4,'Final Calculation Sheet'!$AG$26))))),IF($AI$4="",TRUE(),IF($AI$4="(blank)",IF('Final Calculation Sheet'!$AD$26&lt;=5,"SETTLED","OUTSTANDING")="",IF($AI$4="(nonblank)",IF('Final Calculation Sheet'!$AD$26&lt;=5,"SETTLED","OUTSTANDING")&lt;&gt;"",ISNUMBER(SEARCH($AI$4,IF('Final Calculation Sheet'!$AD$26&lt;=5,"SETTLED","OUTSTANDING")))))))</f>
        <v>1</v>
      </c>
      <c r="AK28" t="str">
        <f>IF(AJ28=1,COUNTIF(AJ$6:AJ28,1),"")</f>
        <v/>
      </c>
      <c r="AM28">
        <f>AM27+IF(AND(Lists!$O$28&lt;&gt;"",ISNUMBER(SEARCH($B$4,Lists!$O$28))),1,0)</f>
        <v>25</v>
      </c>
      <c r="AN28">
        <f>IF(ROW()-3&gt;MAX($AM$4:$AM$42),"",INDEX(Lists!$O$4:$O$42,MATCH(ROW()-3,$AM$4:$AM$42,0)))</f>
        <v>2037</v>
      </c>
      <c r="AO28">
        <f>AO27+IF(AND(Lists!$T$28&lt;&gt;"",ISNUMBER(SEARCH($C$4,Lists!$T$28))),1,0)</f>
        <v>13</v>
      </c>
      <c r="AP28" t="str">
        <f>IF(ROW()-3&gt;MAX($AO$4:$AO$42),"",INDEX(Lists!$T$4:$T$42,MATCH(ROW()-3,$AO$4:$AO$42,0)))</f>
        <v/>
      </c>
      <c r="AQ28">
        <f>AQ27+IF(AND(Lists!$Y$28&lt;&gt;"",ISNUMBER(SEARCH($D$4,Lists!$Y$28))),1,0)</f>
        <v>25</v>
      </c>
      <c r="AR28" t="str">
        <f>IF(ROW()-3&gt;MAX($AQ$4:$AQ$42),"",INDEX(Lists!$Y$4:$Y$42,MATCH(ROW()-3,$AQ$4:$AQ$42,0)))</f>
        <v>Scrap Power Transformer</v>
      </c>
      <c r="AS28">
        <f>AS27+IF(AND(Lists!$AD$28&lt;&gt;"",ISNUMBER(SEARCH($E$4,Lists!$AD$28))),1,0)</f>
        <v>4</v>
      </c>
      <c r="AT28" t="str">
        <f>IF(ROW()-3&gt;MAX($AS$4:$AS$42),"",INDEX(Lists!$AD$4:$AD$42,MATCH(ROW()-3,$AS$4:$AS$42,0)))</f>
        <v/>
      </c>
      <c r="AU28">
        <f>AU27+IF(AND(Lists!$AI$28&lt;&gt;"",ISNUMBER(SEARCH($F$4,Lists!$AI$28))),1,0)</f>
        <v>22</v>
      </c>
      <c r="AV28" t="str">
        <f>IF(ROW()-3&gt;MAX($AU$4:$AU$42),"",INDEX(Lists!$AI$4:$AI$42,MATCH(ROW()-3,$AU$4:$AU$42,0)))</f>
        <v/>
      </c>
      <c r="AW28">
        <f>AW27+IF(AND(Lists!$AN$28&lt;&gt;"",ISNUMBER(SEARCH($G$4,Lists!$AN$28))),1,0)</f>
        <v>3</v>
      </c>
      <c r="AX28" t="str">
        <f>IF(ROW()-3&gt;MAX($AW$4:$AW$42),"",INDEX(Lists!$AN$4:$AN$42,MATCH(ROW()-3,$AW$4:$AW$42,0)))</f>
        <v/>
      </c>
      <c r="AY28">
        <f>AY27+IF(AND(Lists!$AS$28&lt;&gt;"",ISNUMBER(SEARCH($H$4,Lists!$AS$28))),1,0)</f>
        <v>25</v>
      </c>
      <c r="AZ28">
        <f>IF(ROW()-3&gt;MAX($AY$4:$AY$42),"",INDEX(Lists!$AS$4:$AS$42,MATCH(ROW()-3,$AY$4:$AY$42,0)))</f>
        <v>70001</v>
      </c>
      <c r="BA28">
        <f>BA27+IF(AND(Lists!$AX$28&lt;&gt;"",ISNUMBER(SEARCH($I$4,Lists!$AX$28))),1,0)</f>
        <v>25</v>
      </c>
      <c r="BB28">
        <f>IF(ROW()-3&gt;MAX($BA$4:$BA$42),"",INDEX(Lists!$AX$4:$AX$42,MATCH(ROW()-3,$BA$4:$BA$42,0)))</f>
        <v>210003</v>
      </c>
      <c r="BC28">
        <f>BC27+IF(AND(Lists!$BC$28&lt;&gt;"",ISNUMBER(SEARCH($J$4,Lists!$BC$28))),1,0)</f>
        <v>25</v>
      </c>
      <c r="BD28">
        <f>IF(ROW()-3&gt;MAX($BC$4:$BC$42),"",INDEX(Lists!$BC$4:$BC$42,MATCH(ROW()-3,$BC$4:$BC$42,0)))</f>
        <v>37801</v>
      </c>
      <c r="BE28">
        <f>BE27+IF(AND(Lists!$BH$28&lt;&gt;"",ISNUMBER(SEARCH($K$4,Lists!$BH$28))),1,0)</f>
        <v>25</v>
      </c>
      <c r="BF28">
        <f>IF(ROW()-3&gt;MAX($BE$4:$BE$42),"",INDEX(Lists!$BH$4:$BH$42,MATCH(ROW()-3,$BE$4:$BE$42,0)))</f>
        <v>247804</v>
      </c>
      <c r="BG28">
        <f>BG27+IF(AND(Lists!$BM$28&lt;&gt;"",ISNUMBER(SEARCH($L$4,Lists!$BM$28))),1,0)</f>
        <v>25</v>
      </c>
      <c r="BH28">
        <f>IF(ROW()-3&gt;MAX($BG$4:$BG$42),"",INDEX(Lists!$BM$4:$BM$42,MATCH(ROW()-3,$BG$4:$BG$42,0)))</f>
        <v>5192</v>
      </c>
      <c r="BI28">
        <f>BI27+IF(AND(Lists!$BR$28&lt;&gt;"",ISNUMBER(SEARCH($M$4,Lists!$BR$28))),1,0)</f>
        <v>25</v>
      </c>
      <c r="BJ28">
        <f>IF(ROW()-3&gt;MAX($BI$4:$BI$42),"",INDEX(Lists!$BR$4:$BR$42,MATCH(ROW()-3,$BI$4:$BI$42,0)))</f>
        <v>210.00300000000001</v>
      </c>
      <c r="BK28">
        <f>BK27+IF(AND(Lists!$BW$28&lt;&gt;"",ISNUMBER(SEARCH($N$4,Lists!$BW$28))),1,0)</f>
        <v>25</v>
      </c>
      <c r="BL28">
        <f>IF(ROW()-3&gt;MAX($BK$4:$BK$42),"",INDEX(Lists!$BW$4:$BW$42,MATCH(ROW()-3,$BK$4:$BK$42,0)))</f>
        <v>5575.5796499999997</v>
      </c>
      <c r="BM28">
        <f>BM27+IF(AND(Lists!$CB$28&lt;&gt;"",ISNUMBER(SEARCH($O$4,Lists!$CB$28))),1,0)</f>
        <v>25</v>
      </c>
      <c r="BN28">
        <f>IF(ROW()-3&gt;MAX($BM$4:$BM$42),"",INDEX(Lists!$CB$4:$CB$42,MATCH(ROW()-3,$BM$4:$BM$42,0)))</f>
        <v>94.501350000000002</v>
      </c>
      <c r="BO28">
        <f>BO27+IF(AND(Lists!$CG$28&lt;&gt;"",ISNUMBER(SEARCH($P$4,Lists!$CG$28))),1,0)</f>
        <v>25</v>
      </c>
      <c r="BP28">
        <f>IF(ROW()-3&gt;MAX($BO$4:$BO$42),"",INDEX(Lists!$CG$4:$CG$42,MATCH(ROW()-3,$BO$4:$BO$42,0)))</f>
        <v>5481.0782999999992</v>
      </c>
      <c r="BQ28">
        <f>BQ27+IF(AND(Lists!$CL$28&lt;&gt;"",ISNUMBER(SEARCH($Q$4,Lists!$CL$28))),1,0)</f>
        <v>25</v>
      </c>
      <c r="BR28">
        <f>IF(ROW()-3&gt;MAX($BQ$4:$BQ$42),"",INDEX(Lists!$CL$4:$CL$42,MATCH(ROW()-3,$BQ$4:$BQ$42,0)))</f>
        <v>5962</v>
      </c>
      <c r="BS28">
        <f>BS27+IF(AND(Lists!$CQ$28&lt;&gt;"",ISNUMBER(SEARCH($R$4,Lists!$CQ$28))),1,0)</f>
        <v>2</v>
      </c>
      <c r="BT28" t="str">
        <f>IF(ROW()-3&gt;MAX($BS$4:$BS$42),"",INDEX(Lists!$CQ$4:$CQ$42,MATCH(ROW()-3,$BS$4:$BS$42,0)))</f>
        <v/>
      </c>
      <c r="BU28">
        <f>BU27+IF(AND(Lists!$CV$28&lt;&gt;"",ISNUMBER(SEARCH($S$4,Lists!$CV$28))),1,0)</f>
        <v>5</v>
      </c>
      <c r="BV28" t="str">
        <f>IF(ROW()-3&gt;MAX($BU$4:$BU$42),"",INDEX(Lists!$CV$4:$CV$42,MATCH(ROW()-3,$BU$4:$BU$42,0)))</f>
        <v/>
      </c>
      <c r="BW28">
        <f>BW27+IF(AND(Lists!$DA$28&lt;&gt;"",ISNUMBER(SEARCH($T$4,Lists!$DA$28))),1,0)</f>
        <v>25</v>
      </c>
      <c r="BX28">
        <f>IF(ROW()-3&gt;MAX($BW$4:$BW$42),"",INDEX(Lists!$DA$4:$DA$42,MATCH(ROW()-3,$BW$4:$BW$42,0)))</f>
        <v>247069</v>
      </c>
      <c r="BY28">
        <f>BY27+IF(AND(Lists!$DF$28&lt;&gt;"",ISNUMBER(SEARCH($U$4,Lists!$DF$28))),1,0)</f>
        <v>25</v>
      </c>
      <c r="BZ28">
        <f>IF(ROW()-3&gt;MAX($BY$4:$BY$42),"",INDEX(Lists!$DF$4:$DF$42,MATCH(ROW()-3,$BY$4:$BY$42,0)))</f>
        <v>52501</v>
      </c>
      <c r="CA28">
        <f>CA27+IF(AND(Lists!$DK$28&lt;&gt;"",ISNUMBER(SEARCH($V$4,Lists!$DK$28))),1,0)</f>
        <v>25</v>
      </c>
      <c r="CB28">
        <f>IF(ROW()-3&gt;MAX($CA$4:$CA$42),"",INDEX(Lists!$DK$4:$DK$42,MATCH(ROW()-3,$CA$4:$CA$42,0)))</f>
        <v>52501</v>
      </c>
      <c r="CC28">
        <f>CC27+IF(AND(Lists!$DP$28&lt;&gt;"",ISNUMBER(SEARCH($W$4,Lists!$DP$28))),1,0)</f>
        <v>6</v>
      </c>
      <c r="CD28" t="str">
        <f>IF(ROW()-3&gt;MAX($CC$4:$CC$42),"",INDEX(Lists!$DP$4:$DP$42,MATCH(ROW()-3,$CC$4:$CC$42,0)))</f>
        <v/>
      </c>
      <c r="CE28">
        <f>CE27+IF(AND(Lists!$DU$28&lt;&gt;"",ISNUMBER(SEARCH($X$4,Lists!$DU$28))),1,0)</f>
        <v>25</v>
      </c>
      <c r="CF28">
        <f>IF(ROW()-3&gt;MAX($CE$4:$CE$42),"",INDEX(Lists!$DU$4:$DU$42,MATCH(ROW()-3,$CE$4:$CE$42,0)))</f>
        <v>194568</v>
      </c>
      <c r="CG28" t="e">
        <f>CG27+IF(AND(Lists!$DZ$28&lt;&gt;"",ISNUMBER(SEARCH($Y$4,Lists!$DZ$28))),1,0)</f>
        <v>#N/A</v>
      </c>
      <c r="CH28" t="e">
        <f>IF(ROW()-3&gt;MAX($CG$4:$CG$42),"",INDEX(Lists!$DZ$4:$DZ$42,MATCH(ROW()-3,$CG$4:$CG$42,0)))</f>
        <v>#N/A</v>
      </c>
      <c r="CI28" t="e">
        <f>CI27+IF(AND(Lists!$EE$28&lt;&gt;"",ISNUMBER(SEARCH($Z$4,Lists!$EE$28))),1,0)</f>
        <v>#N/A</v>
      </c>
      <c r="CJ28" t="e">
        <f>IF(ROW()-3&gt;MAX($CI$4:$CI$42),"",INDEX(Lists!$EE$4:$EE$42,MATCH(ROW()-3,$CI$4:$CI$42,0)))</f>
        <v>#N/A</v>
      </c>
      <c r="CK28">
        <f>CK27+IF(AND(Lists!$EJ$28&lt;&gt;"",ISNUMBER(SEARCH($AA$4,Lists!$EJ$28))),1,0)</f>
        <v>6</v>
      </c>
      <c r="CL28" t="str">
        <f>IF(ROW()-3&gt;MAX($CK$4:$CK$42),"",INDEX(Lists!$EJ$4:$EJ$42,MATCH(ROW()-3,$CK$4:$CK$42,0)))</f>
        <v/>
      </c>
      <c r="CM28" t="e">
        <f>CM27+IF(AND(Lists!$EO$28&lt;&gt;"",ISNUMBER(SEARCH($AB$4,Lists!$EO$28))),1,0)</f>
        <v>#N/A</v>
      </c>
      <c r="CN28" t="e">
        <f>IF(ROW()-3&gt;MAX($CM$4:$CM$42),"",INDEX(Lists!$EO$4:$EO$42,MATCH(ROW()-3,$CM$4:$CM$42,0)))</f>
        <v>#N/A</v>
      </c>
      <c r="CO28" t="e">
        <f>CO27+IF(AND(Lists!$ET$28&lt;&gt;"",ISNUMBER(SEARCH($AC$4,Lists!$ET$28))),1,0)</f>
        <v>#N/A</v>
      </c>
      <c r="CP28" t="e">
        <f>IF(ROW()-3&gt;MAX($CO$4:$CO$42),"",INDEX(Lists!$ET$4:$ET$42,MATCH(ROW()-3,$CO$4:$CO$42,0)))</f>
        <v>#N/A</v>
      </c>
      <c r="CQ28">
        <f>CQ27+IF(AND(Lists!$EY$28&lt;&gt;"",ISNUMBER(SEARCH($AD$4,Lists!$EY$28))),1,0)</f>
        <v>25</v>
      </c>
      <c r="CR28">
        <f>IF(ROW()-3&gt;MAX($CQ$4:$CQ$42),"",INDEX(Lists!$EY$4:$EY$42,MATCH(ROW()-3,$CQ$4:$CQ$42,0)))</f>
        <v>243570</v>
      </c>
      <c r="CS28" t="e">
        <f>CS27+IF(AND(Lists!$FD$28&lt;&gt;"",ISNUMBER(SEARCH($AE$4,Lists!$FD$28))),1,0)</f>
        <v>#N/A</v>
      </c>
      <c r="CT28" t="e">
        <f>IF(ROW()-3&gt;MAX($CS$4:$CS$42),"",INDEX(Lists!$FD$4:$FD$42,MATCH(ROW()-3,$CS$4:$CS$42,0)))</f>
        <v>#N/A</v>
      </c>
      <c r="CU28" t="e">
        <f>CU27+IF(AND(Lists!$FI$28&lt;&gt;"",ISNUMBER(SEARCH($AF$4,Lists!$FI$28))),1,0)</f>
        <v>#N/A</v>
      </c>
      <c r="CV28" t="e">
        <f>IF(ROW()-3&gt;MAX($CU$4:$CU$42),"",INDEX(Lists!$FI$4:$FI$42,MATCH(ROW()-3,$CU$4:$CU$42,0)))</f>
        <v>#N/A</v>
      </c>
      <c r="CW28" t="e">
        <f>CW27+IF(AND(Lists!$FN$28&lt;&gt;"",ISNUMBER(SEARCH($AG$4,Lists!$FN$28))),1,0)</f>
        <v>#N/A</v>
      </c>
      <c r="CX28" t="e">
        <f>IF(ROW()-3&gt;MAX($CW$4:$CW$42),"",INDEX(Lists!$FN$4:$FN$42,MATCH(ROW()-3,$CW$4:$CW$42,0)))</f>
        <v>#N/A</v>
      </c>
      <c r="CY28" t="e">
        <f>CY27+IF(AND(Lists!$FS$28&lt;&gt;"",ISNUMBER(SEARCH($AH$4,Lists!$FS$28))),1,0)</f>
        <v>#N/A</v>
      </c>
      <c r="CZ28" t="e">
        <f>IF(ROW()-3&gt;MAX($CY$4:$CY$42),"",INDEX(Lists!$FS$4:$FS$42,MATCH(ROW()-3,$CY$4:$CY$42,0)))</f>
        <v>#N/A</v>
      </c>
      <c r="DA28">
        <f>DA27+IF(AND(Lists!$FX$28&lt;&gt;"",ISNUMBER(SEARCH($AI$4,Lists!$FX$28))),1,0)</f>
        <v>2</v>
      </c>
      <c r="DB28" t="str">
        <f>IF(ROW()-3&gt;MAX($DA$4:$DA$42),"",INDEX(Lists!$FX$4:$FX$42,MATCH(ROW()-3,$DA$4:$DA$42,0)))</f>
        <v/>
      </c>
    </row>
    <row r="29" outlineLevel="1" ht="15" customHeight="1" s="137">
      <c r="A29" s="67" t="n">
        <v>13</v>
      </c>
      <c r="B29" s="76">
        <f>IF('Final Calculation Sheet'!$F$37="","",'Final Calculation Sheet'!$F$37)</f>
        <v>2071</v>
      </c>
      <c r="C29" s="76" t="str">
        <f>IF('Final Calculation Sheet'!$G$37="","",'Final Calculation Sheet'!$G$37)</f>
        <v>NATIONAL ENTERPRISES</v>
      </c>
      <c r="D29" s="80" t="str">
        <f>IF('Final Calculation Sheet'!$B$37="","",'Final Calculation Sheet'!$B$37)</f>
        <v>Scrap of 66 KV Isolater</v>
      </c>
      <c r="E29" s="80">
        <f>IF('Final Calculation Sheet'!$D$37="","",'Final Calculation Sheet'!$D$37)</f>
        <v>21980</v>
      </c>
      <c r="F29" s="80">
        <f>IF('Final Calculation Sheet'!$A$37="","",'Final Calculation Sheet'!$A$37)</f>
        <v>3</v>
      </c>
      <c r="G29" s="80" t="str">
        <f>IF('Final Calculation Sheet'!$E$37="","",'Final Calculation Sheet'!$E$37)</f>
        <v>NO</v>
      </c>
      <c r="H29" s="70">
        <f>IF('Final Calculation Sheet'!$C$37="","",'Final Calculation Sheet'!$C$37)</f>
        <v>25001</v>
      </c>
      <c r="I29" s="70">
        <f>IF('Final Calculation Sheet'!$H$37="","",'Final Calculation Sheet'!$H$37)</f>
        <v>75003</v>
      </c>
      <c r="J29" s="70">
        <f>IF('Final Calculation Sheet'!$I$37="","",'Final Calculation Sheet'!$I$37)</f>
        <v>13501</v>
      </c>
      <c r="K29" s="70">
        <f>IF('Final Calculation Sheet'!$J$37="","",'Final Calculation Sheet'!$J$37)</f>
        <v>88504</v>
      </c>
      <c r="L29" s="70">
        <f>IF('Final Calculation Sheet'!$K$37="","",'Final Calculation Sheet'!$K$37)</f>
        <v>1770</v>
      </c>
      <c r="M29" s="70">
        <f>IF('Final Calculation Sheet'!$L$37="","",'Final Calculation Sheet'!$L$37)</f>
        <v>75.003</v>
      </c>
      <c r="N29" s="70">
        <f>IF('Final Calculation Sheet'!$M$37="","",'Final Calculation Sheet'!$M$37)</f>
        <v>1991.3296499999997</v>
      </c>
      <c r="O29" s="71">
        <f>IF('Final Calculation Sheet'!$N$37="","",'Final Calculation Sheet'!$N$37)</f>
        <v>33.751349999999995</v>
      </c>
      <c r="P29" s="70">
        <f>IF('Final Calculation Sheet'!$O$37="","",'Final Calculation Sheet'!$O$37)</f>
        <v>1957.5782999999997</v>
      </c>
      <c r="Q29" s="70">
        <f>IF('Final Calculation Sheet'!$P$37="","",'Final Calculation Sheet'!$P$37)</f>
        <v>2033</v>
      </c>
      <c r="R29" s="72">
        <f>IF('Final Calculation Sheet'!$Q$37="","",'Final Calculation Sheet'!$Q$37)</f>
        <v>0</v>
      </c>
      <c r="S29" s="70">
        <f>IF('Final Calculation Sheet'!$R$37="","",'Final Calculation Sheet'!$R$37)</f>
        <v>0</v>
      </c>
      <c r="T29" s="70">
        <f>IF('Final Calculation Sheet'!$S$37="","",'Final Calculation Sheet'!$S$37)</f>
        <v>88241</v>
      </c>
      <c r="U29" s="70">
        <f>IF('Final Calculation Sheet'!$T$37="","",'Final Calculation Sheet'!$T$37)</f>
        <v>18751</v>
      </c>
      <c r="V29" s="73">
        <f>IF('Final Calculation Sheet'!$U$37="","",'Final Calculation Sheet'!$U$37)</f>
        <v>18751</v>
      </c>
      <c r="W29" s="70" t="str">
        <f>IF('Final Calculation Sheet'!$V$37="","",'Final Calculation Sheet'!$V$37)</f>
        <v>13.08.2026</v>
      </c>
      <c r="X29" s="70">
        <f>IF('Final Calculation Sheet'!$W$37="","",'Final Calculation Sheet'!$W$37)</f>
        <v>69490</v>
      </c>
      <c r="Y29" s="70">
        <f>IF('Final Calculation Sheet'!$X$37="","",'Final Calculation Sheet'!$X$37)</f>
        <v>69491</v>
      </c>
      <c r="Z29" s="70" t="str">
        <f>IF('Final Calculation Sheet'!$Y$37="","",'Final Calculation Sheet'!$Y$37)</f>
        <v>24.08.2026</v>
      </c>
      <c r="AA29" s="70">
        <f>IF('Final Calculation Sheet'!$Z$37="","",'Final Calculation Sheet'!$Z$37)</f>
        <v>0</v>
      </c>
      <c r="AB29" s="70" t="str">
        <f>IF('Final Calculation Sheet'!$AA$37="","",'Final Calculation Sheet'!$AA$37)</f>
        <v/>
      </c>
      <c r="AC29" s="70" t="str">
        <f>IF('Final Calculation Sheet'!$AB$37="","",'Final Calculation Sheet'!$AB$37)</f>
        <v/>
      </c>
      <c r="AD29" s="70">
        <f>IF('Final Calculation Sheet'!$AC$37="","",'Final Calculation Sheet'!$AC$37)</f>
        <v>88242</v>
      </c>
      <c r="AE29" s="70">
        <f>IF('Final Calculation Sheet'!$AD$37="","",'Final Calculation Sheet'!$AD$37)</f>
        <v>-1</v>
      </c>
      <c r="AF29" s="70" t="str">
        <f>IF('Final Calculation Sheet'!$AE$37="","",'Final Calculation Sheet'!$AE$37)</f>
        <v>DR2640100040</v>
      </c>
      <c r="AG29" s="74">
        <f>IF('Final Calculation Sheet'!$AF$37="","",'Final Calculation Sheet'!$AF$37)</f>
        <v>1800003314</v>
      </c>
      <c r="AH29" s="70" t="str">
        <f>IF('Final Calculation Sheet'!$AG$37="","",'Final Calculation Sheet'!$AG$37)</f>
        <v>27.08.2026</v>
      </c>
      <c r="AI29" s="75" t="str">
        <f>IF('Final Calculation Sheet'!$AD$37="","",IF('Final Calculation Sheet'!$AD$37&lt;=5,"SETTLED","OUTSTANDING"))</f>
        <v>SETTLED</v>
      </c>
      <c r="AJ29" t="b">
        <f>AND(IF($B$4="",TRUE(),IF($B$4="(blank)",'Final Calculation Sheet'!$F$27="",IF($B$4="(nonblank)",'Final Calculation Sheet'!$F$27&lt;&gt;"",ISNUMBER(SEARCH($B$4,'Final Calculation Sheet'!$F$27))))),IF($C$4="",TRUE(),IF($C$4="(blank)",'Final Calculation Sheet'!$G$27="",IF($C$4="(nonblank)",'Final Calculation Sheet'!$G$27&lt;&gt;"",ISNUMBER(SEARCH($C$4,'Final Calculation Sheet'!$G$27))))),IF($D$4="",TRUE(),IF($D$4="(blank)",'Final Calculation Sheet'!$B$27="",IF($D$4="(nonblank)",'Final Calculation Sheet'!$B$27&lt;&gt;"",ISNUMBER(SEARCH($D$4,'Final Calculation Sheet'!$B$27))))),IF($E$4="",TRUE(),IF($E$4="(blank)",'Final Calculation Sheet'!$D$27="",IF($E$4="(nonblank)",'Final Calculation Sheet'!$D$27&lt;&gt;"",ISNUMBER(SEARCH($E$4,'Final Calculation Sheet'!$D$27))))),IF($F$4="",TRUE(),IF($F$4="(blank)",'Final Calculation Sheet'!$A$27="",IF($F$4="(nonblank)",'Final Calculation Sheet'!$A$27&lt;&gt;"",ISNUMBER(SEARCH($F$4,'Final Calculation Sheet'!$A$27))))),IF($G$4="",TRUE(),IF($G$4="(blank)",'Final Calculation Sheet'!$E$27="",IF($G$4="(nonblank)",'Final Calculation Sheet'!$E$27&lt;&gt;"",ISNUMBER(SEARCH($G$4,'Final Calculation Sheet'!$E$27))))),IF($H$4="",TRUE(),IF($H$4="(blank)",'Final Calculation Sheet'!$C$27="",IF($H$4="(nonblank)",'Final Calculation Sheet'!$C$27&lt;&gt;"",ISNUMBER(SEARCH($H$4,'Final Calculation Sheet'!$C$27))))),IF($I$4="",TRUE(),IF($I$4="(blank)",'Final Calculation Sheet'!$H$27="",IF($I$4="(nonblank)",'Final Calculation Sheet'!$H$27&lt;&gt;"",ISNUMBER(SEARCH($I$4,'Final Calculation Sheet'!$H$27))))),IF($J$4="",TRUE(),IF($J$4="(blank)",'Final Calculation Sheet'!$I$27="",IF($J$4="(nonblank)",'Final Calculation Sheet'!$I$27&lt;&gt;"",ISNUMBER(SEARCH($J$4,'Final Calculation Sheet'!$I$27))))),IF($K$4="",TRUE(),IF($K$4="(blank)",'Final Calculation Sheet'!$J$27="",IF($K$4="(nonblank)",'Final Calculation Sheet'!$J$27&lt;&gt;"",ISNUMBER(SEARCH($K$4,'Final Calculation Sheet'!$J$27))))),IF($L$4="",TRUE(),IF($L$4="(blank)",'Final Calculation Sheet'!$K$27="",IF($L$4="(nonblank)",'Final Calculation Sheet'!$K$27&lt;&gt;"",ISNUMBER(SEARCH($L$4,'Final Calculation Sheet'!$K$27))))),IF($M$4="",TRUE(),IF($M$4="(blank)",'Final Calculation Sheet'!$L$27="",IF($M$4="(nonblank)",'Final Calculation Sheet'!$L$27&lt;&gt;"",ISNUMBER(SEARCH($M$4,'Final Calculation Sheet'!$L$27))))),IF($N$4="",TRUE(),IF($N$4="(blank)",'Final Calculation Sheet'!$M$27="",IF($N$4="(nonblank)",'Final Calculation Sheet'!$M$27&lt;&gt;"",ISNUMBER(SEARCH($N$4,'Final Calculation Sheet'!$M$27))))),IF($O$4="",TRUE(),IF($O$4="(blank)",'Final Calculation Sheet'!$N$27="",IF($O$4="(nonblank)",'Final Calculation Sheet'!$N$27&lt;&gt;"",ISNUMBER(SEARCH($O$4,'Final Calculation Sheet'!$N$27))))),IF($P$4="",TRUE(),IF($P$4="(blank)",'Final Calculation Sheet'!$O$27="",IF($P$4="(nonblank)",'Final Calculation Sheet'!$O$27&lt;&gt;"",ISNUMBER(SEARCH($P$4,'Final Calculation Sheet'!$O$27))))),IF($Q$4="",TRUE(),IF($Q$4="(blank)",'Final Calculation Sheet'!$P$27="",IF($Q$4="(nonblank)",'Final Calculation Sheet'!$P$27&lt;&gt;"",ISNUMBER(SEARCH($Q$4,'Final Calculation Sheet'!$P$27))))),IF($R$4="",TRUE(),IF($R$4="(blank)",'Final Calculation Sheet'!$Q$27="",IF($R$4="(nonblank)",'Final Calculation Sheet'!$Q$27&lt;&gt;"",ISNUMBER(SEARCH($R$4,'Final Calculation Sheet'!$Q$27))))),IF($S$4="",TRUE(),IF($S$4="(blank)",'Final Calculation Sheet'!$R$27="",IF($S$4="(nonblank)",'Final Calculation Sheet'!$R$27&lt;&gt;"",ISNUMBER(SEARCH($S$4,'Final Calculation Sheet'!$R$27))))),IF($T$4="",TRUE(),IF($T$4="(blank)",'Final Calculation Sheet'!$S$27="",IF($T$4="(nonblank)",'Final Calculation Sheet'!$S$27&lt;&gt;"",ISNUMBER(SEARCH($T$4,'Final Calculation Sheet'!$S$27))))),IF($U$4="",TRUE(),IF($U$4="(blank)",'Final Calculation Sheet'!$T$27="",IF($U$4="(nonblank)",'Final Calculation Sheet'!$T$27&lt;&gt;"",ISNUMBER(SEARCH($U$4,'Final Calculation Sheet'!$T$27))))),IF($V$4="",TRUE(),IF($V$4="(blank)",'Final Calculation Sheet'!$U$27="",IF($V$4="(nonblank)",'Final Calculation Sheet'!$U$27&lt;&gt;"",ISNUMBER(SEARCH($V$4,'Final Calculation Sheet'!$U$27))))),IF($W$4="",TRUE(),IF($W$4="(blank)",'Final Calculation Sheet'!$V$27="",IF($W$4="(nonblank)",'Final Calculation Sheet'!$V$27&lt;&gt;"",ISNUMBER(SEARCH($W$4,'Final Calculation Sheet'!$V$27))))),IF($X$4="",TRUE(),IF($X$4="(blank)",'Final Calculation Sheet'!$W$27="",IF($X$4="(nonblank)",'Final Calculation Sheet'!$W$27&lt;&gt;"",ISNUMBER(SEARCH($X$4,'Final Calculation Sheet'!$W$27))))),IF($Y$4="",TRUE(),IF($Y$4="(blank)",'Final Calculation Sheet'!$X$27="",IF($Y$4="(nonblank)",'Final Calculation Sheet'!$X$27&lt;&gt;"",ISNUMBER(SEARCH($Y$4,'Final Calculation Sheet'!$X$27))))),IF($Z$4="",TRUE(),IF($Z$4="(blank)",'Final Calculation Sheet'!$Y$27="",IF($Z$4="(nonblank)",'Final Calculation Sheet'!$Y$27&lt;&gt;"",ISNUMBER(SEARCH($Z$4,'Final Calculation Sheet'!$Y$27))))),IF($AA$4="",TRUE(),IF($AA$4="(blank)",'Final Calculation Sheet'!$Z$27="",IF($AA$4="(nonblank)",'Final Calculation Sheet'!$Z$27&lt;&gt;"",ISNUMBER(SEARCH($AA$4,'Final Calculation Sheet'!$Z$27))))),IF($AB$4="",TRUE(),IF($AB$4="(blank)",'Final Calculation Sheet'!$AA$27="",IF($AB$4="(nonblank)",'Final Calculation Sheet'!$AA$27&lt;&gt;"",ISNUMBER(SEARCH($AB$4,'Final Calculation Sheet'!$AA$27))))),IF($AC$4="",TRUE(),IF($AC$4="(blank)",'Final Calculation Sheet'!$AB$27="",IF($AC$4="(nonblank)",'Final Calculation Sheet'!$AB$27&lt;&gt;"",ISNUMBER(SEARCH($AC$4,'Final Calculation Sheet'!$AB$27))))),IF($AD$4="",TRUE(),IF($AD$4="(blank)",'Final Calculation Sheet'!$AC$27="",IF($AD$4="(nonblank)",'Final Calculation Sheet'!$AC$27&lt;&gt;"",ISNUMBER(SEARCH($AD$4,'Final Calculation Sheet'!$AC$27))))),IF($AE$4="",TRUE(),IF($AE$4="(blank)",'Final Calculation Sheet'!$AD$27="",IF($AE$4="(nonblank)",'Final Calculation Sheet'!$AD$27&lt;&gt;"",ISNUMBER(SEARCH($AE$4,'Final Calculation Sheet'!$AD$27))))),IF($AF$4="",TRUE(),IF($AF$4="(blank)",'Final Calculation Sheet'!$AE$27="",IF($AF$4="(nonblank)",'Final Calculation Sheet'!$AE$27&lt;&gt;"",ISNUMBER(SEARCH($AF$4,'Final Calculation Sheet'!$AE$27))))),IF($AG$4="",TRUE(),IF($AG$4="(blank)",'Final Calculation Sheet'!$AF$27="",IF($AG$4="(nonblank)",'Final Calculation Sheet'!$AF$27&lt;&gt;"",ISNUMBER(SEARCH($AG$4,'Final Calculation Sheet'!$AF$27))))),IF($AH$4="",TRUE(),IF($AH$4="(blank)",'Final Calculation Sheet'!$AG$27="",IF($AH$4="(nonblank)",'Final Calculation Sheet'!$AG$27&lt;&gt;"",ISNUMBER(SEARCH($AH$4,'Final Calculation Sheet'!$AG$27))))),IF($AI$4="",TRUE(),IF($AI$4="(blank)",IF('Final Calculation Sheet'!$AD$27&lt;=5,"SETTLED","OUTSTANDING")="",IF($AI$4="(nonblank)",IF('Final Calculation Sheet'!$AD$27&lt;=5,"SETTLED","OUTSTANDING")&lt;&gt;"",ISNUMBER(SEARCH($AI$4,IF('Final Calculation Sheet'!$AD$27&lt;=5,"SETTLED","OUTSTANDING")))))))</f>
        <v>1</v>
      </c>
      <c r="AK29" t="str">
        <f>IF(AJ29=1,COUNTIF(AJ$6:AJ29,1),"")</f>
        <v/>
      </c>
      <c r="AM29">
        <f>AM28+IF(AND(Lists!$O$29&lt;&gt;"",ISNUMBER(SEARCH($B$4,Lists!$O$29))),1,0)</f>
        <v>26</v>
      </c>
      <c r="AN29">
        <f>IF(ROW()-3&gt;MAX($AM$4:$AM$42),"",INDEX(Lists!$O$4:$O$42,MATCH(ROW()-3,$AM$4:$AM$42,0)))</f>
        <v>2040</v>
      </c>
      <c r="AO29">
        <f>AO28+IF(AND(Lists!$T$29&lt;&gt;"",ISNUMBER(SEARCH($C$4,Lists!$T$29))),1,0)</f>
        <v>13</v>
      </c>
      <c r="AP29" t="str">
        <f>IF(ROW()-3&gt;MAX($AO$4:$AO$42),"",INDEX(Lists!$T$4:$T$42,MATCH(ROW()-3,$AO$4:$AO$42,0)))</f>
        <v/>
      </c>
      <c r="AQ29">
        <f>AQ28+IF(AND(Lists!$Y$29&lt;&gt;"",ISNUMBER(SEARCH($D$4,Lists!$Y$29))),1,0)</f>
        <v>25</v>
      </c>
      <c r="AR29" t="str">
        <f>IF(ROW()-3&gt;MAX($AQ$4:$AQ$42),"",INDEX(Lists!$Y$4:$Y$42,MATCH(ROW()-3,$AQ$4:$AQ$42,0)))</f>
        <v>(blank)</v>
      </c>
      <c r="AS29">
        <f>AS28+IF(AND(Lists!$AD$29&lt;&gt;"",ISNUMBER(SEARCH($E$4,Lists!$AD$29))),1,0)</f>
        <v>4</v>
      </c>
      <c r="AT29" t="str">
        <f>IF(ROW()-3&gt;MAX($AS$4:$AS$42),"",INDEX(Lists!$AD$4:$AD$42,MATCH(ROW()-3,$AS$4:$AS$42,0)))</f>
        <v/>
      </c>
      <c r="AU29">
        <f>AU28+IF(AND(Lists!$AI$29&lt;&gt;"",ISNUMBER(SEARCH($F$4,Lists!$AI$29))),1,0)</f>
        <v>22</v>
      </c>
      <c r="AV29" t="str">
        <f>IF(ROW()-3&gt;MAX($AU$4:$AU$42),"",INDEX(Lists!$AI$4:$AI$42,MATCH(ROW()-3,$AU$4:$AU$42,0)))</f>
        <v/>
      </c>
      <c r="AW29">
        <f>AW28+IF(AND(Lists!$AN$29&lt;&gt;"",ISNUMBER(SEARCH($G$4,Lists!$AN$29))),1,0)</f>
        <v>3</v>
      </c>
      <c r="AX29" t="str">
        <f>IF(ROW()-3&gt;MAX($AW$4:$AW$42),"",INDEX(Lists!$AN$4:$AN$42,MATCH(ROW()-3,$AW$4:$AW$42,0)))</f>
        <v/>
      </c>
      <c r="AY29">
        <f>AY28+IF(AND(Lists!$AS$29&lt;&gt;"",ISNUMBER(SEARCH($H$4,Lists!$AS$29))),1,0)</f>
        <v>26</v>
      </c>
      <c r="AZ29">
        <f>IF(ROW()-3&gt;MAX($AY$4:$AY$42),"",INDEX(Lists!$AS$4:$AS$42,MATCH(ROW()-3,$AY$4:$AY$42,0)))</f>
        <v>70006</v>
      </c>
      <c r="BA29">
        <f>BA28+IF(AND(Lists!$AX$29&lt;&gt;"",ISNUMBER(SEARCH($I$4,Lists!$AX$29))),1,0)</f>
        <v>26</v>
      </c>
      <c r="BB29">
        <f>IF(ROW()-3&gt;MAX($BA$4:$BA$42),"",INDEX(Lists!$AX$4:$AX$42,MATCH(ROW()-3,$BA$4:$BA$42,0)))</f>
        <v>220001</v>
      </c>
      <c r="BC29">
        <f>BC28+IF(AND(Lists!$BC$29&lt;&gt;"",ISNUMBER(SEARCH($J$4,Lists!$BC$29))),1,0)</f>
        <v>26</v>
      </c>
      <c r="BD29">
        <f>IF(ROW()-3&gt;MAX($BC$4:$BC$42),"",INDEX(Lists!$BC$4:$BC$42,MATCH(ROW()-3,$BC$4:$BC$42,0)))</f>
        <v>39600</v>
      </c>
      <c r="BE29">
        <f>BE28+IF(AND(Lists!$BH$29&lt;&gt;"",ISNUMBER(SEARCH($K$4,Lists!$BH$29))),1,0)</f>
        <v>26</v>
      </c>
      <c r="BF29">
        <f>IF(ROW()-3&gt;MAX($BE$4:$BE$42),"",INDEX(Lists!$BH$4:$BH$42,MATCH(ROW()-3,$BE$4:$BE$42,0)))</f>
        <v>259601</v>
      </c>
      <c r="BG29">
        <f>BG28+IF(AND(Lists!$BM$29&lt;&gt;"",ISNUMBER(SEARCH($L$4,Lists!$BM$29))),1,0)</f>
        <v>26</v>
      </c>
      <c r="BH29">
        <f>IF(ROW()-3&gt;MAX($BG$4:$BG$42),"",INDEX(Lists!$BM$4:$BM$42,MATCH(ROW()-3,$BG$4:$BG$42,0)))</f>
        <v>5929</v>
      </c>
      <c r="BI29">
        <f>BI28+IF(AND(Lists!$BR$29&lt;&gt;"",ISNUMBER(SEARCH($M$4,Lists!$BR$29))),1,0)</f>
        <v>26</v>
      </c>
      <c r="BJ29">
        <f>IF(ROW()-3&gt;MAX($BI$4:$BI$42),"",INDEX(Lists!$BR$4:$BR$42,MATCH(ROW()-3,$BI$4:$BI$42,0)))</f>
        <v>220.001</v>
      </c>
      <c r="BK29">
        <f>BK28+IF(AND(Lists!$BW$29&lt;&gt;"",ISNUMBER(SEARCH($N$4,Lists!$BW$29))),1,0)</f>
        <v>26</v>
      </c>
      <c r="BL29">
        <f>IF(ROW()-3&gt;MAX($BK$4:$BK$42),"",INDEX(Lists!$BW$4:$BW$42,MATCH(ROW()-3,$BK$4:$BK$42,0)))</f>
        <v>5841.0265499999996</v>
      </c>
      <c r="BM29">
        <f>BM28+IF(AND(Lists!$CB$29&lt;&gt;"",ISNUMBER(SEARCH($O$4,Lists!$CB$29))),1,0)</f>
        <v>26</v>
      </c>
      <c r="BN29">
        <f>IF(ROW()-3&gt;MAX($BM$4:$BM$42),"",INDEX(Lists!$CB$4:$CB$42,MATCH(ROW()-3,$BM$4:$BM$42,0)))</f>
        <v>99.000450000000001</v>
      </c>
      <c r="BO29">
        <f>BO28+IF(AND(Lists!$CG$29&lt;&gt;"",ISNUMBER(SEARCH($P$4,Lists!$CG$29))),1,0)</f>
        <v>26</v>
      </c>
      <c r="BP29">
        <f>IF(ROW()-3&gt;MAX($BO$4:$BO$42),"",INDEX(Lists!$CG$4:$CG$42,MATCH(ROW()-3,$BO$4:$BO$42,0)))</f>
        <v>5742.0260999999991</v>
      </c>
      <c r="BQ29">
        <f>BQ28+IF(AND(Lists!$CL$29&lt;&gt;"",ISNUMBER(SEARCH($Q$4,Lists!$CL$29))),1,0)</f>
        <v>26</v>
      </c>
      <c r="BR29">
        <f>IF(ROW()-3&gt;MAX($BQ$4:$BQ$42),"",INDEX(Lists!$CL$4:$CL$42,MATCH(ROW()-3,$BQ$4:$BQ$42,0)))</f>
        <v>6808</v>
      </c>
      <c r="BS29">
        <f>BS28+IF(AND(Lists!$CQ$29&lt;&gt;"",ISNUMBER(SEARCH($R$4,Lists!$CQ$29))),1,0)</f>
        <v>2</v>
      </c>
      <c r="BT29" t="str">
        <f>IF(ROW()-3&gt;MAX($BS$4:$BS$42),"",INDEX(Lists!$CQ$4:$CQ$42,MATCH(ROW()-3,$BS$4:$BS$42,0)))</f>
        <v/>
      </c>
      <c r="BU29">
        <f>BU28+IF(AND(Lists!$CV$29&lt;&gt;"",ISNUMBER(SEARCH($S$4,Lists!$CV$29))),1,0)</f>
        <v>5</v>
      </c>
      <c r="BV29" t="str">
        <f>IF(ROW()-3&gt;MAX($BU$4:$BU$42),"",INDEX(Lists!$CV$4:$CV$42,MATCH(ROW()-3,$BU$4:$BU$42,0)))</f>
        <v/>
      </c>
      <c r="BW29">
        <f>BW28+IF(AND(Lists!$DA$29&lt;&gt;"",ISNUMBER(SEARCH($T$4,Lists!$DA$29))),1,0)</f>
        <v>26</v>
      </c>
      <c r="BX29">
        <f>IF(ROW()-3&gt;MAX($BW$4:$BW$42),"",INDEX(Lists!$DA$4:$DA$42,MATCH(ROW()-3,$BW$4:$BW$42,0)))</f>
        <v>258831</v>
      </c>
      <c r="BY29">
        <f>BY28+IF(AND(Lists!$DF$29&lt;&gt;"",ISNUMBER(SEARCH($U$4,Lists!$DF$29))),1,0)</f>
        <v>26</v>
      </c>
      <c r="BZ29">
        <f>IF(ROW()-3&gt;MAX($BY$4:$BY$42),"",INDEX(Lists!$DF$4:$DF$42,MATCH(ROW()-3,$BY$4:$BY$42,0)))</f>
        <v>55000</v>
      </c>
      <c r="CA29">
        <f>CA28+IF(AND(Lists!$DK$29&lt;&gt;"",ISNUMBER(SEARCH($V$4,Lists!$DK$29))),1,0)</f>
        <v>26</v>
      </c>
      <c r="CB29">
        <f>IF(ROW()-3&gt;MAX($CA$4:$CA$42),"",INDEX(Lists!$DK$4:$DK$42,MATCH(ROW()-3,$CA$4:$CA$42,0)))</f>
        <v>55000</v>
      </c>
      <c r="CC29">
        <f>CC28+IF(AND(Lists!$DP$29&lt;&gt;"",ISNUMBER(SEARCH($W$4,Lists!$DP$29))),1,0)</f>
        <v>6</v>
      </c>
      <c r="CD29" t="str">
        <f>IF(ROW()-3&gt;MAX($CC$4:$CC$42),"",INDEX(Lists!$DP$4:$DP$42,MATCH(ROW()-3,$CC$4:$CC$42,0)))</f>
        <v/>
      </c>
      <c r="CE29">
        <f>CE28+IF(AND(Lists!$DU$29&lt;&gt;"",ISNUMBER(SEARCH($X$4,Lists!$DU$29))),1,0)</f>
        <v>26</v>
      </c>
      <c r="CF29">
        <f>IF(ROW()-3&gt;MAX($CE$4:$CE$42),"",INDEX(Lists!$DU$4:$DU$42,MATCH(ROW()-3,$CE$4:$CE$42,0)))</f>
        <v>203831</v>
      </c>
      <c r="CG29" t="e">
        <f>CG28+IF(AND(Lists!$DZ$29&lt;&gt;"",ISNUMBER(SEARCH($Y$4,Lists!$DZ$29))),1,0)</f>
        <v>#N/A</v>
      </c>
      <c r="CH29" t="e">
        <f>IF(ROW()-3&gt;MAX($CG$4:$CG$42),"",INDEX(Lists!$DZ$4:$DZ$42,MATCH(ROW()-3,$CG$4:$CG$42,0)))</f>
        <v>#N/A</v>
      </c>
      <c r="CI29" t="e">
        <f>CI28+IF(AND(Lists!$EE$29&lt;&gt;"",ISNUMBER(SEARCH($Z$4,Lists!$EE$29))),1,0)</f>
        <v>#N/A</v>
      </c>
      <c r="CJ29" t="e">
        <f>IF(ROW()-3&gt;MAX($CI$4:$CI$42),"",INDEX(Lists!$EE$4:$EE$42,MATCH(ROW()-3,$CI$4:$CI$42,0)))</f>
        <v>#N/A</v>
      </c>
      <c r="CK29">
        <f>CK28+IF(AND(Lists!$EJ$29&lt;&gt;"",ISNUMBER(SEARCH($AA$4,Lists!$EJ$29))),1,0)</f>
        <v>6</v>
      </c>
      <c r="CL29" t="str">
        <f>IF(ROW()-3&gt;MAX($CK$4:$CK$42),"",INDEX(Lists!$EJ$4:$EJ$42,MATCH(ROW()-3,$CK$4:$CK$42,0)))</f>
        <v/>
      </c>
      <c r="CM29" t="e">
        <f>CM28+IF(AND(Lists!$EO$29&lt;&gt;"",ISNUMBER(SEARCH($AB$4,Lists!$EO$29))),1,0)</f>
        <v>#N/A</v>
      </c>
      <c r="CN29" t="e">
        <f>IF(ROW()-3&gt;MAX($CM$4:$CM$42),"",INDEX(Lists!$EO$4:$EO$42,MATCH(ROW()-3,$CM$4:$CM$42,0)))</f>
        <v>#N/A</v>
      </c>
      <c r="CO29" t="e">
        <f>CO28+IF(AND(Lists!$ET$29&lt;&gt;"",ISNUMBER(SEARCH($AC$4,Lists!$ET$29))),1,0)</f>
        <v>#N/A</v>
      </c>
      <c r="CP29" t="e">
        <f>IF(ROW()-3&gt;MAX($CO$4:$CO$42),"",INDEX(Lists!$ET$4:$ET$42,MATCH(ROW()-3,$CO$4:$CO$42,0)))</f>
        <v>#N/A</v>
      </c>
      <c r="CQ29">
        <f>CQ28+IF(AND(Lists!$EY$29&lt;&gt;"",ISNUMBER(SEARCH($AD$4,Lists!$EY$29))),1,0)</f>
        <v>26</v>
      </c>
      <c r="CR29">
        <f>IF(ROW()-3&gt;MAX($CQ$4:$CQ$42),"",INDEX(Lists!$EY$4:$EY$42,MATCH(ROW()-3,$CQ$4:$CQ$42,0)))</f>
        <v>247066</v>
      </c>
      <c r="CS29" t="e">
        <f>CS28+IF(AND(Lists!$FD$29&lt;&gt;"",ISNUMBER(SEARCH($AE$4,Lists!$FD$29))),1,0)</f>
        <v>#N/A</v>
      </c>
      <c r="CT29" t="e">
        <f>IF(ROW()-3&gt;MAX($CS$4:$CS$42),"",INDEX(Lists!$FD$4:$FD$42,MATCH(ROW()-3,$CS$4:$CS$42,0)))</f>
        <v>#N/A</v>
      </c>
      <c r="CU29" t="e">
        <f>CU28+IF(AND(Lists!$FI$29&lt;&gt;"",ISNUMBER(SEARCH($AF$4,Lists!$FI$29))),1,0)</f>
        <v>#N/A</v>
      </c>
      <c r="CV29" t="e">
        <f>IF(ROW()-3&gt;MAX($CU$4:$CU$42),"",INDEX(Lists!$FI$4:$FI$42,MATCH(ROW()-3,$CU$4:$CU$42,0)))</f>
        <v>#N/A</v>
      </c>
      <c r="CW29" t="e">
        <f>CW28+IF(AND(Lists!$FN$29&lt;&gt;"",ISNUMBER(SEARCH($AG$4,Lists!$FN$29))),1,0)</f>
        <v>#N/A</v>
      </c>
      <c r="CX29" t="e">
        <f>IF(ROW()-3&gt;MAX($CW$4:$CW$42),"",INDEX(Lists!$FN$4:$FN$42,MATCH(ROW()-3,$CW$4:$CW$42,0)))</f>
        <v>#N/A</v>
      </c>
      <c r="CY29" t="e">
        <f>CY28+IF(AND(Lists!$FS$29&lt;&gt;"",ISNUMBER(SEARCH($AH$4,Lists!$FS$29))),1,0)</f>
        <v>#N/A</v>
      </c>
      <c r="CZ29" t="e">
        <f>IF(ROW()-3&gt;MAX($CY$4:$CY$42),"",INDEX(Lists!$FS$4:$FS$42,MATCH(ROW()-3,$CY$4:$CY$42,0)))</f>
        <v>#N/A</v>
      </c>
      <c r="DA29">
        <f>DA28+IF(AND(Lists!$FX$29&lt;&gt;"",ISNUMBER(SEARCH($AI$4,Lists!$FX$29))),1,0)</f>
        <v>2</v>
      </c>
      <c r="DB29" t="str">
        <f>IF(ROW()-3&gt;MAX($DA$4:$DA$42),"",INDEX(Lists!$FX$4:$FX$42,MATCH(ROW()-3,$DA$4:$DA$42,0)))</f>
        <v/>
      </c>
    </row>
    <row r="30" ht="15" customHeight="1" s="137">
      <c r="A30" s="81" t="inlineStr">
        <is>
          <t>∑</t>
        </is>
      </c>
      <c r="B30" s="83" t="n"/>
      <c r="C30" s="83" t="str">
        <f>ROWS($C$17:$C$29)&amp;" lot(s)"</f>
        <v>13 lot(s)</v>
      </c>
      <c r="D30" s="83" t="inlineStr">
        <is>
          <t>SUBTOTAL — NATIONAL ENTERPRISES</t>
        </is>
      </c>
      <c r="E30" s="83" t="inlineStr">
        <is>
          <t>–</t>
        </is>
      </c>
      <c r="F30" s="83">
        <f>SUM(F17:F29)</f>
        <v>295</v>
      </c>
      <c r="G30" s="83" t="inlineStr">
        <is>
          <t>–</t>
        </is>
      </c>
      <c r="H30" s="84" t="inlineStr">
        <is>
          <t>–</t>
        </is>
      </c>
      <c r="I30" s="84">
        <f>SUM(I17:I29)</f>
        <v>1921410</v>
      </c>
      <c r="J30" s="84">
        <f>SUM(J17:J29)</f>
        <v>345853</v>
      </c>
      <c r="K30" s="84">
        <f>SUM(K17:K29)</f>
        <v>2267263</v>
      </c>
      <c r="L30" s="84">
        <f>SUM(L17:L29)</f>
        <v>45345</v>
      </c>
      <c r="M30" s="84">
        <f>SUM(M17:M29)</f>
        <v>1921.4099999999996</v>
      </c>
      <c r="N30" s="84">
        <f>SUM(N17:N29)</f>
        <v>51013.4355</v>
      </c>
      <c r="O30" s="85">
        <f>SUM(O17:O29)</f>
        <v>864.6345</v>
      </c>
      <c r="P30" s="84">
        <f>SUM(P17:P29)</f>
        <v>50148.800999999999</v>
      </c>
      <c r="Q30" s="84">
        <f>SUM(Q17:Q29)</f>
        <v>52071</v>
      </c>
      <c r="R30" s="86" t="inlineStr">
        <is>
          <t>–</t>
        </is>
      </c>
      <c r="S30" s="84">
        <f>SUM(S17:S29)</f>
        <v>0</v>
      </c>
      <c r="T30" s="84">
        <f>SUM(T17:T29)</f>
        <v>2260539</v>
      </c>
      <c r="U30" s="84">
        <f>SUM(U17:U29)</f>
        <v>480354</v>
      </c>
      <c r="V30" s="87">
        <f>SUM(V17:V29)</f>
        <v>480354</v>
      </c>
      <c r="W30" s="84" t="inlineStr">
        <is>
          <t>–</t>
        </is>
      </c>
      <c r="X30" s="84">
        <f>SUM(X17:X29)</f>
        <v>1780188</v>
      </c>
      <c r="Y30" s="84">
        <f>SUM(Y17:Y29)</f>
        <v>1780184</v>
      </c>
      <c r="Z30" s="84" t="inlineStr">
        <is>
          <t>–</t>
        </is>
      </c>
      <c r="AA30" s="84">
        <f>SUM(AA17:AA29)</f>
        <v>0</v>
      </c>
      <c r="AB30" s="84">
        <f>SUM(AB17:AB29)</f>
        <v>0</v>
      </c>
      <c r="AC30" s="84" t="inlineStr">
        <is>
          <t>–</t>
        </is>
      </c>
      <c r="AD30" s="84">
        <f>SUM(AD17:AD29)</f>
        <v>2260538</v>
      </c>
      <c r="AE30" s="84">
        <f>SUM(AE17:AE29)</f>
        <v>1</v>
      </c>
      <c r="AF30" s="84" t="inlineStr">
        <is>
          <t>–</t>
        </is>
      </c>
      <c r="AG30" s="88" t="inlineStr">
        <is>
          <t>–</t>
        </is>
      </c>
      <c r="AH30" s="84" t="inlineStr">
        <is>
          <t>–</t>
        </is>
      </c>
      <c r="AI30" s="89" t="str">
        <f>IF(AE30&lt;=5,"SETTLED","OUTSTANDING")</f>
        <v>SETTLED</v>
      </c>
      <c r="AJ30" t="b">
        <f>AND(IF($B$4="",TRUE(),IF($B$4="(blank)",'Final Calculation Sheet'!$F$28="",IF($B$4="(nonblank)",'Final Calculation Sheet'!$F$28&lt;&gt;"",ISNUMBER(SEARCH($B$4,'Final Calculation Sheet'!$F$28))))),IF($C$4="",TRUE(),IF($C$4="(blank)",'Final Calculation Sheet'!$G$28="",IF($C$4="(nonblank)",'Final Calculation Sheet'!$G$28&lt;&gt;"",ISNUMBER(SEARCH($C$4,'Final Calculation Sheet'!$G$28))))),IF($D$4="",TRUE(),IF($D$4="(blank)",'Final Calculation Sheet'!$B$28="",IF($D$4="(nonblank)",'Final Calculation Sheet'!$B$28&lt;&gt;"",ISNUMBER(SEARCH($D$4,'Final Calculation Sheet'!$B$28))))),IF($E$4="",TRUE(),IF($E$4="(blank)",'Final Calculation Sheet'!$D$28="",IF($E$4="(nonblank)",'Final Calculation Sheet'!$D$28&lt;&gt;"",ISNUMBER(SEARCH($E$4,'Final Calculation Sheet'!$D$28))))),IF($F$4="",TRUE(),IF($F$4="(blank)",'Final Calculation Sheet'!$A$28="",IF($F$4="(nonblank)",'Final Calculation Sheet'!$A$28&lt;&gt;"",ISNUMBER(SEARCH($F$4,'Final Calculation Sheet'!$A$28))))),IF($G$4="",TRUE(),IF($G$4="(blank)",'Final Calculation Sheet'!$E$28="",IF($G$4="(nonblank)",'Final Calculation Sheet'!$E$28&lt;&gt;"",ISNUMBER(SEARCH($G$4,'Final Calculation Sheet'!$E$28))))),IF($H$4="",TRUE(),IF($H$4="(blank)",'Final Calculation Sheet'!$C$28="",IF($H$4="(nonblank)",'Final Calculation Sheet'!$C$28&lt;&gt;"",ISNUMBER(SEARCH($H$4,'Final Calculation Sheet'!$C$28))))),IF($I$4="",TRUE(),IF($I$4="(blank)",'Final Calculation Sheet'!$H$28="",IF($I$4="(nonblank)",'Final Calculation Sheet'!$H$28&lt;&gt;"",ISNUMBER(SEARCH($I$4,'Final Calculation Sheet'!$H$28))))),IF($J$4="",TRUE(),IF($J$4="(blank)",'Final Calculation Sheet'!$I$28="",IF($J$4="(nonblank)",'Final Calculation Sheet'!$I$28&lt;&gt;"",ISNUMBER(SEARCH($J$4,'Final Calculation Sheet'!$I$28))))),IF($K$4="",TRUE(),IF($K$4="(blank)",'Final Calculation Sheet'!$J$28="",IF($K$4="(nonblank)",'Final Calculation Sheet'!$J$28&lt;&gt;"",ISNUMBER(SEARCH($K$4,'Final Calculation Sheet'!$J$28))))),IF($L$4="",TRUE(),IF($L$4="(blank)",'Final Calculation Sheet'!$K$28="",IF($L$4="(nonblank)",'Final Calculation Sheet'!$K$28&lt;&gt;"",ISNUMBER(SEARCH($L$4,'Final Calculation Sheet'!$K$28))))),IF($M$4="",TRUE(),IF($M$4="(blank)",'Final Calculation Sheet'!$L$28="",IF($M$4="(nonblank)",'Final Calculation Sheet'!$L$28&lt;&gt;"",ISNUMBER(SEARCH($M$4,'Final Calculation Sheet'!$L$28))))),IF($N$4="",TRUE(),IF($N$4="(blank)",'Final Calculation Sheet'!$M$28="",IF($N$4="(nonblank)",'Final Calculation Sheet'!$M$28&lt;&gt;"",ISNUMBER(SEARCH($N$4,'Final Calculation Sheet'!$M$28))))),IF($O$4="",TRUE(),IF($O$4="(blank)",'Final Calculation Sheet'!$N$28="",IF($O$4="(nonblank)",'Final Calculation Sheet'!$N$28&lt;&gt;"",ISNUMBER(SEARCH($O$4,'Final Calculation Sheet'!$N$28))))),IF($P$4="",TRUE(),IF($P$4="(blank)",'Final Calculation Sheet'!$O$28="",IF($P$4="(nonblank)",'Final Calculation Sheet'!$O$28&lt;&gt;"",ISNUMBER(SEARCH($P$4,'Final Calculation Sheet'!$O$28))))),IF($Q$4="",TRUE(),IF($Q$4="(blank)",'Final Calculation Sheet'!$P$28="",IF($Q$4="(nonblank)",'Final Calculation Sheet'!$P$28&lt;&gt;"",ISNUMBER(SEARCH($Q$4,'Final Calculation Sheet'!$P$28))))),IF($R$4="",TRUE(),IF($R$4="(blank)",'Final Calculation Sheet'!$Q$28="",IF($R$4="(nonblank)",'Final Calculation Sheet'!$Q$28&lt;&gt;"",ISNUMBER(SEARCH($R$4,'Final Calculation Sheet'!$Q$28))))),IF($S$4="",TRUE(),IF($S$4="(blank)",'Final Calculation Sheet'!$R$28="",IF($S$4="(nonblank)",'Final Calculation Sheet'!$R$28&lt;&gt;"",ISNUMBER(SEARCH($S$4,'Final Calculation Sheet'!$R$28))))),IF($T$4="",TRUE(),IF($T$4="(blank)",'Final Calculation Sheet'!$S$28="",IF($T$4="(nonblank)",'Final Calculation Sheet'!$S$28&lt;&gt;"",ISNUMBER(SEARCH($T$4,'Final Calculation Sheet'!$S$28))))),IF($U$4="",TRUE(),IF($U$4="(blank)",'Final Calculation Sheet'!$T$28="",IF($U$4="(nonblank)",'Final Calculation Sheet'!$T$28&lt;&gt;"",ISNUMBER(SEARCH($U$4,'Final Calculation Sheet'!$T$28))))),IF($V$4="",TRUE(),IF($V$4="(blank)",'Final Calculation Sheet'!$U$28="",IF($V$4="(nonblank)",'Final Calculation Sheet'!$U$28&lt;&gt;"",ISNUMBER(SEARCH($V$4,'Final Calculation Sheet'!$U$28))))),IF($W$4="",TRUE(),IF($W$4="(blank)",'Final Calculation Sheet'!$V$28="",IF($W$4="(nonblank)",'Final Calculation Sheet'!$V$28&lt;&gt;"",ISNUMBER(SEARCH($W$4,'Final Calculation Sheet'!$V$28))))),IF($X$4="",TRUE(),IF($X$4="(blank)",'Final Calculation Sheet'!$W$28="",IF($X$4="(nonblank)",'Final Calculation Sheet'!$W$28&lt;&gt;"",ISNUMBER(SEARCH($X$4,'Final Calculation Sheet'!$W$28))))),IF($Y$4="",TRUE(),IF($Y$4="(blank)",'Final Calculation Sheet'!$X$28="",IF($Y$4="(nonblank)",'Final Calculation Sheet'!$X$28&lt;&gt;"",ISNUMBER(SEARCH($Y$4,'Final Calculation Sheet'!$X$28))))),IF($Z$4="",TRUE(),IF($Z$4="(blank)",'Final Calculation Sheet'!$Y$28="",IF($Z$4="(nonblank)",'Final Calculation Sheet'!$Y$28&lt;&gt;"",ISNUMBER(SEARCH($Z$4,'Final Calculation Sheet'!$Y$28))))),IF($AA$4="",TRUE(),IF($AA$4="(blank)",'Final Calculation Sheet'!$Z$28="",IF($AA$4="(nonblank)",'Final Calculation Sheet'!$Z$28&lt;&gt;"",ISNUMBER(SEARCH($AA$4,'Final Calculation Sheet'!$Z$28))))),IF($AB$4="",TRUE(),IF($AB$4="(blank)",'Final Calculation Sheet'!$AA$28="",IF($AB$4="(nonblank)",'Final Calculation Sheet'!$AA$28&lt;&gt;"",ISNUMBER(SEARCH($AB$4,'Final Calculation Sheet'!$AA$28))))),IF($AC$4="",TRUE(),IF($AC$4="(blank)",'Final Calculation Sheet'!$AB$28="",IF($AC$4="(nonblank)",'Final Calculation Sheet'!$AB$28&lt;&gt;"",ISNUMBER(SEARCH($AC$4,'Final Calculation Sheet'!$AB$28))))),IF($AD$4="",TRUE(),IF($AD$4="(blank)",'Final Calculation Sheet'!$AC$28="",IF($AD$4="(nonblank)",'Final Calculation Sheet'!$AC$28&lt;&gt;"",ISNUMBER(SEARCH($AD$4,'Final Calculation Sheet'!$AC$28))))),IF($AE$4="",TRUE(),IF($AE$4="(blank)",'Final Calculation Sheet'!$AD$28="",IF($AE$4="(nonblank)",'Final Calculation Sheet'!$AD$28&lt;&gt;"",ISNUMBER(SEARCH($AE$4,'Final Calculation Sheet'!$AD$28))))),IF($AF$4="",TRUE(),IF($AF$4="(blank)",'Final Calculation Sheet'!$AE$28="",IF($AF$4="(nonblank)",'Final Calculation Sheet'!$AE$28&lt;&gt;"",ISNUMBER(SEARCH($AF$4,'Final Calculation Sheet'!$AE$28))))),IF($AG$4="",TRUE(),IF($AG$4="(blank)",'Final Calculation Sheet'!$AF$28="",IF($AG$4="(nonblank)",'Final Calculation Sheet'!$AF$28&lt;&gt;"",ISNUMBER(SEARCH($AG$4,'Final Calculation Sheet'!$AF$28))))),IF($AH$4="",TRUE(),IF($AH$4="(blank)",'Final Calculation Sheet'!$AG$28="",IF($AH$4="(nonblank)",'Final Calculation Sheet'!$AG$28&lt;&gt;"",ISNUMBER(SEARCH($AH$4,'Final Calculation Sheet'!$AG$28))))),IF($AI$4="",TRUE(),IF($AI$4="(blank)",IF('Final Calculation Sheet'!$AD$28&lt;=5,"SETTLED","OUTSTANDING")="",IF($AI$4="(nonblank)",IF('Final Calculation Sheet'!$AD$28&lt;=5,"SETTLED","OUTSTANDING")&lt;&gt;"",ISNUMBER(SEARCH($AI$4,IF('Final Calculation Sheet'!$AD$28&lt;=5,"SETTLED","OUTSTANDING")))))))</f>
        <v>1</v>
      </c>
      <c r="AK30" t="str">
        <f>IF(AJ30=1,COUNTIF(AJ$6:AJ30,1),"")</f>
        <v/>
      </c>
      <c r="AM30">
        <f>AM29+IF(AND(Lists!$O$30&lt;&gt;"",ISNUMBER(SEARCH($B$4,Lists!$O$30))),1,0)</f>
        <v>27</v>
      </c>
      <c r="AN30">
        <f>IF(ROW()-3&gt;MAX($AM$4:$AM$42),"",INDEX(Lists!$O$4:$O$42,MATCH(ROW()-3,$AM$4:$AM$42,0)))</f>
        <v>2043</v>
      </c>
      <c r="AO30">
        <f>AO29+IF(AND(Lists!$T$30&lt;&gt;"",ISNUMBER(SEARCH($C$4,Lists!$T$30))),1,0)</f>
        <v>13</v>
      </c>
      <c r="AP30" t="str">
        <f>IF(ROW()-3&gt;MAX($AO$4:$AO$42),"",INDEX(Lists!$T$4:$T$42,MATCH(ROW()-3,$AO$4:$AO$42,0)))</f>
        <v/>
      </c>
      <c r="AQ30">
        <f>AQ29+IF(AND(Lists!$Y$30&lt;&gt;"",ISNUMBER(SEARCH($D$4,Lists!$Y$30))),1,0)</f>
        <v>25</v>
      </c>
      <c r="AR30" t="str">
        <f>IF(ROW()-3&gt;MAX($AQ$4:$AQ$42),"",INDEX(Lists!$Y$4:$Y$42,MATCH(ROW()-3,$AQ$4:$AQ$42,0)))</f>
        <v>(nonblank)</v>
      </c>
      <c r="AS30">
        <f>AS29+IF(AND(Lists!$AD$30&lt;&gt;"",ISNUMBER(SEARCH($E$4,Lists!$AD$30))),1,0)</f>
        <v>4</v>
      </c>
      <c r="AT30" t="str">
        <f>IF(ROW()-3&gt;MAX($AS$4:$AS$42),"",INDEX(Lists!$AD$4:$AD$42,MATCH(ROW()-3,$AS$4:$AS$42,0)))</f>
        <v/>
      </c>
      <c r="AU30">
        <f>AU29+IF(AND(Lists!$AI$30&lt;&gt;"",ISNUMBER(SEARCH($F$4,Lists!$AI$30))),1,0)</f>
        <v>22</v>
      </c>
      <c r="AV30" t="str">
        <f>IF(ROW()-3&gt;MAX($AU$4:$AU$42),"",INDEX(Lists!$AI$4:$AI$42,MATCH(ROW()-3,$AU$4:$AU$42,0)))</f>
        <v/>
      </c>
      <c r="AW30">
        <f>AW29+IF(AND(Lists!$AN$30&lt;&gt;"",ISNUMBER(SEARCH($G$4,Lists!$AN$30))),1,0)</f>
        <v>3</v>
      </c>
      <c r="AX30" t="str">
        <f>IF(ROW()-3&gt;MAX($AW$4:$AW$42),"",INDEX(Lists!$AN$4:$AN$42,MATCH(ROW()-3,$AW$4:$AW$42,0)))</f>
        <v/>
      </c>
      <c r="AY30">
        <f>AY29+IF(AND(Lists!$AS$30&lt;&gt;"",ISNUMBER(SEARCH($H$4,Lists!$AS$30))),1,0)</f>
        <v>27</v>
      </c>
      <c r="AZ30">
        <f>IF(ROW()-3&gt;MAX($AY$4:$AY$42),"",INDEX(Lists!$AS$4:$AS$42,MATCH(ROW()-3,$AY$4:$AY$42,0)))</f>
        <v>80000</v>
      </c>
      <c r="BA30">
        <f>BA29+IF(AND(Lists!$AX$30&lt;&gt;"",ISNUMBER(SEARCH($I$4,Lists!$AX$30))),1,0)</f>
        <v>27</v>
      </c>
      <c r="BB30">
        <f>IF(ROW()-3&gt;MAX($BA$4:$BA$42),"",INDEX(Lists!$AX$4:$AX$42,MATCH(ROW()-3,$BA$4:$BA$42,0)))</f>
        <v>251229</v>
      </c>
      <c r="BC30">
        <f>BC29+IF(AND(Lists!$BC$30&lt;&gt;"",ISNUMBER(SEARCH($J$4,Lists!$BC$30))),1,0)</f>
        <v>27</v>
      </c>
      <c r="BD30">
        <f>IF(ROW()-3&gt;MAX($BC$4:$BC$42),"",INDEX(Lists!$BC$4:$BC$42,MATCH(ROW()-3,$BC$4:$BC$42,0)))</f>
        <v>45221</v>
      </c>
      <c r="BE30">
        <f>BE29+IF(AND(Lists!$BH$30&lt;&gt;"",ISNUMBER(SEARCH($K$4,Lists!$BH$30))),1,0)</f>
        <v>27</v>
      </c>
      <c r="BF30">
        <f>IF(ROW()-3&gt;MAX($BE$4:$BE$42),"",INDEX(Lists!$BH$4:$BH$42,MATCH(ROW()-3,$BE$4:$BE$42,0)))</f>
        <v>296450</v>
      </c>
      <c r="BG30">
        <f>BG29+IF(AND(Lists!$BM$30&lt;&gt;"",ISNUMBER(SEARCH($L$4,Lists!$BM$30))),1,0)</f>
        <v>27</v>
      </c>
      <c r="BH30">
        <f>IF(ROW()-3&gt;MAX($BG$4:$BG$42),"",INDEX(Lists!$BM$4:$BM$42,MATCH(ROW()-3,$BG$4:$BG$42,0)))</f>
        <v>6372</v>
      </c>
      <c r="BI30">
        <f>BI29+IF(AND(Lists!$BR$30&lt;&gt;"",ISNUMBER(SEARCH($M$4,Lists!$BR$30))),1,0)</f>
        <v>27</v>
      </c>
      <c r="BJ30">
        <f>IF(ROW()-3&gt;MAX($BI$4:$BI$42),"",INDEX(Lists!$BR$4:$BR$42,MATCH(ROW()-3,$BI$4:$BI$42,0)))</f>
        <v>251.22900000000001</v>
      </c>
      <c r="BK30">
        <f>BK29+IF(AND(Lists!$BW$30&lt;&gt;"",ISNUMBER(SEARCH($N$4,Lists!$BW$30))),1,0)</f>
        <v>27</v>
      </c>
      <c r="BL30">
        <f>IF(ROW()-3&gt;MAX($BK$4:$BK$42),"",INDEX(Lists!$BW$4:$BW$42,MATCH(ROW()-3,$BK$4:$BK$42,0)))</f>
        <v>6670.1299499999996</v>
      </c>
      <c r="BM30">
        <f>BM29+IF(AND(Lists!$CB$30&lt;&gt;"",ISNUMBER(SEARCH($O$4,Lists!$CB$30))),1,0)</f>
        <v>27</v>
      </c>
      <c r="BN30">
        <f>IF(ROW()-3&gt;MAX($BM$4:$BM$42),"",INDEX(Lists!$CB$4:$CB$42,MATCH(ROW()-3,$BM$4:$BM$42,0)))</f>
        <v>113.05305</v>
      </c>
      <c r="BO30">
        <f>BO29+IF(AND(Lists!$CG$30&lt;&gt;"",ISNUMBER(SEARCH($P$4,Lists!$CG$30))),1,0)</f>
        <v>27</v>
      </c>
      <c r="BP30">
        <f>IF(ROW()-3&gt;MAX($BO$4:$BO$42),"",INDEX(Lists!$CG$4:$CG$42,MATCH(ROW()-3,$BO$4:$BO$42,0)))</f>
        <v>6557.0768999999991</v>
      </c>
      <c r="BQ30">
        <f>BQ29+IF(AND(Lists!$CL$30&lt;&gt;"",ISNUMBER(SEARCH($Q$4,Lists!$CL$30))),1,0)</f>
        <v>27</v>
      </c>
      <c r="BR30">
        <f>IF(ROW()-3&gt;MAX($BQ$4:$BQ$42),"",INDEX(Lists!$CL$4:$CL$42,MATCH(ROW()-3,$BQ$4:$BQ$42,0)))</f>
        <v>7317</v>
      </c>
      <c r="BS30">
        <f>BS29+IF(AND(Lists!$CQ$30&lt;&gt;"",ISNUMBER(SEARCH($R$4,Lists!$CQ$30))),1,0)</f>
        <v>2</v>
      </c>
      <c r="BT30" t="str">
        <f>IF(ROW()-3&gt;MAX($BS$4:$BS$42),"",INDEX(Lists!$CQ$4:$CQ$42,MATCH(ROW()-3,$BS$4:$BS$42,0)))</f>
        <v/>
      </c>
      <c r="BU30">
        <f>BU29+IF(AND(Lists!$CV$30&lt;&gt;"",ISNUMBER(SEARCH($S$4,Lists!$CV$30))),1,0)</f>
        <v>5</v>
      </c>
      <c r="BV30" t="str">
        <f>IF(ROW()-3&gt;MAX($BU$4:$BU$42),"",INDEX(Lists!$CV$4:$CV$42,MATCH(ROW()-3,$BU$4:$BU$42,0)))</f>
        <v/>
      </c>
      <c r="BW30">
        <f>BW29+IF(AND(Lists!$DA$30&lt;&gt;"",ISNUMBER(SEARCH($T$4,Lists!$DA$30))),1,0)</f>
        <v>27</v>
      </c>
      <c r="BX30">
        <f>IF(ROW()-3&gt;MAX($BW$4:$BW$42),"",INDEX(Lists!$DA$4:$DA$42,MATCH(ROW()-3,$BW$4:$BW$42,0)))</f>
        <v>295571</v>
      </c>
      <c r="BY30">
        <f>BY29+IF(AND(Lists!$DF$30&lt;&gt;"",ISNUMBER(SEARCH($U$4,Lists!$DF$30))),1,0)</f>
        <v>27</v>
      </c>
      <c r="BZ30">
        <f>IF(ROW()-3&gt;MAX($BY$4:$BY$42),"",INDEX(Lists!$DF$4:$DF$42,MATCH(ROW()-3,$BY$4:$BY$42,0)))</f>
        <v>62807</v>
      </c>
      <c r="CA30">
        <f>CA29+IF(AND(Lists!$DK$30&lt;&gt;"",ISNUMBER(SEARCH($V$4,Lists!$DK$30))),1,0)</f>
        <v>27</v>
      </c>
      <c r="CB30">
        <f>IF(ROW()-3&gt;MAX($CA$4:$CA$42),"",INDEX(Lists!$DK$4:$DK$42,MATCH(ROW()-3,$CA$4:$CA$42,0)))</f>
        <v>62807</v>
      </c>
      <c r="CC30">
        <f>CC29+IF(AND(Lists!$DP$30&lt;&gt;"",ISNUMBER(SEARCH($W$4,Lists!$DP$30))),1,0)</f>
        <v>6</v>
      </c>
      <c r="CD30" t="str">
        <f>IF(ROW()-3&gt;MAX($CC$4:$CC$42),"",INDEX(Lists!$DP$4:$DP$42,MATCH(ROW()-3,$CC$4:$CC$42,0)))</f>
        <v/>
      </c>
      <c r="CE30">
        <f>CE29+IF(AND(Lists!$DU$30&lt;&gt;"",ISNUMBER(SEARCH($X$4,Lists!$DU$30))),1,0)</f>
        <v>27</v>
      </c>
      <c r="CF30">
        <f>IF(ROW()-3&gt;MAX($CE$4:$CE$42),"",INDEX(Lists!$DU$4:$DU$42,MATCH(ROW()-3,$CE$4:$CE$42,0)))</f>
        <v>232764</v>
      </c>
      <c r="CG30" t="e">
        <f>CG29+IF(AND(Lists!$DZ$30&lt;&gt;"",ISNUMBER(SEARCH($Y$4,Lists!$DZ$30))),1,0)</f>
        <v>#N/A</v>
      </c>
      <c r="CH30" t="e">
        <f>IF(ROW()-3&gt;MAX($CG$4:$CG$42),"",INDEX(Lists!$DZ$4:$DZ$42,MATCH(ROW()-3,$CG$4:$CG$42,0)))</f>
        <v>#N/A</v>
      </c>
      <c r="CI30" t="e">
        <f>CI29+IF(AND(Lists!$EE$30&lt;&gt;"",ISNUMBER(SEARCH($Z$4,Lists!$EE$30))),1,0)</f>
        <v>#N/A</v>
      </c>
      <c r="CJ30" t="e">
        <f>IF(ROW()-3&gt;MAX($CI$4:$CI$42),"",INDEX(Lists!$EE$4:$EE$42,MATCH(ROW()-3,$CI$4:$CI$42,0)))</f>
        <v>#N/A</v>
      </c>
      <c r="CK30">
        <f>CK29+IF(AND(Lists!$EJ$30&lt;&gt;"",ISNUMBER(SEARCH($AA$4,Lists!$EJ$30))),1,0)</f>
        <v>6</v>
      </c>
      <c r="CL30" t="str">
        <f>IF(ROW()-3&gt;MAX($CK$4:$CK$42),"",INDEX(Lists!$EJ$4:$EJ$42,MATCH(ROW()-3,$CK$4:$CK$42,0)))</f>
        <v/>
      </c>
      <c r="CM30" t="e">
        <f>CM29+IF(AND(Lists!$EO$30&lt;&gt;"",ISNUMBER(SEARCH($AB$4,Lists!$EO$30))),1,0)</f>
        <v>#N/A</v>
      </c>
      <c r="CN30" t="e">
        <f>IF(ROW()-3&gt;MAX($CM$4:$CM$42),"",INDEX(Lists!$EO$4:$EO$42,MATCH(ROW()-3,$CM$4:$CM$42,0)))</f>
        <v>#N/A</v>
      </c>
      <c r="CO30" t="e">
        <f>CO29+IF(AND(Lists!$ET$30&lt;&gt;"",ISNUMBER(SEARCH($AC$4,Lists!$ET$30))),1,0)</f>
        <v>#N/A</v>
      </c>
      <c r="CP30" t="e">
        <f>IF(ROW()-3&gt;MAX($CO$4:$CO$42),"",INDEX(Lists!$ET$4:$ET$42,MATCH(ROW()-3,$CO$4:$CO$42,0)))</f>
        <v>#N/A</v>
      </c>
      <c r="CQ30">
        <f>CQ29+IF(AND(Lists!$EY$30&lt;&gt;"",ISNUMBER(SEARCH($AD$4,Lists!$EY$30))),1,0)</f>
        <v>27</v>
      </c>
      <c r="CR30">
        <f>IF(ROW()-3&gt;MAX($CQ$4:$CQ$42),"",INDEX(Lists!$EY$4:$EY$42,MATCH(ROW()-3,$CQ$4:$CQ$42,0)))</f>
        <v>247069</v>
      </c>
      <c r="CS30" t="e">
        <f>CS29+IF(AND(Lists!$FD$30&lt;&gt;"",ISNUMBER(SEARCH($AE$4,Lists!$FD$30))),1,0)</f>
        <v>#N/A</v>
      </c>
      <c r="CT30" t="e">
        <f>IF(ROW()-3&gt;MAX($CS$4:$CS$42),"",INDEX(Lists!$FD$4:$FD$42,MATCH(ROW()-3,$CS$4:$CS$42,0)))</f>
        <v>#N/A</v>
      </c>
      <c r="CU30" t="e">
        <f>CU29+IF(AND(Lists!$FI$30&lt;&gt;"",ISNUMBER(SEARCH($AF$4,Lists!$FI$30))),1,0)</f>
        <v>#N/A</v>
      </c>
      <c r="CV30" t="e">
        <f>IF(ROW()-3&gt;MAX($CU$4:$CU$42),"",INDEX(Lists!$FI$4:$FI$42,MATCH(ROW()-3,$CU$4:$CU$42,0)))</f>
        <v>#N/A</v>
      </c>
      <c r="CW30" t="e">
        <f>CW29+IF(AND(Lists!$FN$30&lt;&gt;"",ISNUMBER(SEARCH($AG$4,Lists!$FN$30))),1,0)</f>
        <v>#N/A</v>
      </c>
      <c r="CX30" t="e">
        <f>IF(ROW()-3&gt;MAX($CW$4:$CW$42),"",INDEX(Lists!$FN$4:$FN$42,MATCH(ROW()-3,$CW$4:$CW$42,0)))</f>
        <v>#N/A</v>
      </c>
      <c r="CY30" t="e">
        <f>CY29+IF(AND(Lists!$FS$30&lt;&gt;"",ISNUMBER(SEARCH($AH$4,Lists!$FS$30))),1,0)</f>
        <v>#N/A</v>
      </c>
      <c r="CZ30" t="e">
        <f>IF(ROW()-3&gt;MAX($CY$4:$CY$42),"",INDEX(Lists!$FS$4:$FS$42,MATCH(ROW()-3,$CY$4:$CY$42,0)))</f>
        <v>#N/A</v>
      </c>
      <c r="DA30">
        <f>DA29+IF(AND(Lists!$FX$30&lt;&gt;"",ISNUMBER(SEARCH($AI$4,Lists!$FX$30))),1,0)</f>
        <v>2</v>
      </c>
      <c r="DB30" t="str">
        <f>IF(ROW()-3&gt;MAX($DA$4:$DA$42),"",INDEX(Lists!$FX$4:$FX$42,MATCH(ROW()-3,$DA$4:$DA$42,0)))</f>
        <v/>
      </c>
    </row>
    <row r="31" outlineLevel="1" ht="15" customHeight="1" s="137">
      <c r="A31" s="67" t="n">
        <v>1</v>
      </c>
      <c r="B31" s="76">
        <f>IF('Final Calculation Sheet'!$F$21="","",'Final Calculation Sheet'!$F$21)</f>
        <v>2022</v>
      </c>
      <c r="C31" s="76" t="str">
        <f>IF('Final Calculation Sheet'!$G$21="","",'Final Calculation Sheet'!$G$21)</f>
        <v>NATIONAL SCRAP AND BUILDING MATERIAL SUPPLIER</v>
      </c>
      <c r="D31" s="80" t="str">
        <f>IF('Final Calculation Sheet'!$B$21="","",'Final Calculation Sheet'!$B$21)</f>
        <v>Scrap of 132 KV CT</v>
      </c>
      <c r="E31" s="80">
        <f>IF('Final Calculation Sheet'!$D$21="","",'Final Calculation Sheet'!$D$21)</f>
        <v>21978</v>
      </c>
      <c r="F31" s="80">
        <f>IF('Final Calculation Sheet'!$A$21="","",'Final Calculation Sheet'!$A$21)</f>
        <v>3</v>
      </c>
      <c r="G31" s="80" t="str">
        <f>IF('Final Calculation Sheet'!$E$21="","",'Final Calculation Sheet'!$E$21)</f>
        <v>NO</v>
      </c>
      <c r="H31" s="70">
        <f>IF('Final Calculation Sheet'!$C$21="","",'Final Calculation Sheet'!$C$21)</f>
        <v>110200</v>
      </c>
      <c r="I31" s="70">
        <f>IF('Final Calculation Sheet'!$H$21="","",'Final Calculation Sheet'!$H$21)</f>
        <v>330600</v>
      </c>
      <c r="J31" s="70">
        <f>IF('Final Calculation Sheet'!$I$21="","",'Final Calculation Sheet'!$I$21)</f>
        <v>59508</v>
      </c>
      <c r="K31" s="70">
        <f>IF('Final Calculation Sheet'!$J$21="","",'Final Calculation Sheet'!$J$21)</f>
        <v>390108</v>
      </c>
      <c r="L31" s="70">
        <f>IF('Final Calculation Sheet'!$K$21="","",'Final Calculation Sheet'!$K$21)</f>
        <v>7802</v>
      </c>
      <c r="M31" s="70">
        <f>IF('Final Calculation Sheet'!$L$21="","",'Final Calculation Sheet'!$L$21)</f>
        <v>330.6</v>
      </c>
      <c r="N31" s="70">
        <f>IF('Final Calculation Sheet'!$M$21="","",'Final Calculation Sheet'!$M$21)</f>
        <v>8777.43</v>
      </c>
      <c r="O31" s="71">
        <f>IF('Final Calculation Sheet'!$N$21="","",'Final Calculation Sheet'!$N$21)</f>
        <v>148.77000000000001</v>
      </c>
      <c r="P31" s="70">
        <f>IF('Final Calculation Sheet'!$O$21="","",'Final Calculation Sheet'!$O$21)</f>
        <v>8628.66</v>
      </c>
      <c r="Q31" s="70">
        <f>IF('Final Calculation Sheet'!$P$21="","",'Final Calculation Sheet'!$P$21)</f>
        <v>8959</v>
      </c>
      <c r="R31" s="72">
        <f>IF('Final Calculation Sheet'!$Q$21="","",'Final Calculation Sheet'!$Q$21)</f>
        <v>0</v>
      </c>
      <c r="S31" s="70">
        <f>IF('Final Calculation Sheet'!$R$21="","",'Final Calculation Sheet'!$R$21)</f>
        <v>0</v>
      </c>
      <c r="T31" s="70">
        <f>IF('Final Calculation Sheet'!$S$21="","",'Final Calculation Sheet'!$S$21)</f>
        <v>388951</v>
      </c>
      <c r="U31" s="70">
        <f>IF('Final Calculation Sheet'!$T$21="","",'Final Calculation Sheet'!$T$21)</f>
        <v>82650</v>
      </c>
      <c r="V31" s="73">
        <f>IF('Final Calculation Sheet'!$U$21="","",'Final Calculation Sheet'!$U$21)</f>
        <v>82650</v>
      </c>
      <c r="W31" s="70" t="str">
        <f>IF('Final Calculation Sheet'!$V$21="","",'Final Calculation Sheet'!$V$21)</f>
        <v>14.08.2026</v>
      </c>
      <c r="X31" s="70">
        <f>IF('Final Calculation Sheet'!$W$21="","",'Final Calculation Sheet'!$W$21)</f>
        <v>306301</v>
      </c>
      <c r="Y31" s="70">
        <f>IF('Final Calculation Sheet'!$X$21="","",'Final Calculation Sheet'!$X$21)</f>
        <v>306301</v>
      </c>
      <c r="Z31" s="70" t="str">
        <f>IF('Final Calculation Sheet'!$Y$21="","",'Final Calculation Sheet'!$Y$21)</f>
        <v>21.08.2026</v>
      </c>
      <c r="AA31" s="70">
        <f>IF('Final Calculation Sheet'!$Z$21="","",'Final Calculation Sheet'!$Z$21)</f>
        <v>0</v>
      </c>
      <c r="AB31" s="70" t="str">
        <f>IF('Final Calculation Sheet'!$AA$21="","",'Final Calculation Sheet'!$AA$21)</f>
        <v/>
      </c>
      <c r="AC31" s="70" t="str">
        <f>IF('Final Calculation Sheet'!$AB$21="","",'Final Calculation Sheet'!$AB$21)</f>
        <v/>
      </c>
      <c r="AD31" s="70">
        <f>IF('Final Calculation Sheet'!$AC$21="","",'Final Calculation Sheet'!$AC$21)</f>
        <v>388951</v>
      </c>
      <c r="AE31" s="70">
        <f>IF('Final Calculation Sheet'!$AD$21="","",'Final Calculation Sheet'!$AD$21)</f>
        <v>0</v>
      </c>
      <c r="AF31" s="70" t="str">
        <f>IF('Final Calculation Sheet'!$AE$21="","",'Final Calculation Sheet'!$AE$21)</f>
        <v>DR2640100028</v>
      </c>
      <c r="AG31" s="74">
        <f>IF('Final Calculation Sheet'!$AF$21="","",'Final Calculation Sheet'!$AF$21)</f>
        <v>1800003269</v>
      </c>
      <c r="AH31" s="70" t="str">
        <f>IF('Final Calculation Sheet'!$AG$21="","",'Final Calculation Sheet'!$AG$21)</f>
        <v>24.08.2026</v>
      </c>
      <c r="AI31" s="75" t="str">
        <f>IF('Final Calculation Sheet'!$AD$21="","",IF('Final Calculation Sheet'!$AD$21&lt;=5,"SETTLED","OUTSTANDING"))</f>
        <v>SETTLED</v>
      </c>
      <c r="AJ31" t="b">
        <f>AND(IF($B$4="",TRUE(),IF($B$4="(blank)",'Final Calculation Sheet'!$F$29="",IF($B$4="(nonblank)",'Final Calculation Sheet'!$F$29&lt;&gt;"",ISNUMBER(SEARCH($B$4,'Final Calculation Sheet'!$F$29))))),IF($C$4="",TRUE(),IF($C$4="(blank)",'Final Calculation Sheet'!$G$29="",IF($C$4="(nonblank)",'Final Calculation Sheet'!$G$29&lt;&gt;"",ISNUMBER(SEARCH($C$4,'Final Calculation Sheet'!$G$29))))),IF($D$4="",TRUE(),IF($D$4="(blank)",'Final Calculation Sheet'!$B$29="",IF($D$4="(nonblank)",'Final Calculation Sheet'!$B$29&lt;&gt;"",ISNUMBER(SEARCH($D$4,'Final Calculation Sheet'!$B$29))))),IF($E$4="",TRUE(),IF($E$4="(blank)",'Final Calculation Sheet'!$D$29="",IF($E$4="(nonblank)",'Final Calculation Sheet'!$D$29&lt;&gt;"",ISNUMBER(SEARCH($E$4,'Final Calculation Sheet'!$D$29))))),IF($F$4="",TRUE(),IF($F$4="(blank)",'Final Calculation Sheet'!$A$29="",IF($F$4="(nonblank)",'Final Calculation Sheet'!$A$29&lt;&gt;"",ISNUMBER(SEARCH($F$4,'Final Calculation Sheet'!$A$29))))),IF($G$4="",TRUE(),IF($G$4="(blank)",'Final Calculation Sheet'!$E$29="",IF($G$4="(nonblank)",'Final Calculation Sheet'!$E$29&lt;&gt;"",ISNUMBER(SEARCH($G$4,'Final Calculation Sheet'!$E$29))))),IF($H$4="",TRUE(),IF($H$4="(blank)",'Final Calculation Sheet'!$C$29="",IF($H$4="(nonblank)",'Final Calculation Sheet'!$C$29&lt;&gt;"",ISNUMBER(SEARCH($H$4,'Final Calculation Sheet'!$C$29))))),IF($I$4="",TRUE(),IF($I$4="(blank)",'Final Calculation Sheet'!$H$29="",IF($I$4="(nonblank)",'Final Calculation Sheet'!$H$29&lt;&gt;"",ISNUMBER(SEARCH($I$4,'Final Calculation Sheet'!$H$29))))),IF($J$4="",TRUE(),IF($J$4="(blank)",'Final Calculation Sheet'!$I$29="",IF($J$4="(nonblank)",'Final Calculation Sheet'!$I$29&lt;&gt;"",ISNUMBER(SEARCH($J$4,'Final Calculation Sheet'!$I$29))))),IF($K$4="",TRUE(),IF($K$4="(blank)",'Final Calculation Sheet'!$J$29="",IF($K$4="(nonblank)",'Final Calculation Sheet'!$J$29&lt;&gt;"",ISNUMBER(SEARCH($K$4,'Final Calculation Sheet'!$J$29))))),IF($L$4="",TRUE(),IF($L$4="(blank)",'Final Calculation Sheet'!$K$29="",IF($L$4="(nonblank)",'Final Calculation Sheet'!$K$29&lt;&gt;"",ISNUMBER(SEARCH($L$4,'Final Calculation Sheet'!$K$29))))),IF($M$4="",TRUE(),IF($M$4="(blank)",'Final Calculation Sheet'!$L$29="",IF($M$4="(nonblank)",'Final Calculation Sheet'!$L$29&lt;&gt;"",ISNUMBER(SEARCH($M$4,'Final Calculation Sheet'!$L$29))))),IF($N$4="",TRUE(),IF($N$4="(blank)",'Final Calculation Sheet'!$M$29="",IF($N$4="(nonblank)",'Final Calculation Sheet'!$M$29&lt;&gt;"",ISNUMBER(SEARCH($N$4,'Final Calculation Sheet'!$M$29))))),IF($O$4="",TRUE(),IF($O$4="(blank)",'Final Calculation Sheet'!$N$29="",IF($O$4="(nonblank)",'Final Calculation Sheet'!$N$29&lt;&gt;"",ISNUMBER(SEARCH($O$4,'Final Calculation Sheet'!$N$29))))),IF($P$4="",TRUE(),IF($P$4="(blank)",'Final Calculation Sheet'!$O$29="",IF($P$4="(nonblank)",'Final Calculation Sheet'!$O$29&lt;&gt;"",ISNUMBER(SEARCH($P$4,'Final Calculation Sheet'!$O$29))))),IF($Q$4="",TRUE(),IF($Q$4="(blank)",'Final Calculation Sheet'!$P$29="",IF($Q$4="(nonblank)",'Final Calculation Sheet'!$P$29&lt;&gt;"",ISNUMBER(SEARCH($Q$4,'Final Calculation Sheet'!$P$29))))),IF($R$4="",TRUE(),IF($R$4="(blank)",'Final Calculation Sheet'!$Q$29="",IF($R$4="(nonblank)",'Final Calculation Sheet'!$Q$29&lt;&gt;"",ISNUMBER(SEARCH($R$4,'Final Calculation Sheet'!$Q$29))))),IF($S$4="",TRUE(),IF($S$4="(blank)",'Final Calculation Sheet'!$R$29="",IF($S$4="(nonblank)",'Final Calculation Sheet'!$R$29&lt;&gt;"",ISNUMBER(SEARCH($S$4,'Final Calculation Sheet'!$R$29))))),IF($T$4="",TRUE(),IF($T$4="(blank)",'Final Calculation Sheet'!$S$29="",IF($T$4="(nonblank)",'Final Calculation Sheet'!$S$29&lt;&gt;"",ISNUMBER(SEARCH($T$4,'Final Calculation Sheet'!$S$29))))),IF($U$4="",TRUE(),IF($U$4="(blank)",'Final Calculation Sheet'!$T$29="",IF($U$4="(nonblank)",'Final Calculation Sheet'!$T$29&lt;&gt;"",ISNUMBER(SEARCH($U$4,'Final Calculation Sheet'!$T$29))))),IF($V$4="",TRUE(),IF($V$4="(blank)",'Final Calculation Sheet'!$U$29="",IF($V$4="(nonblank)",'Final Calculation Sheet'!$U$29&lt;&gt;"",ISNUMBER(SEARCH($V$4,'Final Calculation Sheet'!$U$29))))),IF($W$4="",TRUE(),IF($W$4="(blank)",'Final Calculation Sheet'!$V$29="",IF($W$4="(nonblank)",'Final Calculation Sheet'!$V$29&lt;&gt;"",ISNUMBER(SEARCH($W$4,'Final Calculation Sheet'!$V$29))))),IF($X$4="",TRUE(),IF($X$4="(blank)",'Final Calculation Sheet'!$W$29="",IF($X$4="(nonblank)",'Final Calculation Sheet'!$W$29&lt;&gt;"",ISNUMBER(SEARCH($X$4,'Final Calculation Sheet'!$W$29))))),IF($Y$4="",TRUE(),IF($Y$4="(blank)",'Final Calculation Sheet'!$X$29="",IF($Y$4="(nonblank)",'Final Calculation Sheet'!$X$29&lt;&gt;"",ISNUMBER(SEARCH($Y$4,'Final Calculation Sheet'!$X$29))))),IF($Z$4="",TRUE(),IF($Z$4="(blank)",'Final Calculation Sheet'!$Y$29="",IF($Z$4="(nonblank)",'Final Calculation Sheet'!$Y$29&lt;&gt;"",ISNUMBER(SEARCH($Z$4,'Final Calculation Sheet'!$Y$29))))),IF($AA$4="",TRUE(),IF($AA$4="(blank)",'Final Calculation Sheet'!$Z$29="",IF($AA$4="(nonblank)",'Final Calculation Sheet'!$Z$29&lt;&gt;"",ISNUMBER(SEARCH($AA$4,'Final Calculation Sheet'!$Z$29))))),IF($AB$4="",TRUE(),IF($AB$4="(blank)",'Final Calculation Sheet'!$AA$29="",IF($AB$4="(nonblank)",'Final Calculation Sheet'!$AA$29&lt;&gt;"",ISNUMBER(SEARCH($AB$4,'Final Calculation Sheet'!$AA$29))))),IF($AC$4="",TRUE(),IF($AC$4="(blank)",'Final Calculation Sheet'!$AB$29="",IF($AC$4="(nonblank)",'Final Calculation Sheet'!$AB$29&lt;&gt;"",ISNUMBER(SEARCH($AC$4,'Final Calculation Sheet'!$AB$29))))),IF($AD$4="",TRUE(),IF($AD$4="(blank)",'Final Calculation Sheet'!$AC$29="",IF($AD$4="(nonblank)",'Final Calculation Sheet'!$AC$29&lt;&gt;"",ISNUMBER(SEARCH($AD$4,'Final Calculation Sheet'!$AC$29))))),IF($AE$4="",TRUE(),IF($AE$4="(blank)",'Final Calculation Sheet'!$AD$29="",IF($AE$4="(nonblank)",'Final Calculation Sheet'!$AD$29&lt;&gt;"",ISNUMBER(SEARCH($AE$4,'Final Calculation Sheet'!$AD$29))))),IF($AF$4="",TRUE(),IF($AF$4="(blank)",'Final Calculation Sheet'!$AE$29="",IF($AF$4="(nonblank)",'Final Calculation Sheet'!$AE$29&lt;&gt;"",ISNUMBER(SEARCH($AF$4,'Final Calculation Sheet'!$AE$29))))),IF($AG$4="",TRUE(),IF($AG$4="(blank)",'Final Calculation Sheet'!$AF$29="",IF($AG$4="(nonblank)",'Final Calculation Sheet'!$AF$29&lt;&gt;"",ISNUMBER(SEARCH($AG$4,'Final Calculation Sheet'!$AF$29))))),IF($AH$4="",TRUE(),IF($AH$4="(blank)",'Final Calculation Sheet'!$AG$29="",IF($AH$4="(nonblank)",'Final Calculation Sheet'!$AG$29&lt;&gt;"",ISNUMBER(SEARCH($AH$4,'Final Calculation Sheet'!$AG$29))))),IF($AI$4="",TRUE(),IF($AI$4="(blank)",IF('Final Calculation Sheet'!$AD$29&lt;=5,"SETTLED","OUTSTANDING")="",IF($AI$4="(nonblank)",IF('Final Calculation Sheet'!$AD$29&lt;=5,"SETTLED","OUTSTANDING")&lt;&gt;"",ISNUMBER(SEARCH($AI$4,IF('Final Calculation Sheet'!$AD$29&lt;=5,"SETTLED","OUTSTANDING")))))))</f>
        <v>1</v>
      </c>
      <c r="AK31" t="str">
        <f>IF(AJ31=1,COUNTIF(AJ$6:AJ31,1),"")</f>
        <v/>
      </c>
      <c r="AM31">
        <f>AM30+IF(AND(Lists!$O$31&lt;&gt;"",ISNUMBER(SEARCH($B$4,Lists!$O$31))),1,0)</f>
        <v>28</v>
      </c>
      <c r="AN31">
        <f>IF(ROW()-3&gt;MAX($AM$4:$AM$42),"",INDEX(Lists!$O$4:$O$42,MATCH(ROW()-3,$AM$4:$AM$42,0)))</f>
        <v>2046</v>
      </c>
      <c r="AO31">
        <f>AO30+IF(AND(Lists!$T$31&lt;&gt;"",ISNUMBER(SEARCH($C$4,Lists!$T$31))),1,0)</f>
        <v>13</v>
      </c>
      <c r="AP31" t="str">
        <f>IF(ROW()-3&gt;MAX($AO$4:$AO$42),"",INDEX(Lists!$T$4:$T$42,MATCH(ROW()-3,$AO$4:$AO$42,0)))</f>
        <v/>
      </c>
      <c r="AQ31">
        <f>AQ30+IF(AND(Lists!$Y$31&lt;&gt;"",ISNUMBER(SEARCH($D$4,Lists!$Y$31))),1,0)</f>
        <v>25</v>
      </c>
      <c r="AR31" t="str">
        <f>IF(ROW()-3&gt;MAX($AQ$4:$AQ$42),"",INDEX(Lists!$Y$4:$Y$42,MATCH(ROW()-3,$AQ$4:$AQ$42,0)))</f>
        <v/>
      </c>
      <c r="AS31">
        <f>AS30+IF(AND(Lists!$AD$31&lt;&gt;"",ISNUMBER(SEARCH($E$4,Lists!$AD$31))),1,0)</f>
        <v>4</v>
      </c>
      <c r="AT31" t="str">
        <f>IF(ROW()-3&gt;MAX($AS$4:$AS$42),"",INDEX(Lists!$AD$4:$AD$42,MATCH(ROW()-3,$AS$4:$AS$42,0)))</f>
        <v/>
      </c>
      <c r="AU31">
        <f>AU30+IF(AND(Lists!$AI$31&lt;&gt;"",ISNUMBER(SEARCH($F$4,Lists!$AI$31))),1,0)</f>
        <v>22</v>
      </c>
      <c r="AV31" t="str">
        <f>IF(ROW()-3&gt;MAX($AU$4:$AU$42),"",INDEX(Lists!$AI$4:$AI$42,MATCH(ROW()-3,$AU$4:$AU$42,0)))</f>
        <v/>
      </c>
      <c r="AW31">
        <f>AW30+IF(AND(Lists!$AN$31&lt;&gt;"",ISNUMBER(SEARCH($G$4,Lists!$AN$31))),1,0)</f>
        <v>3</v>
      </c>
      <c r="AX31" t="str">
        <f>IF(ROW()-3&gt;MAX($AW$4:$AW$42),"",INDEX(Lists!$AN$4:$AN$42,MATCH(ROW()-3,$AW$4:$AW$42,0)))</f>
        <v/>
      </c>
      <c r="AY31">
        <f>AY30+IF(AND(Lists!$AS$31&lt;&gt;"",ISNUMBER(SEARCH($H$4,Lists!$AS$31))),1,0)</f>
        <v>28</v>
      </c>
      <c r="AZ31">
        <f>IF(ROW()-3&gt;MAX($AY$4:$AY$42),"",INDEX(Lists!$AS$4:$AS$42,MATCH(ROW()-3,$AY$4:$AY$42,0)))</f>
        <v>80006</v>
      </c>
      <c r="BA31">
        <f>BA30+IF(AND(Lists!$AX$31&lt;&gt;"",ISNUMBER(SEARCH($I$4,Lists!$AX$31))),1,0)</f>
        <v>28</v>
      </c>
      <c r="BB31">
        <f>IF(ROW()-3&gt;MAX($BA$4:$BA$42),"",INDEX(Lists!$AX$4:$AX$42,MATCH(ROW()-3,$BA$4:$BA$42,0)))</f>
        <v>270006</v>
      </c>
      <c r="BC31">
        <f>BC30+IF(AND(Lists!$BC$31&lt;&gt;"",ISNUMBER(SEARCH($J$4,Lists!$BC$31))),1,0)</f>
        <v>28</v>
      </c>
      <c r="BD31">
        <f>IF(ROW()-3&gt;MAX($BC$4:$BC$42),"",INDEX(Lists!$BC$4:$BC$42,MATCH(ROW()-3,$BC$4:$BC$42,0)))</f>
        <v>48601</v>
      </c>
      <c r="BE31">
        <f>BE30+IF(AND(Lists!$BH$31&lt;&gt;"",ISNUMBER(SEARCH($K$4,Lists!$BH$31))),1,0)</f>
        <v>28</v>
      </c>
      <c r="BF31">
        <f>IF(ROW()-3&gt;MAX($BE$4:$BE$42),"",INDEX(Lists!$BH$4:$BH$42,MATCH(ROW()-3,$BE$4:$BE$42,0)))</f>
        <v>318607</v>
      </c>
      <c r="BG31">
        <f>BG30+IF(AND(Lists!$BM$31&lt;&gt;"",ISNUMBER(SEARCH($L$4,Lists!$BM$31))),1,0)</f>
        <v>28</v>
      </c>
      <c r="BH31">
        <f>IF(ROW()-3&gt;MAX($BG$4:$BG$42),"",INDEX(Lists!$BM$4:$BM$42,MATCH(ROW()-3,$BG$4:$BG$42,0)))</f>
        <v>7802</v>
      </c>
      <c r="BI31">
        <f>BI30+IF(AND(Lists!$BR$31&lt;&gt;"",ISNUMBER(SEARCH($M$4,Lists!$BR$31))),1,0)</f>
        <v>28</v>
      </c>
      <c r="BJ31">
        <f>IF(ROW()-3&gt;MAX($BI$4:$BI$42),"",INDEX(Lists!$BR$4:$BR$42,MATCH(ROW()-3,$BI$4:$BI$42,0)))</f>
        <v>270.00600000000003</v>
      </c>
      <c r="BK31">
        <f>BK30+IF(AND(Lists!$BW$31&lt;&gt;"",ISNUMBER(SEARCH($N$4,Lists!$BW$31))),1,0)</f>
        <v>28</v>
      </c>
      <c r="BL31">
        <f>IF(ROW()-3&gt;MAX($BK$4:$BK$42),"",INDEX(Lists!$BW$4:$BW$42,MATCH(ROW()-3,$BK$4:$BK$42,0)))</f>
        <v>7168.6593000000003</v>
      </c>
      <c r="BM31">
        <f>BM30+IF(AND(Lists!$CB$31&lt;&gt;"",ISNUMBER(SEARCH($O$4,Lists!$CB$31))),1,0)</f>
        <v>28</v>
      </c>
      <c r="BN31">
        <f>IF(ROW()-3&gt;MAX($BM$4:$BM$42),"",INDEX(Lists!$CB$4:$CB$42,MATCH(ROW()-3,$BM$4:$BM$42,0)))</f>
        <v>121.5027</v>
      </c>
      <c r="BO31">
        <f>BO30+IF(AND(Lists!$CG$31&lt;&gt;"",ISNUMBER(SEARCH($P$4,Lists!$CG$31))),1,0)</f>
        <v>28</v>
      </c>
      <c r="BP31">
        <f>IF(ROW()-3&gt;MAX($BO$4:$BO$42),"",INDEX(Lists!$CG$4:$CG$42,MATCH(ROW()-3,$BO$4:$BO$42,0)))</f>
        <v>7047.1566000000003</v>
      </c>
      <c r="BQ31">
        <f>BQ30+IF(AND(Lists!$CL$31&lt;&gt;"",ISNUMBER(SEARCH($Q$4,Lists!$CL$31))),1,0)</f>
        <v>28</v>
      </c>
      <c r="BR31">
        <f>IF(ROW()-3&gt;MAX($BQ$4:$BQ$42),"",INDEX(Lists!$CL$4:$CL$42,MATCH(ROW()-3,$BQ$4:$BQ$42,0)))</f>
        <v>8959</v>
      </c>
      <c r="BS31">
        <f>BS30+IF(AND(Lists!$CQ$31&lt;&gt;"",ISNUMBER(SEARCH($R$4,Lists!$CQ$31))),1,0)</f>
        <v>2</v>
      </c>
      <c r="BT31" t="str">
        <f>IF(ROW()-3&gt;MAX($BS$4:$BS$42),"",INDEX(Lists!$CQ$4:$CQ$42,MATCH(ROW()-3,$BS$4:$BS$42,0)))</f>
        <v/>
      </c>
      <c r="BU31">
        <f>BU30+IF(AND(Lists!$CV$31&lt;&gt;"",ISNUMBER(SEARCH($S$4,Lists!$CV$31))),1,0)</f>
        <v>5</v>
      </c>
      <c r="BV31" t="str">
        <f>IF(ROW()-3&gt;MAX($BU$4:$BU$42),"",INDEX(Lists!$CV$4:$CV$42,MATCH(ROW()-3,$BU$4:$BU$42,0)))</f>
        <v/>
      </c>
      <c r="BW31">
        <f>BW30+IF(AND(Lists!$DA$31&lt;&gt;"",ISNUMBER(SEARCH($T$4,Lists!$DA$31))),1,0)</f>
        <v>28</v>
      </c>
      <c r="BX31">
        <f>IF(ROW()-3&gt;MAX($BW$4:$BW$42),"",INDEX(Lists!$DA$4:$DA$42,MATCH(ROW()-3,$BW$4:$BW$42,0)))</f>
        <v>317662</v>
      </c>
      <c r="BY31">
        <f>BY30+IF(AND(Lists!$DF$31&lt;&gt;"",ISNUMBER(SEARCH($U$4,Lists!$DF$31))),1,0)</f>
        <v>28</v>
      </c>
      <c r="BZ31">
        <f>IF(ROW()-3&gt;MAX($BY$4:$BY$42),"",INDEX(Lists!$DF$4:$DF$42,MATCH(ROW()-3,$BY$4:$BY$42,0)))</f>
        <v>67502</v>
      </c>
      <c r="CA31">
        <f>CA30+IF(AND(Lists!$DK$31&lt;&gt;"",ISNUMBER(SEARCH($V$4,Lists!$DK$31))),1,0)</f>
        <v>28</v>
      </c>
      <c r="CB31">
        <f>IF(ROW()-3&gt;MAX($CA$4:$CA$42),"",INDEX(Lists!$DK$4:$DK$42,MATCH(ROW()-3,$CA$4:$CA$42,0)))</f>
        <v>67502</v>
      </c>
      <c r="CC31">
        <f>CC30+IF(AND(Lists!$DP$31&lt;&gt;"",ISNUMBER(SEARCH($W$4,Lists!$DP$31))),1,0)</f>
        <v>6</v>
      </c>
      <c r="CD31" t="str">
        <f>IF(ROW()-3&gt;MAX($CC$4:$CC$42),"",INDEX(Lists!$DP$4:$DP$42,MATCH(ROW()-3,$CC$4:$CC$42,0)))</f>
        <v/>
      </c>
      <c r="CE31">
        <f>CE30+IF(AND(Lists!$DU$31&lt;&gt;"",ISNUMBER(SEARCH($X$4,Lists!$DU$31))),1,0)</f>
        <v>28</v>
      </c>
      <c r="CF31">
        <f>IF(ROW()-3&gt;MAX($CE$4:$CE$42),"",INDEX(Lists!$DU$4:$DU$42,MATCH(ROW()-3,$CE$4:$CE$42,0)))</f>
        <v>250161</v>
      </c>
      <c r="CG31" t="e">
        <f>CG30+IF(AND(Lists!$DZ$31&lt;&gt;"",ISNUMBER(SEARCH($Y$4,Lists!$DZ$31))),1,0)</f>
        <v>#N/A</v>
      </c>
      <c r="CH31" t="e">
        <f>IF(ROW()-3&gt;MAX($CG$4:$CG$42),"",INDEX(Lists!$DZ$4:$DZ$42,MATCH(ROW()-3,$CG$4:$CG$42,0)))</f>
        <v>#N/A</v>
      </c>
      <c r="CI31" t="e">
        <f>CI30+IF(AND(Lists!$EE$31&lt;&gt;"",ISNUMBER(SEARCH($Z$4,Lists!$EE$31))),1,0)</f>
        <v>#N/A</v>
      </c>
      <c r="CJ31" t="e">
        <f>IF(ROW()-3&gt;MAX($CI$4:$CI$42),"",INDEX(Lists!$EE$4:$EE$42,MATCH(ROW()-3,$CI$4:$CI$42,0)))</f>
        <v>#N/A</v>
      </c>
      <c r="CK31">
        <f>CK30+IF(AND(Lists!$EJ$31&lt;&gt;"",ISNUMBER(SEARCH($AA$4,Lists!$EJ$31))),1,0)</f>
        <v>6</v>
      </c>
      <c r="CL31" t="str">
        <f>IF(ROW()-3&gt;MAX($CK$4:$CK$42),"",INDEX(Lists!$EJ$4:$EJ$42,MATCH(ROW()-3,$CK$4:$CK$42,0)))</f>
        <v/>
      </c>
      <c r="CM31" t="e">
        <f>CM30+IF(AND(Lists!$EO$31&lt;&gt;"",ISNUMBER(SEARCH($AB$4,Lists!$EO$31))),1,0)</f>
        <v>#N/A</v>
      </c>
      <c r="CN31" t="e">
        <f>IF(ROW()-3&gt;MAX($CM$4:$CM$42),"",INDEX(Lists!$EO$4:$EO$42,MATCH(ROW()-3,$CM$4:$CM$42,0)))</f>
        <v>#N/A</v>
      </c>
      <c r="CO31" t="e">
        <f>CO30+IF(AND(Lists!$ET$31&lt;&gt;"",ISNUMBER(SEARCH($AC$4,Lists!$ET$31))),1,0)</f>
        <v>#N/A</v>
      </c>
      <c r="CP31" t="e">
        <f>IF(ROW()-3&gt;MAX($CO$4:$CO$42),"",INDEX(Lists!$ET$4:$ET$42,MATCH(ROW()-3,$CO$4:$CO$42,0)))</f>
        <v>#N/A</v>
      </c>
      <c r="CQ31">
        <f>CQ30+IF(AND(Lists!$EY$31&lt;&gt;"",ISNUMBER(SEARCH($AD$4,Lists!$EY$31))),1,0)</f>
        <v>28</v>
      </c>
      <c r="CR31">
        <f>IF(ROW()-3&gt;MAX($CQ$4:$CQ$42),"",INDEX(Lists!$EY$4:$EY$42,MATCH(ROW()-3,$CQ$4:$CQ$42,0)))</f>
        <v>258831</v>
      </c>
      <c r="CS31" t="e">
        <f>CS30+IF(AND(Lists!$FD$31&lt;&gt;"",ISNUMBER(SEARCH($AE$4,Lists!$FD$31))),1,0)</f>
        <v>#N/A</v>
      </c>
      <c r="CT31" t="e">
        <f>IF(ROW()-3&gt;MAX($CS$4:$CS$42),"",INDEX(Lists!$FD$4:$FD$42,MATCH(ROW()-3,$CS$4:$CS$42,0)))</f>
        <v>#N/A</v>
      </c>
      <c r="CU31" t="e">
        <f>CU30+IF(AND(Lists!$FI$31&lt;&gt;"",ISNUMBER(SEARCH($AF$4,Lists!$FI$31))),1,0)</f>
        <v>#N/A</v>
      </c>
      <c r="CV31" t="e">
        <f>IF(ROW()-3&gt;MAX($CU$4:$CU$42),"",INDEX(Lists!$FI$4:$FI$42,MATCH(ROW()-3,$CU$4:$CU$42,0)))</f>
        <v>#N/A</v>
      </c>
      <c r="CW31" t="e">
        <f>CW30+IF(AND(Lists!$FN$31&lt;&gt;"",ISNUMBER(SEARCH($AG$4,Lists!$FN$31))),1,0)</f>
        <v>#N/A</v>
      </c>
      <c r="CX31" t="e">
        <f>IF(ROW()-3&gt;MAX($CW$4:$CW$42),"",INDEX(Lists!$FN$4:$FN$42,MATCH(ROW()-3,$CW$4:$CW$42,0)))</f>
        <v>#N/A</v>
      </c>
      <c r="CY31" t="e">
        <f>CY30+IF(AND(Lists!$FS$31&lt;&gt;"",ISNUMBER(SEARCH($AH$4,Lists!$FS$31))),1,0)</f>
        <v>#N/A</v>
      </c>
      <c r="CZ31" t="e">
        <f>IF(ROW()-3&gt;MAX($CY$4:$CY$42),"",INDEX(Lists!$FS$4:$FS$42,MATCH(ROW()-3,$CY$4:$CY$42,0)))</f>
        <v>#N/A</v>
      </c>
      <c r="DA31">
        <f>DA30+IF(AND(Lists!$FX$31&lt;&gt;"",ISNUMBER(SEARCH($AI$4,Lists!$FX$31))),1,0)</f>
        <v>2</v>
      </c>
      <c r="DB31" t="str">
        <f>IF(ROW()-3&gt;MAX($DA$4:$DA$42),"",INDEX(Lists!$FX$4:$FX$42,MATCH(ROW()-3,$DA$4:$DA$42,0)))</f>
        <v/>
      </c>
    </row>
    <row r="32" ht="15" customHeight="1" s="137">
      <c r="A32" s="81" t="inlineStr">
        <is>
          <t>∑</t>
        </is>
      </c>
      <c r="B32" s="83" t="n"/>
      <c r="C32" s="83" t="str">
        <f>ROWS($C$31:$C$31)&amp;" lot(s)"</f>
        <v>1 lot(s)</v>
      </c>
      <c r="D32" s="83" t="inlineStr">
        <is>
          <t>SUBTOTAL — NATIONAL SCRAP AND BUILDING MATERIAL SUPPLIER</t>
        </is>
      </c>
      <c r="E32" s="83" t="inlineStr">
        <is>
          <t>–</t>
        </is>
      </c>
      <c r="F32" s="83">
        <f>SUM(F31:F31)</f>
        <v>3</v>
      </c>
      <c r="G32" s="83" t="inlineStr">
        <is>
          <t>–</t>
        </is>
      </c>
      <c r="H32" s="84" t="inlineStr">
        <is>
          <t>–</t>
        </is>
      </c>
      <c r="I32" s="84">
        <f>SUM(I31:I31)</f>
        <v>330600</v>
      </c>
      <c r="J32" s="84">
        <f>SUM(J31:J31)</f>
        <v>59508</v>
      </c>
      <c r="K32" s="84">
        <f>SUM(K31:K31)</f>
        <v>390108</v>
      </c>
      <c r="L32" s="84">
        <f>SUM(L31:L31)</f>
        <v>7802</v>
      </c>
      <c r="M32" s="84">
        <f>SUM(M31:M31)</f>
        <v>330.6</v>
      </c>
      <c r="N32" s="84">
        <f>SUM(N31:N31)</f>
        <v>8777.43</v>
      </c>
      <c r="O32" s="85">
        <f>SUM(O31:O31)</f>
        <v>148.77000000000001</v>
      </c>
      <c r="P32" s="84">
        <f>SUM(P31:P31)</f>
        <v>8628.66</v>
      </c>
      <c r="Q32" s="84">
        <f>SUM(Q31:Q31)</f>
        <v>8959</v>
      </c>
      <c r="R32" s="86" t="inlineStr">
        <is>
          <t>–</t>
        </is>
      </c>
      <c r="S32" s="84">
        <f>SUM(S31:S31)</f>
        <v>0</v>
      </c>
      <c r="T32" s="84">
        <f>SUM(T31:T31)</f>
        <v>388951</v>
      </c>
      <c r="U32" s="84">
        <f>SUM(U31:U31)</f>
        <v>82650</v>
      </c>
      <c r="V32" s="87">
        <f>SUM(V31:V31)</f>
        <v>82650</v>
      </c>
      <c r="W32" s="84" t="inlineStr">
        <is>
          <t>–</t>
        </is>
      </c>
      <c r="X32" s="84">
        <f>SUM(X31:X31)</f>
        <v>306301</v>
      </c>
      <c r="Y32" s="84">
        <f>SUM(Y31:Y31)</f>
        <v>306301</v>
      </c>
      <c r="Z32" s="84" t="inlineStr">
        <is>
          <t>–</t>
        </is>
      </c>
      <c r="AA32" s="84">
        <f>SUM(AA31:AA31)</f>
        <v>0</v>
      </c>
      <c r="AB32" s="84">
        <f>SUM(AB31:AB31)</f>
        <v>0</v>
      </c>
      <c r="AC32" s="84" t="inlineStr">
        <is>
          <t>–</t>
        </is>
      </c>
      <c r="AD32" s="84">
        <f>SUM(AD31:AD31)</f>
        <v>388951</v>
      </c>
      <c r="AE32" s="84">
        <f>SUM(AE31:AE31)</f>
        <v>0</v>
      </c>
      <c r="AF32" s="84" t="inlineStr">
        <is>
          <t>–</t>
        </is>
      </c>
      <c r="AG32" s="88" t="inlineStr">
        <is>
          <t>–</t>
        </is>
      </c>
      <c r="AH32" s="84" t="inlineStr">
        <is>
          <t>–</t>
        </is>
      </c>
      <c r="AI32" s="89" t="str">
        <f>IF(AE32&lt;=5,"SETTLED","OUTSTANDING")</f>
        <v>SETTLED</v>
      </c>
      <c r="AJ32" t="b">
        <f>AND(IF($B$4="",TRUE(),IF($B$4="(blank)",'Final Calculation Sheet'!$F$30="",IF($B$4="(nonblank)",'Final Calculation Sheet'!$F$30&lt;&gt;"",ISNUMBER(SEARCH($B$4,'Final Calculation Sheet'!$F$30))))),IF($C$4="",TRUE(),IF($C$4="(blank)",'Final Calculation Sheet'!$G$30="",IF($C$4="(nonblank)",'Final Calculation Sheet'!$G$30&lt;&gt;"",ISNUMBER(SEARCH($C$4,'Final Calculation Sheet'!$G$30))))),IF($D$4="",TRUE(),IF($D$4="(blank)",'Final Calculation Sheet'!$B$30="",IF($D$4="(nonblank)",'Final Calculation Sheet'!$B$30&lt;&gt;"",ISNUMBER(SEARCH($D$4,'Final Calculation Sheet'!$B$30))))),IF($E$4="",TRUE(),IF($E$4="(blank)",'Final Calculation Sheet'!$D$30="",IF($E$4="(nonblank)",'Final Calculation Sheet'!$D$30&lt;&gt;"",ISNUMBER(SEARCH($E$4,'Final Calculation Sheet'!$D$30))))),IF($F$4="",TRUE(),IF($F$4="(blank)",'Final Calculation Sheet'!$A$30="",IF($F$4="(nonblank)",'Final Calculation Sheet'!$A$30&lt;&gt;"",ISNUMBER(SEARCH($F$4,'Final Calculation Sheet'!$A$30))))),IF($G$4="",TRUE(),IF($G$4="(blank)",'Final Calculation Sheet'!$E$30="",IF($G$4="(nonblank)",'Final Calculation Sheet'!$E$30&lt;&gt;"",ISNUMBER(SEARCH($G$4,'Final Calculation Sheet'!$E$30))))),IF($H$4="",TRUE(),IF($H$4="(blank)",'Final Calculation Sheet'!$C$30="",IF($H$4="(nonblank)",'Final Calculation Sheet'!$C$30&lt;&gt;"",ISNUMBER(SEARCH($H$4,'Final Calculation Sheet'!$C$30))))),IF($I$4="",TRUE(),IF($I$4="(blank)",'Final Calculation Sheet'!$H$30="",IF($I$4="(nonblank)",'Final Calculation Sheet'!$H$30&lt;&gt;"",ISNUMBER(SEARCH($I$4,'Final Calculation Sheet'!$H$30))))),IF($J$4="",TRUE(),IF($J$4="(blank)",'Final Calculation Sheet'!$I$30="",IF($J$4="(nonblank)",'Final Calculation Sheet'!$I$30&lt;&gt;"",ISNUMBER(SEARCH($J$4,'Final Calculation Sheet'!$I$30))))),IF($K$4="",TRUE(),IF($K$4="(blank)",'Final Calculation Sheet'!$J$30="",IF($K$4="(nonblank)",'Final Calculation Sheet'!$J$30&lt;&gt;"",ISNUMBER(SEARCH($K$4,'Final Calculation Sheet'!$J$30))))),IF($L$4="",TRUE(),IF($L$4="(blank)",'Final Calculation Sheet'!$K$30="",IF($L$4="(nonblank)",'Final Calculation Sheet'!$K$30&lt;&gt;"",ISNUMBER(SEARCH($L$4,'Final Calculation Sheet'!$K$30))))),IF($M$4="",TRUE(),IF($M$4="(blank)",'Final Calculation Sheet'!$L$30="",IF($M$4="(nonblank)",'Final Calculation Sheet'!$L$30&lt;&gt;"",ISNUMBER(SEARCH($M$4,'Final Calculation Sheet'!$L$30))))),IF($N$4="",TRUE(),IF($N$4="(blank)",'Final Calculation Sheet'!$M$30="",IF($N$4="(nonblank)",'Final Calculation Sheet'!$M$30&lt;&gt;"",ISNUMBER(SEARCH($N$4,'Final Calculation Sheet'!$M$30))))),IF($O$4="",TRUE(),IF($O$4="(blank)",'Final Calculation Sheet'!$N$30="",IF($O$4="(nonblank)",'Final Calculation Sheet'!$N$30&lt;&gt;"",ISNUMBER(SEARCH($O$4,'Final Calculation Sheet'!$N$30))))),IF($P$4="",TRUE(),IF($P$4="(blank)",'Final Calculation Sheet'!$O$30="",IF($P$4="(nonblank)",'Final Calculation Sheet'!$O$30&lt;&gt;"",ISNUMBER(SEARCH($P$4,'Final Calculation Sheet'!$O$30))))),IF($Q$4="",TRUE(),IF($Q$4="(blank)",'Final Calculation Sheet'!$P$30="",IF($Q$4="(nonblank)",'Final Calculation Sheet'!$P$30&lt;&gt;"",ISNUMBER(SEARCH($Q$4,'Final Calculation Sheet'!$P$30))))),IF($R$4="",TRUE(),IF($R$4="(blank)",'Final Calculation Sheet'!$Q$30="",IF($R$4="(nonblank)",'Final Calculation Sheet'!$Q$30&lt;&gt;"",ISNUMBER(SEARCH($R$4,'Final Calculation Sheet'!$Q$30))))),IF($S$4="",TRUE(),IF($S$4="(blank)",'Final Calculation Sheet'!$R$30="",IF($S$4="(nonblank)",'Final Calculation Sheet'!$R$30&lt;&gt;"",ISNUMBER(SEARCH($S$4,'Final Calculation Sheet'!$R$30))))),IF($T$4="",TRUE(),IF($T$4="(blank)",'Final Calculation Sheet'!$S$30="",IF($T$4="(nonblank)",'Final Calculation Sheet'!$S$30&lt;&gt;"",ISNUMBER(SEARCH($T$4,'Final Calculation Sheet'!$S$30))))),IF($U$4="",TRUE(),IF($U$4="(blank)",'Final Calculation Sheet'!$T$30="",IF($U$4="(nonblank)",'Final Calculation Sheet'!$T$30&lt;&gt;"",ISNUMBER(SEARCH($U$4,'Final Calculation Sheet'!$T$30))))),IF($V$4="",TRUE(),IF($V$4="(blank)",'Final Calculation Sheet'!$U$30="",IF($V$4="(nonblank)",'Final Calculation Sheet'!$U$30&lt;&gt;"",ISNUMBER(SEARCH($V$4,'Final Calculation Sheet'!$U$30))))),IF($W$4="",TRUE(),IF($W$4="(blank)",'Final Calculation Sheet'!$V$30="",IF($W$4="(nonblank)",'Final Calculation Sheet'!$V$30&lt;&gt;"",ISNUMBER(SEARCH($W$4,'Final Calculation Sheet'!$V$30))))),IF($X$4="",TRUE(),IF($X$4="(blank)",'Final Calculation Sheet'!$W$30="",IF($X$4="(nonblank)",'Final Calculation Sheet'!$W$30&lt;&gt;"",ISNUMBER(SEARCH($X$4,'Final Calculation Sheet'!$W$30))))),IF($Y$4="",TRUE(),IF($Y$4="(blank)",'Final Calculation Sheet'!$X$30="",IF($Y$4="(nonblank)",'Final Calculation Sheet'!$X$30&lt;&gt;"",ISNUMBER(SEARCH($Y$4,'Final Calculation Sheet'!$X$30))))),IF($Z$4="",TRUE(),IF($Z$4="(blank)",'Final Calculation Sheet'!$Y$30="",IF($Z$4="(nonblank)",'Final Calculation Sheet'!$Y$30&lt;&gt;"",ISNUMBER(SEARCH($Z$4,'Final Calculation Sheet'!$Y$30))))),IF($AA$4="",TRUE(),IF($AA$4="(blank)",'Final Calculation Sheet'!$Z$30="",IF($AA$4="(nonblank)",'Final Calculation Sheet'!$Z$30&lt;&gt;"",ISNUMBER(SEARCH($AA$4,'Final Calculation Sheet'!$Z$30))))),IF($AB$4="",TRUE(),IF($AB$4="(blank)",'Final Calculation Sheet'!$AA$30="",IF($AB$4="(nonblank)",'Final Calculation Sheet'!$AA$30&lt;&gt;"",ISNUMBER(SEARCH($AB$4,'Final Calculation Sheet'!$AA$30))))),IF($AC$4="",TRUE(),IF($AC$4="(blank)",'Final Calculation Sheet'!$AB$30="",IF($AC$4="(nonblank)",'Final Calculation Sheet'!$AB$30&lt;&gt;"",ISNUMBER(SEARCH($AC$4,'Final Calculation Sheet'!$AB$30))))),IF($AD$4="",TRUE(),IF($AD$4="(blank)",'Final Calculation Sheet'!$AC$30="",IF($AD$4="(nonblank)",'Final Calculation Sheet'!$AC$30&lt;&gt;"",ISNUMBER(SEARCH($AD$4,'Final Calculation Sheet'!$AC$30))))),IF($AE$4="",TRUE(),IF($AE$4="(blank)",'Final Calculation Sheet'!$AD$30="",IF($AE$4="(nonblank)",'Final Calculation Sheet'!$AD$30&lt;&gt;"",ISNUMBER(SEARCH($AE$4,'Final Calculation Sheet'!$AD$30))))),IF($AF$4="",TRUE(),IF($AF$4="(blank)",'Final Calculation Sheet'!$AE$30="",IF($AF$4="(nonblank)",'Final Calculation Sheet'!$AE$30&lt;&gt;"",ISNUMBER(SEARCH($AF$4,'Final Calculation Sheet'!$AE$30))))),IF($AG$4="",TRUE(),IF($AG$4="(blank)",'Final Calculation Sheet'!$AF$30="",IF($AG$4="(nonblank)",'Final Calculation Sheet'!$AF$30&lt;&gt;"",ISNUMBER(SEARCH($AG$4,'Final Calculation Sheet'!$AF$30))))),IF($AH$4="",TRUE(),IF($AH$4="(blank)",'Final Calculation Sheet'!$AG$30="",IF($AH$4="(nonblank)",'Final Calculation Sheet'!$AG$30&lt;&gt;"",ISNUMBER(SEARCH($AH$4,'Final Calculation Sheet'!$AG$30))))),IF($AI$4="",TRUE(),IF($AI$4="(blank)",IF('Final Calculation Sheet'!$AD$30&lt;=5,"SETTLED","OUTSTANDING")="",IF($AI$4="(nonblank)",IF('Final Calculation Sheet'!$AD$30&lt;=5,"SETTLED","OUTSTANDING")&lt;&gt;"",ISNUMBER(SEARCH($AI$4,IF('Final Calculation Sheet'!$AD$30&lt;=5,"SETTLED","OUTSTANDING")))))))</f>
        <v>1</v>
      </c>
      <c r="AK32" t="str">
        <f>IF(AJ32=1,COUNTIF(AJ$6:AJ32,1),"")</f>
        <v/>
      </c>
      <c r="AM32">
        <f>AM31+IF(AND(Lists!$O$32&lt;&gt;"",ISNUMBER(SEARCH($B$4,Lists!$O$32))),1,0)</f>
        <v>29</v>
      </c>
      <c r="AN32">
        <f>IF(ROW()-3&gt;MAX($AM$4:$AM$42),"",INDEX(Lists!$O$4:$O$42,MATCH(ROW()-3,$AM$4:$AM$42,0)))</f>
        <v>2055</v>
      </c>
      <c r="AO32">
        <f>AO31+IF(AND(Lists!$T$32&lt;&gt;"",ISNUMBER(SEARCH($C$4,Lists!$T$32))),1,0)</f>
        <v>13</v>
      </c>
      <c r="AP32" t="str">
        <f>IF(ROW()-3&gt;MAX($AO$4:$AO$42),"",INDEX(Lists!$T$4:$T$42,MATCH(ROW()-3,$AO$4:$AO$42,0)))</f>
        <v/>
      </c>
      <c r="AQ32">
        <f>AQ31+IF(AND(Lists!$Y$32&lt;&gt;"",ISNUMBER(SEARCH($D$4,Lists!$Y$32))),1,0)</f>
        <v>25</v>
      </c>
      <c r="AR32" t="str">
        <f>IF(ROW()-3&gt;MAX($AQ$4:$AQ$42),"",INDEX(Lists!$Y$4:$Y$42,MATCH(ROW()-3,$AQ$4:$AQ$42,0)))</f>
        <v/>
      </c>
      <c r="AS32">
        <f>AS31+IF(AND(Lists!$AD$32&lt;&gt;"",ISNUMBER(SEARCH($E$4,Lists!$AD$32))),1,0)</f>
        <v>4</v>
      </c>
      <c r="AT32" t="str">
        <f>IF(ROW()-3&gt;MAX($AS$4:$AS$42),"",INDEX(Lists!$AD$4:$AD$42,MATCH(ROW()-3,$AS$4:$AS$42,0)))</f>
        <v/>
      </c>
      <c r="AU32">
        <f>AU31+IF(AND(Lists!$AI$32&lt;&gt;"",ISNUMBER(SEARCH($F$4,Lists!$AI$32))),1,0)</f>
        <v>22</v>
      </c>
      <c r="AV32" t="str">
        <f>IF(ROW()-3&gt;MAX($AU$4:$AU$42),"",INDEX(Lists!$AI$4:$AI$42,MATCH(ROW()-3,$AU$4:$AU$42,0)))</f>
        <v/>
      </c>
      <c r="AW32">
        <f>AW31+IF(AND(Lists!$AN$32&lt;&gt;"",ISNUMBER(SEARCH($G$4,Lists!$AN$32))),1,0)</f>
        <v>3</v>
      </c>
      <c r="AX32" t="str">
        <f>IF(ROW()-3&gt;MAX($AW$4:$AW$42),"",INDEX(Lists!$AN$4:$AN$42,MATCH(ROW()-3,$AW$4:$AW$42,0)))</f>
        <v/>
      </c>
      <c r="AY32">
        <f>AY31+IF(AND(Lists!$AS$32&lt;&gt;"",ISNUMBER(SEARCH($H$4,Lists!$AS$32))),1,0)</f>
        <v>29</v>
      </c>
      <c r="AZ32">
        <f>IF(ROW()-3&gt;MAX($AY$4:$AY$42),"",INDEX(Lists!$AS$4:$AS$42,MATCH(ROW()-3,$AY$4:$AY$42,0)))</f>
        <v>83743</v>
      </c>
      <c r="BA32">
        <f>BA31+IF(AND(Lists!$AX$32&lt;&gt;"",ISNUMBER(SEARCH($I$4,Lists!$AX$32))),1,0)</f>
        <v>29</v>
      </c>
      <c r="BB32">
        <f>IF(ROW()-3&gt;MAX($BA$4:$BA$42),"",INDEX(Lists!$AX$4:$AX$42,MATCH(ROW()-3,$BA$4:$BA$42,0)))</f>
        <v>330600</v>
      </c>
      <c r="BC32">
        <f>BC31+IF(AND(Lists!$BC$32&lt;&gt;"",ISNUMBER(SEARCH($J$4,Lists!$BC$32))),1,0)</f>
        <v>29</v>
      </c>
      <c r="BD32">
        <f>IF(ROW()-3&gt;MAX($BC$4:$BC$42),"",INDEX(Lists!$BC$4:$BC$42,MATCH(ROW()-3,$BC$4:$BC$42,0)))</f>
        <v>59508</v>
      </c>
      <c r="BE32">
        <f>BE31+IF(AND(Lists!$BH$32&lt;&gt;"",ISNUMBER(SEARCH($K$4,Lists!$BH$32))),1,0)</f>
        <v>29</v>
      </c>
      <c r="BF32">
        <f>IF(ROW()-3&gt;MAX($BE$4:$BE$42),"",INDEX(Lists!$BH$4:$BH$42,MATCH(ROW()-3,$BE$4:$BE$42,0)))</f>
        <v>390108</v>
      </c>
      <c r="BG32">
        <f>BG31+IF(AND(Lists!$BM$32&lt;&gt;"",ISNUMBER(SEARCH($L$4,Lists!$BM$32))),1,0)</f>
        <v>29</v>
      </c>
      <c r="BH32">
        <f>IF(ROW()-3&gt;MAX($BG$4:$BG$42),"",INDEX(Lists!$BM$4:$BM$42,MATCH(ROW()-3,$BG$4:$BG$42,0)))</f>
        <v>9440</v>
      </c>
      <c r="BI32">
        <f>BI31+IF(AND(Lists!$BR$32&lt;&gt;"",ISNUMBER(SEARCH($M$4,Lists!$BR$32))),1,0)</f>
        <v>29</v>
      </c>
      <c r="BJ32">
        <f>IF(ROW()-3&gt;MAX($BI$4:$BI$42),"",INDEX(Lists!$BR$4:$BR$42,MATCH(ROW()-3,$BI$4:$BI$42,0)))</f>
        <v>330.6</v>
      </c>
      <c r="BK32">
        <f>BK31+IF(AND(Lists!$BW$32&lt;&gt;"",ISNUMBER(SEARCH($N$4,Lists!$BW$32))),1,0)</f>
        <v>29</v>
      </c>
      <c r="BL32">
        <f>IF(ROW()-3&gt;MAX($BK$4:$BK$42),"",INDEX(Lists!$BW$4:$BW$42,MATCH(ROW()-3,$BK$4:$BK$42,0)))</f>
        <v>8777.43</v>
      </c>
      <c r="BM32">
        <f>BM31+IF(AND(Lists!$CB$32&lt;&gt;"",ISNUMBER(SEARCH($O$4,Lists!$CB$32))),1,0)</f>
        <v>29</v>
      </c>
      <c r="BN32">
        <f>IF(ROW()-3&gt;MAX($BM$4:$BM$42),"",INDEX(Lists!$CB$4:$CB$42,MATCH(ROW()-3,$BM$4:$BM$42,0)))</f>
        <v>148.77000000000001</v>
      </c>
      <c r="BO32">
        <f>BO31+IF(AND(Lists!$CG$32&lt;&gt;"",ISNUMBER(SEARCH($P$4,Lists!$CG$32))),1,0)</f>
        <v>29</v>
      </c>
      <c r="BP32">
        <f>IF(ROW()-3&gt;MAX($BO$4:$BO$42),"",INDEX(Lists!$CG$4:$CG$42,MATCH(ROW()-3,$BO$4:$BO$42,0)))</f>
        <v>8628.66</v>
      </c>
      <c r="BQ32">
        <f>BQ31+IF(AND(Lists!$CL$32&lt;&gt;"",ISNUMBER(SEARCH($Q$4,Lists!$CL$32))),1,0)</f>
        <v>29</v>
      </c>
      <c r="BR32">
        <f>IF(ROW()-3&gt;MAX($BQ$4:$BQ$42),"",INDEX(Lists!$CL$4:$CL$42,MATCH(ROW()-3,$BQ$4:$BQ$42,0)))</f>
        <v>10840</v>
      </c>
      <c r="BS32">
        <f>BS31+IF(AND(Lists!$CQ$32&lt;&gt;"",ISNUMBER(SEARCH($R$4,Lists!$CQ$32))),1,0)</f>
        <v>2</v>
      </c>
      <c r="BT32" t="str">
        <f>IF(ROW()-3&gt;MAX($BS$4:$BS$42),"",INDEX(Lists!$CQ$4:$CQ$42,MATCH(ROW()-3,$BS$4:$BS$42,0)))</f>
        <v/>
      </c>
      <c r="BU32">
        <f>BU31+IF(AND(Lists!$CV$32&lt;&gt;"",ISNUMBER(SEARCH($S$4,Lists!$CV$32))),1,0)</f>
        <v>5</v>
      </c>
      <c r="BV32" t="str">
        <f>IF(ROW()-3&gt;MAX($BU$4:$BU$42),"",INDEX(Lists!$CV$4:$CV$42,MATCH(ROW()-3,$BU$4:$BU$42,0)))</f>
        <v/>
      </c>
      <c r="BW32">
        <f>BW31+IF(AND(Lists!$DA$32&lt;&gt;"",ISNUMBER(SEARCH($T$4,Lists!$DA$32))),1,0)</f>
        <v>29</v>
      </c>
      <c r="BX32">
        <f>IF(ROW()-3&gt;MAX($BW$4:$BW$42),"",INDEX(Lists!$DA$4:$DA$42,MATCH(ROW()-3,$BW$4:$BW$42,0)))</f>
        <v>388951</v>
      </c>
      <c r="BY32">
        <f>BY31+IF(AND(Lists!$DF$32&lt;&gt;"",ISNUMBER(SEARCH($U$4,Lists!$DF$32))),1,0)</f>
        <v>29</v>
      </c>
      <c r="BZ32">
        <f>IF(ROW()-3&gt;MAX($BY$4:$BY$42),"",INDEX(Lists!$DF$4:$DF$42,MATCH(ROW()-3,$BY$4:$BY$42,0)))</f>
        <v>82650</v>
      </c>
      <c r="CA32">
        <f>CA31+IF(AND(Lists!$DK$32&lt;&gt;"",ISNUMBER(SEARCH($V$4,Lists!$DK$32))),1,0)</f>
        <v>29</v>
      </c>
      <c r="CB32">
        <f>IF(ROW()-3&gt;MAX($CA$4:$CA$42),"",INDEX(Lists!$DK$4:$DK$42,MATCH(ROW()-3,$CA$4:$CA$42,0)))</f>
        <v>82650</v>
      </c>
      <c r="CC32">
        <f>CC31+IF(AND(Lists!$DP$32&lt;&gt;"",ISNUMBER(SEARCH($W$4,Lists!$DP$32))),1,0)</f>
        <v>6</v>
      </c>
      <c r="CD32" t="str">
        <f>IF(ROW()-3&gt;MAX($CC$4:$CC$42),"",INDEX(Lists!$DP$4:$DP$42,MATCH(ROW()-3,$CC$4:$CC$42,0)))</f>
        <v/>
      </c>
      <c r="CE32">
        <f>CE31+IF(AND(Lists!$DU$32&lt;&gt;"",ISNUMBER(SEARCH($X$4,Lists!$DU$32))),1,0)</f>
        <v>29</v>
      </c>
      <c r="CF32">
        <f>IF(ROW()-3&gt;MAX($CE$4:$CE$42),"",INDEX(Lists!$DU$4:$DU$42,MATCH(ROW()-3,$CE$4:$CE$42,0)))</f>
        <v>306301</v>
      </c>
      <c r="CG32" t="e">
        <f>CG31+IF(AND(Lists!$DZ$32&lt;&gt;"",ISNUMBER(SEARCH($Y$4,Lists!$DZ$32))),1,0)</f>
        <v>#N/A</v>
      </c>
      <c r="CH32" t="e">
        <f>IF(ROW()-3&gt;MAX($CG$4:$CG$42),"",INDEX(Lists!$DZ$4:$DZ$42,MATCH(ROW()-3,$CG$4:$CG$42,0)))</f>
        <v>#N/A</v>
      </c>
      <c r="CI32" t="e">
        <f>CI31+IF(AND(Lists!$EE$32&lt;&gt;"",ISNUMBER(SEARCH($Z$4,Lists!$EE$32))),1,0)</f>
        <v>#N/A</v>
      </c>
      <c r="CJ32" t="e">
        <f>IF(ROW()-3&gt;MAX($CI$4:$CI$42),"",INDEX(Lists!$EE$4:$EE$42,MATCH(ROW()-3,$CI$4:$CI$42,0)))</f>
        <v>#N/A</v>
      </c>
      <c r="CK32">
        <f>CK31+IF(AND(Lists!$EJ$32&lt;&gt;"",ISNUMBER(SEARCH($AA$4,Lists!$EJ$32))),1,0)</f>
        <v>6</v>
      </c>
      <c r="CL32" t="str">
        <f>IF(ROW()-3&gt;MAX($CK$4:$CK$42),"",INDEX(Lists!$EJ$4:$EJ$42,MATCH(ROW()-3,$CK$4:$CK$42,0)))</f>
        <v/>
      </c>
      <c r="CM32" t="e">
        <f>CM31+IF(AND(Lists!$EO$32&lt;&gt;"",ISNUMBER(SEARCH($AB$4,Lists!$EO$32))),1,0)</f>
        <v>#N/A</v>
      </c>
      <c r="CN32" t="e">
        <f>IF(ROW()-3&gt;MAX($CM$4:$CM$42),"",INDEX(Lists!$EO$4:$EO$42,MATCH(ROW()-3,$CM$4:$CM$42,0)))</f>
        <v>#N/A</v>
      </c>
      <c r="CO32" t="e">
        <f>CO31+IF(AND(Lists!$ET$32&lt;&gt;"",ISNUMBER(SEARCH($AC$4,Lists!$ET$32))),1,0)</f>
        <v>#N/A</v>
      </c>
      <c r="CP32" t="e">
        <f>IF(ROW()-3&gt;MAX($CO$4:$CO$42),"",INDEX(Lists!$ET$4:$ET$42,MATCH(ROW()-3,$CO$4:$CO$42,0)))</f>
        <v>#N/A</v>
      </c>
      <c r="CQ32">
        <f>CQ31+IF(AND(Lists!$EY$32&lt;&gt;"",ISNUMBER(SEARCH($AD$4,Lists!$EY$32))),1,0)</f>
        <v>29</v>
      </c>
      <c r="CR32">
        <f>IF(ROW()-3&gt;MAX($CQ$4:$CQ$42),"",INDEX(Lists!$EY$4:$EY$42,MATCH(ROW()-3,$CQ$4:$CQ$42,0)))</f>
        <v>295571</v>
      </c>
      <c r="CS32" t="e">
        <f>CS31+IF(AND(Lists!$FD$32&lt;&gt;"",ISNUMBER(SEARCH($AE$4,Lists!$FD$32))),1,0)</f>
        <v>#N/A</v>
      </c>
      <c r="CT32" t="e">
        <f>IF(ROW()-3&gt;MAX($CS$4:$CS$42),"",INDEX(Lists!$FD$4:$FD$42,MATCH(ROW()-3,$CS$4:$CS$42,0)))</f>
        <v>#N/A</v>
      </c>
      <c r="CU32" t="e">
        <f>CU31+IF(AND(Lists!$FI$32&lt;&gt;"",ISNUMBER(SEARCH($AF$4,Lists!$FI$32))),1,0)</f>
        <v>#N/A</v>
      </c>
      <c r="CV32" t="e">
        <f>IF(ROW()-3&gt;MAX($CU$4:$CU$42),"",INDEX(Lists!$FI$4:$FI$42,MATCH(ROW()-3,$CU$4:$CU$42,0)))</f>
        <v>#N/A</v>
      </c>
      <c r="CW32" t="e">
        <f>CW31+IF(AND(Lists!$FN$32&lt;&gt;"",ISNUMBER(SEARCH($AG$4,Lists!$FN$32))),1,0)</f>
        <v>#N/A</v>
      </c>
      <c r="CX32" t="e">
        <f>IF(ROW()-3&gt;MAX($CW$4:$CW$42),"",INDEX(Lists!$FN$4:$FN$42,MATCH(ROW()-3,$CW$4:$CW$42,0)))</f>
        <v>#N/A</v>
      </c>
      <c r="CY32" t="e">
        <f>CY31+IF(AND(Lists!$FS$32&lt;&gt;"",ISNUMBER(SEARCH($AH$4,Lists!$FS$32))),1,0)</f>
        <v>#N/A</v>
      </c>
      <c r="CZ32" t="e">
        <f>IF(ROW()-3&gt;MAX($CY$4:$CY$42),"",INDEX(Lists!$FS$4:$FS$42,MATCH(ROW()-3,$CY$4:$CY$42,0)))</f>
        <v>#N/A</v>
      </c>
      <c r="DA32">
        <f>DA31+IF(AND(Lists!$FX$32&lt;&gt;"",ISNUMBER(SEARCH($AI$4,Lists!$FX$32))),1,0)</f>
        <v>2</v>
      </c>
      <c r="DB32" t="str">
        <f>IF(ROW()-3&gt;MAX($DA$4:$DA$42),"",INDEX(Lists!$FX$4:$FX$42,MATCH(ROW()-3,$DA$4:$DA$42,0)))</f>
        <v/>
      </c>
    </row>
    <row r="33" outlineLevel="1" ht="15" customHeight="1" s="137">
      <c r="A33" s="67" t="n">
        <v>1</v>
      </c>
      <c r="B33" s="76">
        <f>IF('Final Calculation Sheet'!$F$8="","",'Final Calculation Sheet'!$F$8)</f>
        <v>1923</v>
      </c>
      <c r="C33" s="76" t="str">
        <f>IF('Final Calculation Sheet'!$G$8="","",'Final Calculation Sheet'!$G$8)</f>
        <v>OMKAR STEELS</v>
      </c>
      <c r="D33" s="80" t="str">
        <f>IF('Final Calculation Sheet'!$B$8="","",'Final Calculation Sheet'!$B$8)</f>
        <v>SCRAP ACSR CONDUCTORS (Conductor Pieces)</v>
      </c>
      <c r="E33" s="80">
        <f>IF('Final Calculation Sheet'!$D$8="","",'Final Calculation Sheet'!$D$8)</f>
        <v>21980</v>
      </c>
      <c r="F33" s="80">
        <f>IF('Final Calculation Sheet'!$A$8="","",'Final Calculation Sheet'!$A$8)</f>
        <v>7253</v>
      </c>
      <c r="G33" s="80" t="str">
        <f>IF('Final Calculation Sheet'!$E$8="","",'Final Calculation Sheet'!$E$8)</f>
        <v>KG</v>
      </c>
      <c r="H33" s="70">
        <f>IF('Final Calculation Sheet'!$C$8="","",'Final Calculation Sheet'!$C$8)</f>
        <v>227</v>
      </c>
      <c r="I33" s="70">
        <f>IF('Final Calculation Sheet'!$H$8="","",'Final Calculation Sheet'!$H$8)</f>
        <v>1646431</v>
      </c>
      <c r="J33" s="70">
        <f>IF('Final Calculation Sheet'!$I$8="","",'Final Calculation Sheet'!$I$8)</f>
        <v>296358</v>
      </c>
      <c r="K33" s="70">
        <f>IF('Final Calculation Sheet'!$J$8="","",'Final Calculation Sheet'!$J$8)</f>
        <v>1942789</v>
      </c>
      <c r="L33" s="70">
        <f>IF('Final Calculation Sheet'!$K$8="","",'Final Calculation Sheet'!$K$8)</f>
        <v>38856</v>
      </c>
      <c r="M33" s="70">
        <f>IF('Final Calculation Sheet'!$L$8="","",'Final Calculation Sheet'!$L$8)</f>
        <v>1646.431</v>
      </c>
      <c r="N33" s="70">
        <f>IF('Final Calculation Sheet'!$M$8="","",'Final Calculation Sheet'!$M$8)</f>
        <v>43712.743049999997</v>
      </c>
      <c r="O33" s="71">
        <f>IF('Final Calculation Sheet'!$N$8="","",'Final Calculation Sheet'!$N$8)</f>
        <v>740.89395000000002</v>
      </c>
      <c r="P33" s="70">
        <f>IF('Final Calculation Sheet'!$O$8="","",'Final Calculation Sheet'!$O$8)</f>
        <v>42971.849099999999</v>
      </c>
      <c r="Q33" s="70">
        <f>IF('Final Calculation Sheet'!$P$8="","",'Final Calculation Sheet'!$P$8)</f>
        <v>44618</v>
      </c>
      <c r="R33" s="72">
        <f>IF('Final Calculation Sheet'!$Q$8="","",'Final Calculation Sheet'!$Q$8)</f>
        <v>0.02</v>
      </c>
      <c r="S33" s="70">
        <f>IF('Final Calculation Sheet'!$R$8="","",'Final Calculation Sheet'!$R$8)</f>
        <v>32929</v>
      </c>
      <c r="T33" s="70">
        <f>IF('Final Calculation Sheet'!$S$8="","",'Final Calculation Sheet'!$S$8)</f>
        <v>1904097</v>
      </c>
      <c r="U33" s="70">
        <f>IF('Final Calculation Sheet'!$T$8="","",'Final Calculation Sheet'!$T$8)</f>
        <v>411608</v>
      </c>
      <c r="V33" s="73">
        <f>IF('Final Calculation Sheet'!$U$8="","",'Final Calculation Sheet'!$U$8)</f>
        <v>411608</v>
      </c>
      <c r="W33" s="70" t="str">
        <f>IF('Final Calculation Sheet'!$V$8="","",'Final Calculation Sheet'!$V$8)</f>
        <v>14.08.2026</v>
      </c>
      <c r="X33" s="70">
        <f>IF('Final Calculation Sheet'!$W$8="","",'Final Calculation Sheet'!$W$8)</f>
        <v>1492489</v>
      </c>
      <c r="Y33" s="70">
        <f>IF('Final Calculation Sheet'!$X$8="","",'Final Calculation Sheet'!$X$8)</f>
        <v>1492490</v>
      </c>
      <c r="Z33" s="70" t="str">
        <f>IF('Final Calculation Sheet'!$Y$8="","",'Final Calculation Sheet'!$Y$8)</f>
        <v>24.08.2026</v>
      </c>
      <c r="AA33" s="70">
        <f>IF('Final Calculation Sheet'!$Z$8="","",'Final Calculation Sheet'!$Z$8)</f>
        <v>0</v>
      </c>
      <c r="AB33" s="70" t="str">
        <f>IF('Final Calculation Sheet'!$AA$8="","",'Final Calculation Sheet'!$AA$8)</f>
        <v/>
      </c>
      <c r="AC33" s="70" t="str">
        <f>IF('Final Calculation Sheet'!$AB$8="","",'Final Calculation Sheet'!$AB$8)</f>
        <v/>
      </c>
      <c r="AD33" s="70">
        <f>IF('Final Calculation Sheet'!$AC$8="","",'Final Calculation Sheet'!$AC$8)</f>
        <v>1904098</v>
      </c>
      <c r="AE33" s="70">
        <f>IF('Final Calculation Sheet'!$AD$8="","",'Final Calculation Sheet'!$AD$8)</f>
        <v>-1</v>
      </c>
      <c r="AF33" s="70" t="str">
        <f>IF('Final Calculation Sheet'!$AE$8="","",'Final Calculation Sheet'!$AE$8)</f>
        <v>DR2640100045</v>
      </c>
      <c r="AG33" s="74">
        <f>IF('Final Calculation Sheet'!$AF$8="","",'Final Calculation Sheet'!$AF$8)</f>
        <v>1800003315</v>
      </c>
      <c r="AH33" s="70" t="str">
        <f>IF('Final Calculation Sheet'!$AG$8="","",'Final Calculation Sheet'!$AG$8)</f>
        <v>27.08.2026</v>
      </c>
      <c r="AI33" s="75" t="str">
        <f>IF('Final Calculation Sheet'!$AD$8="","",IF('Final Calculation Sheet'!$AD$8&lt;=5,"SETTLED","OUTSTANDING"))</f>
        <v>SETTLED</v>
      </c>
      <c r="AJ33" t="b">
        <f>AND(IF($B$4="",TRUE(),IF($B$4="(blank)",'Final Calculation Sheet'!$F$31="",IF($B$4="(nonblank)",'Final Calculation Sheet'!$F$31&lt;&gt;"",ISNUMBER(SEARCH($B$4,'Final Calculation Sheet'!$F$31))))),IF($C$4="",TRUE(),IF($C$4="(blank)",'Final Calculation Sheet'!$G$31="",IF($C$4="(nonblank)",'Final Calculation Sheet'!$G$31&lt;&gt;"",ISNUMBER(SEARCH($C$4,'Final Calculation Sheet'!$G$31))))),IF($D$4="",TRUE(),IF($D$4="(blank)",'Final Calculation Sheet'!$B$31="",IF($D$4="(nonblank)",'Final Calculation Sheet'!$B$31&lt;&gt;"",ISNUMBER(SEARCH($D$4,'Final Calculation Sheet'!$B$31))))),IF($E$4="",TRUE(),IF($E$4="(blank)",'Final Calculation Sheet'!$D$31="",IF($E$4="(nonblank)",'Final Calculation Sheet'!$D$31&lt;&gt;"",ISNUMBER(SEARCH($E$4,'Final Calculation Sheet'!$D$31))))),IF($F$4="",TRUE(),IF($F$4="(blank)",'Final Calculation Sheet'!$A$31="",IF($F$4="(nonblank)",'Final Calculation Sheet'!$A$31&lt;&gt;"",ISNUMBER(SEARCH($F$4,'Final Calculation Sheet'!$A$31))))),IF($G$4="",TRUE(),IF($G$4="(blank)",'Final Calculation Sheet'!$E$31="",IF($G$4="(nonblank)",'Final Calculation Sheet'!$E$31&lt;&gt;"",ISNUMBER(SEARCH($G$4,'Final Calculation Sheet'!$E$31))))),IF($H$4="",TRUE(),IF($H$4="(blank)",'Final Calculation Sheet'!$C$31="",IF($H$4="(nonblank)",'Final Calculation Sheet'!$C$31&lt;&gt;"",ISNUMBER(SEARCH($H$4,'Final Calculation Sheet'!$C$31))))),IF($I$4="",TRUE(),IF($I$4="(blank)",'Final Calculation Sheet'!$H$31="",IF($I$4="(nonblank)",'Final Calculation Sheet'!$H$31&lt;&gt;"",ISNUMBER(SEARCH($I$4,'Final Calculation Sheet'!$H$31))))),IF($J$4="",TRUE(),IF($J$4="(blank)",'Final Calculation Sheet'!$I$31="",IF($J$4="(nonblank)",'Final Calculation Sheet'!$I$31&lt;&gt;"",ISNUMBER(SEARCH($J$4,'Final Calculation Sheet'!$I$31))))),IF($K$4="",TRUE(),IF($K$4="(blank)",'Final Calculation Sheet'!$J$31="",IF($K$4="(nonblank)",'Final Calculation Sheet'!$J$31&lt;&gt;"",ISNUMBER(SEARCH($K$4,'Final Calculation Sheet'!$J$31))))),IF($L$4="",TRUE(),IF($L$4="(blank)",'Final Calculation Sheet'!$K$31="",IF($L$4="(nonblank)",'Final Calculation Sheet'!$K$31&lt;&gt;"",ISNUMBER(SEARCH($L$4,'Final Calculation Sheet'!$K$31))))),IF($M$4="",TRUE(),IF($M$4="(blank)",'Final Calculation Sheet'!$L$31="",IF($M$4="(nonblank)",'Final Calculation Sheet'!$L$31&lt;&gt;"",ISNUMBER(SEARCH($M$4,'Final Calculation Sheet'!$L$31))))),IF($N$4="",TRUE(),IF($N$4="(blank)",'Final Calculation Sheet'!$M$31="",IF($N$4="(nonblank)",'Final Calculation Sheet'!$M$31&lt;&gt;"",ISNUMBER(SEARCH($N$4,'Final Calculation Sheet'!$M$31))))),IF($O$4="",TRUE(),IF($O$4="(blank)",'Final Calculation Sheet'!$N$31="",IF($O$4="(nonblank)",'Final Calculation Sheet'!$N$31&lt;&gt;"",ISNUMBER(SEARCH($O$4,'Final Calculation Sheet'!$N$31))))),IF($P$4="",TRUE(),IF($P$4="(blank)",'Final Calculation Sheet'!$O$31="",IF($P$4="(nonblank)",'Final Calculation Sheet'!$O$31&lt;&gt;"",ISNUMBER(SEARCH($P$4,'Final Calculation Sheet'!$O$31))))),IF($Q$4="",TRUE(),IF($Q$4="(blank)",'Final Calculation Sheet'!$P$31="",IF($Q$4="(nonblank)",'Final Calculation Sheet'!$P$31&lt;&gt;"",ISNUMBER(SEARCH($Q$4,'Final Calculation Sheet'!$P$31))))),IF($R$4="",TRUE(),IF($R$4="(blank)",'Final Calculation Sheet'!$Q$31="",IF($R$4="(nonblank)",'Final Calculation Sheet'!$Q$31&lt;&gt;"",ISNUMBER(SEARCH($R$4,'Final Calculation Sheet'!$Q$31))))),IF($S$4="",TRUE(),IF($S$4="(blank)",'Final Calculation Sheet'!$R$31="",IF($S$4="(nonblank)",'Final Calculation Sheet'!$R$31&lt;&gt;"",ISNUMBER(SEARCH($S$4,'Final Calculation Sheet'!$R$31))))),IF($T$4="",TRUE(),IF($T$4="(blank)",'Final Calculation Sheet'!$S$31="",IF($T$4="(nonblank)",'Final Calculation Sheet'!$S$31&lt;&gt;"",ISNUMBER(SEARCH($T$4,'Final Calculation Sheet'!$S$31))))),IF($U$4="",TRUE(),IF($U$4="(blank)",'Final Calculation Sheet'!$T$31="",IF($U$4="(nonblank)",'Final Calculation Sheet'!$T$31&lt;&gt;"",ISNUMBER(SEARCH($U$4,'Final Calculation Sheet'!$T$31))))),IF($V$4="",TRUE(),IF($V$4="(blank)",'Final Calculation Sheet'!$U$31="",IF($V$4="(nonblank)",'Final Calculation Sheet'!$U$31&lt;&gt;"",ISNUMBER(SEARCH($V$4,'Final Calculation Sheet'!$U$31))))),IF($W$4="",TRUE(),IF($W$4="(blank)",'Final Calculation Sheet'!$V$31="",IF($W$4="(nonblank)",'Final Calculation Sheet'!$V$31&lt;&gt;"",ISNUMBER(SEARCH($W$4,'Final Calculation Sheet'!$V$31))))),IF($X$4="",TRUE(),IF($X$4="(blank)",'Final Calculation Sheet'!$W$31="",IF($X$4="(nonblank)",'Final Calculation Sheet'!$W$31&lt;&gt;"",ISNUMBER(SEARCH($X$4,'Final Calculation Sheet'!$W$31))))),IF($Y$4="",TRUE(),IF($Y$4="(blank)",'Final Calculation Sheet'!$X$31="",IF($Y$4="(nonblank)",'Final Calculation Sheet'!$X$31&lt;&gt;"",ISNUMBER(SEARCH($Y$4,'Final Calculation Sheet'!$X$31))))),IF($Z$4="",TRUE(),IF($Z$4="(blank)",'Final Calculation Sheet'!$Y$31="",IF($Z$4="(nonblank)",'Final Calculation Sheet'!$Y$31&lt;&gt;"",ISNUMBER(SEARCH($Z$4,'Final Calculation Sheet'!$Y$31))))),IF($AA$4="",TRUE(),IF($AA$4="(blank)",'Final Calculation Sheet'!$Z$31="",IF($AA$4="(nonblank)",'Final Calculation Sheet'!$Z$31&lt;&gt;"",ISNUMBER(SEARCH($AA$4,'Final Calculation Sheet'!$Z$31))))),IF($AB$4="",TRUE(),IF($AB$4="(blank)",'Final Calculation Sheet'!$AA$31="",IF($AB$4="(nonblank)",'Final Calculation Sheet'!$AA$31&lt;&gt;"",ISNUMBER(SEARCH($AB$4,'Final Calculation Sheet'!$AA$31))))),IF($AC$4="",TRUE(),IF($AC$4="(blank)",'Final Calculation Sheet'!$AB$31="",IF($AC$4="(nonblank)",'Final Calculation Sheet'!$AB$31&lt;&gt;"",ISNUMBER(SEARCH($AC$4,'Final Calculation Sheet'!$AB$31))))),IF($AD$4="",TRUE(),IF($AD$4="(blank)",'Final Calculation Sheet'!$AC$31="",IF($AD$4="(nonblank)",'Final Calculation Sheet'!$AC$31&lt;&gt;"",ISNUMBER(SEARCH($AD$4,'Final Calculation Sheet'!$AC$31))))),IF($AE$4="",TRUE(),IF($AE$4="(blank)",'Final Calculation Sheet'!$AD$31="",IF($AE$4="(nonblank)",'Final Calculation Sheet'!$AD$31&lt;&gt;"",ISNUMBER(SEARCH($AE$4,'Final Calculation Sheet'!$AD$31))))),IF($AF$4="",TRUE(),IF($AF$4="(blank)",'Final Calculation Sheet'!$AE$31="",IF($AF$4="(nonblank)",'Final Calculation Sheet'!$AE$31&lt;&gt;"",ISNUMBER(SEARCH($AF$4,'Final Calculation Sheet'!$AE$31))))),IF($AG$4="",TRUE(),IF($AG$4="(blank)",'Final Calculation Sheet'!$AF$31="",IF($AG$4="(nonblank)",'Final Calculation Sheet'!$AF$31&lt;&gt;"",ISNUMBER(SEARCH($AG$4,'Final Calculation Sheet'!$AF$31))))),IF($AH$4="",TRUE(),IF($AH$4="(blank)",'Final Calculation Sheet'!$AG$31="",IF($AH$4="(nonblank)",'Final Calculation Sheet'!$AG$31&lt;&gt;"",ISNUMBER(SEARCH($AH$4,'Final Calculation Sheet'!$AG$31))))),IF($AI$4="",TRUE(),IF($AI$4="(blank)",IF('Final Calculation Sheet'!$AD$31&lt;=5,"SETTLED","OUTSTANDING")="",IF($AI$4="(nonblank)",IF('Final Calculation Sheet'!$AD$31&lt;=5,"SETTLED","OUTSTANDING")&lt;&gt;"",ISNUMBER(SEARCH($AI$4,IF('Final Calculation Sheet'!$AD$31&lt;=5,"SETTLED","OUTSTANDING")))))))</f>
        <v>1</v>
      </c>
      <c r="AK33" t="str">
        <f>IF(AJ33=1,COUNTIF(AJ$6:AJ33,1),"")</f>
        <v/>
      </c>
      <c r="AM33">
        <f>AM32+IF(AND(Lists!$O$33&lt;&gt;"",ISNUMBER(SEARCH($B$4,Lists!$O$33))),1,0)</f>
        <v>30</v>
      </c>
      <c r="AN33">
        <f>IF(ROW()-3&gt;MAX($AM$4:$AM$42),"",INDEX(Lists!$O$4:$O$42,MATCH(ROW()-3,$AM$4:$AM$42,0)))</f>
        <v>2059</v>
      </c>
      <c r="AO33">
        <f>AO32+IF(AND(Lists!$T$33&lt;&gt;"",ISNUMBER(SEARCH($C$4,Lists!$T$33))),1,0)</f>
        <v>13</v>
      </c>
      <c r="AP33" t="str">
        <f>IF(ROW()-3&gt;MAX($AO$4:$AO$42),"",INDEX(Lists!$T$4:$T$42,MATCH(ROW()-3,$AO$4:$AO$42,0)))</f>
        <v/>
      </c>
      <c r="AQ33">
        <f>AQ32+IF(AND(Lists!$Y$33&lt;&gt;"",ISNUMBER(SEARCH($D$4,Lists!$Y$33))),1,0)</f>
        <v>25</v>
      </c>
      <c r="AR33" t="str">
        <f>IF(ROW()-3&gt;MAX($AQ$4:$AQ$42),"",INDEX(Lists!$Y$4:$Y$42,MATCH(ROW()-3,$AQ$4:$AQ$42,0)))</f>
        <v/>
      </c>
      <c r="AS33">
        <f>AS32+IF(AND(Lists!$AD$33&lt;&gt;"",ISNUMBER(SEARCH($E$4,Lists!$AD$33))),1,0)</f>
        <v>4</v>
      </c>
      <c r="AT33" t="str">
        <f>IF(ROW()-3&gt;MAX($AS$4:$AS$42),"",INDEX(Lists!$AD$4:$AD$42,MATCH(ROW()-3,$AS$4:$AS$42,0)))</f>
        <v/>
      </c>
      <c r="AU33">
        <f>AU32+IF(AND(Lists!$AI$33&lt;&gt;"",ISNUMBER(SEARCH($F$4,Lists!$AI$33))),1,0)</f>
        <v>22</v>
      </c>
      <c r="AV33" t="str">
        <f>IF(ROW()-3&gt;MAX($AU$4:$AU$42),"",INDEX(Lists!$AI$4:$AI$42,MATCH(ROW()-3,$AU$4:$AU$42,0)))</f>
        <v/>
      </c>
      <c r="AW33">
        <f>AW32+IF(AND(Lists!$AN$33&lt;&gt;"",ISNUMBER(SEARCH($G$4,Lists!$AN$33))),1,0)</f>
        <v>3</v>
      </c>
      <c r="AX33" t="str">
        <f>IF(ROW()-3&gt;MAX($AW$4:$AW$42),"",INDEX(Lists!$AN$4:$AN$42,MATCH(ROW()-3,$AW$4:$AW$42,0)))</f>
        <v/>
      </c>
      <c r="AY33">
        <f>AY32+IF(AND(Lists!$AS$33&lt;&gt;"",ISNUMBER(SEARCH($H$4,Lists!$AS$33))),1,0)</f>
        <v>30</v>
      </c>
      <c r="AZ33">
        <f>IF(ROW()-3&gt;MAX($AY$4:$AY$42),"",INDEX(Lists!$AS$4:$AS$42,MATCH(ROW()-3,$AY$4:$AY$42,0)))</f>
        <v>90002</v>
      </c>
      <c r="BA33">
        <f>BA32+IF(AND(Lists!$AX$33&lt;&gt;"",ISNUMBER(SEARCH($I$4,Lists!$AX$33))),1,0)</f>
        <v>30</v>
      </c>
      <c r="BB33">
        <f>IF(ROW()-3&gt;MAX($BA$4:$BA$42),"",INDEX(Lists!$AX$4:$AX$42,MATCH(ROW()-3,$BA$4:$BA$42,0)))</f>
        <v>400000</v>
      </c>
      <c r="BC33">
        <f>BC32+IF(AND(Lists!$BC$33&lt;&gt;"",ISNUMBER(SEARCH($J$4,Lists!$BC$33))),1,0)</f>
        <v>30</v>
      </c>
      <c r="BD33">
        <f>IF(ROW()-3&gt;MAX($BC$4:$BC$42),"",INDEX(Lists!$BC$4:$BC$42,MATCH(ROW()-3,$BC$4:$BC$42,0)))</f>
        <v>72000</v>
      </c>
      <c r="BE33">
        <f>BE32+IF(AND(Lists!$BH$33&lt;&gt;"",ISNUMBER(SEARCH($K$4,Lists!$BH$33))),1,0)</f>
        <v>30</v>
      </c>
      <c r="BF33">
        <f>IF(ROW()-3&gt;MAX($BE$4:$BE$42),"",INDEX(Lists!$BH$4:$BH$42,MATCH(ROW()-3,$BE$4:$BE$42,0)))</f>
        <v>472000</v>
      </c>
      <c r="BG33">
        <f>BG32+IF(AND(Lists!$BM$33&lt;&gt;"",ISNUMBER(SEARCH($L$4,Lists!$BM$33))),1,0)</f>
        <v>30</v>
      </c>
      <c r="BH33">
        <f>IF(ROW()-3&gt;MAX($BG$4:$BG$42),"",INDEX(Lists!$BM$4:$BM$42,MATCH(ROW()-3,$BG$4:$BG$42,0)))</f>
        <v>12201</v>
      </c>
      <c r="BI33">
        <f>BI32+IF(AND(Lists!$BR$33&lt;&gt;"",ISNUMBER(SEARCH($M$4,Lists!$BR$33))),1,0)</f>
        <v>30</v>
      </c>
      <c r="BJ33">
        <f>IF(ROW()-3&gt;MAX($BI$4:$BI$42),"",INDEX(Lists!$BR$4:$BR$42,MATCH(ROW()-3,$BI$4:$BI$42,0)))</f>
        <v>400</v>
      </c>
      <c r="BK33">
        <f>BK32+IF(AND(Lists!$BW$33&lt;&gt;"",ISNUMBER(SEARCH($N$4,Lists!$BW$33))),1,0)</f>
        <v>30</v>
      </c>
      <c r="BL33">
        <f>IF(ROW()-3&gt;MAX($BK$4:$BK$42),"",INDEX(Lists!$BW$4:$BW$42,MATCH(ROW()-3,$BK$4:$BK$42,0)))</f>
        <v>10620</v>
      </c>
      <c r="BM33">
        <f>BM32+IF(AND(Lists!$CB$33&lt;&gt;"",ISNUMBER(SEARCH($O$4,Lists!$CB$33))),1,0)</f>
        <v>30</v>
      </c>
      <c r="BN33">
        <f>IF(ROW()-3&gt;MAX($BM$4:$BM$42),"",INDEX(Lists!$CB$4:$CB$42,MATCH(ROW()-3,$BM$4:$BM$42,0)))</f>
        <v>180</v>
      </c>
      <c r="BO33">
        <f>BO32+IF(AND(Lists!$CG$33&lt;&gt;"",ISNUMBER(SEARCH($P$4,Lists!$CG$33))),1,0)</f>
        <v>30</v>
      </c>
      <c r="BP33">
        <f>IF(ROW()-3&gt;MAX($BO$4:$BO$42),"",INDEX(Lists!$CG$4:$CG$42,MATCH(ROW()-3,$BO$4:$BO$42,0)))</f>
        <v>10440</v>
      </c>
      <c r="BQ33">
        <f>BQ32+IF(AND(Lists!$CL$33&lt;&gt;"",ISNUMBER(SEARCH($Q$4,Lists!$CL$33))),1,0)</f>
        <v>30</v>
      </c>
      <c r="BR33">
        <f>IF(ROW()-3&gt;MAX($BQ$4:$BQ$42),"",INDEX(Lists!$CL$4:$CL$42,MATCH(ROW()-3,$BQ$4:$BQ$42,0)))</f>
        <v>14011</v>
      </c>
      <c r="BS33">
        <f>BS32+IF(AND(Lists!$CQ$33&lt;&gt;"",ISNUMBER(SEARCH($R$4,Lists!$CQ$33))),1,0)</f>
        <v>2</v>
      </c>
      <c r="BT33" t="str">
        <f>IF(ROW()-3&gt;MAX($BS$4:$BS$42),"",INDEX(Lists!$CQ$4:$CQ$42,MATCH(ROW()-3,$BS$4:$BS$42,0)))</f>
        <v/>
      </c>
      <c r="BU33">
        <f>BU32+IF(AND(Lists!$CV$33&lt;&gt;"",ISNUMBER(SEARCH($S$4,Lists!$CV$33))),1,0)</f>
        <v>5</v>
      </c>
      <c r="BV33" t="str">
        <f>IF(ROW()-3&gt;MAX($BU$4:$BU$42),"",INDEX(Lists!$CV$4:$CV$42,MATCH(ROW()-3,$BU$4:$BU$42,0)))</f>
        <v/>
      </c>
      <c r="BW33">
        <f>BW32+IF(AND(Lists!$DA$33&lt;&gt;"",ISNUMBER(SEARCH($T$4,Lists!$DA$33))),1,0)</f>
        <v>30</v>
      </c>
      <c r="BX33">
        <f>IF(ROW()-3&gt;MAX($BW$4:$BW$42),"",INDEX(Lists!$DA$4:$DA$42,MATCH(ROW()-3,$BW$4:$BW$42,0)))</f>
        <v>470600</v>
      </c>
      <c r="BY33">
        <f>BY32+IF(AND(Lists!$DF$33&lt;&gt;"",ISNUMBER(SEARCH($U$4,Lists!$DF$33))),1,0)</f>
        <v>30</v>
      </c>
      <c r="BZ33">
        <f>IF(ROW()-3&gt;MAX($BY$4:$BY$42),"",INDEX(Lists!$DF$4:$DF$42,MATCH(ROW()-3,$BY$4:$BY$42,0)))</f>
        <v>100000</v>
      </c>
      <c r="CA33">
        <f>CA32+IF(AND(Lists!$DK$33&lt;&gt;"",ISNUMBER(SEARCH($V$4,Lists!$DK$33))),1,0)</f>
        <v>30</v>
      </c>
      <c r="CB33">
        <f>IF(ROW()-3&gt;MAX($CA$4:$CA$42),"",INDEX(Lists!$DK$4:$DK$42,MATCH(ROW()-3,$CA$4:$CA$42,0)))</f>
        <v>100000</v>
      </c>
      <c r="CC33">
        <f>CC32+IF(AND(Lists!$DP$33&lt;&gt;"",ISNUMBER(SEARCH($W$4,Lists!$DP$33))),1,0)</f>
        <v>6</v>
      </c>
      <c r="CD33" t="str">
        <f>IF(ROW()-3&gt;MAX($CC$4:$CC$42),"",INDEX(Lists!$DP$4:$DP$42,MATCH(ROW()-3,$CC$4:$CC$42,0)))</f>
        <v/>
      </c>
      <c r="CE33">
        <f>CE32+IF(AND(Lists!$DU$33&lt;&gt;"",ISNUMBER(SEARCH($X$4,Lists!$DU$33))),1,0)</f>
        <v>30</v>
      </c>
      <c r="CF33">
        <f>IF(ROW()-3&gt;MAX($CE$4:$CE$42),"",INDEX(Lists!$DU$4:$DU$42,MATCH(ROW()-3,$CE$4:$CE$42,0)))</f>
        <v>370600</v>
      </c>
      <c r="CG33" t="e">
        <f>CG32+IF(AND(Lists!$DZ$33&lt;&gt;"",ISNUMBER(SEARCH($Y$4,Lists!$DZ$33))),1,0)</f>
        <v>#N/A</v>
      </c>
      <c r="CH33" t="e">
        <f>IF(ROW()-3&gt;MAX($CG$4:$CG$42),"",INDEX(Lists!$DZ$4:$DZ$42,MATCH(ROW()-3,$CG$4:$CG$42,0)))</f>
        <v>#N/A</v>
      </c>
      <c r="CI33" t="e">
        <f>CI32+IF(AND(Lists!$EE$33&lt;&gt;"",ISNUMBER(SEARCH($Z$4,Lists!$EE$33))),1,0)</f>
        <v>#N/A</v>
      </c>
      <c r="CJ33" t="e">
        <f>IF(ROW()-3&gt;MAX($CI$4:$CI$42),"",INDEX(Lists!$EE$4:$EE$42,MATCH(ROW()-3,$CI$4:$CI$42,0)))</f>
        <v>#N/A</v>
      </c>
      <c r="CK33">
        <f>CK32+IF(AND(Lists!$EJ$33&lt;&gt;"",ISNUMBER(SEARCH($AA$4,Lists!$EJ$33))),1,0)</f>
        <v>6</v>
      </c>
      <c r="CL33" t="str">
        <f>IF(ROW()-3&gt;MAX($CK$4:$CK$42),"",INDEX(Lists!$EJ$4:$EJ$42,MATCH(ROW()-3,$CK$4:$CK$42,0)))</f>
        <v/>
      </c>
      <c r="CM33" t="e">
        <f>CM32+IF(AND(Lists!$EO$33&lt;&gt;"",ISNUMBER(SEARCH($AB$4,Lists!$EO$33))),1,0)</f>
        <v>#N/A</v>
      </c>
      <c r="CN33" t="e">
        <f>IF(ROW()-3&gt;MAX($CM$4:$CM$42),"",INDEX(Lists!$EO$4:$EO$42,MATCH(ROW()-3,$CM$4:$CM$42,0)))</f>
        <v>#N/A</v>
      </c>
      <c r="CO33" t="e">
        <f>CO32+IF(AND(Lists!$ET$33&lt;&gt;"",ISNUMBER(SEARCH($AC$4,Lists!$ET$33))),1,0)</f>
        <v>#N/A</v>
      </c>
      <c r="CP33" t="e">
        <f>IF(ROW()-3&gt;MAX($CO$4:$CO$42),"",INDEX(Lists!$ET$4:$ET$42,MATCH(ROW()-3,$CO$4:$CO$42,0)))</f>
        <v>#N/A</v>
      </c>
      <c r="CQ33">
        <f>CQ32+IF(AND(Lists!$EY$33&lt;&gt;"",ISNUMBER(SEARCH($AD$4,Lists!$EY$33))),1,0)</f>
        <v>30</v>
      </c>
      <c r="CR33">
        <f>IF(ROW()-3&gt;MAX($CQ$4:$CQ$42),"",INDEX(Lists!$EY$4:$EY$42,MATCH(ROW()-3,$CQ$4:$CQ$42,0)))</f>
        <v>388951</v>
      </c>
      <c r="CS33" t="e">
        <f>CS32+IF(AND(Lists!$FD$33&lt;&gt;"",ISNUMBER(SEARCH($AE$4,Lists!$FD$33))),1,0)</f>
        <v>#N/A</v>
      </c>
      <c r="CT33" t="e">
        <f>IF(ROW()-3&gt;MAX($CS$4:$CS$42),"",INDEX(Lists!$FD$4:$FD$42,MATCH(ROW()-3,$CS$4:$CS$42,0)))</f>
        <v>#N/A</v>
      </c>
      <c r="CU33" t="e">
        <f>CU32+IF(AND(Lists!$FI$33&lt;&gt;"",ISNUMBER(SEARCH($AF$4,Lists!$FI$33))),1,0)</f>
        <v>#N/A</v>
      </c>
      <c r="CV33" t="e">
        <f>IF(ROW()-3&gt;MAX($CU$4:$CU$42),"",INDEX(Lists!$FI$4:$FI$42,MATCH(ROW()-3,$CU$4:$CU$42,0)))</f>
        <v>#N/A</v>
      </c>
      <c r="CW33" t="e">
        <f>CW32+IF(AND(Lists!$FN$33&lt;&gt;"",ISNUMBER(SEARCH($AG$4,Lists!$FN$33))),1,0)</f>
        <v>#N/A</v>
      </c>
      <c r="CX33" t="e">
        <f>IF(ROW()-3&gt;MAX($CW$4:$CW$42),"",INDEX(Lists!$FN$4:$FN$42,MATCH(ROW()-3,$CW$4:$CW$42,0)))</f>
        <v>#N/A</v>
      </c>
      <c r="CY33" t="e">
        <f>CY32+IF(AND(Lists!$FS$33&lt;&gt;"",ISNUMBER(SEARCH($AH$4,Lists!$FS$33))),1,0)</f>
        <v>#N/A</v>
      </c>
      <c r="CZ33" t="e">
        <f>IF(ROW()-3&gt;MAX($CY$4:$CY$42),"",INDEX(Lists!$FS$4:$FS$42,MATCH(ROW()-3,$CY$4:$CY$42,0)))</f>
        <v>#N/A</v>
      </c>
      <c r="DA33">
        <f>DA32+IF(AND(Lists!$FX$33&lt;&gt;"",ISNUMBER(SEARCH($AI$4,Lists!$FX$33))),1,0)</f>
        <v>2</v>
      </c>
      <c r="DB33" t="str">
        <f>IF(ROW()-3&gt;MAX($DA$4:$DA$42),"",INDEX(Lists!$FX$4:$FX$42,MATCH(ROW()-3,$DA$4:$DA$42,0)))</f>
        <v/>
      </c>
    </row>
    <row r="34" outlineLevel="1" ht="15" customHeight="1" s="137">
      <c r="A34" s="90" t="n">
        <v>2</v>
      </c>
      <c r="B34" s="92">
        <f>IF('Final Calculation Sheet'!$F$20="","",'Final Calculation Sheet'!$F$20)</f>
        <v>2020</v>
      </c>
      <c r="C34" s="92" t="str">
        <f>IF('Final Calculation Sheet'!$G$20="","",'Final Calculation Sheet'!$G$20)</f>
        <v>OMKAR STEELS</v>
      </c>
      <c r="D34" s="94" t="str">
        <f>IF('Final Calculation Sheet'!$B$20="","",'Final Calculation Sheet'!$B$20)</f>
        <v>SCRAP 80MM² AAAC EARTHWIRE</v>
      </c>
      <c r="E34" s="94">
        <f>IF('Final Calculation Sheet'!$D$20="","",'Final Calculation Sheet'!$D$20)</f>
        <v>21978</v>
      </c>
      <c r="F34" s="94">
        <f>IF('Final Calculation Sheet'!$A$20="","",'Final Calculation Sheet'!$A$20)</f>
        <v>3500</v>
      </c>
      <c r="G34" s="94" t="str">
        <f>IF('Final Calculation Sheet'!$E$20="","",'Final Calculation Sheet'!$E$20)</f>
        <v>KG</v>
      </c>
      <c r="H34" s="95">
        <f>IF('Final Calculation Sheet'!$C$20="","",'Final Calculation Sheet'!$C$20)</f>
        <v>333</v>
      </c>
      <c r="I34" s="95">
        <f>IF('Final Calculation Sheet'!$H$20="","",'Final Calculation Sheet'!$H$20)</f>
        <v>1165500</v>
      </c>
      <c r="J34" s="95">
        <f>IF('Final Calculation Sheet'!$I$20="","",'Final Calculation Sheet'!$I$20)</f>
        <v>209790</v>
      </c>
      <c r="K34" s="95">
        <f>IF('Final Calculation Sheet'!$J$20="","",'Final Calculation Sheet'!$J$20)</f>
        <v>1375290</v>
      </c>
      <c r="L34" s="95">
        <f>IF('Final Calculation Sheet'!$K$20="","",'Final Calculation Sheet'!$K$20)</f>
        <v>27506</v>
      </c>
      <c r="M34" s="95">
        <f>IF('Final Calculation Sheet'!$L$20="","",'Final Calculation Sheet'!$L$20)</f>
        <v>1165.5</v>
      </c>
      <c r="N34" s="95">
        <f>IF('Final Calculation Sheet'!$M$20="","",'Final Calculation Sheet'!$M$20)</f>
        <v>30944.024999999998</v>
      </c>
      <c r="O34" s="96">
        <f>IF('Final Calculation Sheet'!$N$20="","",'Final Calculation Sheet'!$N$20)</f>
        <v>524.47500000000002</v>
      </c>
      <c r="P34" s="95">
        <f>IF('Final Calculation Sheet'!$O$20="","",'Final Calculation Sheet'!$O$20)</f>
        <v>30419.55</v>
      </c>
      <c r="Q34" s="95">
        <f>IF('Final Calculation Sheet'!$P$20="","",'Final Calculation Sheet'!$P$20)</f>
        <v>31585</v>
      </c>
      <c r="R34" s="97">
        <f>IF('Final Calculation Sheet'!$Q$20="","",'Final Calculation Sheet'!$Q$20)</f>
        <v>0.02</v>
      </c>
      <c r="S34" s="95">
        <f>IF('Final Calculation Sheet'!$R$20="","",'Final Calculation Sheet'!$R$20)</f>
        <v>23310</v>
      </c>
      <c r="T34" s="95">
        <f>IF('Final Calculation Sheet'!$S$20="","",'Final Calculation Sheet'!$S$20)</f>
        <v>1347901</v>
      </c>
      <c r="U34" s="95">
        <f>IF('Final Calculation Sheet'!$T$20="","",'Final Calculation Sheet'!$T$20)</f>
        <v>291375</v>
      </c>
      <c r="V34" s="98">
        <f>IF('Final Calculation Sheet'!$U$20="","",'Final Calculation Sheet'!$U$20)</f>
        <v>291375</v>
      </c>
      <c r="W34" s="95" t="str">
        <f>IF('Final Calculation Sheet'!$V$20="","",'Final Calculation Sheet'!$V$20)</f>
        <v>10.08.2026</v>
      </c>
      <c r="X34" s="95">
        <f>IF('Final Calculation Sheet'!$W$20="","",'Final Calculation Sheet'!$W$20)</f>
        <v>1056526</v>
      </c>
      <c r="Y34" s="95">
        <f>IF('Final Calculation Sheet'!$X$20="","",'Final Calculation Sheet'!$X$20)</f>
        <v>1056525</v>
      </c>
      <c r="Z34" s="95" t="str">
        <f>IF('Final Calculation Sheet'!$Y$20="","",'Final Calculation Sheet'!$Y$20)</f>
        <v>10.08.2026</v>
      </c>
      <c r="AA34" s="95">
        <f>IF('Final Calculation Sheet'!$Z$20="","",'Final Calculation Sheet'!$Z$20)</f>
        <v>0</v>
      </c>
      <c r="AB34" s="95" t="str">
        <f>IF('Final Calculation Sheet'!$AA$20="","",'Final Calculation Sheet'!$AA$20)</f>
        <v/>
      </c>
      <c r="AC34" s="95" t="str">
        <f>IF('Final Calculation Sheet'!$AB$20="","",'Final Calculation Sheet'!$AB$20)</f>
        <v/>
      </c>
      <c r="AD34" s="95">
        <f>IF('Final Calculation Sheet'!$AC$20="","",'Final Calculation Sheet'!$AC$20)</f>
        <v>1347900</v>
      </c>
      <c r="AE34" s="95">
        <f>IF('Final Calculation Sheet'!$AD$20="","",'Final Calculation Sheet'!$AD$20)</f>
        <v>1</v>
      </c>
      <c r="AF34" s="95" t="str">
        <f>IF('Final Calculation Sheet'!$AE$20="","",'Final Calculation Sheet'!$AE$20)</f>
        <v>DR2640100017</v>
      </c>
      <c r="AG34" s="99">
        <f>IF('Final Calculation Sheet'!$AF$20="","",'Final Calculation Sheet'!$AF$20)</f>
        <v>1800003065</v>
      </c>
      <c r="AH34" s="95" t="str">
        <f>IF('Final Calculation Sheet'!$AG$20="","",'Final Calculation Sheet'!$AG$20)</f>
        <v>12.08.2026</v>
      </c>
      <c r="AI34" s="100" t="str">
        <f>IF('Final Calculation Sheet'!$AD$20="","",IF('Final Calculation Sheet'!$AD$20&lt;=5,"SETTLED","OUTSTANDING"))</f>
        <v>SETTLED</v>
      </c>
      <c r="AJ34" t="b">
        <f>AND(IF($B$4="",TRUE(),IF($B$4="(blank)",'Final Calculation Sheet'!$F$32="",IF($B$4="(nonblank)",'Final Calculation Sheet'!$F$32&lt;&gt;"",ISNUMBER(SEARCH($B$4,'Final Calculation Sheet'!$F$32))))),IF($C$4="",TRUE(),IF($C$4="(blank)",'Final Calculation Sheet'!$G$32="",IF($C$4="(nonblank)",'Final Calculation Sheet'!$G$32&lt;&gt;"",ISNUMBER(SEARCH($C$4,'Final Calculation Sheet'!$G$32))))),IF($D$4="",TRUE(),IF($D$4="(blank)",'Final Calculation Sheet'!$B$32="",IF($D$4="(nonblank)",'Final Calculation Sheet'!$B$32&lt;&gt;"",ISNUMBER(SEARCH($D$4,'Final Calculation Sheet'!$B$32))))),IF($E$4="",TRUE(),IF($E$4="(blank)",'Final Calculation Sheet'!$D$32="",IF($E$4="(nonblank)",'Final Calculation Sheet'!$D$32&lt;&gt;"",ISNUMBER(SEARCH($E$4,'Final Calculation Sheet'!$D$32))))),IF($F$4="",TRUE(),IF($F$4="(blank)",'Final Calculation Sheet'!$A$32="",IF($F$4="(nonblank)",'Final Calculation Sheet'!$A$32&lt;&gt;"",ISNUMBER(SEARCH($F$4,'Final Calculation Sheet'!$A$32))))),IF($G$4="",TRUE(),IF($G$4="(blank)",'Final Calculation Sheet'!$E$32="",IF($G$4="(nonblank)",'Final Calculation Sheet'!$E$32&lt;&gt;"",ISNUMBER(SEARCH($G$4,'Final Calculation Sheet'!$E$32))))),IF($H$4="",TRUE(),IF($H$4="(blank)",'Final Calculation Sheet'!$C$32="",IF($H$4="(nonblank)",'Final Calculation Sheet'!$C$32&lt;&gt;"",ISNUMBER(SEARCH($H$4,'Final Calculation Sheet'!$C$32))))),IF($I$4="",TRUE(),IF($I$4="(blank)",'Final Calculation Sheet'!$H$32="",IF($I$4="(nonblank)",'Final Calculation Sheet'!$H$32&lt;&gt;"",ISNUMBER(SEARCH($I$4,'Final Calculation Sheet'!$H$32))))),IF($J$4="",TRUE(),IF($J$4="(blank)",'Final Calculation Sheet'!$I$32="",IF($J$4="(nonblank)",'Final Calculation Sheet'!$I$32&lt;&gt;"",ISNUMBER(SEARCH($J$4,'Final Calculation Sheet'!$I$32))))),IF($K$4="",TRUE(),IF($K$4="(blank)",'Final Calculation Sheet'!$J$32="",IF($K$4="(nonblank)",'Final Calculation Sheet'!$J$32&lt;&gt;"",ISNUMBER(SEARCH($K$4,'Final Calculation Sheet'!$J$32))))),IF($L$4="",TRUE(),IF($L$4="(blank)",'Final Calculation Sheet'!$K$32="",IF($L$4="(nonblank)",'Final Calculation Sheet'!$K$32&lt;&gt;"",ISNUMBER(SEARCH($L$4,'Final Calculation Sheet'!$K$32))))),IF($M$4="",TRUE(),IF($M$4="(blank)",'Final Calculation Sheet'!$L$32="",IF($M$4="(nonblank)",'Final Calculation Sheet'!$L$32&lt;&gt;"",ISNUMBER(SEARCH($M$4,'Final Calculation Sheet'!$L$32))))),IF($N$4="",TRUE(),IF($N$4="(blank)",'Final Calculation Sheet'!$M$32="",IF($N$4="(nonblank)",'Final Calculation Sheet'!$M$32&lt;&gt;"",ISNUMBER(SEARCH($N$4,'Final Calculation Sheet'!$M$32))))),IF($O$4="",TRUE(),IF($O$4="(blank)",'Final Calculation Sheet'!$N$32="",IF($O$4="(nonblank)",'Final Calculation Sheet'!$N$32&lt;&gt;"",ISNUMBER(SEARCH($O$4,'Final Calculation Sheet'!$N$32))))),IF($P$4="",TRUE(),IF($P$4="(blank)",'Final Calculation Sheet'!$O$32="",IF($P$4="(nonblank)",'Final Calculation Sheet'!$O$32&lt;&gt;"",ISNUMBER(SEARCH($P$4,'Final Calculation Sheet'!$O$32))))),IF($Q$4="",TRUE(),IF($Q$4="(blank)",'Final Calculation Sheet'!$P$32="",IF($Q$4="(nonblank)",'Final Calculation Sheet'!$P$32&lt;&gt;"",ISNUMBER(SEARCH($Q$4,'Final Calculation Sheet'!$P$32))))),IF($R$4="",TRUE(),IF($R$4="(blank)",'Final Calculation Sheet'!$Q$32="",IF($R$4="(nonblank)",'Final Calculation Sheet'!$Q$32&lt;&gt;"",ISNUMBER(SEARCH($R$4,'Final Calculation Sheet'!$Q$32))))),IF($S$4="",TRUE(),IF($S$4="(blank)",'Final Calculation Sheet'!$R$32="",IF($S$4="(nonblank)",'Final Calculation Sheet'!$R$32&lt;&gt;"",ISNUMBER(SEARCH($S$4,'Final Calculation Sheet'!$R$32))))),IF($T$4="",TRUE(),IF($T$4="(blank)",'Final Calculation Sheet'!$S$32="",IF($T$4="(nonblank)",'Final Calculation Sheet'!$S$32&lt;&gt;"",ISNUMBER(SEARCH($T$4,'Final Calculation Sheet'!$S$32))))),IF($U$4="",TRUE(),IF($U$4="(blank)",'Final Calculation Sheet'!$T$32="",IF($U$4="(nonblank)",'Final Calculation Sheet'!$T$32&lt;&gt;"",ISNUMBER(SEARCH($U$4,'Final Calculation Sheet'!$T$32))))),IF($V$4="",TRUE(),IF($V$4="(blank)",'Final Calculation Sheet'!$U$32="",IF($V$4="(nonblank)",'Final Calculation Sheet'!$U$32&lt;&gt;"",ISNUMBER(SEARCH($V$4,'Final Calculation Sheet'!$U$32))))),IF($W$4="",TRUE(),IF($W$4="(blank)",'Final Calculation Sheet'!$V$32="",IF($W$4="(nonblank)",'Final Calculation Sheet'!$V$32&lt;&gt;"",ISNUMBER(SEARCH($W$4,'Final Calculation Sheet'!$V$32))))),IF($X$4="",TRUE(),IF($X$4="(blank)",'Final Calculation Sheet'!$W$32="",IF($X$4="(nonblank)",'Final Calculation Sheet'!$W$32&lt;&gt;"",ISNUMBER(SEARCH($X$4,'Final Calculation Sheet'!$W$32))))),IF($Y$4="",TRUE(),IF($Y$4="(blank)",'Final Calculation Sheet'!$X$32="",IF($Y$4="(nonblank)",'Final Calculation Sheet'!$X$32&lt;&gt;"",ISNUMBER(SEARCH($Y$4,'Final Calculation Sheet'!$X$32))))),IF($Z$4="",TRUE(),IF($Z$4="(blank)",'Final Calculation Sheet'!$Y$32="",IF($Z$4="(nonblank)",'Final Calculation Sheet'!$Y$32&lt;&gt;"",ISNUMBER(SEARCH($Z$4,'Final Calculation Sheet'!$Y$32))))),IF($AA$4="",TRUE(),IF($AA$4="(blank)",'Final Calculation Sheet'!$Z$32="",IF($AA$4="(nonblank)",'Final Calculation Sheet'!$Z$32&lt;&gt;"",ISNUMBER(SEARCH($AA$4,'Final Calculation Sheet'!$Z$32))))),IF($AB$4="",TRUE(),IF($AB$4="(blank)",'Final Calculation Sheet'!$AA$32="",IF($AB$4="(nonblank)",'Final Calculation Sheet'!$AA$32&lt;&gt;"",ISNUMBER(SEARCH($AB$4,'Final Calculation Sheet'!$AA$32))))),IF($AC$4="",TRUE(),IF($AC$4="(blank)",'Final Calculation Sheet'!$AB$32="",IF($AC$4="(nonblank)",'Final Calculation Sheet'!$AB$32&lt;&gt;"",ISNUMBER(SEARCH($AC$4,'Final Calculation Sheet'!$AB$32))))),IF($AD$4="",TRUE(),IF($AD$4="(blank)",'Final Calculation Sheet'!$AC$32="",IF($AD$4="(nonblank)",'Final Calculation Sheet'!$AC$32&lt;&gt;"",ISNUMBER(SEARCH($AD$4,'Final Calculation Sheet'!$AC$32))))),IF($AE$4="",TRUE(),IF($AE$4="(blank)",'Final Calculation Sheet'!$AD$32="",IF($AE$4="(nonblank)",'Final Calculation Sheet'!$AD$32&lt;&gt;"",ISNUMBER(SEARCH($AE$4,'Final Calculation Sheet'!$AD$32))))),IF($AF$4="",TRUE(),IF($AF$4="(blank)",'Final Calculation Sheet'!$AE$32="",IF($AF$4="(nonblank)",'Final Calculation Sheet'!$AE$32&lt;&gt;"",ISNUMBER(SEARCH($AF$4,'Final Calculation Sheet'!$AE$32))))),IF($AG$4="",TRUE(),IF($AG$4="(blank)",'Final Calculation Sheet'!$AF$32="",IF($AG$4="(nonblank)",'Final Calculation Sheet'!$AF$32&lt;&gt;"",ISNUMBER(SEARCH($AG$4,'Final Calculation Sheet'!$AF$32))))),IF($AH$4="",TRUE(),IF($AH$4="(blank)",'Final Calculation Sheet'!$AG$32="",IF($AH$4="(nonblank)",'Final Calculation Sheet'!$AG$32&lt;&gt;"",ISNUMBER(SEARCH($AH$4,'Final Calculation Sheet'!$AG$32))))),IF($AI$4="",TRUE(),IF($AI$4="(blank)",IF('Final Calculation Sheet'!$AD$32&lt;=5,"SETTLED","OUTSTANDING")="",IF($AI$4="(nonblank)",IF('Final Calculation Sheet'!$AD$32&lt;=5,"SETTLED","OUTSTANDING")&lt;&gt;"",ISNUMBER(SEARCH($AI$4,IF('Final Calculation Sheet'!$AD$32&lt;=5,"SETTLED","OUTSTANDING")))))))</f>
        <v>1</v>
      </c>
      <c r="AK34" t="str">
        <f>IF(AJ34=1,COUNTIF(AJ$6:AJ34,1),"")</f>
        <v/>
      </c>
      <c r="AM34">
        <f>AM33+IF(AND(Lists!$O$34&lt;&gt;"",ISNUMBER(SEARCH($B$4,Lists!$O$34))),1,0)</f>
        <v>31</v>
      </c>
      <c r="AN34">
        <f>IF(ROW()-3&gt;MAX($AM$4:$AM$42),"",INDEX(Lists!$O$4:$O$42,MATCH(ROW()-3,$AM$4:$AM$42,0)))</f>
        <v>2062</v>
      </c>
      <c r="AO34">
        <f>AO33+IF(AND(Lists!$T$34&lt;&gt;"",ISNUMBER(SEARCH($C$4,Lists!$T$34))),1,0)</f>
        <v>13</v>
      </c>
      <c r="AP34" t="str">
        <f>IF(ROW()-3&gt;MAX($AO$4:$AO$42),"",INDEX(Lists!$T$4:$T$42,MATCH(ROW()-3,$AO$4:$AO$42,0)))</f>
        <v/>
      </c>
      <c r="AQ34">
        <f>AQ33+IF(AND(Lists!$Y$34&lt;&gt;"",ISNUMBER(SEARCH($D$4,Lists!$Y$34))),1,0)</f>
        <v>25</v>
      </c>
      <c r="AR34" t="str">
        <f>IF(ROW()-3&gt;MAX($AQ$4:$AQ$42),"",INDEX(Lists!$Y$4:$Y$42,MATCH(ROW()-3,$AQ$4:$AQ$42,0)))</f>
        <v/>
      </c>
      <c r="AS34">
        <f>AS33+IF(AND(Lists!$AD$34&lt;&gt;"",ISNUMBER(SEARCH($E$4,Lists!$AD$34))),1,0)</f>
        <v>4</v>
      </c>
      <c r="AT34" t="str">
        <f>IF(ROW()-3&gt;MAX($AS$4:$AS$42),"",INDEX(Lists!$AD$4:$AD$42,MATCH(ROW()-3,$AS$4:$AS$42,0)))</f>
        <v/>
      </c>
      <c r="AU34">
        <f>AU33+IF(AND(Lists!$AI$34&lt;&gt;"",ISNUMBER(SEARCH($F$4,Lists!$AI$34))),1,0)</f>
        <v>22</v>
      </c>
      <c r="AV34" t="str">
        <f>IF(ROW()-3&gt;MAX($AU$4:$AU$42),"",INDEX(Lists!$AI$4:$AI$42,MATCH(ROW()-3,$AU$4:$AU$42,0)))</f>
        <v/>
      </c>
      <c r="AW34">
        <f>AW33+IF(AND(Lists!$AN$34&lt;&gt;"",ISNUMBER(SEARCH($G$4,Lists!$AN$34))),1,0)</f>
        <v>3</v>
      </c>
      <c r="AX34" t="str">
        <f>IF(ROW()-3&gt;MAX($AW$4:$AW$42),"",INDEX(Lists!$AN$4:$AN$42,MATCH(ROW()-3,$AW$4:$AW$42,0)))</f>
        <v/>
      </c>
      <c r="AY34">
        <f>AY33+IF(AND(Lists!$AS$34&lt;&gt;"",ISNUMBER(SEARCH($H$4,Lists!$AS$34))),1,0)</f>
        <v>31</v>
      </c>
      <c r="AZ34">
        <f>IF(ROW()-3&gt;MAX($AY$4:$AY$42),"",INDEX(Lists!$AS$4:$AS$42,MATCH(ROW()-3,$AY$4:$AY$42,0)))</f>
        <v>110200</v>
      </c>
      <c r="BA34">
        <f>BA33+IF(AND(Lists!$AX$34&lt;&gt;"",ISNUMBER(SEARCH($I$4,Lists!$AX$34))),1,0)</f>
        <v>31</v>
      </c>
      <c r="BB34">
        <f>IF(ROW()-3&gt;MAX($BA$4:$BA$42),"",INDEX(Lists!$AX$4:$AX$42,MATCH(ROW()-3,$BA$4:$BA$42,0)))</f>
        <v>517000</v>
      </c>
      <c r="BC34">
        <f>BC33+IF(AND(Lists!$BC$34&lt;&gt;"",ISNUMBER(SEARCH($J$4,Lists!$BC$34))),1,0)</f>
        <v>31</v>
      </c>
      <c r="BD34">
        <f>IF(ROW()-3&gt;MAX($BC$4:$BC$42),"",INDEX(Lists!$BC$4:$BC$42,MATCH(ROW()-3,$BC$4:$BC$42,0)))</f>
        <v>93060</v>
      </c>
      <c r="BE34">
        <f>BE33+IF(AND(Lists!$BH$34&lt;&gt;"",ISNUMBER(SEARCH($K$4,Lists!$BH$34))),1,0)</f>
        <v>31</v>
      </c>
      <c r="BF34">
        <f>IF(ROW()-3&gt;MAX($BE$4:$BE$42),"",INDEX(Lists!$BH$4:$BH$42,MATCH(ROW()-3,$BE$4:$BE$42,0)))</f>
        <v>610060</v>
      </c>
      <c r="BG34">
        <f>BG33+IF(AND(Lists!$BM$34&lt;&gt;"",ISNUMBER(SEARCH($L$4,Lists!$BM$34))),1,0)</f>
        <v>31</v>
      </c>
      <c r="BH34">
        <f>IF(ROW()-3&gt;MAX($BG$4:$BG$42),"",INDEX(Lists!$BM$4:$BM$42,MATCH(ROW()-3,$BG$4:$BG$42,0)))</f>
        <v>12966</v>
      </c>
      <c r="BI34">
        <f>BI33+IF(AND(Lists!$BR$34&lt;&gt;"",ISNUMBER(SEARCH($M$4,Lists!$BR$34))),1,0)</f>
        <v>31</v>
      </c>
      <c r="BJ34">
        <f>IF(ROW()-3&gt;MAX($BI$4:$BI$42),"",INDEX(Lists!$BR$4:$BR$42,MATCH(ROW()-3,$BI$4:$BI$42,0)))</f>
        <v>517</v>
      </c>
      <c r="BK34">
        <f>BK33+IF(AND(Lists!$BW$34&lt;&gt;"",ISNUMBER(SEARCH($N$4,Lists!$BW$34))),1,0)</f>
        <v>31</v>
      </c>
      <c r="BL34">
        <f>IF(ROW()-3&gt;MAX($BK$4:$BK$42),"",INDEX(Lists!$BW$4:$BW$42,MATCH(ROW()-3,$BK$4:$BK$42,0)))</f>
        <v>13726.349999999999</v>
      </c>
      <c r="BM34">
        <f>BM33+IF(AND(Lists!$CB$34&lt;&gt;"",ISNUMBER(SEARCH($O$4,Lists!$CB$34))),1,0)</f>
        <v>31</v>
      </c>
      <c r="BN34">
        <f>IF(ROW()-3&gt;MAX($BM$4:$BM$42),"",INDEX(Lists!$CB$4:$CB$42,MATCH(ROW()-3,$BM$4:$BM$42,0)))</f>
        <v>232.65</v>
      </c>
      <c r="BO34">
        <f>BO33+IF(AND(Lists!$CG$34&lt;&gt;"",ISNUMBER(SEARCH($P$4,Lists!$CG$34))),1,0)</f>
        <v>31</v>
      </c>
      <c r="BP34">
        <f>IF(ROW()-3&gt;MAX($BO$4:$BO$42),"",INDEX(Lists!$CG$4:$CG$42,MATCH(ROW()-3,$BO$4:$BO$42,0)))</f>
        <v>13493.699999999999</v>
      </c>
      <c r="BQ34">
        <f>BQ33+IF(AND(Lists!$CL$34&lt;&gt;"",ISNUMBER(SEARCH($Q$4,Lists!$CL$34))),1,0)</f>
        <v>31</v>
      </c>
      <c r="BR34">
        <f>IF(ROW()-3&gt;MAX($BQ$4:$BQ$42),"",INDEX(Lists!$CL$4:$CL$42,MATCH(ROW()-3,$BQ$4:$BQ$42,0)))</f>
        <v>14889</v>
      </c>
      <c r="BS34">
        <f>BS33+IF(AND(Lists!$CQ$34&lt;&gt;"",ISNUMBER(SEARCH($R$4,Lists!$CQ$34))),1,0)</f>
        <v>2</v>
      </c>
      <c r="BT34" t="str">
        <f>IF(ROW()-3&gt;MAX($BS$4:$BS$42),"",INDEX(Lists!$CQ$4:$CQ$42,MATCH(ROW()-3,$BS$4:$BS$42,0)))</f>
        <v/>
      </c>
      <c r="BU34">
        <f>BU33+IF(AND(Lists!$CV$34&lt;&gt;"",ISNUMBER(SEARCH($S$4,Lists!$CV$34))),1,0)</f>
        <v>5</v>
      </c>
      <c r="BV34" t="str">
        <f>IF(ROW()-3&gt;MAX($BU$4:$BU$42),"",INDEX(Lists!$CV$4:$CV$42,MATCH(ROW()-3,$BU$4:$BU$42,0)))</f>
        <v/>
      </c>
      <c r="BW34">
        <f>BW33+IF(AND(Lists!$DA$34&lt;&gt;"",ISNUMBER(SEARCH($T$4,Lists!$DA$34))),1,0)</f>
        <v>31</v>
      </c>
      <c r="BX34">
        <f>IF(ROW()-3&gt;MAX($BW$4:$BW$42),"",INDEX(Lists!$DA$4:$DA$42,MATCH(ROW()-3,$BW$4:$BW$42,0)))</f>
        <v>608251</v>
      </c>
      <c r="BY34">
        <f>BY33+IF(AND(Lists!$DF$34&lt;&gt;"",ISNUMBER(SEARCH($U$4,Lists!$DF$34))),1,0)</f>
        <v>31</v>
      </c>
      <c r="BZ34">
        <f>IF(ROW()-3&gt;MAX($BY$4:$BY$42),"",INDEX(Lists!$DF$4:$DF$42,MATCH(ROW()-3,$BY$4:$BY$42,0)))</f>
        <v>129250</v>
      </c>
      <c r="CA34">
        <f>CA33+IF(AND(Lists!$DK$34&lt;&gt;"",ISNUMBER(SEARCH($V$4,Lists!$DK$34))),1,0)</f>
        <v>31</v>
      </c>
      <c r="CB34">
        <f>IF(ROW()-3&gt;MAX($CA$4:$CA$42),"",INDEX(Lists!$DK$4:$DK$42,MATCH(ROW()-3,$CA$4:$CA$42,0)))</f>
        <v>129250</v>
      </c>
      <c r="CC34">
        <f>CC33+IF(AND(Lists!$DP$34&lt;&gt;"",ISNUMBER(SEARCH($W$4,Lists!$DP$34))),1,0)</f>
        <v>6</v>
      </c>
      <c r="CD34" t="str">
        <f>IF(ROW()-3&gt;MAX($CC$4:$CC$42),"",INDEX(Lists!$DP$4:$DP$42,MATCH(ROW()-3,$CC$4:$CC$42,0)))</f>
        <v/>
      </c>
      <c r="CE34">
        <f>CE33+IF(AND(Lists!$DU$34&lt;&gt;"",ISNUMBER(SEARCH($X$4,Lists!$DU$34))),1,0)</f>
        <v>31</v>
      </c>
      <c r="CF34">
        <f>IF(ROW()-3&gt;MAX($CE$4:$CE$42),"",INDEX(Lists!$DU$4:$DU$42,MATCH(ROW()-3,$CE$4:$CE$42,0)))</f>
        <v>479001</v>
      </c>
      <c r="CG34" t="e">
        <f>CG33+IF(AND(Lists!$DZ$34&lt;&gt;"",ISNUMBER(SEARCH($Y$4,Lists!$DZ$34))),1,0)</f>
        <v>#N/A</v>
      </c>
      <c r="CH34" t="e">
        <f>IF(ROW()-3&gt;MAX($CG$4:$CG$42),"",INDEX(Lists!$DZ$4:$DZ$42,MATCH(ROW()-3,$CG$4:$CG$42,0)))</f>
        <v>#N/A</v>
      </c>
      <c r="CI34" t="e">
        <f>CI33+IF(AND(Lists!$EE$34&lt;&gt;"",ISNUMBER(SEARCH($Z$4,Lists!$EE$34))),1,0)</f>
        <v>#N/A</v>
      </c>
      <c r="CJ34" t="e">
        <f>IF(ROW()-3&gt;MAX($CI$4:$CI$42),"",INDEX(Lists!$EE$4:$EE$42,MATCH(ROW()-3,$CI$4:$CI$42,0)))</f>
        <v>#N/A</v>
      </c>
      <c r="CK34">
        <f>CK33+IF(AND(Lists!$EJ$34&lt;&gt;"",ISNUMBER(SEARCH($AA$4,Lists!$EJ$34))),1,0)</f>
        <v>6</v>
      </c>
      <c r="CL34" t="str">
        <f>IF(ROW()-3&gt;MAX($CK$4:$CK$42),"",INDEX(Lists!$EJ$4:$EJ$42,MATCH(ROW()-3,$CK$4:$CK$42,0)))</f>
        <v/>
      </c>
      <c r="CM34" t="e">
        <f>CM33+IF(AND(Lists!$EO$34&lt;&gt;"",ISNUMBER(SEARCH($AB$4,Lists!$EO$34))),1,0)</f>
        <v>#N/A</v>
      </c>
      <c r="CN34" t="e">
        <f>IF(ROW()-3&gt;MAX($CM$4:$CM$42),"",INDEX(Lists!$EO$4:$EO$42,MATCH(ROW()-3,$CM$4:$CM$42,0)))</f>
        <v>#N/A</v>
      </c>
      <c r="CO34" t="e">
        <f>CO33+IF(AND(Lists!$ET$34&lt;&gt;"",ISNUMBER(SEARCH($AC$4,Lists!$ET$34))),1,0)</f>
        <v>#N/A</v>
      </c>
      <c r="CP34" t="e">
        <f>IF(ROW()-3&gt;MAX($CO$4:$CO$42),"",INDEX(Lists!$ET$4:$ET$42,MATCH(ROW()-3,$CO$4:$CO$42,0)))</f>
        <v>#N/A</v>
      </c>
      <c r="CQ34">
        <f>CQ33+IF(AND(Lists!$EY$34&lt;&gt;"",ISNUMBER(SEARCH($AD$4,Lists!$EY$34))),1,0)</f>
        <v>31</v>
      </c>
      <c r="CR34">
        <f>IF(ROW()-3&gt;MAX($CQ$4:$CQ$42),"",INDEX(Lists!$EY$4:$EY$42,MATCH(ROW()-3,$CQ$4:$CQ$42,0)))</f>
        <v>470600</v>
      </c>
      <c r="CS34" t="e">
        <f>CS33+IF(AND(Lists!$FD$34&lt;&gt;"",ISNUMBER(SEARCH($AE$4,Lists!$FD$34))),1,0)</f>
        <v>#N/A</v>
      </c>
      <c r="CT34" t="e">
        <f>IF(ROW()-3&gt;MAX($CS$4:$CS$42),"",INDEX(Lists!$FD$4:$FD$42,MATCH(ROW()-3,$CS$4:$CS$42,0)))</f>
        <v>#N/A</v>
      </c>
      <c r="CU34" t="e">
        <f>CU33+IF(AND(Lists!$FI$34&lt;&gt;"",ISNUMBER(SEARCH($AF$4,Lists!$FI$34))),1,0)</f>
        <v>#N/A</v>
      </c>
      <c r="CV34" t="e">
        <f>IF(ROW()-3&gt;MAX($CU$4:$CU$42),"",INDEX(Lists!$FI$4:$FI$42,MATCH(ROW()-3,$CU$4:$CU$42,0)))</f>
        <v>#N/A</v>
      </c>
      <c r="CW34" t="e">
        <f>CW33+IF(AND(Lists!$FN$34&lt;&gt;"",ISNUMBER(SEARCH($AG$4,Lists!$FN$34))),1,0)</f>
        <v>#N/A</v>
      </c>
      <c r="CX34" t="e">
        <f>IF(ROW()-3&gt;MAX($CW$4:$CW$42),"",INDEX(Lists!$FN$4:$FN$42,MATCH(ROW()-3,$CW$4:$CW$42,0)))</f>
        <v>#N/A</v>
      </c>
      <c r="CY34" t="e">
        <f>CY33+IF(AND(Lists!$FS$34&lt;&gt;"",ISNUMBER(SEARCH($AH$4,Lists!$FS$34))),1,0)</f>
        <v>#N/A</v>
      </c>
      <c r="CZ34" t="e">
        <f>IF(ROW()-3&gt;MAX($CY$4:$CY$42),"",INDEX(Lists!$FS$4:$FS$42,MATCH(ROW()-3,$CY$4:$CY$42,0)))</f>
        <v>#N/A</v>
      </c>
      <c r="DA34">
        <f>DA33+IF(AND(Lists!$FX$34&lt;&gt;"",ISNUMBER(SEARCH($AI$4,Lists!$FX$34))),1,0)</f>
        <v>2</v>
      </c>
      <c r="DB34" t="str">
        <f>IF(ROW()-3&gt;MAX($DA$4:$DA$42),"",INDEX(Lists!$FX$4:$FX$42,MATCH(ROW()-3,$DA$4:$DA$42,0)))</f>
        <v/>
      </c>
    </row>
    <row r="35" ht="15" customHeight="1" s="137">
      <c r="A35" s="81" t="inlineStr">
        <is>
          <t>∑</t>
        </is>
      </c>
      <c r="B35" s="83" t="n"/>
      <c r="C35" s="83" t="str">
        <f>ROWS($C$33:$C$34)&amp;" lot(s)"</f>
        <v>2 lot(s)</v>
      </c>
      <c r="D35" s="83" t="inlineStr">
        <is>
          <t>SUBTOTAL — OMKAR STEELS</t>
        </is>
      </c>
      <c r="E35" s="83" t="inlineStr">
        <is>
          <t>–</t>
        </is>
      </c>
      <c r="F35" s="83">
        <f>SUM(F33:F34)</f>
        <v>10753</v>
      </c>
      <c r="G35" s="83" t="inlineStr">
        <is>
          <t>–</t>
        </is>
      </c>
      <c r="H35" s="84" t="inlineStr">
        <is>
          <t>–</t>
        </is>
      </c>
      <c r="I35" s="84">
        <f>SUM(I33:I34)</f>
        <v>2811931</v>
      </c>
      <c r="J35" s="84">
        <f>SUM(J33:J34)</f>
        <v>506148</v>
      </c>
      <c r="K35" s="84">
        <f>SUM(K33:K34)</f>
        <v>3318079</v>
      </c>
      <c r="L35" s="84">
        <f>SUM(L33:L34)</f>
        <v>66362</v>
      </c>
      <c r="M35" s="84">
        <f>SUM(M33:M34)</f>
        <v>2811.931</v>
      </c>
      <c r="N35" s="84">
        <f>SUM(N33:N34)</f>
        <v>74656.768049999999</v>
      </c>
      <c r="O35" s="85">
        <f>SUM(O33:O34)</f>
        <v>1265.36895</v>
      </c>
      <c r="P35" s="84">
        <f>SUM(P33:P34)</f>
        <v>73391.399099999995</v>
      </c>
      <c r="Q35" s="84">
        <f>SUM(Q33:Q34)</f>
        <v>76203</v>
      </c>
      <c r="R35" s="86" t="inlineStr">
        <is>
          <t>–</t>
        </is>
      </c>
      <c r="S35" s="84">
        <f>SUM(S33:S34)</f>
        <v>56239</v>
      </c>
      <c r="T35" s="84">
        <f>SUM(T33:T34)</f>
        <v>3251998</v>
      </c>
      <c r="U35" s="84">
        <f>SUM(U33:U34)</f>
        <v>702983</v>
      </c>
      <c r="V35" s="87">
        <f>SUM(V33:V34)</f>
        <v>702983</v>
      </c>
      <c r="W35" s="84" t="inlineStr">
        <is>
          <t>–</t>
        </is>
      </c>
      <c r="X35" s="84">
        <f>SUM(X33:X34)</f>
        <v>2549015</v>
      </c>
      <c r="Y35" s="84">
        <f>SUM(Y33:Y34)</f>
        <v>2549015</v>
      </c>
      <c r="Z35" s="84" t="inlineStr">
        <is>
          <t>–</t>
        </is>
      </c>
      <c r="AA35" s="84">
        <f>SUM(AA33:AA34)</f>
        <v>0</v>
      </c>
      <c r="AB35" s="84">
        <f>SUM(AB33:AB34)</f>
        <v>0</v>
      </c>
      <c r="AC35" s="84" t="inlineStr">
        <is>
          <t>–</t>
        </is>
      </c>
      <c r="AD35" s="84">
        <f>SUM(AD33:AD34)</f>
        <v>3251998</v>
      </c>
      <c r="AE35" s="84">
        <f>SUM(AE33:AE34)</f>
        <v>0</v>
      </c>
      <c r="AF35" s="84" t="inlineStr">
        <is>
          <t>–</t>
        </is>
      </c>
      <c r="AG35" s="88" t="inlineStr">
        <is>
          <t>–</t>
        </is>
      </c>
      <c r="AH35" s="84" t="inlineStr">
        <is>
          <t>–</t>
        </is>
      </c>
      <c r="AI35" s="89" t="str">
        <f>IF(AE35&lt;=5,"SETTLED","OUTSTANDING")</f>
        <v>SETTLED</v>
      </c>
      <c r="AJ35" t="b">
        <f>AND(IF($B$4="",TRUE(),IF($B$4="(blank)",'Final Calculation Sheet'!$F$33="",IF($B$4="(nonblank)",'Final Calculation Sheet'!$F$33&lt;&gt;"",ISNUMBER(SEARCH($B$4,'Final Calculation Sheet'!$F$33))))),IF($C$4="",TRUE(),IF($C$4="(blank)",'Final Calculation Sheet'!$G$33="",IF($C$4="(nonblank)",'Final Calculation Sheet'!$G$33&lt;&gt;"",ISNUMBER(SEARCH($C$4,'Final Calculation Sheet'!$G$33))))),IF($D$4="",TRUE(),IF($D$4="(blank)",'Final Calculation Sheet'!$B$33="",IF($D$4="(nonblank)",'Final Calculation Sheet'!$B$33&lt;&gt;"",ISNUMBER(SEARCH($D$4,'Final Calculation Sheet'!$B$33))))),IF($E$4="",TRUE(),IF($E$4="(blank)",'Final Calculation Sheet'!$D$33="",IF($E$4="(nonblank)",'Final Calculation Sheet'!$D$33&lt;&gt;"",ISNUMBER(SEARCH($E$4,'Final Calculation Sheet'!$D$33))))),IF($F$4="",TRUE(),IF($F$4="(blank)",'Final Calculation Sheet'!$A$33="",IF($F$4="(nonblank)",'Final Calculation Sheet'!$A$33&lt;&gt;"",ISNUMBER(SEARCH($F$4,'Final Calculation Sheet'!$A$33))))),IF($G$4="",TRUE(),IF($G$4="(blank)",'Final Calculation Sheet'!$E$33="",IF($G$4="(nonblank)",'Final Calculation Sheet'!$E$33&lt;&gt;"",ISNUMBER(SEARCH($G$4,'Final Calculation Sheet'!$E$33))))),IF($H$4="",TRUE(),IF($H$4="(blank)",'Final Calculation Sheet'!$C$33="",IF($H$4="(nonblank)",'Final Calculation Sheet'!$C$33&lt;&gt;"",ISNUMBER(SEARCH($H$4,'Final Calculation Sheet'!$C$33))))),IF($I$4="",TRUE(),IF($I$4="(blank)",'Final Calculation Sheet'!$H$33="",IF($I$4="(nonblank)",'Final Calculation Sheet'!$H$33&lt;&gt;"",ISNUMBER(SEARCH($I$4,'Final Calculation Sheet'!$H$33))))),IF($J$4="",TRUE(),IF($J$4="(blank)",'Final Calculation Sheet'!$I$33="",IF($J$4="(nonblank)",'Final Calculation Sheet'!$I$33&lt;&gt;"",ISNUMBER(SEARCH($J$4,'Final Calculation Sheet'!$I$33))))),IF($K$4="",TRUE(),IF($K$4="(blank)",'Final Calculation Sheet'!$J$33="",IF($K$4="(nonblank)",'Final Calculation Sheet'!$J$33&lt;&gt;"",ISNUMBER(SEARCH($K$4,'Final Calculation Sheet'!$J$33))))),IF($L$4="",TRUE(),IF($L$4="(blank)",'Final Calculation Sheet'!$K$33="",IF($L$4="(nonblank)",'Final Calculation Sheet'!$K$33&lt;&gt;"",ISNUMBER(SEARCH($L$4,'Final Calculation Sheet'!$K$33))))),IF($M$4="",TRUE(),IF($M$4="(blank)",'Final Calculation Sheet'!$L$33="",IF($M$4="(nonblank)",'Final Calculation Sheet'!$L$33&lt;&gt;"",ISNUMBER(SEARCH($M$4,'Final Calculation Sheet'!$L$33))))),IF($N$4="",TRUE(),IF($N$4="(blank)",'Final Calculation Sheet'!$M$33="",IF($N$4="(nonblank)",'Final Calculation Sheet'!$M$33&lt;&gt;"",ISNUMBER(SEARCH($N$4,'Final Calculation Sheet'!$M$33))))),IF($O$4="",TRUE(),IF($O$4="(blank)",'Final Calculation Sheet'!$N$33="",IF($O$4="(nonblank)",'Final Calculation Sheet'!$N$33&lt;&gt;"",ISNUMBER(SEARCH($O$4,'Final Calculation Sheet'!$N$33))))),IF($P$4="",TRUE(),IF($P$4="(blank)",'Final Calculation Sheet'!$O$33="",IF($P$4="(nonblank)",'Final Calculation Sheet'!$O$33&lt;&gt;"",ISNUMBER(SEARCH($P$4,'Final Calculation Sheet'!$O$33))))),IF($Q$4="",TRUE(),IF($Q$4="(blank)",'Final Calculation Sheet'!$P$33="",IF($Q$4="(nonblank)",'Final Calculation Sheet'!$P$33&lt;&gt;"",ISNUMBER(SEARCH($Q$4,'Final Calculation Sheet'!$P$33))))),IF($R$4="",TRUE(),IF($R$4="(blank)",'Final Calculation Sheet'!$Q$33="",IF($R$4="(nonblank)",'Final Calculation Sheet'!$Q$33&lt;&gt;"",ISNUMBER(SEARCH($R$4,'Final Calculation Sheet'!$Q$33))))),IF($S$4="",TRUE(),IF($S$4="(blank)",'Final Calculation Sheet'!$R$33="",IF($S$4="(nonblank)",'Final Calculation Sheet'!$R$33&lt;&gt;"",ISNUMBER(SEARCH($S$4,'Final Calculation Sheet'!$R$33))))),IF($T$4="",TRUE(),IF($T$4="(blank)",'Final Calculation Sheet'!$S$33="",IF($T$4="(nonblank)",'Final Calculation Sheet'!$S$33&lt;&gt;"",ISNUMBER(SEARCH($T$4,'Final Calculation Sheet'!$S$33))))),IF($U$4="",TRUE(),IF($U$4="(blank)",'Final Calculation Sheet'!$T$33="",IF($U$4="(nonblank)",'Final Calculation Sheet'!$T$33&lt;&gt;"",ISNUMBER(SEARCH($U$4,'Final Calculation Sheet'!$T$33))))),IF($V$4="",TRUE(),IF($V$4="(blank)",'Final Calculation Sheet'!$U$33="",IF($V$4="(nonblank)",'Final Calculation Sheet'!$U$33&lt;&gt;"",ISNUMBER(SEARCH($V$4,'Final Calculation Sheet'!$U$33))))),IF($W$4="",TRUE(),IF($W$4="(blank)",'Final Calculation Sheet'!$V$33="",IF($W$4="(nonblank)",'Final Calculation Sheet'!$V$33&lt;&gt;"",ISNUMBER(SEARCH($W$4,'Final Calculation Sheet'!$V$33))))),IF($X$4="",TRUE(),IF($X$4="(blank)",'Final Calculation Sheet'!$W$33="",IF($X$4="(nonblank)",'Final Calculation Sheet'!$W$33&lt;&gt;"",ISNUMBER(SEARCH($X$4,'Final Calculation Sheet'!$W$33))))),IF($Y$4="",TRUE(),IF($Y$4="(blank)",'Final Calculation Sheet'!$X$33="",IF($Y$4="(nonblank)",'Final Calculation Sheet'!$X$33&lt;&gt;"",ISNUMBER(SEARCH($Y$4,'Final Calculation Sheet'!$X$33))))),IF($Z$4="",TRUE(),IF($Z$4="(blank)",'Final Calculation Sheet'!$Y$33="",IF($Z$4="(nonblank)",'Final Calculation Sheet'!$Y$33&lt;&gt;"",ISNUMBER(SEARCH($Z$4,'Final Calculation Sheet'!$Y$33))))),IF($AA$4="",TRUE(),IF($AA$4="(blank)",'Final Calculation Sheet'!$Z$33="",IF($AA$4="(nonblank)",'Final Calculation Sheet'!$Z$33&lt;&gt;"",ISNUMBER(SEARCH($AA$4,'Final Calculation Sheet'!$Z$33))))),IF($AB$4="",TRUE(),IF($AB$4="(blank)",'Final Calculation Sheet'!$AA$33="",IF($AB$4="(nonblank)",'Final Calculation Sheet'!$AA$33&lt;&gt;"",ISNUMBER(SEARCH($AB$4,'Final Calculation Sheet'!$AA$33))))),IF($AC$4="",TRUE(),IF($AC$4="(blank)",'Final Calculation Sheet'!$AB$33="",IF($AC$4="(nonblank)",'Final Calculation Sheet'!$AB$33&lt;&gt;"",ISNUMBER(SEARCH($AC$4,'Final Calculation Sheet'!$AB$33))))),IF($AD$4="",TRUE(),IF($AD$4="(blank)",'Final Calculation Sheet'!$AC$33="",IF($AD$4="(nonblank)",'Final Calculation Sheet'!$AC$33&lt;&gt;"",ISNUMBER(SEARCH($AD$4,'Final Calculation Sheet'!$AC$33))))),IF($AE$4="",TRUE(),IF($AE$4="(blank)",'Final Calculation Sheet'!$AD$33="",IF($AE$4="(nonblank)",'Final Calculation Sheet'!$AD$33&lt;&gt;"",ISNUMBER(SEARCH($AE$4,'Final Calculation Sheet'!$AD$33))))),IF($AF$4="",TRUE(),IF($AF$4="(blank)",'Final Calculation Sheet'!$AE$33="",IF($AF$4="(nonblank)",'Final Calculation Sheet'!$AE$33&lt;&gt;"",ISNUMBER(SEARCH($AF$4,'Final Calculation Sheet'!$AE$33))))),IF($AG$4="",TRUE(),IF($AG$4="(blank)",'Final Calculation Sheet'!$AF$33="",IF($AG$4="(nonblank)",'Final Calculation Sheet'!$AF$33&lt;&gt;"",ISNUMBER(SEARCH($AG$4,'Final Calculation Sheet'!$AF$33))))),IF($AH$4="",TRUE(),IF($AH$4="(blank)",'Final Calculation Sheet'!$AG$33="",IF($AH$4="(nonblank)",'Final Calculation Sheet'!$AG$33&lt;&gt;"",ISNUMBER(SEARCH($AH$4,'Final Calculation Sheet'!$AG$33))))),IF($AI$4="",TRUE(),IF($AI$4="(blank)",IF('Final Calculation Sheet'!$AD$33&lt;=5,"SETTLED","OUTSTANDING")="",IF($AI$4="(nonblank)",IF('Final Calculation Sheet'!$AD$33&lt;=5,"SETTLED","OUTSTANDING")&lt;&gt;"",ISNUMBER(SEARCH($AI$4,IF('Final Calculation Sheet'!$AD$33&lt;=5,"SETTLED","OUTSTANDING")))))))</f>
        <v>1</v>
      </c>
      <c r="AK35" t="str">
        <f>IF(AJ35=1,COUNTIF(AJ$6:AJ35,1),"")</f>
        <v/>
      </c>
      <c r="AM35">
        <f>AM34+IF(AND(Lists!$O$35&lt;&gt;"",ISNUMBER(SEARCH($B$4,Lists!$O$35))),1,0)</f>
        <v>32</v>
      </c>
      <c r="AN35">
        <f>IF(ROW()-3&gt;MAX($AM$4:$AM$42),"",INDEX(Lists!$O$4:$O$42,MATCH(ROW()-3,$AM$4:$AM$42,0)))</f>
        <v>2067</v>
      </c>
      <c r="AO35">
        <f>AO34+IF(AND(Lists!$T$35&lt;&gt;"",ISNUMBER(SEARCH($C$4,Lists!$T$35))),1,0)</f>
        <v>13</v>
      </c>
      <c r="AP35" t="str">
        <f>IF(ROW()-3&gt;MAX($AO$4:$AO$42),"",INDEX(Lists!$T$4:$T$42,MATCH(ROW()-3,$AO$4:$AO$42,0)))</f>
        <v/>
      </c>
      <c r="AQ35">
        <f>AQ34+IF(AND(Lists!$Y$35&lt;&gt;"",ISNUMBER(SEARCH($D$4,Lists!$Y$35))),1,0)</f>
        <v>25</v>
      </c>
      <c r="AR35" t="str">
        <f>IF(ROW()-3&gt;MAX($AQ$4:$AQ$42),"",INDEX(Lists!$Y$4:$Y$42,MATCH(ROW()-3,$AQ$4:$AQ$42,0)))</f>
        <v/>
      </c>
      <c r="AS35">
        <f>AS34+IF(AND(Lists!$AD$35&lt;&gt;"",ISNUMBER(SEARCH($E$4,Lists!$AD$35))),1,0)</f>
        <v>4</v>
      </c>
      <c r="AT35" t="str">
        <f>IF(ROW()-3&gt;MAX($AS$4:$AS$42),"",INDEX(Lists!$AD$4:$AD$42,MATCH(ROW()-3,$AS$4:$AS$42,0)))</f>
        <v/>
      </c>
      <c r="AU35">
        <f>AU34+IF(AND(Lists!$AI$35&lt;&gt;"",ISNUMBER(SEARCH($F$4,Lists!$AI$35))),1,0)</f>
        <v>22</v>
      </c>
      <c r="AV35" t="str">
        <f>IF(ROW()-3&gt;MAX($AU$4:$AU$42),"",INDEX(Lists!$AI$4:$AI$42,MATCH(ROW()-3,$AU$4:$AU$42,0)))</f>
        <v/>
      </c>
      <c r="AW35">
        <f>AW34+IF(AND(Lists!$AN$35&lt;&gt;"",ISNUMBER(SEARCH($G$4,Lists!$AN$35))),1,0)</f>
        <v>3</v>
      </c>
      <c r="AX35" t="str">
        <f>IF(ROW()-3&gt;MAX($AW$4:$AW$42),"",INDEX(Lists!$AN$4:$AN$42,MATCH(ROW()-3,$AW$4:$AW$42,0)))</f>
        <v/>
      </c>
      <c r="AY35">
        <f>AY34+IF(AND(Lists!$AS$35&lt;&gt;"",ISNUMBER(SEARCH($H$4,Lists!$AS$35))),1,0)</f>
        <v>32</v>
      </c>
      <c r="AZ35">
        <f>IF(ROW()-3&gt;MAX($AY$4:$AY$42),"",INDEX(Lists!$AS$4:$AS$42,MATCH(ROW()-3,$AY$4:$AY$42,0)))</f>
        <v>210001</v>
      </c>
      <c r="BA35">
        <f>BA34+IF(AND(Lists!$AX$35&lt;&gt;"",ISNUMBER(SEARCH($I$4,Lists!$AX$35))),1,0)</f>
        <v>32</v>
      </c>
      <c r="BB35">
        <f>IF(ROW()-3&gt;MAX($BA$4:$BA$42),"",INDEX(Lists!$AX$4:$AX$42,MATCH(ROW()-3,$BA$4:$BA$42,0)))</f>
        <v>549400</v>
      </c>
      <c r="BC35">
        <f>BC34+IF(AND(Lists!$BC$35&lt;&gt;"",ISNUMBER(SEARCH($J$4,Lists!$BC$35))),1,0)</f>
        <v>32</v>
      </c>
      <c r="BD35">
        <f>IF(ROW()-3&gt;MAX($BC$4:$BC$42),"",INDEX(Lists!$BC$4:$BC$42,MATCH(ROW()-3,$BC$4:$BC$42,0)))</f>
        <v>98892</v>
      </c>
      <c r="BE35">
        <f>BE34+IF(AND(Lists!$BH$35&lt;&gt;"",ISNUMBER(SEARCH($K$4,Lists!$BH$35))),1,0)</f>
        <v>32</v>
      </c>
      <c r="BF35">
        <f>IF(ROW()-3&gt;MAX($BE$4:$BE$42),"",INDEX(Lists!$BH$4:$BH$42,MATCH(ROW()-3,$BE$4:$BE$42,0)))</f>
        <v>648292</v>
      </c>
      <c r="BG35">
        <f>BG34+IF(AND(Lists!$BM$35&lt;&gt;"",ISNUMBER(SEARCH($L$4,Lists!$BM$35))),1,0)</f>
        <v>32</v>
      </c>
      <c r="BH35">
        <f>IF(ROW()-3&gt;MAX($BG$4:$BG$42),"",INDEX(Lists!$BM$4:$BM$42,MATCH(ROW()-3,$BG$4:$BG$42,0)))</f>
        <v>18646</v>
      </c>
      <c r="BI35">
        <f>BI34+IF(AND(Lists!$BR$35&lt;&gt;"",ISNUMBER(SEARCH($M$4,Lists!$BR$35))),1,0)</f>
        <v>32</v>
      </c>
      <c r="BJ35">
        <f>IF(ROW()-3&gt;MAX($BI$4:$BI$42),"",INDEX(Lists!$BR$4:$BR$42,MATCH(ROW()-3,$BI$4:$BI$42,0)))</f>
        <v>549.4</v>
      </c>
      <c r="BK35">
        <f>BK34+IF(AND(Lists!$BW$35&lt;&gt;"",ISNUMBER(SEARCH($N$4,Lists!$BW$35))),1,0)</f>
        <v>32</v>
      </c>
      <c r="BL35">
        <f>IF(ROW()-3&gt;MAX($BK$4:$BK$42),"",INDEX(Lists!$BW$4:$BW$42,MATCH(ROW()-3,$BK$4:$BK$42,0)))</f>
        <v>14586.57</v>
      </c>
      <c r="BM35">
        <f>BM34+IF(AND(Lists!$CB$35&lt;&gt;"",ISNUMBER(SEARCH($O$4,Lists!$CB$35))),1,0)</f>
        <v>32</v>
      </c>
      <c r="BN35">
        <f>IF(ROW()-3&gt;MAX($BM$4:$BM$42),"",INDEX(Lists!$CB$4:$CB$42,MATCH(ROW()-3,$BM$4:$BM$42,0)))</f>
        <v>247.23000000000002</v>
      </c>
      <c r="BO35">
        <f>BO34+IF(AND(Lists!$CG$35&lt;&gt;"",ISNUMBER(SEARCH($P$4,Lists!$CG$35))),1,0)</f>
        <v>32</v>
      </c>
      <c r="BP35">
        <f>IF(ROW()-3&gt;MAX($BO$4:$BO$42),"",INDEX(Lists!$CG$4:$CG$42,MATCH(ROW()-3,$BO$4:$BO$42,0)))</f>
        <v>14339.34</v>
      </c>
      <c r="BQ35">
        <f>BQ34+IF(AND(Lists!$CL$35&lt;&gt;"",ISNUMBER(SEARCH($Q$4,Lists!$CL$35))),1,0)</f>
        <v>32</v>
      </c>
      <c r="BR35">
        <f>IF(ROW()-3&gt;MAX($BQ$4:$BQ$42),"",INDEX(Lists!$CL$4:$CL$42,MATCH(ROW()-3,$BQ$4:$BQ$42,0)))</f>
        <v>21411</v>
      </c>
      <c r="BS35">
        <f>BS34+IF(AND(Lists!$CQ$35&lt;&gt;"",ISNUMBER(SEARCH($R$4,Lists!$CQ$35))),1,0)</f>
        <v>2</v>
      </c>
      <c r="BT35" t="str">
        <f>IF(ROW()-3&gt;MAX($BS$4:$BS$42),"",INDEX(Lists!$CQ$4:$CQ$42,MATCH(ROW()-3,$BS$4:$BS$42,0)))</f>
        <v/>
      </c>
      <c r="BU35">
        <f>BU34+IF(AND(Lists!$CV$35&lt;&gt;"",ISNUMBER(SEARCH($S$4,Lists!$CV$35))),1,0)</f>
        <v>5</v>
      </c>
      <c r="BV35" t="str">
        <f>IF(ROW()-3&gt;MAX($BU$4:$BU$42),"",INDEX(Lists!$CV$4:$CV$42,MATCH(ROW()-3,$BU$4:$BU$42,0)))</f>
        <v/>
      </c>
      <c r="BW35">
        <f>BW34+IF(AND(Lists!$DA$35&lt;&gt;"",ISNUMBER(SEARCH($T$4,Lists!$DA$35))),1,0)</f>
        <v>32</v>
      </c>
      <c r="BX35">
        <f>IF(ROW()-3&gt;MAX($BW$4:$BW$42),"",INDEX(Lists!$DA$4:$DA$42,MATCH(ROW()-3,$BW$4:$BW$42,0)))</f>
        <v>635381</v>
      </c>
      <c r="BY35">
        <f>BY34+IF(AND(Lists!$DF$35&lt;&gt;"",ISNUMBER(SEARCH($U$4,Lists!$DF$35))),1,0)</f>
        <v>32</v>
      </c>
      <c r="BZ35">
        <f>IF(ROW()-3&gt;MAX($BY$4:$BY$42),"",INDEX(Lists!$DF$4:$DF$42,MATCH(ROW()-3,$BY$4:$BY$42,0)))</f>
        <v>137350</v>
      </c>
      <c r="CA35">
        <f>CA34+IF(AND(Lists!$DK$35&lt;&gt;"",ISNUMBER(SEARCH($V$4,Lists!$DK$35))),1,0)</f>
        <v>32</v>
      </c>
      <c r="CB35">
        <f>IF(ROW()-3&gt;MAX($CA$4:$CA$42),"",INDEX(Lists!$DK$4:$DK$42,MATCH(ROW()-3,$CA$4:$CA$42,0)))</f>
        <v>137350</v>
      </c>
      <c r="CC35">
        <f>CC34+IF(AND(Lists!$DP$35&lt;&gt;"",ISNUMBER(SEARCH($W$4,Lists!$DP$35))),1,0)</f>
        <v>6</v>
      </c>
      <c r="CD35" t="str">
        <f>IF(ROW()-3&gt;MAX($CC$4:$CC$42),"",INDEX(Lists!$DP$4:$DP$42,MATCH(ROW()-3,$CC$4:$CC$42,0)))</f>
        <v/>
      </c>
      <c r="CE35">
        <f>CE34+IF(AND(Lists!$DU$35&lt;&gt;"",ISNUMBER(SEARCH($X$4,Lists!$DU$35))),1,0)</f>
        <v>32</v>
      </c>
      <c r="CF35">
        <f>IF(ROW()-3&gt;MAX($CE$4:$CE$42),"",INDEX(Lists!$DU$4:$DU$42,MATCH(ROW()-3,$CE$4:$CE$42,0)))</f>
        <v>498031</v>
      </c>
      <c r="CG35" t="e">
        <f>CG34+IF(AND(Lists!$DZ$35&lt;&gt;"",ISNUMBER(SEARCH($Y$4,Lists!$DZ$35))),1,0)</f>
        <v>#N/A</v>
      </c>
      <c r="CH35" t="e">
        <f>IF(ROW()-3&gt;MAX($CG$4:$CG$42),"",INDEX(Lists!$DZ$4:$DZ$42,MATCH(ROW()-3,$CG$4:$CG$42,0)))</f>
        <v>#N/A</v>
      </c>
      <c r="CI35" t="e">
        <f>CI34+IF(AND(Lists!$EE$35&lt;&gt;"",ISNUMBER(SEARCH($Z$4,Lists!$EE$35))),1,0)</f>
        <v>#N/A</v>
      </c>
      <c r="CJ35" t="e">
        <f>IF(ROW()-3&gt;MAX($CI$4:$CI$42),"",INDEX(Lists!$EE$4:$EE$42,MATCH(ROW()-3,$CI$4:$CI$42,0)))</f>
        <v>#N/A</v>
      </c>
      <c r="CK35">
        <f>CK34+IF(AND(Lists!$EJ$35&lt;&gt;"",ISNUMBER(SEARCH($AA$4,Lists!$EJ$35))),1,0)</f>
        <v>6</v>
      </c>
      <c r="CL35" t="str">
        <f>IF(ROW()-3&gt;MAX($CK$4:$CK$42),"",INDEX(Lists!$EJ$4:$EJ$42,MATCH(ROW()-3,$CK$4:$CK$42,0)))</f>
        <v/>
      </c>
      <c r="CM35" t="e">
        <f>CM34+IF(AND(Lists!$EO$35&lt;&gt;"",ISNUMBER(SEARCH($AB$4,Lists!$EO$35))),1,0)</f>
        <v>#N/A</v>
      </c>
      <c r="CN35" t="e">
        <f>IF(ROW()-3&gt;MAX($CM$4:$CM$42),"",INDEX(Lists!$EO$4:$EO$42,MATCH(ROW()-3,$CM$4:$CM$42,0)))</f>
        <v>#N/A</v>
      </c>
      <c r="CO35" t="e">
        <f>CO34+IF(AND(Lists!$ET$35&lt;&gt;"",ISNUMBER(SEARCH($AC$4,Lists!$ET$35))),1,0)</f>
        <v>#N/A</v>
      </c>
      <c r="CP35" t="e">
        <f>IF(ROW()-3&gt;MAX($CO$4:$CO$42),"",INDEX(Lists!$ET$4:$ET$42,MATCH(ROW()-3,$CO$4:$CO$42,0)))</f>
        <v>#N/A</v>
      </c>
      <c r="CQ35">
        <f>CQ34+IF(AND(Lists!$EY$35&lt;&gt;"",ISNUMBER(SEARCH($AD$4,Lists!$EY$35))),1,0)</f>
        <v>32</v>
      </c>
      <c r="CR35">
        <f>IF(ROW()-3&gt;MAX($CQ$4:$CQ$42),"",INDEX(Lists!$EY$4:$EY$42,MATCH(ROW()-3,$CQ$4:$CQ$42,0)))</f>
        <v>608251</v>
      </c>
      <c r="CS35" t="e">
        <f>CS34+IF(AND(Lists!$FD$35&lt;&gt;"",ISNUMBER(SEARCH($AE$4,Lists!$FD$35))),1,0)</f>
        <v>#N/A</v>
      </c>
      <c r="CT35" t="e">
        <f>IF(ROW()-3&gt;MAX($CS$4:$CS$42),"",INDEX(Lists!$FD$4:$FD$42,MATCH(ROW()-3,$CS$4:$CS$42,0)))</f>
        <v>#N/A</v>
      </c>
      <c r="CU35" t="e">
        <f>CU34+IF(AND(Lists!$FI$35&lt;&gt;"",ISNUMBER(SEARCH($AF$4,Lists!$FI$35))),1,0)</f>
        <v>#N/A</v>
      </c>
      <c r="CV35" t="e">
        <f>IF(ROW()-3&gt;MAX($CU$4:$CU$42),"",INDEX(Lists!$FI$4:$FI$42,MATCH(ROW()-3,$CU$4:$CU$42,0)))</f>
        <v>#N/A</v>
      </c>
      <c r="CW35" t="e">
        <f>CW34+IF(AND(Lists!$FN$35&lt;&gt;"",ISNUMBER(SEARCH($AG$4,Lists!$FN$35))),1,0)</f>
        <v>#N/A</v>
      </c>
      <c r="CX35" t="e">
        <f>IF(ROW()-3&gt;MAX($CW$4:$CW$42),"",INDEX(Lists!$FN$4:$FN$42,MATCH(ROW()-3,$CW$4:$CW$42,0)))</f>
        <v>#N/A</v>
      </c>
      <c r="CY35" t="e">
        <f>CY34+IF(AND(Lists!$FS$35&lt;&gt;"",ISNUMBER(SEARCH($AH$4,Lists!$FS$35))),1,0)</f>
        <v>#N/A</v>
      </c>
      <c r="CZ35" t="e">
        <f>IF(ROW()-3&gt;MAX($CY$4:$CY$42),"",INDEX(Lists!$FS$4:$FS$42,MATCH(ROW()-3,$CY$4:$CY$42,0)))</f>
        <v>#N/A</v>
      </c>
      <c r="DA35">
        <f>DA34+IF(AND(Lists!$FX$35&lt;&gt;"",ISNUMBER(SEARCH($AI$4,Lists!$FX$35))),1,0)</f>
        <v>2</v>
      </c>
      <c r="DB35" t="str">
        <f>IF(ROW()-3&gt;MAX($DA$4:$DA$42),"",INDEX(Lists!$FX$4:$FX$42,MATCH(ROW()-3,$DA$4:$DA$42,0)))</f>
        <v/>
      </c>
    </row>
    <row r="36" outlineLevel="1" ht="15" customHeight="1" s="137">
      <c r="A36" s="67" t="n">
        <v>1</v>
      </c>
      <c r="B36" s="76">
        <f>IF('Final Calculation Sheet'!$F$39="","",'Final Calculation Sheet'!$F$39)</f>
        <v>2089</v>
      </c>
      <c r="C36" s="76" t="str">
        <f>IF('Final Calculation Sheet'!$G$39="","",'Final Calculation Sheet'!$G$39)</f>
        <v>S M ENTERPRISES</v>
      </c>
      <c r="D36" s="80" t="str">
        <f>IF('Final Calculation Sheet'!$B$39="","",'Final Calculation Sheet'!$B$39)</f>
        <v>Scrap of 66 kv TBC C &amp; R Panel</v>
      </c>
      <c r="E36" s="80">
        <f>IF('Final Calculation Sheet'!$D$39="","",'Final Calculation Sheet'!$D$39)</f>
        <v>21980</v>
      </c>
      <c r="F36" s="80">
        <f>IF('Final Calculation Sheet'!$A$39="","",'Final Calculation Sheet'!$A$39)</f>
        <v>2</v>
      </c>
      <c r="G36" s="80" t="str">
        <f>IF('Final Calculation Sheet'!$E$39="","",'Final Calculation Sheet'!$E$39)</f>
        <v>NO</v>
      </c>
      <c r="H36" s="70">
        <f>IF('Final Calculation Sheet'!$C$39="","",'Final Calculation Sheet'!$C$39)</f>
        <v>15006</v>
      </c>
      <c r="I36" s="70">
        <f>IF('Final Calculation Sheet'!$H$39="","",'Final Calculation Sheet'!$H$39)</f>
        <v>30012</v>
      </c>
      <c r="J36" s="70">
        <f>IF('Final Calculation Sheet'!$I$39="","",'Final Calculation Sheet'!$I$39)</f>
        <v>5402</v>
      </c>
      <c r="K36" s="70">
        <f>IF('Final Calculation Sheet'!$J$39="","",'Final Calculation Sheet'!$J$39)</f>
        <v>35414</v>
      </c>
      <c r="L36" s="70">
        <f>IF('Final Calculation Sheet'!$K$39="","",'Final Calculation Sheet'!$K$39)</f>
        <v>708</v>
      </c>
      <c r="M36" s="70">
        <f>IF('Final Calculation Sheet'!$L$39="","",'Final Calculation Sheet'!$L$39)</f>
        <v>30.012</v>
      </c>
      <c r="N36" s="70">
        <f>IF('Final Calculation Sheet'!$M$39="","",'Final Calculation Sheet'!$M$39)</f>
        <v>796.81859999999995</v>
      </c>
      <c r="O36" s="71">
        <f>IF('Final Calculation Sheet'!$N$39="","",'Final Calculation Sheet'!$N$39)</f>
        <v>13.5054</v>
      </c>
      <c r="P36" s="70">
        <f>IF('Final Calculation Sheet'!$O$39="","",'Final Calculation Sheet'!$O$39)</f>
        <v>783.31319999999994</v>
      </c>
      <c r="Q36" s="70">
        <f>IF('Final Calculation Sheet'!$P$39="","",'Final Calculation Sheet'!$P$39)</f>
        <v>813</v>
      </c>
      <c r="R36" s="72">
        <f>IF('Final Calculation Sheet'!$Q$39="","",'Final Calculation Sheet'!$Q$39)</f>
        <v>0</v>
      </c>
      <c r="S36" s="70">
        <f>IF('Final Calculation Sheet'!$R$39="","",'Final Calculation Sheet'!$R$39)</f>
        <v>0</v>
      </c>
      <c r="T36" s="70">
        <f>IF('Final Calculation Sheet'!$S$39="","",'Final Calculation Sheet'!$S$39)</f>
        <v>35309</v>
      </c>
      <c r="U36" s="70">
        <f>IF('Final Calculation Sheet'!$T$39="","",'Final Calculation Sheet'!$T$39)</f>
        <v>7503</v>
      </c>
      <c r="V36" s="73">
        <f>IF('Final Calculation Sheet'!$U$39="","",'Final Calculation Sheet'!$U$39)</f>
        <v>7503</v>
      </c>
      <c r="W36" s="70" t="str">
        <f>IF('Final Calculation Sheet'!$V$39="","",'Final Calculation Sheet'!$V$39)</f>
        <v>14.08.2026</v>
      </c>
      <c r="X36" s="70">
        <f>IF('Final Calculation Sheet'!$W$39="","",'Final Calculation Sheet'!$W$39)</f>
        <v>27806</v>
      </c>
      <c r="Y36" s="70">
        <f>IF('Final Calculation Sheet'!$X$39="","",'Final Calculation Sheet'!$X$39)</f>
        <v>27806</v>
      </c>
      <c r="Z36" s="70" t="str">
        <f>IF('Final Calculation Sheet'!$Y$39="","",'Final Calculation Sheet'!$Y$39)</f>
        <v>01.09.2026</v>
      </c>
      <c r="AA36" s="70">
        <f>IF('Final Calculation Sheet'!$Z$39="","",'Final Calculation Sheet'!$Z$39)</f>
        <v>708.28319999999997</v>
      </c>
      <c r="AB36" s="70">
        <f>IF('Final Calculation Sheet'!$AA$39="","",'Final Calculation Sheet'!$AA$39)</f>
        <v>708</v>
      </c>
      <c r="AC36" s="70" t="str">
        <f>IF('Final Calculation Sheet'!$AB$39="","",'Final Calculation Sheet'!$AB$39)</f>
        <v>01.09.2026</v>
      </c>
      <c r="AD36" s="70">
        <f>IF('Final Calculation Sheet'!$AC$39="","",'Final Calculation Sheet'!$AC$39)</f>
        <v>36017</v>
      </c>
      <c r="AE36" s="70">
        <f>IF('Final Calculation Sheet'!$AD$39="","",'Final Calculation Sheet'!$AD$39)</f>
        <v>-708</v>
      </c>
      <c r="AF36" s="70" t="str">
        <f>IF('Final Calculation Sheet'!$AE$39="","",'Final Calculation Sheet'!$AE$39)</f>
        <v/>
      </c>
      <c r="AG36" s="74" t="str">
        <f>IF('Final Calculation Sheet'!$AF$39="","",'Final Calculation Sheet'!$AF$39)</f>
        <v/>
      </c>
      <c r="AH36" s="70" t="str">
        <f>IF('Final Calculation Sheet'!$AG$39="","",'Final Calculation Sheet'!$AG$39)</f>
        <v/>
      </c>
      <c r="AI36" s="75" t="str">
        <f>IF('Final Calculation Sheet'!$AD$39="","",IF('Final Calculation Sheet'!$AD$39&lt;=5,"SETTLED","OUTSTANDING"))</f>
        <v>SETTLED</v>
      </c>
      <c r="AJ36" t="b">
        <f>AND(IF($B$4="",TRUE(),IF($B$4="(blank)",'Final Calculation Sheet'!$F$34="",IF($B$4="(nonblank)",'Final Calculation Sheet'!$F$34&lt;&gt;"",ISNUMBER(SEARCH($B$4,'Final Calculation Sheet'!$F$34))))),IF($C$4="",TRUE(),IF($C$4="(blank)",'Final Calculation Sheet'!$G$34="",IF($C$4="(nonblank)",'Final Calculation Sheet'!$G$34&lt;&gt;"",ISNUMBER(SEARCH($C$4,'Final Calculation Sheet'!$G$34))))),IF($D$4="",TRUE(),IF($D$4="(blank)",'Final Calculation Sheet'!$B$34="",IF($D$4="(nonblank)",'Final Calculation Sheet'!$B$34&lt;&gt;"",ISNUMBER(SEARCH($D$4,'Final Calculation Sheet'!$B$34))))),IF($E$4="",TRUE(),IF($E$4="(blank)",'Final Calculation Sheet'!$D$34="",IF($E$4="(nonblank)",'Final Calculation Sheet'!$D$34&lt;&gt;"",ISNUMBER(SEARCH($E$4,'Final Calculation Sheet'!$D$34))))),IF($F$4="",TRUE(),IF($F$4="(blank)",'Final Calculation Sheet'!$A$34="",IF($F$4="(nonblank)",'Final Calculation Sheet'!$A$34&lt;&gt;"",ISNUMBER(SEARCH($F$4,'Final Calculation Sheet'!$A$34))))),IF($G$4="",TRUE(),IF($G$4="(blank)",'Final Calculation Sheet'!$E$34="",IF($G$4="(nonblank)",'Final Calculation Sheet'!$E$34&lt;&gt;"",ISNUMBER(SEARCH($G$4,'Final Calculation Sheet'!$E$34))))),IF($H$4="",TRUE(),IF($H$4="(blank)",'Final Calculation Sheet'!$C$34="",IF($H$4="(nonblank)",'Final Calculation Sheet'!$C$34&lt;&gt;"",ISNUMBER(SEARCH($H$4,'Final Calculation Sheet'!$C$34))))),IF($I$4="",TRUE(),IF($I$4="(blank)",'Final Calculation Sheet'!$H$34="",IF($I$4="(nonblank)",'Final Calculation Sheet'!$H$34&lt;&gt;"",ISNUMBER(SEARCH($I$4,'Final Calculation Sheet'!$H$34))))),IF($J$4="",TRUE(),IF($J$4="(blank)",'Final Calculation Sheet'!$I$34="",IF($J$4="(nonblank)",'Final Calculation Sheet'!$I$34&lt;&gt;"",ISNUMBER(SEARCH($J$4,'Final Calculation Sheet'!$I$34))))),IF($K$4="",TRUE(),IF($K$4="(blank)",'Final Calculation Sheet'!$J$34="",IF($K$4="(nonblank)",'Final Calculation Sheet'!$J$34&lt;&gt;"",ISNUMBER(SEARCH($K$4,'Final Calculation Sheet'!$J$34))))),IF($L$4="",TRUE(),IF($L$4="(blank)",'Final Calculation Sheet'!$K$34="",IF($L$4="(nonblank)",'Final Calculation Sheet'!$K$34&lt;&gt;"",ISNUMBER(SEARCH($L$4,'Final Calculation Sheet'!$K$34))))),IF($M$4="",TRUE(),IF($M$4="(blank)",'Final Calculation Sheet'!$L$34="",IF($M$4="(nonblank)",'Final Calculation Sheet'!$L$34&lt;&gt;"",ISNUMBER(SEARCH($M$4,'Final Calculation Sheet'!$L$34))))),IF($N$4="",TRUE(),IF($N$4="(blank)",'Final Calculation Sheet'!$M$34="",IF($N$4="(nonblank)",'Final Calculation Sheet'!$M$34&lt;&gt;"",ISNUMBER(SEARCH($N$4,'Final Calculation Sheet'!$M$34))))),IF($O$4="",TRUE(),IF($O$4="(blank)",'Final Calculation Sheet'!$N$34="",IF($O$4="(nonblank)",'Final Calculation Sheet'!$N$34&lt;&gt;"",ISNUMBER(SEARCH($O$4,'Final Calculation Sheet'!$N$34))))),IF($P$4="",TRUE(),IF($P$4="(blank)",'Final Calculation Sheet'!$O$34="",IF($P$4="(nonblank)",'Final Calculation Sheet'!$O$34&lt;&gt;"",ISNUMBER(SEARCH($P$4,'Final Calculation Sheet'!$O$34))))),IF($Q$4="",TRUE(),IF($Q$4="(blank)",'Final Calculation Sheet'!$P$34="",IF($Q$4="(nonblank)",'Final Calculation Sheet'!$P$34&lt;&gt;"",ISNUMBER(SEARCH($Q$4,'Final Calculation Sheet'!$P$34))))),IF($R$4="",TRUE(),IF($R$4="(blank)",'Final Calculation Sheet'!$Q$34="",IF($R$4="(nonblank)",'Final Calculation Sheet'!$Q$34&lt;&gt;"",ISNUMBER(SEARCH($R$4,'Final Calculation Sheet'!$Q$34))))),IF($S$4="",TRUE(),IF($S$4="(blank)",'Final Calculation Sheet'!$R$34="",IF($S$4="(nonblank)",'Final Calculation Sheet'!$R$34&lt;&gt;"",ISNUMBER(SEARCH($S$4,'Final Calculation Sheet'!$R$34))))),IF($T$4="",TRUE(),IF($T$4="(blank)",'Final Calculation Sheet'!$S$34="",IF($T$4="(nonblank)",'Final Calculation Sheet'!$S$34&lt;&gt;"",ISNUMBER(SEARCH($T$4,'Final Calculation Sheet'!$S$34))))),IF($U$4="",TRUE(),IF($U$4="(blank)",'Final Calculation Sheet'!$T$34="",IF($U$4="(nonblank)",'Final Calculation Sheet'!$T$34&lt;&gt;"",ISNUMBER(SEARCH($U$4,'Final Calculation Sheet'!$T$34))))),IF($V$4="",TRUE(),IF($V$4="(blank)",'Final Calculation Sheet'!$U$34="",IF($V$4="(nonblank)",'Final Calculation Sheet'!$U$34&lt;&gt;"",ISNUMBER(SEARCH($V$4,'Final Calculation Sheet'!$U$34))))),IF($W$4="",TRUE(),IF($W$4="(blank)",'Final Calculation Sheet'!$V$34="",IF($W$4="(nonblank)",'Final Calculation Sheet'!$V$34&lt;&gt;"",ISNUMBER(SEARCH($W$4,'Final Calculation Sheet'!$V$34))))),IF($X$4="",TRUE(),IF($X$4="(blank)",'Final Calculation Sheet'!$W$34="",IF($X$4="(nonblank)",'Final Calculation Sheet'!$W$34&lt;&gt;"",ISNUMBER(SEARCH($X$4,'Final Calculation Sheet'!$W$34))))),IF($Y$4="",TRUE(),IF($Y$4="(blank)",'Final Calculation Sheet'!$X$34="",IF($Y$4="(nonblank)",'Final Calculation Sheet'!$X$34&lt;&gt;"",ISNUMBER(SEARCH($Y$4,'Final Calculation Sheet'!$X$34))))),IF($Z$4="",TRUE(),IF($Z$4="(blank)",'Final Calculation Sheet'!$Y$34="",IF($Z$4="(nonblank)",'Final Calculation Sheet'!$Y$34&lt;&gt;"",ISNUMBER(SEARCH($Z$4,'Final Calculation Sheet'!$Y$34))))),IF($AA$4="",TRUE(),IF($AA$4="(blank)",'Final Calculation Sheet'!$Z$34="",IF($AA$4="(nonblank)",'Final Calculation Sheet'!$Z$34&lt;&gt;"",ISNUMBER(SEARCH($AA$4,'Final Calculation Sheet'!$Z$34))))),IF($AB$4="",TRUE(),IF($AB$4="(blank)",'Final Calculation Sheet'!$AA$34="",IF($AB$4="(nonblank)",'Final Calculation Sheet'!$AA$34&lt;&gt;"",ISNUMBER(SEARCH($AB$4,'Final Calculation Sheet'!$AA$34))))),IF($AC$4="",TRUE(),IF($AC$4="(blank)",'Final Calculation Sheet'!$AB$34="",IF($AC$4="(nonblank)",'Final Calculation Sheet'!$AB$34&lt;&gt;"",ISNUMBER(SEARCH($AC$4,'Final Calculation Sheet'!$AB$34))))),IF($AD$4="",TRUE(),IF($AD$4="(blank)",'Final Calculation Sheet'!$AC$34="",IF($AD$4="(nonblank)",'Final Calculation Sheet'!$AC$34&lt;&gt;"",ISNUMBER(SEARCH($AD$4,'Final Calculation Sheet'!$AC$34))))),IF($AE$4="",TRUE(),IF($AE$4="(blank)",'Final Calculation Sheet'!$AD$34="",IF($AE$4="(nonblank)",'Final Calculation Sheet'!$AD$34&lt;&gt;"",ISNUMBER(SEARCH($AE$4,'Final Calculation Sheet'!$AD$34))))),IF($AF$4="",TRUE(),IF($AF$4="(blank)",'Final Calculation Sheet'!$AE$34="",IF($AF$4="(nonblank)",'Final Calculation Sheet'!$AE$34&lt;&gt;"",ISNUMBER(SEARCH($AF$4,'Final Calculation Sheet'!$AE$34))))),IF($AG$4="",TRUE(),IF($AG$4="(blank)",'Final Calculation Sheet'!$AF$34="",IF($AG$4="(nonblank)",'Final Calculation Sheet'!$AF$34&lt;&gt;"",ISNUMBER(SEARCH($AG$4,'Final Calculation Sheet'!$AF$34))))),IF($AH$4="",TRUE(),IF($AH$4="(blank)",'Final Calculation Sheet'!$AG$34="",IF($AH$4="(nonblank)",'Final Calculation Sheet'!$AG$34&lt;&gt;"",ISNUMBER(SEARCH($AH$4,'Final Calculation Sheet'!$AG$34))))),IF($AI$4="",TRUE(),IF($AI$4="(blank)",IF('Final Calculation Sheet'!$AD$34&lt;=5,"SETTLED","OUTSTANDING")="",IF($AI$4="(nonblank)",IF('Final Calculation Sheet'!$AD$34&lt;=5,"SETTLED","OUTSTANDING")&lt;&gt;"",ISNUMBER(SEARCH($AI$4,IF('Final Calculation Sheet'!$AD$34&lt;=5,"SETTLED","OUTSTANDING")))))))</f>
        <v>1</v>
      </c>
      <c r="AK36" t="str">
        <f>IF(AJ36=1,COUNTIF(AJ$6:AJ36,1),"")</f>
        <v/>
      </c>
      <c r="AM36">
        <f>AM35+IF(AND(Lists!$O$36&lt;&gt;"",ISNUMBER(SEARCH($B$4,Lists!$O$36))),1,0)</f>
        <v>33</v>
      </c>
      <c r="AN36">
        <f>IF(ROW()-3&gt;MAX($AM$4:$AM$42),"",INDEX(Lists!$O$4:$O$42,MATCH(ROW()-3,$AM$4:$AM$42,0)))</f>
        <v>2069</v>
      </c>
      <c r="AO36">
        <f>AO35+IF(AND(Lists!$T$36&lt;&gt;"",ISNUMBER(SEARCH($C$4,Lists!$T$36))),1,0)</f>
        <v>13</v>
      </c>
      <c r="AP36" t="str">
        <f>IF(ROW()-3&gt;MAX($AO$4:$AO$42),"",INDEX(Lists!$T$4:$T$42,MATCH(ROW()-3,$AO$4:$AO$42,0)))</f>
        <v/>
      </c>
      <c r="AQ36">
        <f>AQ35+IF(AND(Lists!$Y$36&lt;&gt;"",ISNUMBER(SEARCH($D$4,Lists!$Y$36))),1,0)</f>
        <v>25</v>
      </c>
      <c r="AR36" t="str">
        <f>IF(ROW()-3&gt;MAX($AQ$4:$AQ$42),"",INDEX(Lists!$Y$4:$Y$42,MATCH(ROW()-3,$AQ$4:$AQ$42,0)))</f>
        <v/>
      </c>
      <c r="AS36">
        <f>AS35+IF(AND(Lists!$AD$36&lt;&gt;"",ISNUMBER(SEARCH($E$4,Lists!$AD$36))),1,0)</f>
        <v>4</v>
      </c>
      <c r="AT36" t="str">
        <f>IF(ROW()-3&gt;MAX($AS$4:$AS$42),"",INDEX(Lists!$AD$4:$AD$42,MATCH(ROW()-3,$AS$4:$AS$42,0)))</f>
        <v/>
      </c>
      <c r="AU36">
        <f>AU35+IF(AND(Lists!$AI$36&lt;&gt;"",ISNUMBER(SEARCH($F$4,Lists!$AI$36))),1,0)</f>
        <v>22</v>
      </c>
      <c r="AV36" t="str">
        <f>IF(ROW()-3&gt;MAX($AU$4:$AU$42),"",INDEX(Lists!$AI$4:$AI$42,MATCH(ROW()-3,$AU$4:$AU$42,0)))</f>
        <v/>
      </c>
      <c r="AW36">
        <f>AW35+IF(AND(Lists!$AN$36&lt;&gt;"",ISNUMBER(SEARCH($G$4,Lists!$AN$36))),1,0)</f>
        <v>3</v>
      </c>
      <c r="AX36" t="str">
        <f>IF(ROW()-3&gt;MAX($AW$4:$AW$42),"",INDEX(Lists!$AN$4:$AN$42,MATCH(ROW()-3,$AW$4:$AW$42,0)))</f>
        <v/>
      </c>
      <c r="AY36">
        <f>AY35+IF(AND(Lists!$AS$36&lt;&gt;"",ISNUMBER(SEARCH($H$4,Lists!$AS$36))),1,0)</f>
        <v>33</v>
      </c>
      <c r="AZ36">
        <f>IF(ROW()-3&gt;MAX($AY$4:$AY$42),"",INDEX(Lists!$AS$4:$AS$42,MATCH(ROW()-3,$AY$4:$AY$42,0)))</f>
        <v>220001</v>
      </c>
      <c r="BA36">
        <f>BA35+IF(AND(Lists!$AX$36&lt;&gt;"",ISNUMBER(SEARCH($I$4,Lists!$AX$36))),1,0)</f>
        <v>33</v>
      </c>
      <c r="BB36">
        <f>IF(ROW()-3&gt;MAX($BA$4:$BA$42),"",INDEX(Lists!$AX$4:$AX$42,MATCH(ROW()-3,$BA$4:$BA$42,0)))</f>
        <v>790089</v>
      </c>
      <c r="BC36">
        <f>BC35+IF(AND(Lists!$BC$36&lt;&gt;"",ISNUMBER(SEARCH($J$4,Lists!$BC$36))),1,0)</f>
        <v>33</v>
      </c>
      <c r="BD36">
        <f>IF(ROW()-3&gt;MAX($BC$4:$BC$42),"",INDEX(Lists!$BC$4:$BC$42,MATCH(ROW()-3,$BC$4:$BC$42,0)))</f>
        <v>142216</v>
      </c>
      <c r="BE36">
        <f>BE35+IF(AND(Lists!$BH$36&lt;&gt;"",ISNUMBER(SEARCH($K$4,Lists!$BH$36))),1,0)</f>
        <v>33</v>
      </c>
      <c r="BF36">
        <f>IF(ROW()-3&gt;MAX($BE$4:$BE$42),"",INDEX(Lists!$BH$4:$BH$42,MATCH(ROW()-3,$BE$4:$BE$42,0)))</f>
        <v>932305</v>
      </c>
      <c r="BG36">
        <f>BG35+IF(AND(Lists!$BM$36&lt;&gt;"",ISNUMBER(SEARCH($L$4,Lists!$BM$36))),1,0)</f>
        <v>33</v>
      </c>
      <c r="BH36">
        <f>IF(ROW()-3&gt;MAX($BG$4:$BG$42),"",INDEX(Lists!$BM$4:$BM$42,MATCH(ROW()-3,$BG$4:$BG$42,0)))</f>
        <v>27506</v>
      </c>
      <c r="BI36">
        <f>BI35+IF(AND(Lists!$BR$36&lt;&gt;"",ISNUMBER(SEARCH($M$4,Lists!$BR$36))),1,0)</f>
        <v>33</v>
      </c>
      <c r="BJ36">
        <f>IF(ROW()-3&gt;MAX($BI$4:$BI$42),"",INDEX(Lists!$BR$4:$BR$42,MATCH(ROW()-3,$BI$4:$BI$42,0)))</f>
        <v>790.08900000000006</v>
      </c>
      <c r="BK36">
        <f>BK35+IF(AND(Lists!$BW$36&lt;&gt;"",ISNUMBER(SEARCH($N$4,Lists!$BW$36))),1,0)</f>
        <v>33</v>
      </c>
      <c r="BL36">
        <f>IF(ROW()-3&gt;MAX($BK$4:$BK$42),"",INDEX(Lists!$BW$4:$BW$42,MATCH(ROW()-3,$BK$4:$BK$42,0)))</f>
        <v>20976.862949999999</v>
      </c>
      <c r="BM36">
        <f>BM35+IF(AND(Lists!$CB$36&lt;&gt;"",ISNUMBER(SEARCH($O$4,Lists!$CB$36))),1,0)</f>
        <v>33</v>
      </c>
      <c r="BN36">
        <f>IF(ROW()-3&gt;MAX($BM$4:$BM$42),"",INDEX(Lists!$CB$4:$CB$42,MATCH(ROW()-3,$BM$4:$BM$42,0)))</f>
        <v>355.54005000000001</v>
      </c>
      <c r="BO36">
        <f>BO35+IF(AND(Lists!$CG$36&lt;&gt;"",ISNUMBER(SEARCH($P$4,Lists!$CG$36))),1,0)</f>
        <v>33</v>
      </c>
      <c r="BP36">
        <f>IF(ROW()-3&gt;MAX($BO$4:$BO$42),"",INDEX(Lists!$CG$4:$CG$42,MATCH(ROW()-3,$BO$4:$BO$42,0)))</f>
        <v>20621.322899999999</v>
      </c>
      <c r="BQ36">
        <f>BQ35+IF(AND(Lists!$CL$36&lt;&gt;"",ISNUMBER(SEARCH($Q$4,Lists!$CL$36))),1,0)</f>
        <v>33</v>
      </c>
      <c r="BR36">
        <f>IF(ROW()-3&gt;MAX($BQ$4:$BQ$42),"",INDEX(Lists!$CL$4:$CL$42,MATCH(ROW()-3,$BQ$4:$BQ$42,0)))</f>
        <v>31585</v>
      </c>
      <c r="BS36">
        <f>BS35+IF(AND(Lists!$CQ$36&lt;&gt;"",ISNUMBER(SEARCH($R$4,Lists!$CQ$36))),1,0)</f>
        <v>2</v>
      </c>
      <c r="BT36" t="str">
        <f>IF(ROW()-3&gt;MAX($BS$4:$BS$42),"",INDEX(Lists!$CQ$4:$CQ$42,MATCH(ROW()-3,$BS$4:$BS$42,0)))</f>
        <v/>
      </c>
      <c r="BU36">
        <f>BU35+IF(AND(Lists!$CV$36&lt;&gt;"",ISNUMBER(SEARCH($S$4,Lists!$CV$36))),1,0)</f>
        <v>5</v>
      </c>
      <c r="BV36" t="str">
        <f>IF(ROW()-3&gt;MAX($BU$4:$BU$42),"",INDEX(Lists!$CV$4:$CV$42,MATCH(ROW()-3,$BU$4:$BU$42,0)))</f>
        <v/>
      </c>
      <c r="BW36">
        <f>BW35+IF(AND(Lists!$DA$36&lt;&gt;"",ISNUMBER(SEARCH($T$4,Lists!$DA$36))),1,0)</f>
        <v>33</v>
      </c>
      <c r="BX36">
        <f>IF(ROW()-3&gt;MAX($BW$4:$BW$42),"",INDEX(Lists!$DA$4:$DA$42,MATCH(ROW()-3,$BW$4:$BW$42,0)))</f>
        <v>913738</v>
      </c>
      <c r="BY36">
        <f>BY35+IF(AND(Lists!$DF$36&lt;&gt;"",ISNUMBER(SEARCH($U$4,Lists!$DF$36))),1,0)</f>
        <v>33</v>
      </c>
      <c r="BZ36">
        <f>IF(ROW()-3&gt;MAX($BY$4:$BY$42),"",INDEX(Lists!$DF$4:$DF$42,MATCH(ROW()-3,$BY$4:$BY$42,0)))</f>
        <v>197522</v>
      </c>
      <c r="CA36">
        <f>CA35+IF(AND(Lists!$DK$36&lt;&gt;"",ISNUMBER(SEARCH($V$4,Lists!$DK$36))),1,0)</f>
        <v>33</v>
      </c>
      <c r="CB36">
        <f>IF(ROW()-3&gt;MAX($CA$4:$CA$42),"",INDEX(Lists!$DK$4:$DK$42,MATCH(ROW()-3,$CA$4:$CA$42,0)))</f>
        <v>197522</v>
      </c>
      <c r="CC36">
        <f>CC35+IF(AND(Lists!$DP$36&lt;&gt;"",ISNUMBER(SEARCH($W$4,Lists!$DP$36))),1,0)</f>
        <v>6</v>
      </c>
      <c r="CD36" t="str">
        <f>IF(ROW()-3&gt;MAX($CC$4:$CC$42),"",INDEX(Lists!$DP$4:$DP$42,MATCH(ROW()-3,$CC$4:$CC$42,0)))</f>
        <v/>
      </c>
      <c r="CE36">
        <f>CE35+IF(AND(Lists!$DU$36&lt;&gt;"",ISNUMBER(SEARCH($X$4,Lists!$DU$36))),1,0)</f>
        <v>33</v>
      </c>
      <c r="CF36">
        <f>IF(ROW()-3&gt;MAX($CE$4:$CE$42),"",INDEX(Lists!$DU$4:$DU$42,MATCH(ROW()-3,$CE$4:$CE$42,0)))</f>
        <v>716215</v>
      </c>
      <c r="CG36" t="e">
        <f>CG35+IF(AND(Lists!$DZ$36&lt;&gt;"",ISNUMBER(SEARCH($Y$4,Lists!$DZ$36))),1,0)</f>
        <v>#N/A</v>
      </c>
      <c r="CH36" t="e">
        <f>IF(ROW()-3&gt;MAX($CG$4:$CG$42),"",INDEX(Lists!$DZ$4:$DZ$42,MATCH(ROW()-3,$CG$4:$CG$42,0)))</f>
        <v>#N/A</v>
      </c>
      <c r="CI36" t="e">
        <f>CI35+IF(AND(Lists!$EE$36&lt;&gt;"",ISNUMBER(SEARCH($Z$4,Lists!$EE$36))),1,0)</f>
        <v>#N/A</v>
      </c>
      <c r="CJ36" t="e">
        <f>IF(ROW()-3&gt;MAX($CI$4:$CI$42),"",INDEX(Lists!$EE$4:$EE$42,MATCH(ROW()-3,$CI$4:$CI$42,0)))</f>
        <v>#N/A</v>
      </c>
      <c r="CK36">
        <f>CK35+IF(AND(Lists!$EJ$36&lt;&gt;"",ISNUMBER(SEARCH($AA$4,Lists!$EJ$36))),1,0)</f>
        <v>6</v>
      </c>
      <c r="CL36" t="str">
        <f>IF(ROW()-3&gt;MAX($CK$4:$CK$42),"",INDEX(Lists!$EJ$4:$EJ$42,MATCH(ROW()-3,$CK$4:$CK$42,0)))</f>
        <v/>
      </c>
      <c r="CM36" t="e">
        <f>CM35+IF(AND(Lists!$EO$36&lt;&gt;"",ISNUMBER(SEARCH($AB$4,Lists!$EO$36))),1,0)</f>
        <v>#N/A</v>
      </c>
      <c r="CN36" t="e">
        <f>IF(ROW()-3&gt;MAX($CM$4:$CM$42),"",INDEX(Lists!$EO$4:$EO$42,MATCH(ROW()-3,$CM$4:$CM$42,0)))</f>
        <v>#N/A</v>
      </c>
      <c r="CO36" t="e">
        <f>CO35+IF(AND(Lists!$ET$36&lt;&gt;"",ISNUMBER(SEARCH($AC$4,Lists!$ET$36))),1,0)</f>
        <v>#N/A</v>
      </c>
      <c r="CP36" t="e">
        <f>IF(ROW()-3&gt;MAX($CO$4:$CO$42),"",INDEX(Lists!$ET$4:$ET$42,MATCH(ROW()-3,$CO$4:$CO$42,0)))</f>
        <v>#N/A</v>
      </c>
      <c r="CQ36">
        <f>CQ35+IF(AND(Lists!$EY$36&lt;&gt;"",ISNUMBER(SEARCH($AD$4,Lists!$EY$36))),1,0)</f>
        <v>33</v>
      </c>
      <c r="CR36">
        <f>IF(ROW()-3&gt;MAX($CQ$4:$CQ$42),"",INDEX(Lists!$EY$4:$EY$42,MATCH(ROW()-3,$CQ$4:$CQ$42,0)))</f>
        <v>913738</v>
      </c>
      <c r="CS36" t="e">
        <f>CS35+IF(AND(Lists!$FD$36&lt;&gt;"",ISNUMBER(SEARCH($AE$4,Lists!$FD$36))),1,0)</f>
        <v>#N/A</v>
      </c>
      <c r="CT36" t="e">
        <f>IF(ROW()-3&gt;MAX($CS$4:$CS$42),"",INDEX(Lists!$FD$4:$FD$42,MATCH(ROW()-3,$CS$4:$CS$42,0)))</f>
        <v>#N/A</v>
      </c>
      <c r="CU36" t="e">
        <f>CU35+IF(AND(Lists!$FI$36&lt;&gt;"",ISNUMBER(SEARCH($AF$4,Lists!$FI$36))),1,0)</f>
        <v>#N/A</v>
      </c>
      <c r="CV36" t="e">
        <f>IF(ROW()-3&gt;MAX($CU$4:$CU$42),"",INDEX(Lists!$FI$4:$FI$42,MATCH(ROW()-3,$CU$4:$CU$42,0)))</f>
        <v>#N/A</v>
      </c>
      <c r="CW36" t="e">
        <f>CW35+IF(AND(Lists!$FN$36&lt;&gt;"",ISNUMBER(SEARCH($AG$4,Lists!$FN$36))),1,0)</f>
        <v>#N/A</v>
      </c>
      <c r="CX36" t="e">
        <f>IF(ROW()-3&gt;MAX($CW$4:$CW$42),"",INDEX(Lists!$FN$4:$FN$42,MATCH(ROW()-3,$CW$4:$CW$42,0)))</f>
        <v>#N/A</v>
      </c>
      <c r="CY36" t="e">
        <f>CY35+IF(AND(Lists!$FS$36&lt;&gt;"",ISNUMBER(SEARCH($AH$4,Lists!$FS$36))),1,0)</f>
        <v>#N/A</v>
      </c>
      <c r="CZ36" t="e">
        <f>IF(ROW()-3&gt;MAX($CY$4:$CY$42),"",INDEX(Lists!$FS$4:$FS$42,MATCH(ROW()-3,$CY$4:$CY$42,0)))</f>
        <v>#N/A</v>
      </c>
      <c r="DA36">
        <f>DA35+IF(AND(Lists!$FX$36&lt;&gt;"",ISNUMBER(SEARCH($AI$4,Lists!$FX$36))),1,0)</f>
        <v>2</v>
      </c>
      <c r="DB36" t="str">
        <f>IF(ROW()-3&gt;MAX($DA$4:$DA$42),"",INDEX(Lists!$FX$4:$FX$42,MATCH(ROW()-3,$DA$4:$DA$42,0)))</f>
        <v/>
      </c>
    </row>
    <row r="37" outlineLevel="1" ht="15" customHeight="1" s="137">
      <c r="A37" s="90" t="n">
        <v>2</v>
      </c>
      <c r="B37" s="92">
        <f>IF('Final Calculation Sheet'!$F$40="","",'Final Calculation Sheet'!$F$40)</f>
        <v>2091</v>
      </c>
      <c r="C37" s="92" t="str">
        <f>IF('Final Calculation Sheet'!$G$40="","",'Final Calculation Sheet'!$G$40)</f>
        <v>S M ENTERPRISES</v>
      </c>
      <c r="D37" s="94" t="str">
        <f>IF('Final Calculation Sheet'!$B$40="","",'Final Calculation Sheet'!$B$40)</f>
        <v>Scrap of 132 KV CT</v>
      </c>
      <c r="E37" s="94">
        <f>IF('Final Calculation Sheet'!$D$40="","",'Final Calculation Sheet'!$D$40)</f>
        <v>21980</v>
      </c>
      <c r="F37" s="94">
        <f>IF('Final Calculation Sheet'!$A$40="","",'Final Calculation Sheet'!$A$40)</f>
        <v>3</v>
      </c>
      <c r="G37" s="94" t="str">
        <f>IF('Final Calculation Sheet'!$E$40="","",'Final Calculation Sheet'!$E$40)</f>
        <v>NO</v>
      </c>
      <c r="H37" s="95">
        <f>IF('Final Calculation Sheet'!$C$40="","",'Final Calculation Sheet'!$C$40)</f>
        <v>40003</v>
      </c>
      <c r="I37" s="95">
        <f>IF('Final Calculation Sheet'!$H$40="","",'Final Calculation Sheet'!$H$40)</f>
        <v>120009</v>
      </c>
      <c r="J37" s="95">
        <f>IF('Final Calculation Sheet'!$I$40="","",'Final Calculation Sheet'!$I$40)</f>
        <v>21602</v>
      </c>
      <c r="K37" s="95">
        <f>IF('Final Calculation Sheet'!$J$40="","",'Final Calculation Sheet'!$J$40)</f>
        <v>141611</v>
      </c>
      <c r="L37" s="95">
        <f>IF('Final Calculation Sheet'!$K$40="","",'Final Calculation Sheet'!$K$40)</f>
        <v>2832</v>
      </c>
      <c r="M37" s="95">
        <f>IF('Final Calculation Sheet'!$L$40="","",'Final Calculation Sheet'!$L$40)</f>
        <v>120.009</v>
      </c>
      <c r="N37" s="95">
        <f>IF('Final Calculation Sheet'!$M$40="","",'Final Calculation Sheet'!$M$40)</f>
        <v>3186.2389499999995</v>
      </c>
      <c r="O37" s="96">
        <f>IF('Final Calculation Sheet'!$N$40="","",'Final Calculation Sheet'!$N$40)</f>
        <v>54.004049999999999</v>
      </c>
      <c r="P37" s="95">
        <f>IF('Final Calculation Sheet'!$O$40="","",'Final Calculation Sheet'!$O$40)</f>
        <v>3132.2348999999995</v>
      </c>
      <c r="Q37" s="95">
        <f>IF('Final Calculation Sheet'!$P$40="","",'Final Calculation Sheet'!$P$40)</f>
        <v>3252</v>
      </c>
      <c r="R37" s="97">
        <f>IF('Final Calculation Sheet'!$Q$40="","",'Final Calculation Sheet'!$Q$40)</f>
        <v>0</v>
      </c>
      <c r="S37" s="95">
        <f>IF('Final Calculation Sheet'!$R$40="","",'Final Calculation Sheet'!$R$40)</f>
        <v>0</v>
      </c>
      <c r="T37" s="95">
        <f>IF('Final Calculation Sheet'!$S$40="","",'Final Calculation Sheet'!$S$40)</f>
        <v>141191</v>
      </c>
      <c r="U37" s="95">
        <f>IF('Final Calculation Sheet'!$T$40="","",'Final Calculation Sheet'!$T$40)</f>
        <v>30002</v>
      </c>
      <c r="V37" s="98">
        <f>IF('Final Calculation Sheet'!$U$40="","",'Final Calculation Sheet'!$U$40)</f>
        <v>30002</v>
      </c>
      <c r="W37" s="95" t="str">
        <f>IF('Final Calculation Sheet'!$V$40="","",'Final Calculation Sheet'!$V$40)</f>
        <v>14.08.2026</v>
      </c>
      <c r="X37" s="95">
        <f>IF('Final Calculation Sheet'!$W$40="","",'Final Calculation Sheet'!$W$40)</f>
        <v>111188</v>
      </c>
      <c r="Y37" s="95">
        <f>IF('Final Calculation Sheet'!$X$40="","",'Final Calculation Sheet'!$X$40)</f>
        <v>111189</v>
      </c>
      <c r="Z37" s="95" t="str">
        <f>IF('Final Calculation Sheet'!$Y$40="","",'Final Calculation Sheet'!$Y$40)</f>
        <v>01.09.2026</v>
      </c>
      <c r="AA37" s="95">
        <f>IF('Final Calculation Sheet'!$Z$40="","",'Final Calculation Sheet'!$Z$40)</f>
        <v>2832.2123999999999</v>
      </c>
      <c r="AB37" s="95">
        <f>IF('Final Calculation Sheet'!$AA$40="","",'Final Calculation Sheet'!$AA$40)</f>
        <v>2832</v>
      </c>
      <c r="AC37" s="95" t="str">
        <f>IF('Final Calculation Sheet'!$AB$40="","",'Final Calculation Sheet'!$AB$40)</f>
        <v>01.09.2026</v>
      </c>
      <c r="AD37" s="95">
        <f>IF('Final Calculation Sheet'!$AC$40="","",'Final Calculation Sheet'!$AC$40)</f>
        <v>144023</v>
      </c>
      <c r="AE37" s="95">
        <f>IF('Final Calculation Sheet'!$AD$40="","",'Final Calculation Sheet'!$AD$40)</f>
        <v>-2832</v>
      </c>
      <c r="AF37" s="95" t="str">
        <f>IF('Final Calculation Sheet'!$AE$40="","",'Final Calculation Sheet'!$AE$40)</f>
        <v/>
      </c>
      <c r="AG37" s="99" t="str">
        <f>IF('Final Calculation Sheet'!$AF$40="","",'Final Calculation Sheet'!$AF$40)</f>
        <v/>
      </c>
      <c r="AH37" s="95" t="str">
        <f>IF('Final Calculation Sheet'!$AG$40="","",'Final Calculation Sheet'!$AG$40)</f>
        <v/>
      </c>
      <c r="AI37" s="100" t="str">
        <f>IF('Final Calculation Sheet'!$AD$40="","",IF('Final Calculation Sheet'!$AD$40&lt;=5,"SETTLED","OUTSTANDING"))</f>
        <v>SETTLED</v>
      </c>
      <c r="AJ37" t="b">
        <f>AND(IF($B$4="",TRUE(),IF($B$4="(blank)",'Final Calculation Sheet'!$F$35="",IF($B$4="(nonblank)",'Final Calculation Sheet'!$F$35&lt;&gt;"",ISNUMBER(SEARCH($B$4,'Final Calculation Sheet'!$F$35))))),IF($C$4="",TRUE(),IF($C$4="(blank)",'Final Calculation Sheet'!$G$35="",IF($C$4="(nonblank)",'Final Calculation Sheet'!$G$35&lt;&gt;"",ISNUMBER(SEARCH($C$4,'Final Calculation Sheet'!$G$35))))),IF($D$4="",TRUE(),IF($D$4="(blank)",'Final Calculation Sheet'!$B$35="",IF($D$4="(nonblank)",'Final Calculation Sheet'!$B$35&lt;&gt;"",ISNUMBER(SEARCH($D$4,'Final Calculation Sheet'!$B$35))))),IF($E$4="",TRUE(),IF($E$4="(blank)",'Final Calculation Sheet'!$D$35="",IF($E$4="(nonblank)",'Final Calculation Sheet'!$D$35&lt;&gt;"",ISNUMBER(SEARCH($E$4,'Final Calculation Sheet'!$D$35))))),IF($F$4="",TRUE(),IF($F$4="(blank)",'Final Calculation Sheet'!$A$35="",IF($F$4="(nonblank)",'Final Calculation Sheet'!$A$35&lt;&gt;"",ISNUMBER(SEARCH($F$4,'Final Calculation Sheet'!$A$35))))),IF($G$4="",TRUE(),IF($G$4="(blank)",'Final Calculation Sheet'!$E$35="",IF($G$4="(nonblank)",'Final Calculation Sheet'!$E$35&lt;&gt;"",ISNUMBER(SEARCH($G$4,'Final Calculation Sheet'!$E$35))))),IF($H$4="",TRUE(),IF($H$4="(blank)",'Final Calculation Sheet'!$C$35="",IF($H$4="(nonblank)",'Final Calculation Sheet'!$C$35&lt;&gt;"",ISNUMBER(SEARCH($H$4,'Final Calculation Sheet'!$C$35))))),IF($I$4="",TRUE(),IF($I$4="(blank)",'Final Calculation Sheet'!$H$35="",IF($I$4="(nonblank)",'Final Calculation Sheet'!$H$35&lt;&gt;"",ISNUMBER(SEARCH($I$4,'Final Calculation Sheet'!$H$35))))),IF($J$4="",TRUE(),IF($J$4="(blank)",'Final Calculation Sheet'!$I$35="",IF($J$4="(nonblank)",'Final Calculation Sheet'!$I$35&lt;&gt;"",ISNUMBER(SEARCH($J$4,'Final Calculation Sheet'!$I$35))))),IF($K$4="",TRUE(),IF($K$4="(blank)",'Final Calculation Sheet'!$J$35="",IF($K$4="(nonblank)",'Final Calculation Sheet'!$J$35&lt;&gt;"",ISNUMBER(SEARCH($K$4,'Final Calculation Sheet'!$J$35))))),IF($L$4="",TRUE(),IF($L$4="(blank)",'Final Calculation Sheet'!$K$35="",IF($L$4="(nonblank)",'Final Calculation Sheet'!$K$35&lt;&gt;"",ISNUMBER(SEARCH($L$4,'Final Calculation Sheet'!$K$35))))),IF($M$4="",TRUE(),IF($M$4="(blank)",'Final Calculation Sheet'!$L$35="",IF($M$4="(nonblank)",'Final Calculation Sheet'!$L$35&lt;&gt;"",ISNUMBER(SEARCH($M$4,'Final Calculation Sheet'!$L$35))))),IF($N$4="",TRUE(),IF($N$4="(blank)",'Final Calculation Sheet'!$M$35="",IF($N$4="(nonblank)",'Final Calculation Sheet'!$M$35&lt;&gt;"",ISNUMBER(SEARCH($N$4,'Final Calculation Sheet'!$M$35))))),IF($O$4="",TRUE(),IF($O$4="(blank)",'Final Calculation Sheet'!$N$35="",IF($O$4="(nonblank)",'Final Calculation Sheet'!$N$35&lt;&gt;"",ISNUMBER(SEARCH($O$4,'Final Calculation Sheet'!$N$35))))),IF($P$4="",TRUE(),IF($P$4="(blank)",'Final Calculation Sheet'!$O$35="",IF($P$4="(nonblank)",'Final Calculation Sheet'!$O$35&lt;&gt;"",ISNUMBER(SEARCH($P$4,'Final Calculation Sheet'!$O$35))))),IF($Q$4="",TRUE(),IF($Q$4="(blank)",'Final Calculation Sheet'!$P$35="",IF($Q$4="(nonblank)",'Final Calculation Sheet'!$P$35&lt;&gt;"",ISNUMBER(SEARCH($Q$4,'Final Calculation Sheet'!$P$35))))),IF($R$4="",TRUE(),IF($R$4="(blank)",'Final Calculation Sheet'!$Q$35="",IF($R$4="(nonblank)",'Final Calculation Sheet'!$Q$35&lt;&gt;"",ISNUMBER(SEARCH($R$4,'Final Calculation Sheet'!$Q$35))))),IF($S$4="",TRUE(),IF($S$4="(blank)",'Final Calculation Sheet'!$R$35="",IF($S$4="(nonblank)",'Final Calculation Sheet'!$R$35&lt;&gt;"",ISNUMBER(SEARCH($S$4,'Final Calculation Sheet'!$R$35))))),IF($T$4="",TRUE(),IF($T$4="(blank)",'Final Calculation Sheet'!$S$35="",IF($T$4="(nonblank)",'Final Calculation Sheet'!$S$35&lt;&gt;"",ISNUMBER(SEARCH($T$4,'Final Calculation Sheet'!$S$35))))),IF($U$4="",TRUE(),IF($U$4="(blank)",'Final Calculation Sheet'!$T$35="",IF($U$4="(nonblank)",'Final Calculation Sheet'!$T$35&lt;&gt;"",ISNUMBER(SEARCH($U$4,'Final Calculation Sheet'!$T$35))))),IF($V$4="",TRUE(),IF($V$4="(blank)",'Final Calculation Sheet'!$U$35="",IF($V$4="(nonblank)",'Final Calculation Sheet'!$U$35&lt;&gt;"",ISNUMBER(SEARCH($V$4,'Final Calculation Sheet'!$U$35))))),IF($W$4="",TRUE(),IF($W$4="(blank)",'Final Calculation Sheet'!$V$35="",IF($W$4="(nonblank)",'Final Calculation Sheet'!$V$35&lt;&gt;"",ISNUMBER(SEARCH($W$4,'Final Calculation Sheet'!$V$35))))),IF($X$4="",TRUE(),IF($X$4="(blank)",'Final Calculation Sheet'!$W$35="",IF($X$4="(nonblank)",'Final Calculation Sheet'!$W$35&lt;&gt;"",ISNUMBER(SEARCH($X$4,'Final Calculation Sheet'!$W$35))))),IF($Y$4="",TRUE(),IF($Y$4="(blank)",'Final Calculation Sheet'!$X$35="",IF($Y$4="(nonblank)",'Final Calculation Sheet'!$X$35&lt;&gt;"",ISNUMBER(SEARCH($Y$4,'Final Calculation Sheet'!$X$35))))),IF($Z$4="",TRUE(),IF($Z$4="(blank)",'Final Calculation Sheet'!$Y$35="",IF($Z$4="(nonblank)",'Final Calculation Sheet'!$Y$35&lt;&gt;"",ISNUMBER(SEARCH($Z$4,'Final Calculation Sheet'!$Y$35))))),IF($AA$4="",TRUE(),IF($AA$4="(blank)",'Final Calculation Sheet'!$Z$35="",IF($AA$4="(nonblank)",'Final Calculation Sheet'!$Z$35&lt;&gt;"",ISNUMBER(SEARCH($AA$4,'Final Calculation Sheet'!$Z$35))))),IF($AB$4="",TRUE(),IF($AB$4="(blank)",'Final Calculation Sheet'!$AA$35="",IF($AB$4="(nonblank)",'Final Calculation Sheet'!$AA$35&lt;&gt;"",ISNUMBER(SEARCH($AB$4,'Final Calculation Sheet'!$AA$35))))),IF($AC$4="",TRUE(),IF($AC$4="(blank)",'Final Calculation Sheet'!$AB$35="",IF($AC$4="(nonblank)",'Final Calculation Sheet'!$AB$35&lt;&gt;"",ISNUMBER(SEARCH($AC$4,'Final Calculation Sheet'!$AB$35))))),IF($AD$4="",TRUE(),IF($AD$4="(blank)",'Final Calculation Sheet'!$AC$35="",IF($AD$4="(nonblank)",'Final Calculation Sheet'!$AC$35&lt;&gt;"",ISNUMBER(SEARCH($AD$4,'Final Calculation Sheet'!$AC$35))))),IF($AE$4="",TRUE(),IF($AE$4="(blank)",'Final Calculation Sheet'!$AD$35="",IF($AE$4="(nonblank)",'Final Calculation Sheet'!$AD$35&lt;&gt;"",ISNUMBER(SEARCH($AE$4,'Final Calculation Sheet'!$AD$35))))),IF($AF$4="",TRUE(),IF($AF$4="(blank)",'Final Calculation Sheet'!$AE$35="",IF($AF$4="(nonblank)",'Final Calculation Sheet'!$AE$35&lt;&gt;"",ISNUMBER(SEARCH($AF$4,'Final Calculation Sheet'!$AE$35))))),IF($AG$4="",TRUE(),IF($AG$4="(blank)",'Final Calculation Sheet'!$AF$35="",IF($AG$4="(nonblank)",'Final Calculation Sheet'!$AF$35&lt;&gt;"",ISNUMBER(SEARCH($AG$4,'Final Calculation Sheet'!$AF$35))))),IF($AH$4="",TRUE(),IF($AH$4="(blank)",'Final Calculation Sheet'!$AG$35="",IF($AH$4="(nonblank)",'Final Calculation Sheet'!$AG$35&lt;&gt;"",ISNUMBER(SEARCH($AH$4,'Final Calculation Sheet'!$AG$35))))),IF($AI$4="",TRUE(),IF($AI$4="(blank)",IF('Final Calculation Sheet'!$AD$35&lt;=5,"SETTLED","OUTSTANDING")="",IF($AI$4="(nonblank)",IF('Final Calculation Sheet'!$AD$35&lt;=5,"SETTLED","OUTSTANDING")&lt;&gt;"",ISNUMBER(SEARCH($AI$4,IF('Final Calculation Sheet'!$AD$35&lt;=5,"SETTLED","OUTSTANDING")))))))</f>
        <v>1</v>
      </c>
      <c r="AK37" t="str">
        <f>IF(AJ37=1,COUNTIF(AJ$6:AJ37,1),"")</f>
        <v/>
      </c>
      <c r="AM37">
        <f>AM36+IF(AND(Lists!$O$37&lt;&gt;"",ISNUMBER(SEARCH($B$4,Lists!$O$37))),1,0)</f>
        <v>34</v>
      </c>
      <c r="AN37">
        <f>IF(ROW()-3&gt;MAX($AM$4:$AM$42),"",INDEX(Lists!$O$4:$O$42,MATCH(ROW()-3,$AM$4:$AM$42,0)))</f>
        <v>2071</v>
      </c>
      <c r="AO37">
        <f>AO36+IF(AND(Lists!$T$37&lt;&gt;"",ISNUMBER(SEARCH($C$4,Lists!$T$37))),1,0)</f>
        <v>13</v>
      </c>
      <c r="AP37" t="str">
        <f>IF(ROW()-3&gt;MAX($AO$4:$AO$42),"",INDEX(Lists!$T$4:$T$42,MATCH(ROW()-3,$AO$4:$AO$42,0)))</f>
        <v/>
      </c>
      <c r="AQ37">
        <f>AQ36+IF(AND(Lists!$Y$37&lt;&gt;"",ISNUMBER(SEARCH($D$4,Lists!$Y$37))),1,0)</f>
        <v>25</v>
      </c>
      <c r="AR37" t="str">
        <f>IF(ROW()-3&gt;MAX($AQ$4:$AQ$42),"",INDEX(Lists!$Y$4:$Y$42,MATCH(ROW()-3,$AQ$4:$AQ$42,0)))</f>
        <v/>
      </c>
      <c r="AS37">
        <f>AS36+IF(AND(Lists!$AD$37&lt;&gt;"",ISNUMBER(SEARCH($E$4,Lists!$AD$37))),1,0)</f>
        <v>4</v>
      </c>
      <c r="AT37" t="str">
        <f>IF(ROW()-3&gt;MAX($AS$4:$AS$42),"",INDEX(Lists!$AD$4:$AD$42,MATCH(ROW()-3,$AS$4:$AS$42,0)))</f>
        <v/>
      </c>
      <c r="AU37">
        <f>AU36+IF(AND(Lists!$AI$37&lt;&gt;"",ISNUMBER(SEARCH($F$4,Lists!$AI$37))),1,0)</f>
        <v>22</v>
      </c>
      <c r="AV37" t="str">
        <f>IF(ROW()-3&gt;MAX($AU$4:$AU$42),"",INDEX(Lists!$AI$4:$AI$42,MATCH(ROW()-3,$AU$4:$AU$42,0)))</f>
        <v/>
      </c>
      <c r="AW37">
        <f>AW36+IF(AND(Lists!$AN$37&lt;&gt;"",ISNUMBER(SEARCH($G$4,Lists!$AN$37))),1,0)</f>
        <v>3</v>
      </c>
      <c r="AX37" t="str">
        <f>IF(ROW()-3&gt;MAX($AW$4:$AW$42),"",INDEX(Lists!$AN$4:$AN$42,MATCH(ROW()-3,$AW$4:$AW$42,0)))</f>
        <v/>
      </c>
      <c r="AY37">
        <f>AY36+IF(AND(Lists!$AS$37&lt;&gt;"",ISNUMBER(SEARCH($H$4,Lists!$AS$37))),1,0)</f>
        <v>34</v>
      </c>
      <c r="AZ37">
        <f>IF(ROW()-3&gt;MAX($AY$4:$AY$42),"",INDEX(Lists!$AS$4:$AS$42,MATCH(ROW()-3,$AY$4:$AY$42,0)))</f>
        <v>2787314</v>
      </c>
      <c r="BA37">
        <f>BA36+IF(AND(Lists!$AX$37&lt;&gt;"",ISNUMBER(SEARCH($I$4,Lists!$AX$37))),1,0)</f>
        <v>34</v>
      </c>
      <c r="BB37">
        <f>IF(ROW()-3&gt;MAX($BA$4:$BA$42),"",INDEX(Lists!$AX$4:$AX$42,MATCH(ROW()-3,$BA$4:$BA$42,0)))</f>
        <v>1165500</v>
      </c>
      <c r="BC37">
        <f>BC36+IF(AND(Lists!$BC$37&lt;&gt;"",ISNUMBER(SEARCH($J$4,Lists!$BC$37))),1,0)</f>
        <v>34</v>
      </c>
      <c r="BD37">
        <f>IF(ROW()-3&gt;MAX($BC$4:$BC$42),"",INDEX(Lists!$BC$4:$BC$42,MATCH(ROW()-3,$BC$4:$BC$42,0)))</f>
        <v>209790</v>
      </c>
      <c r="BE37">
        <f>BE36+IF(AND(Lists!$BH$37&lt;&gt;"",ISNUMBER(SEARCH($K$4,Lists!$BH$37))),1,0)</f>
        <v>34</v>
      </c>
      <c r="BF37">
        <f>IF(ROW()-3&gt;MAX($BE$4:$BE$42),"",INDEX(Lists!$BH$4:$BH$42,MATCH(ROW()-3,$BE$4:$BE$42,0)))</f>
        <v>1375290</v>
      </c>
      <c r="BG37">
        <f>BG36+IF(AND(Lists!$BM$37&lt;&gt;"",ISNUMBER(SEARCH($L$4,Lists!$BM$37))),1,0)</f>
        <v>34</v>
      </c>
      <c r="BH37">
        <f>IF(ROW()-3&gt;MAX($BG$4:$BG$42),"",INDEX(Lists!$BM$4:$BM$42,MATCH(ROW()-3,$BG$4:$BG$42,0)))</f>
        <v>38856</v>
      </c>
      <c r="BI37">
        <f>BI36+IF(AND(Lists!$BR$37&lt;&gt;"",ISNUMBER(SEARCH($M$4,Lists!$BR$37))),1,0)</f>
        <v>34</v>
      </c>
      <c r="BJ37">
        <f>IF(ROW()-3&gt;MAX($BI$4:$BI$42),"",INDEX(Lists!$BR$4:$BR$42,MATCH(ROW()-3,$BI$4:$BI$42,0)))</f>
        <v>1165.5</v>
      </c>
      <c r="BK37">
        <f>BK36+IF(AND(Lists!$BW$37&lt;&gt;"",ISNUMBER(SEARCH($N$4,Lists!$BW$37))),1,0)</f>
        <v>34</v>
      </c>
      <c r="BL37">
        <f>IF(ROW()-3&gt;MAX($BK$4:$BK$42),"",INDEX(Lists!$BW$4:$BW$42,MATCH(ROW()-3,$BK$4:$BK$42,0)))</f>
        <v>30944.024999999998</v>
      </c>
      <c r="BM37">
        <f>BM36+IF(AND(Lists!$CB$37&lt;&gt;"",ISNUMBER(SEARCH($O$4,Lists!$CB$37))),1,0)</f>
        <v>34</v>
      </c>
      <c r="BN37">
        <f>IF(ROW()-3&gt;MAX($BM$4:$BM$42),"",INDEX(Lists!$CB$4:$CB$42,MATCH(ROW()-3,$BM$4:$BM$42,0)))</f>
        <v>524.47500000000002</v>
      </c>
      <c r="BO37">
        <f>BO36+IF(AND(Lists!$CG$37&lt;&gt;"",ISNUMBER(SEARCH($P$4,Lists!$CG$37))),1,0)</f>
        <v>34</v>
      </c>
      <c r="BP37">
        <f>IF(ROW()-3&gt;MAX($BO$4:$BO$42),"",INDEX(Lists!$CG$4:$CG$42,MATCH(ROW()-3,$BO$4:$BO$42,0)))</f>
        <v>30419.55</v>
      </c>
      <c r="BQ37">
        <f>BQ36+IF(AND(Lists!$CL$37&lt;&gt;"",ISNUMBER(SEARCH($Q$4,Lists!$CL$37))),1,0)</f>
        <v>34</v>
      </c>
      <c r="BR37">
        <f>IF(ROW()-3&gt;MAX($BQ$4:$BQ$42),"",INDEX(Lists!$CL$4:$CL$42,MATCH(ROW()-3,$BQ$4:$BQ$42,0)))</f>
        <v>44618</v>
      </c>
      <c r="BS37">
        <f>BS36+IF(AND(Lists!$CQ$37&lt;&gt;"",ISNUMBER(SEARCH($R$4,Lists!$CQ$37))),1,0)</f>
        <v>2</v>
      </c>
      <c r="BT37" t="str">
        <f>IF(ROW()-3&gt;MAX($BS$4:$BS$42),"",INDEX(Lists!$CQ$4:$CQ$42,MATCH(ROW()-3,$BS$4:$BS$42,0)))</f>
        <v/>
      </c>
      <c r="BU37">
        <f>BU36+IF(AND(Lists!$CV$37&lt;&gt;"",ISNUMBER(SEARCH($S$4,Lists!$CV$37))),1,0)</f>
        <v>5</v>
      </c>
      <c r="BV37" t="str">
        <f>IF(ROW()-3&gt;MAX($BU$4:$BU$42),"",INDEX(Lists!$CV$4:$CV$42,MATCH(ROW()-3,$BU$4:$BU$42,0)))</f>
        <v/>
      </c>
      <c r="BW37">
        <f>BW36+IF(AND(Lists!$DA$37&lt;&gt;"",ISNUMBER(SEARCH($T$4,Lists!$DA$37))),1,0)</f>
        <v>34</v>
      </c>
      <c r="BX37">
        <f>IF(ROW()-3&gt;MAX($BW$4:$BW$42),"",INDEX(Lists!$DA$4:$DA$42,MATCH(ROW()-3,$BW$4:$BW$42,0)))</f>
        <v>1347901</v>
      </c>
      <c r="BY37">
        <f>BY36+IF(AND(Lists!$DF$37&lt;&gt;"",ISNUMBER(SEARCH($U$4,Lists!$DF$37))),1,0)</f>
        <v>34</v>
      </c>
      <c r="BZ37">
        <f>IF(ROW()-3&gt;MAX($BY$4:$BY$42),"",INDEX(Lists!$DF$4:$DF$42,MATCH(ROW()-3,$BY$4:$BY$42,0)))</f>
        <v>291375</v>
      </c>
      <c r="CA37">
        <f>CA36+IF(AND(Lists!$DK$37&lt;&gt;"",ISNUMBER(SEARCH($V$4,Lists!$DK$37))),1,0)</f>
        <v>34</v>
      </c>
      <c r="CB37">
        <f>IF(ROW()-3&gt;MAX($CA$4:$CA$42),"",INDEX(Lists!$DK$4:$DK$42,MATCH(ROW()-3,$CA$4:$CA$42,0)))</f>
        <v>291375</v>
      </c>
      <c r="CC37">
        <f>CC36+IF(AND(Lists!$DP$37&lt;&gt;"",ISNUMBER(SEARCH($W$4,Lists!$DP$37))),1,0)</f>
        <v>6</v>
      </c>
      <c r="CD37" t="str">
        <f>IF(ROW()-3&gt;MAX($CC$4:$CC$42),"",INDEX(Lists!$DP$4:$DP$42,MATCH(ROW()-3,$CC$4:$CC$42,0)))</f>
        <v/>
      </c>
      <c r="CE37">
        <f>CE36+IF(AND(Lists!$DU$37&lt;&gt;"",ISNUMBER(SEARCH($X$4,Lists!$DU$37))),1,0)</f>
        <v>34</v>
      </c>
      <c r="CF37">
        <f>IF(ROW()-3&gt;MAX($CE$4:$CE$42),"",INDEX(Lists!$DU$4:$DU$42,MATCH(ROW()-3,$CE$4:$CE$42,0)))</f>
        <v>1056526</v>
      </c>
      <c r="CG37" t="e">
        <f>CG36+IF(AND(Lists!$DZ$37&lt;&gt;"",ISNUMBER(SEARCH($Y$4,Lists!$DZ$37))),1,0)</f>
        <v>#N/A</v>
      </c>
      <c r="CH37" t="e">
        <f>IF(ROW()-3&gt;MAX($CG$4:$CG$42),"",INDEX(Lists!$DZ$4:$DZ$42,MATCH(ROW()-3,$CG$4:$CG$42,0)))</f>
        <v>#N/A</v>
      </c>
      <c r="CI37" t="e">
        <f>CI36+IF(AND(Lists!$EE$37&lt;&gt;"",ISNUMBER(SEARCH($Z$4,Lists!$EE$37))),1,0)</f>
        <v>#N/A</v>
      </c>
      <c r="CJ37" t="e">
        <f>IF(ROW()-3&gt;MAX($CI$4:$CI$42),"",INDEX(Lists!$EE$4:$EE$42,MATCH(ROW()-3,$CI$4:$CI$42,0)))</f>
        <v>#N/A</v>
      </c>
      <c r="CK37">
        <f>CK36+IF(AND(Lists!$EJ$37&lt;&gt;"",ISNUMBER(SEARCH($AA$4,Lists!$EJ$37))),1,0)</f>
        <v>6</v>
      </c>
      <c r="CL37" t="str">
        <f>IF(ROW()-3&gt;MAX($CK$4:$CK$42),"",INDEX(Lists!$EJ$4:$EJ$42,MATCH(ROW()-3,$CK$4:$CK$42,0)))</f>
        <v/>
      </c>
      <c r="CM37" t="e">
        <f>CM36+IF(AND(Lists!$EO$37&lt;&gt;"",ISNUMBER(SEARCH($AB$4,Lists!$EO$37))),1,0)</f>
        <v>#N/A</v>
      </c>
      <c r="CN37" t="e">
        <f>IF(ROW()-3&gt;MAX($CM$4:$CM$42),"",INDEX(Lists!$EO$4:$EO$42,MATCH(ROW()-3,$CM$4:$CM$42,0)))</f>
        <v>#N/A</v>
      </c>
      <c r="CO37" t="e">
        <f>CO36+IF(AND(Lists!$ET$37&lt;&gt;"",ISNUMBER(SEARCH($AC$4,Lists!$ET$37))),1,0)</f>
        <v>#N/A</v>
      </c>
      <c r="CP37" t="e">
        <f>IF(ROW()-3&gt;MAX($CO$4:$CO$42),"",INDEX(Lists!$ET$4:$ET$42,MATCH(ROW()-3,$CO$4:$CO$42,0)))</f>
        <v>#N/A</v>
      </c>
      <c r="CQ37">
        <f>CQ36+IF(AND(Lists!$EY$37&lt;&gt;"",ISNUMBER(SEARCH($AD$4,Lists!$EY$37))),1,0)</f>
        <v>34</v>
      </c>
      <c r="CR37">
        <f>IF(ROW()-3&gt;MAX($CQ$4:$CQ$42),"",INDEX(Lists!$EY$4:$EY$42,MATCH(ROW()-3,$CQ$4:$CQ$42,0)))</f>
        <v>1347900</v>
      </c>
      <c r="CS37" t="e">
        <f>CS36+IF(AND(Lists!$FD$37&lt;&gt;"",ISNUMBER(SEARCH($AE$4,Lists!$FD$37))),1,0)</f>
        <v>#N/A</v>
      </c>
      <c r="CT37" t="e">
        <f>IF(ROW()-3&gt;MAX($CS$4:$CS$42),"",INDEX(Lists!$FD$4:$FD$42,MATCH(ROW()-3,$CS$4:$CS$42,0)))</f>
        <v>#N/A</v>
      </c>
      <c r="CU37" t="e">
        <f>CU36+IF(AND(Lists!$FI$37&lt;&gt;"",ISNUMBER(SEARCH($AF$4,Lists!$FI$37))),1,0)</f>
        <v>#N/A</v>
      </c>
      <c r="CV37" t="e">
        <f>IF(ROW()-3&gt;MAX($CU$4:$CU$42),"",INDEX(Lists!$FI$4:$FI$42,MATCH(ROW()-3,$CU$4:$CU$42,0)))</f>
        <v>#N/A</v>
      </c>
      <c r="CW37" t="e">
        <f>CW36+IF(AND(Lists!$FN$37&lt;&gt;"",ISNUMBER(SEARCH($AG$4,Lists!$FN$37))),1,0)</f>
        <v>#N/A</v>
      </c>
      <c r="CX37" t="e">
        <f>IF(ROW()-3&gt;MAX($CW$4:$CW$42),"",INDEX(Lists!$FN$4:$FN$42,MATCH(ROW()-3,$CW$4:$CW$42,0)))</f>
        <v>#N/A</v>
      </c>
      <c r="CY37" t="e">
        <f>CY36+IF(AND(Lists!$FS$37&lt;&gt;"",ISNUMBER(SEARCH($AH$4,Lists!$FS$37))),1,0)</f>
        <v>#N/A</v>
      </c>
      <c r="CZ37" t="e">
        <f>IF(ROW()-3&gt;MAX($CY$4:$CY$42),"",INDEX(Lists!$FS$4:$FS$42,MATCH(ROW()-3,$CY$4:$CY$42,0)))</f>
        <v>#N/A</v>
      </c>
      <c r="DA37">
        <f>DA36+IF(AND(Lists!$FX$37&lt;&gt;"",ISNUMBER(SEARCH($AI$4,Lists!$FX$37))),1,0)</f>
        <v>2</v>
      </c>
      <c r="DB37" t="str">
        <f>IF(ROW()-3&gt;MAX($DA$4:$DA$42),"",INDEX(Lists!$FX$4:$FX$42,MATCH(ROW()-3,$DA$4:$DA$42,0)))</f>
        <v/>
      </c>
    </row>
    <row r="38" ht="15" customHeight="1" s="137">
      <c r="A38" s="81" t="inlineStr">
        <is>
          <t>∑</t>
        </is>
      </c>
      <c r="B38" s="83" t="n"/>
      <c r="C38" s="83" t="str">
        <f>ROWS($C$36:$C$37)&amp;" lot(s)"</f>
        <v>2 lot(s)</v>
      </c>
      <c r="D38" s="83" t="inlineStr">
        <is>
          <t>SUBTOTAL — S M ENTERPRISES</t>
        </is>
      </c>
      <c r="E38" s="83" t="inlineStr">
        <is>
          <t>–</t>
        </is>
      </c>
      <c r="F38" s="83">
        <f>SUM(F36:F37)</f>
        <v>5</v>
      </c>
      <c r="G38" s="83" t="inlineStr">
        <is>
          <t>–</t>
        </is>
      </c>
      <c r="H38" s="84" t="inlineStr">
        <is>
          <t>–</t>
        </is>
      </c>
      <c r="I38" s="84">
        <f>SUM(I36:I37)</f>
        <v>150021</v>
      </c>
      <c r="J38" s="84">
        <f>SUM(J36:J37)</f>
        <v>27004</v>
      </c>
      <c r="K38" s="84">
        <f>SUM(K36:K37)</f>
        <v>177025</v>
      </c>
      <c r="L38" s="84">
        <f>SUM(L36:L37)</f>
        <v>3540</v>
      </c>
      <c r="M38" s="84">
        <f>SUM(M36:M37)</f>
        <v>150.02100000000002</v>
      </c>
      <c r="N38" s="84">
        <f>SUM(N36:N37)</f>
        <v>3983.0575499999995</v>
      </c>
      <c r="O38" s="85">
        <f>SUM(O36:O37)</f>
        <v>67.509450000000001</v>
      </c>
      <c r="P38" s="84">
        <f>SUM(P36:P37)</f>
        <v>3915.5480999999995</v>
      </c>
      <c r="Q38" s="84">
        <f>SUM(Q36:Q37)</f>
        <v>4065</v>
      </c>
      <c r="R38" s="86" t="inlineStr">
        <is>
          <t>–</t>
        </is>
      </c>
      <c r="S38" s="84">
        <f>SUM(S36:S37)</f>
        <v>0</v>
      </c>
      <c r="T38" s="84">
        <f>SUM(T36:T37)</f>
        <v>176500</v>
      </c>
      <c r="U38" s="84">
        <f>SUM(U36:U37)</f>
        <v>37505</v>
      </c>
      <c r="V38" s="87">
        <f>SUM(V36:V37)</f>
        <v>37505</v>
      </c>
      <c r="W38" s="84" t="inlineStr">
        <is>
          <t>–</t>
        </is>
      </c>
      <c r="X38" s="84">
        <f>SUM(X36:X37)</f>
        <v>138994</v>
      </c>
      <c r="Y38" s="84">
        <f>SUM(Y36:Y37)</f>
        <v>138995</v>
      </c>
      <c r="Z38" s="84" t="inlineStr">
        <is>
          <t>–</t>
        </is>
      </c>
      <c r="AA38" s="84">
        <f>SUM(AA36:AA37)</f>
        <v>3540.4955999999997</v>
      </c>
      <c r="AB38" s="84">
        <f>SUM(AB36:AB37)</f>
        <v>3540</v>
      </c>
      <c r="AC38" s="84" t="inlineStr">
        <is>
          <t>–</t>
        </is>
      </c>
      <c r="AD38" s="84">
        <f>SUM(AD36:AD37)</f>
        <v>180040</v>
      </c>
      <c r="AE38" s="84">
        <f>SUM(AE36:AE37)</f>
        <v>-3540</v>
      </c>
      <c r="AF38" s="84" t="inlineStr">
        <is>
          <t>–</t>
        </is>
      </c>
      <c r="AG38" s="88" t="inlineStr">
        <is>
          <t>–</t>
        </is>
      </c>
      <c r="AH38" s="84" t="inlineStr">
        <is>
          <t>–</t>
        </is>
      </c>
      <c r="AI38" s="89" t="str">
        <f>IF(AE38&lt;=5,"SETTLED","OUTSTANDING")</f>
        <v>SETTLED</v>
      </c>
      <c r="AJ38" t="b">
        <f>AND(IF($B$4="",TRUE(),IF($B$4="(blank)",'Final Calculation Sheet'!$F$36="",IF($B$4="(nonblank)",'Final Calculation Sheet'!$F$36&lt;&gt;"",ISNUMBER(SEARCH($B$4,'Final Calculation Sheet'!$F$36))))),IF($C$4="",TRUE(),IF($C$4="(blank)",'Final Calculation Sheet'!$G$36="",IF($C$4="(nonblank)",'Final Calculation Sheet'!$G$36&lt;&gt;"",ISNUMBER(SEARCH($C$4,'Final Calculation Sheet'!$G$36))))),IF($D$4="",TRUE(),IF($D$4="(blank)",'Final Calculation Sheet'!$B$36="",IF($D$4="(nonblank)",'Final Calculation Sheet'!$B$36&lt;&gt;"",ISNUMBER(SEARCH($D$4,'Final Calculation Sheet'!$B$36))))),IF($E$4="",TRUE(),IF($E$4="(blank)",'Final Calculation Sheet'!$D$36="",IF($E$4="(nonblank)",'Final Calculation Sheet'!$D$36&lt;&gt;"",ISNUMBER(SEARCH($E$4,'Final Calculation Sheet'!$D$36))))),IF($F$4="",TRUE(),IF($F$4="(blank)",'Final Calculation Sheet'!$A$36="",IF($F$4="(nonblank)",'Final Calculation Sheet'!$A$36&lt;&gt;"",ISNUMBER(SEARCH($F$4,'Final Calculation Sheet'!$A$36))))),IF($G$4="",TRUE(),IF($G$4="(blank)",'Final Calculation Sheet'!$E$36="",IF($G$4="(nonblank)",'Final Calculation Sheet'!$E$36&lt;&gt;"",ISNUMBER(SEARCH($G$4,'Final Calculation Sheet'!$E$36))))),IF($H$4="",TRUE(),IF($H$4="(blank)",'Final Calculation Sheet'!$C$36="",IF($H$4="(nonblank)",'Final Calculation Sheet'!$C$36&lt;&gt;"",ISNUMBER(SEARCH($H$4,'Final Calculation Sheet'!$C$36))))),IF($I$4="",TRUE(),IF($I$4="(blank)",'Final Calculation Sheet'!$H$36="",IF($I$4="(nonblank)",'Final Calculation Sheet'!$H$36&lt;&gt;"",ISNUMBER(SEARCH($I$4,'Final Calculation Sheet'!$H$36))))),IF($J$4="",TRUE(),IF($J$4="(blank)",'Final Calculation Sheet'!$I$36="",IF($J$4="(nonblank)",'Final Calculation Sheet'!$I$36&lt;&gt;"",ISNUMBER(SEARCH($J$4,'Final Calculation Sheet'!$I$36))))),IF($K$4="",TRUE(),IF($K$4="(blank)",'Final Calculation Sheet'!$J$36="",IF($K$4="(nonblank)",'Final Calculation Sheet'!$J$36&lt;&gt;"",ISNUMBER(SEARCH($K$4,'Final Calculation Sheet'!$J$36))))),IF($L$4="",TRUE(),IF($L$4="(blank)",'Final Calculation Sheet'!$K$36="",IF($L$4="(nonblank)",'Final Calculation Sheet'!$K$36&lt;&gt;"",ISNUMBER(SEARCH($L$4,'Final Calculation Sheet'!$K$36))))),IF($M$4="",TRUE(),IF($M$4="(blank)",'Final Calculation Sheet'!$L$36="",IF($M$4="(nonblank)",'Final Calculation Sheet'!$L$36&lt;&gt;"",ISNUMBER(SEARCH($M$4,'Final Calculation Sheet'!$L$36))))),IF($N$4="",TRUE(),IF($N$4="(blank)",'Final Calculation Sheet'!$M$36="",IF($N$4="(nonblank)",'Final Calculation Sheet'!$M$36&lt;&gt;"",ISNUMBER(SEARCH($N$4,'Final Calculation Sheet'!$M$36))))),IF($O$4="",TRUE(),IF($O$4="(blank)",'Final Calculation Sheet'!$N$36="",IF($O$4="(nonblank)",'Final Calculation Sheet'!$N$36&lt;&gt;"",ISNUMBER(SEARCH($O$4,'Final Calculation Sheet'!$N$36))))),IF($P$4="",TRUE(),IF($P$4="(blank)",'Final Calculation Sheet'!$O$36="",IF($P$4="(nonblank)",'Final Calculation Sheet'!$O$36&lt;&gt;"",ISNUMBER(SEARCH($P$4,'Final Calculation Sheet'!$O$36))))),IF($Q$4="",TRUE(),IF($Q$4="(blank)",'Final Calculation Sheet'!$P$36="",IF($Q$4="(nonblank)",'Final Calculation Sheet'!$P$36&lt;&gt;"",ISNUMBER(SEARCH($Q$4,'Final Calculation Sheet'!$P$36))))),IF($R$4="",TRUE(),IF($R$4="(blank)",'Final Calculation Sheet'!$Q$36="",IF($R$4="(nonblank)",'Final Calculation Sheet'!$Q$36&lt;&gt;"",ISNUMBER(SEARCH($R$4,'Final Calculation Sheet'!$Q$36))))),IF($S$4="",TRUE(),IF($S$4="(blank)",'Final Calculation Sheet'!$R$36="",IF($S$4="(nonblank)",'Final Calculation Sheet'!$R$36&lt;&gt;"",ISNUMBER(SEARCH($S$4,'Final Calculation Sheet'!$R$36))))),IF($T$4="",TRUE(),IF($T$4="(blank)",'Final Calculation Sheet'!$S$36="",IF($T$4="(nonblank)",'Final Calculation Sheet'!$S$36&lt;&gt;"",ISNUMBER(SEARCH($T$4,'Final Calculation Sheet'!$S$36))))),IF($U$4="",TRUE(),IF($U$4="(blank)",'Final Calculation Sheet'!$T$36="",IF($U$4="(nonblank)",'Final Calculation Sheet'!$T$36&lt;&gt;"",ISNUMBER(SEARCH($U$4,'Final Calculation Sheet'!$T$36))))),IF($V$4="",TRUE(),IF($V$4="(blank)",'Final Calculation Sheet'!$U$36="",IF($V$4="(nonblank)",'Final Calculation Sheet'!$U$36&lt;&gt;"",ISNUMBER(SEARCH($V$4,'Final Calculation Sheet'!$U$36))))),IF($W$4="",TRUE(),IF($W$4="(blank)",'Final Calculation Sheet'!$V$36="",IF($W$4="(nonblank)",'Final Calculation Sheet'!$V$36&lt;&gt;"",ISNUMBER(SEARCH($W$4,'Final Calculation Sheet'!$V$36))))),IF($X$4="",TRUE(),IF($X$4="(blank)",'Final Calculation Sheet'!$W$36="",IF($X$4="(nonblank)",'Final Calculation Sheet'!$W$36&lt;&gt;"",ISNUMBER(SEARCH($X$4,'Final Calculation Sheet'!$W$36))))),IF($Y$4="",TRUE(),IF($Y$4="(blank)",'Final Calculation Sheet'!$X$36="",IF($Y$4="(nonblank)",'Final Calculation Sheet'!$X$36&lt;&gt;"",ISNUMBER(SEARCH($Y$4,'Final Calculation Sheet'!$X$36))))),IF($Z$4="",TRUE(),IF($Z$4="(blank)",'Final Calculation Sheet'!$Y$36="",IF($Z$4="(nonblank)",'Final Calculation Sheet'!$Y$36&lt;&gt;"",ISNUMBER(SEARCH($Z$4,'Final Calculation Sheet'!$Y$36))))),IF($AA$4="",TRUE(),IF($AA$4="(blank)",'Final Calculation Sheet'!$Z$36="",IF($AA$4="(nonblank)",'Final Calculation Sheet'!$Z$36&lt;&gt;"",ISNUMBER(SEARCH($AA$4,'Final Calculation Sheet'!$Z$36))))),IF($AB$4="",TRUE(),IF($AB$4="(blank)",'Final Calculation Sheet'!$AA$36="",IF($AB$4="(nonblank)",'Final Calculation Sheet'!$AA$36&lt;&gt;"",ISNUMBER(SEARCH($AB$4,'Final Calculation Sheet'!$AA$36))))),IF($AC$4="",TRUE(),IF($AC$4="(blank)",'Final Calculation Sheet'!$AB$36="",IF($AC$4="(nonblank)",'Final Calculation Sheet'!$AB$36&lt;&gt;"",ISNUMBER(SEARCH($AC$4,'Final Calculation Sheet'!$AB$36))))),IF($AD$4="",TRUE(),IF($AD$4="(blank)",'Final Calculation Sheet'!$AC$36="",IF($AD$4="(nonblank)",'Final Calculation Sheet'!$AC$36&lt;&gt;"",ISNUMBER(SEARCH($AD$4,'Final Calculation Sheet'!$AC$36))))),IF($AE$4="",TRUE(),IF($AE$4="(blank)",'Final Calculation Sheet'!$AD$36="",IF($AE$4="(nonblank)",'Final Calculation Sheet'!$AD$36&lt;&gt;"",ISNUMBER(SEARCH($AE$4,'Final Calculation Sheet'!$AD$36))))),IF($AF$4="",TRUE(),IF($AF$4="(blank)",'Final Calculation Sheet'!$AE$36="",IF($AF$4="(nonblank)",'Final Calculation Sheet'!$AE$36&lt;&gt;"",ISNUMBER(SEARCH($AF$4,'Final Calculation Sheet'!$AE$36))))),IF($AG$4="",TRUE(),IF($AG$4="(blank)",'Final Calculation Sheet'!$AF$36="",IF($AG$4="(nonblank)",'Final Calculation Sheet'!$AF$36&lt;&gt;"",ISNUMBER(SEARCH($AG$4,'Final Calculation Sheet'!$AF$36))))),IF($AH$4="",TRUE(),IF($AH$4="(blank)",'Final Calculation Sheet'!$AG$36="",IF($AH$4="(nonblank)",'Final Calculation Sheet'!$AG$36&lt;&gt;"",ISNUMBER(SEARCH($AH$4,'Final Calculation Sheet'!$AG$36))))),IF($AI$4="",TRUE(),IF($AI$4="(blank)",IF('Final Calculation Sheet'!$AD$36&lt;=5,"SETTLED","OUTSTANDING")="",IF($AI$4="(nonblank)",IF('Final Calculation Sheet'!$AD$36&lt;=5,"SETTLED","OUTSTANDING")&lt;&gt;"",ISNUMBER(SEARCH($AI$4,IF('Final Calculation Sheet'!$AD$36&lt;=5,"SETTLED","OUTSTANDING")))))))</f>
        <v>1</v>
      </c>
      <c r="AK38" t="str">
        <f>IF(AJ38=1,COUNTIF(AJ$6:AJ38,1),"")</f>
        <v/>
      </c>
      <c r="AM38">
        <f>AM37+IF(AND(Lists!$O$38&lt;&gt;"",ISNUMBER(SEARCH($B$4,Lists!$O$38))),1,0)</f>
        <v>35</v>
      </c>
      <c r="AN38">
        <f>IF(ROW()-3&gt;MAX($AM$4:$AM$42),"",INDEX(Lists!$O$4:$O$42,MATCH(ROW()-3,$AM$4:$AM$42,0)))</f>
        <v>2086</v>
      </c>
      <c r="AO38">
        <f>AO37+IF(AND(Lists!$T$38&lt;&gt;"",ISNUMBER(SEARCH($C$4,Lists!$T$38))),1,0)</f>
        <v>13</v>
      </c>
      <c r="AP38" t="str">
        <f>IF(ROW()-3&gt;MAX($AO$4:$AO$42),"",INDEX(Lists!$T$4:$T$42,MATCH(ROW()-3,$AO$4:$AO$42,0)))</f>
        <v/>
      </c>
      <c r="AQ38">
        <f>AQ37+IF(AND(Lists!$Y$38&lt;&gt;"",ISNUMBER(SEARCH($D$4,Lists!$Y$38))),1,0)</f>
        <v>25</v>
      </c>
      <c r="AR38" t="str">
        <f>IF(ROW()-3&gt;MAX($AQ$4:$AQ$42),"",INDEX(Lists!$Y$4:$Y$42,MATCH(ROW()-3,$AQ$4:$AQ$42,0)))</f>
        <v/>
      </c>
      <c r="AS38">
        <f>AS37+IF(AND(Lists!$AD$38&lt;&gt;"",ISNUMBER(SEARCH($E$4,Lists!$AD$38))),1,0)</f>
        <v>4</v>
      </c>
      <c r="AT38" t="str">
        <f>IF(ROW()-3&gt;MAX($AS$4:$AS$42),"",INDEX(Lists!$AD$4:$AD$42,MATCH(ROW()-3,$AS$4:$AS$42,0)))</f>
        <v/>
      </c>
      <c r="AU38">
        <f>AU37+IF(AND(Lists!$AI$38&lt;&gt;"",ISNUMBER(SEARCH($F$4,Lists!$AI$38))),1,0)</f>
        <v>22</v>
      </c>
      <c r="AV38" t="str">
        <f>IF(ROW()-3&gt;MAX($AU$4:$AU$42),"",INDEX(Lists!$AI$4:$AI$42,MATCH(ROW()-3,$AU$4:$AU$42,0)))</f>
        <v/>
      </c>
      <c r="AW38">
        <f>AW37+IF(AND(Lists!$AN$38&lt;&gt;"",ISNUMBER(SEARCH($G$4,Lists!$AN$38))),1,0)</f>
        <v>3</v>
      </c>
      <c r="AX38" t="str">
        <f>IF(ROW()-3&gt;MAX($AW$4:$AW$42),"",INDEX(Lists!$AN$4:$AN$42,MATCH(ROW()-3,$AW$4:$AW$42,0)))</f>
        <v/>
      </c>
      <c r="AY38">
        <f>AY37+IF(AND(Lists!$AS$38&lt;&gt;"",ISNUMBER(SEARCH($H$4,Lists!$AS$38))),1,0)</f>
        <v>35</v>
      </c>
      <c r="AZ38">
        <f>IF(ROW()-3&gt;MAX($AY$4:$AY$42),"",INDEX(Lists!$AS$4:$AS$42,MATCH(ROW()-3,$AY$4:$AY$42,0)))</f>
        <v>3857116</v>
      </c>
      <c r="BA38">
        <f>BA37+IF(AND(Lists!$AX$38&lt;&gt;"",ISNUMBER(SEARCH($I$4,Lists!$AX$38))),1,0)</f>
        <v>35</v>
      </c>
      <c r="BB38">
        <f>IF(ROW()-3&gt;MAX($BA$4:$BA$42),"",INDEX(Lists!$AX$4:$AX$42,MATCH(ROW()-3,$BA$4:$BA$42,0)))</f>
        <v>1646431</v>
      </c>
      <c r="BC38">
        <f>BC37+IF(AND(Lists!$BC$38&lt;&gt;"",ISNUMBER(SEARCH($J$4,Lists!$BC$38))),1,0)</f>
        <v>35</v>
      </c>
      <c r="BD38">
        <f>IF(ROW()-3&gt;MAX($BC$4:$BC$42),"",INDEX(Lists!$BC$4:$BC$42,MATCH(ROW()-3,$BC$4:$BC$42,0)))</f>
        <v>296358</v>
      </c>
      <c r="BE38">
        <f>BE37+IF(AND(Lists!$BH$38&lt;&gt;"",ISNUMBER(SEARCH($K$4,Lists!$BH$38))),1,0)</f>
        <v>35</v>
      </c>
      <c r="BF38">
        <f>IF(ROW()-3&gt;MAX($BE$4:$BE$42),"",INDEX(Lists!$BH$4:$BH$42,MATCH(ROW()-3,$BE$4:$BE$42,0)))</f>
        <v>1942789</v>
      </c>
      <c r="BG38">
        <f>BG37+IF(AND(Lists!$BM$38&lt;&gt;"",ISNUMBER(SEARCH($L$4,Lists!$BM$38))),1,0)</f>
        <v>35</v>
      </c>
      <c r="BH38">
        <f>IF(ROW()-3&gt;MAX($BG$4:$BG$42),"",INDEX(Lists!$BM$4:$BM$42,MATCH(ROW()-3,$BG$4:$BG$42,0)))</f>
        <v>65781</v>
      </c>
      <c r="BI38">
        <f>BI37+IF(AND(Lists!$BR$38&lt;&gt;"",ISNUMBER(SEARCH($M$4,Lists!$BR$38))),1,0)</f>
        <v>35</v>
      </c>
      <c r="BJ38">
        <f>IF(ROW()-3&gt;MAX($BI$4:$BI$42),"",INDEX(Lists!$BR$4:$BR$42,MATCH(ROW()-3,$BI$4:$BI$42,0)))</f>
        <v>1646.431</v>
      </c>
      <c r="BK38">
        <f>BK37+IF(AND(Lists!$BW$38&lt;&gt;"",ISNUMBER(SEARCH($N$4,Lists!$BW$38))),1,0)</f>
        <v>35</v>
      </c>
      <c r="BL38">
        <f>IF(ROW()-3&gt;MAX($BK$4:$BK$42),"",INDEX(Lists!$BW$4:$BW$42,MATCH(ROW()-3,$BK$4:$BK$42,0)))</f>
        <v>43712.743049999997</v>
      </c>
      <c r="BM38">
        <f>BM37+IF(AND(Lists!$CB$38&lt;&gt;"",ISNUMBER(SEARCH($O$4,Lists!$CB$38))),1,0)</f>
        <v>35</v>
      </c>
      <c r="BN38">
        <f>IF(ROW()-3&gt;MAX($BM$4:$BM$42),"",INDEX(Lists!$CB$4:$CB$42,MATCH(ROW()-3,$BM$4:$BM$42,0)))</f>
        <v>740.89395000000002</v>
      </c>
      <c r="BO38">
        <f>BO37+IF(AND(Lists!$CG$38&lt;&gt;"",ISNUMBER(SEARCH($P$4,Lists!$CG$38))),1,0)</f>
        <v>35</v>
      </c>
      <c r="BP38">
        <f>IF(ROW()-3&gt;MAX($BO$4:$BO$42),"",INDEX(Lists!$CG$4:$CG$42,MATCH(ROW()-3,$BO$4:$BO$42,0)))</f>
        <v>42971.849099999999</v>
      </c>
      <c r="BQ38">
        <f>BQ37+IF(AND(Lists!$CL$38&lt;&gt;"",ISNUMBER(SEARCH($Q$4,Lists!$CL$38))),1,0)</f>
        <v>35</v>
      </c>
      <c r="BR38">
        <f>IF(ROW()-3&gt;MAX($BQ$4:$BQ$42),"",INDEX(Lists!$CL$4:$CL$42,MATCH(ROW()-3,$BQ$4:$BQ$42,0)))</f>
        <v>75536</v>
      </c>
      <c r="BS38">
        <f>BS37+IF(AND(Lists!$CQ$38&lt;&gt;"",ISNUMBER(SEARCH($R$4,Lists!$CQ$38))),1,0)</f>
        <v>2</v>
      </c>
      <c r="BT38" t="str">
        <f>IF(ROW()-3&gt;MAX($BS$4:$BS$42),"",INDEX(Lists!$CQ$4:$CQ$42,MATCH(ROW()-3,$BS$4:$BS$42,0)))</f>
        <v/>
      </c>
      <c r="BU38">
        <f>BU37+IF(AND(Lists!$CV$38&lt;&gt;"",ISNUMBER(SEARCH($S$4,Lists!$CV$38))),1,0)</f>
        <v>5</v>
      </c>
      <c r="BV38" t="str">
        <f>IF(ROW()-3&gt;MAX($BU$4:$BU$42),"",INDEX(Lists!$CV$4:$CV$42,MATCH(ROW()-3,$BU$4:$BU$42,0)))</f>
        <v/>
      </c>
      <c r="BW38">
        <f>BW37+IF(AND(Lists!$DA$38&lt;&gt;"",ISNUMBER(SEARCH($T$4,Lists!$DA$38))),1,0)</f>
        <v>35</v>
      </c>
      <c r="BX38">
        <f>IF(ROW()-3&gt;MAX($BW$4:$BW$42),"",INDEX(Lists!$DA$4:$DA$42,MATCH(ROW()-3,$BW$4:$BW$42,0)))</f>
        <v>1904097</v>
      </c>
      <c r="BY38">
        <f>BY37+IF(AND(Lists!$DF$38&lt;&gt;"",ISNUMBER(SEARCH($U$4,Lists!$DF$38))),1,0)</f>
        <v>35</v>
      </c>
      <c r="BZ38">
        <f>IF(ROW()-3&gt;MAX($BY$4:$BY$42),"",INDEX(Lists!$DF$4:$DF$42,MATCH(ROW()-3,$BY$4:$BY$42,0)))</f>
        <v>411608</v>
      </c>
      <c r="CA38">
        <f>CA37+IF(AND(Lists!$DK$38&lt;&gt;"",ISNUMBER(SEARCH($V$4,Lists!$DK$38))),1,0)</f>
        <v>35</v>
      </c>
      <c r="CB38">
        <f>IF(ROW()-3&gt;MAX($CA$4:$CA$42),"",INDEX(Lists!$DK$4:$DK$42,MATCH(ROW()-3,$CA$4:$CA$42,0)))</f>
        <v>411608</v>
      </c>
      <c r="CC38">
        <f>CC37+IF(AND(Lists!$DP$38&lt;&gt;"",ISNUMBER(SEARCH($W$4,Lists!$DP$38))),1,0)</f>
        <v>6</v>
      </c>
      <c r="CD38" t="str">
        <f>IF(ROW()-3&gt;MAX($CC$4:$CC$42),"",INDEX(Lists!$DP$4:$DP$42,MATCH(ROW()-3,$CC$4:$CC$42,0)))</f>
        <v/>
      </c>
      <c r="CE38">
        <f>CE37+IF(AND(Lists!$DU$38&lt;&gt;"",ISNUMBER(SEARCH($X$4,Lists!$DU$38))),1,0)</f>
        <v>35</v>
      </c>
      <c r="CF38">
        <f>IF(ROW()-3&gt;MAX($CE$4:$CE$42),"",INDEX(Lists!$DU$4:$DU$42,MATCH(ROW()-3,$CE$4:$CE$42,0)))</f>
        <v>1492489</v>
      </c>
      <c r="CG38" t="e">
        <f>CG37+IF(AND(Lists!$DZ$38&lt;&gt;"",ISNUMBER(SEARCH($Y$4,Lists!$DZ$38))),1,0)</f>
        <v>#N/A</v>
      </c>
      <c r="CH38" t="e">
        <f>IF(ROW()-3&gt;MAX($CG$4:$CG$42),"",INDEX(Lists!$DZ$4:$DZ$42,MATCH(ROW()-3,$CG$4:$CG$42,0)))</f>
        <v>#N/A</v>
      </c>
      <c r="CI38" t="e">
        <f>CI37+IF(AND(Lists!$EE$38&lt;&gt;"",ISNUMBER(SEARCH($Z$4,Lists!$EE$38))),1,0)</f>
        <v>#N/A</v>
      </c>
      <c r="CJ38" t="e">
        <f>IF(ROW()-3&gt;MAX($CI$4:$CI$42),"",INDEX(Lists!$EE$4:$EE$42,MATCH(ROW()-3,$CI$4:$CI$42,0)))</f>
        <v>#N/A</v>
      </c>
      <c r="CK38">
        <f>CK37+IF(AND(Lists!$EJ$38&lt;&gt;"",ISNUMBER(SEARCH($AA$4,Lists!$EJ$38))),1,0)</f>
        <v>6</v>
      </c>
      <c r="CL38" t="str">
        <f>IF(ROW()-3&gt;MAX($CK$4:$CK$42),"",INDEX(Lists!$EJ$4:$EJ$42,MATCH(ROW()-3,$CK$4:$CK$42,0)))</f>
        <v/>
      </c>
      <c r="CM38" t="e">
        <f>CM37+IF(AND(Lists!$EO$38&lt;&gt;"",ISNUMBER(SEARCH($AB$4,Lists!$EO$38))),1,0)</f>
        <v>#N/A</v>
      </c>
      <c r="CN38" t="e">
        <f>IF(ROW()-3&gt;MAX($CM$4:$CM$42),"",INDEX(Lists!$EO$4:$EO$42,MATCH(ROW()-3,$CM$4:$CM$42,0)))</f>
        <v>#N/A</v>
      </c>
      <c r="CO38" t="e">
        <f>CO37+IF(AND(Lists!$ET$38&lt;&gt;"",ISNUMBER(SEARCH($AC$4,Lists!$ET$38))),1,0)</f>
        <v>#N/A</v>
      </c>
      <c r="CP38" t="e">
        <f>IF(ROW()-3&gt;MAX($CO$4:$CO$42),"",INDEX(Lists!$ET$4:$ET$42,MATCH(ROW()-3,$CO$4:$CO$42,0)))</f>
        <v>#N/A</v>
      </c>
      <c r="CQ38">
        <f>CQ37+IF(AND(Lists!$EY$38&lt;&gt;"",ISNUMBER(SEARCH($AD$4,Lists!$EY$38))),1,0)</f>
        <v>35</v>
      </c>
      <c r="CR38">
        <f>IF(ROW()-3&gt;MAX($CQ$4:$CQ$42),"",INDEX(Lists!$EY$4:$EY$42,MATCH(ROW()-3,$CQ$4:$CQ$42,0)))</f>
        <v>1904098</v>
      </c>
      <c r="CS38" t="e">
        <f>CS37+IF(AND(Lists!$FD$38&lt;&gt;"",ISNUMBER(SEARCH($AE$4,Lists!$FD$38))),1,0)</f>
        <v>#N/A</v>
      </c>
      <c r="CT38" t="e">
        <f>IF(ROW()-3&gt;MAX($CS$4:$CS$42),"",INDEX(Lists!$FD$4:$FD$42,MATCH(ROW()-3,$CS$4:$CS$42,0)))</f>
        <v>#N/A</v>
      </c>
      <c r="CU38" t="e">
        <f>CU37+IF(AND(Lists!$FI$38&lt;&gt;"",ISNUMBER(SEARCH($AF$4,Lists!$FI$38))),1,0)</f>
        <v>#N/A</v>
      </c>
      <c r="CV38" t="e">
        <f>IF(ROW()-3&gt;MAX($CU$4:$CU$42),"",INDEX(Lists!$FI$4:$FI$42,MATCH(ROW()-3,$CU$4:$CU$42,0)))</f>
        <v>#N/A</v>
      </c>
      <c r="CW38" t="e">
        <f>CW37+IF(AND(Lists!$FN$38&lt;&gt;"",ISNUMBER(SEARCH($AG$4,Lists!$FN$38))),1,0)</f>
        <v>#N/A</v>
      </c>
      <c r="CX38" t="e">
        <f>IF(ROW()-3&gt;MAX($CW$4:$CW$42),"",INDEX(Lists!$FN$4:$FN$42,MATCH(ROW()-3,$CW$4:$CW$42,0)))</f>
        <v>#N/A</v>
      </c>
      <c r="CY38" t="e">
        <f>CY37+IF(AND(Lists!$FS$38&lt;&gt;"",ISNUMBER(SEARCH($AH$4,Lists!$FS$38))),1,0)</f>
        <v>#N/A</v>
      </c>
      <c r="CZ38" t="e">
        <f>IF(ROW()-3&gt;MAX($CY$4:$CY$42),"",INDEX(Lists!$FS$4:$FS$42,MATCH(ROW()-3,$CY$4:$CY$42,0)))</f>
        <v>#N/A</v>
      </c>
      <c r="DA38">
        <f>DA37+IF(AND(Lists!$FX$38&lt;&gt;"",ISNUMBER(SEARCH($AI$4,Lists!$FX$38))),1,0)</f>
        <v>2</v>
      </c>
      <c r="DB38" t="str">
        <f>IF(ROW()-3&gt;MAX($DA$4:$DA$42),"",INDEX(Lists!$FX$4:$FX$42,MATCH(ROW()-3,$DA$4:$DA$42,0)))</f>
        <v/>
      </c>
    </row>
    <row r="39" outlineLevel="1" ht="15" customHeight="1" s="137">
      <c r="A39" s="67" t="n">
        <v>1</v>
      </c>
      <c r="B39" s="76">
        <f>IF('Final Calculation Sheet'!$F$31="","",'Final Calculation Sheet'!$F$31)</f>
        <v>2046</v>
      </c>
      <c r="C39" s="76" t="str">
        <f>IF('Final Calculation Sheet'!$G$31="","",'Final Calculation Sheet'!$G$31)</f>
        <v>SAHARA ENTERPRISES</v>
      </c>
      <c r="D39" s="80" t="str">
        <f>IF('Final Calculation Sheet'!$B$31="","",'Final Calculation Sheet'!$B$31)</f>
        <v>Scrap of AAAC Earth wire</v>
      </c>
      <c r="E39" s="80">
        <f>IF('Final Calculation Sheet'!$D$31="","",'Final Calculation Sheet'!$D$31)</f>
        <v>21979</v>
      </c>
      <c r="F39" s="80">
        <f>IF('Final Calculation Sheet'!$A$31="","",'Final Calculation Sheet'!$A$31)</f>
        <v>670</v>
      </c>
      <c r="G39" s="80" t="str">
        <f>IF('Final Calculation Sheet'!$E$31="","",'Final Calculation Sheet'!$E$31)</f>
        <v>KG</v>
      </c>
      <c r="H39" s="70">
        <f>IF('Final Calculation Sheet'!$C$31="","",'Final Calculation Sheet'!$C$31)</f>
        <v>309</v>
      </c>
      <c r="I39" s="70">
        <f>IF('Final Calculation Sheet'!$H$31="","",'Final Calculation Sheet'!$H$31)</f>
        <v>207030</v>
      </c>
      <c r="J39" s="70">
        <f>IF('Final Calculation Sheet'!$I$31="","",'Final Calculation Sheet'!$I$31)</f>
        <v>37265</v>
      </c>
      <c r="K39" s="70">
        <f>IF('Final Calculation Sheet'!$J$31="","",'Final Calculation Sheet'!$J$31)</f>
        <v>244295</v>
      </c>
      <c r="L39" s="70">
        <f>IF('Final Calculation Sheet'!$K$31="","",'Final Calculation Sheet'!$K$31)</f>
        <v>4886</v>
      </c>
      <c r="M39" s="70">
        <f>IF('Final Calculation Sheet'!$L$31="","",'Final Calculation Sheet'!$L$31)</f>
        <v>207.03</v>
      </c>
      <c r="N39" s="70">
        <f>IF('Final Calculation Sheet'!$M$31="","",'Final Calculation Sheet'!$M$31)</f>
        <v>5496.6464999999998</v>
      </c>
      <c r="O39" s="71">
        <f>IF('Final Calculation Sheet'!$N$31="","",'Final Calculation Sheet'!$N$31)</f>
        <v>93.163499999999999</v>
      </c>
      <c r="P39" s="70">
        <f>IF('Final Calculation Sheet'!$O$31="","",'Final Calculation Sheet'!$O$31)</f>
        <v>5403.4830000000002</v>
      </c>
      <c r="Q39" s="70">
        <f>IF('Final Calculation Sheet'!$P$31="","",'Final Calculation Sheet'!$P$31)</f>
        <v>5611</v>
      </c>
      <c r="R39" s="72">
        <f>IF('Final Calculation Sheet'!$Q$31="","",'Final Calculation Sheet'!$Q$31)</f>
        <v>0</v>
      </c>
      <c r="S39" s="70">
        <f>IF('Final Calculation Sheet'!$R$31="","",'Final Calculation Sheet'!$R$31)</f>
        <v>0</v>
      </c>
      <c r="T39" s="70">
        <f>IF('Final Calculation Sheet'!$S$31="","",'Final Calculation Sheet'!$S$31)</f>
        <v>243571</v>
      </c>
      <c r="U39" s="70">
        <f>IF('Final Calculation Sheet'!$T$31="","",'Final Calculation Sheet'!$T$31)</f>
        <v>51758</v>
      </c>
      <c r="V39" s="73">
        <f>IF('Final Calculation Sheet'!$U$31="","",'Final Calculation Sheet'!$U$31)</f>
        <v>51758</v>
      </c>
      <c r="W39" s="70" t="str">
        <f>IF('Final Calculation Sheet'!$V$31="","",'Final Calculation Sheet'!$V$31)</f>
        <v>11.08.2026</v>
      </c>
      <c r="X39" s="70">
        <f>IF('Final Calculation Sheet'!$W$31="","",'Final Calculation Sheet'!$W$31)</f>
        <v>191813</v>
      </c>
      <c r="Y39" s="70">
        <f>IF('Final Calculation Sheet'!$X$31="","",'Final Calculation Sheet'!$X$31)</f>
        <v>191812</v>
      </c>
      <c r="Z39" s="70" t="str">
        <f>IF('Final Calculation Sheet'!$Y$31="","",'Final Calculation Sheet'!$Y$31)</f>
        <v>21.08.2026</v>
      </c>
      <c r="AA39" s="70">
        <f>IF('Final Calculation Sheet'!$Z$31="","",'Final Calculation Sheet'!$Z$31)</f>
        <v>0</v>
      </c>
      <c r="AB39" s="70" t="str">
        <f>IF('Final Calculation Sheet'!$AA$31="","",'Final Calculation Sheet'!$AA$31)</f>
        <v/>
      </c>
      <c r="AC39" s="70" t="str">
        <f>IF('Final Calculation Sheet'!$AB$31="","",'Final Calculation Sheet'!$AB$31)</f>
        <v/>
      </c>
      <c r="AD39" s="70">
        <f>IF('Final Calculation Sheet'!$AC$31="","",'Final Calculation Sheet'!$AC$31)</f>
        <v>243570</v>
      </c>
      <c r="AE39" s="70">
        <f>IF('Final Calculation Sheet'!$AD$31="","",'Final Calculation Sheet'!$AD$31)</f>
        <v>1</v>
      </c>
      <c r="AF39" s="70" t="str">
        <f>IF('Final Calculation Sheet'!$AE$31="","",'Final Calculation Sheet'!$AE$31)</f>
        <v>DR2640100041</v>
      </c>
      <c r="AG39" s="74">
        <f>IF('Final Calculation Sheet'!$AF$31="","",'Final Calculation Sheet'!$AF$31)</f>
        <v>1800003316</v>
      </c>
      <c r="AH39" s="70" t="str">
        <f>IF('Final Calculation Sheet'!$AG$31="","",'Final Calculation Sheet'!$AG$31)</f>
        <v>27.08.2026</v>
      </c>
      <c r="AI39" s="75" t="str">
        <f>IF('Final Calculation Sheet'!$AD$31="","",IF('Final Calculation Sheet'!$AD$31&lt;=5,"SETTLED","OUTSTANDING"))</f>
        <v>SETTLED</v>
      </c>
      <c r="AJ39" t="b">
        <f>AND(IF($B$4="",TRUE(),IF($B$4="(blank)",'Final Calculation Sheet'!$F$37="",IF($B$4="(nonblank)",'Final Calculation Sheet'!$F$37&lt;&gt;"",ISNUMBER(SEARCH($B$4,'Final Calculation Sheet'!$F$37))))),IF($C$4="",TRUE(),IF($C$4="(blank)",'Final Calculation Sheet'!$G$37="",IF($C$4="(nonblank)",'Final Calculation Sheet'!$G$37&lt;&gt;"",ISNUMBER(SEARCH($C$4,'Final Calculation Sheet'!$G$37))))),IF($D$4="",TRUE(),IF($D$4="(blank)",'Final Calculation Sheet'!$B$37="",IF($D$4="(nonblank)",'Final Calculation Sheet'!$B$37&lt;&gt;"",ISNUMBER(SEARCH($D$4,'Final Calculation Sheet'!$B$37))))),IF($E$4="",TRUE(),IF($E$4="(blank)",'Final Calculation Sheet'!$D$37="",IF($E$4="(nonblank)",'Final Calculation Sheet'!$D$37&lt;&gt;"",ISNUMBER(SEARCH($E$4,'Final Calculation Sheet'!$D$37))))),IF($F$4="",TRUE(),IF($F$4="(blank)",'Final Calculation Sheet'!$A$37="",IF($F$4="(nonblank)",'Final Calculation Sheet'!$A$37&lt;&gt;"",ISNUMBER(SEARCH($F$4,'Final Calculation Sheet'!$A$37))))),IF($G$4="",TRUE(),IF($G$4="(blank)",'Final Calculation Sheet'!$E$37="",IF($G$4="(nonblank)",'Final Calculation Sheet'!$E$37&lt;&gt;"",ISNUMBER(SEARCH($G$4,'Final Calculation Sheet'!$E$37))))),IF($H$4="",TRUE(),IF($H$4="(blank)",'Final Calculation Sheet'!$C$37="",IF($H$4="(nonblank)",'Final Calculation Sheet'!$C$37&lt;&gt;"",ISNUMBER(SEARCH($H$4,'Final Calculation Sheet'!$C$37))))),IF($I$4="",TRUE(),IF($I$4="(blank)",'Final Calculation Sheet'!$H$37="",IF($I$4="(nonblank)",'Final Calculation Sheet'!$H$37&lt;&gt;"",ISNUMBER(SEARCH($I$4,'Final Calculation Sheet'!$H$37))))),IF($J$4="",TRUE(),IF($J$4="(blank)",'Final Calculation Sheet'!$I$37="",IF($J$4="(nonblank)",'Final Calculation Sheet'!$I$37&lt;&gt;"",ISNUMBER(SEARCH($J$4,'Final Calculation Sheet'!$I$37))))),IF($K$4="",TRUE(),IF($K$4="(blank)",'Final Calculation Sheet'!$J$37="",IF($K$4="(nonblank)",'Final Calculation Sheet'!$J$37&lt;&gt;"",ISNUMBER(SEARCH($K$4,'Final Calculation Sheet'!$J$37))))),IF($L$4="",TRUE(),IF($L$4="(blank)",'Final Calculation Sheet'!$K$37="",IF($L$4="(nonblank)",'Final Calculation Sheet'!$K$37&lt;&gt;"",ISNUMBER(SEARCH($L$4,'Final Calculation Sheet'!$K$37))))),IF($M$4="",TRUE(),IF($M$4="(blank)",'Final Calculation Sheet'!$L$37="",IF($M$4="(nonblank)",'Final Calculation Sheet'!$L$37&lt;&gt;"",ISNUMBER(SEARCH($M$4,'Final Calculation Sheet'!$L$37))))),IF($N$4="",TRUE(),IF($N$4="(blank)",'Final Calculation Sheet'!$M$37="",IF($N$4="(nonblank)",'Final Calculation Sheet'!$M$37&lt;&gt;"",ISNUMBER(SEARCH($N$4,'Final Calculation Sheet'!$M$37))))),IF($O$4="",TRUE(),IF($O$4="(blank)",'Final Calculation Sheet'!$N$37="",IF($O$4="(nonblank)",'Final Calculation Sheet'!$N$37&lt;&gt;"",ISNUMBER(SEARCH($O$4,'Final Calculation Sheet'!$N$37))))),IF($P$4="",TRUE(),IF($P$4="(blank)",'Final Calculation Sheet'!$O$37="",IF($P$4="(nonblank)",'Final Calculation Sheet'!$O$37&lt;&gt;"",ISNUMBER(SEARCH($P$4,'Final Calculation Sheet'!$O$37))))),IF($Q$4="",TRUE(),IF($Q$4="(blank)",'Final Calculation Sheet'!$P$37="",IF($Q$4="(nonblank)",'Final Calculation Sheet'!$P$37&lt;&gt;"",ISNUMBER(SEARCH($Q$4,'Final Calculation Sheet'!$P$37))))),IF($R$4="",TRUE(),IF($R$4="(blank)",'Final Calculation Sheet'!$Q$37="",IF($R$4="(nonblank)",'Final Calculation Sheet'!$Q$37&lt;&gt;"",ISNUMBER(SEARCH($R$4,'Final Calculation Sheet'!$Q$37))))),IF($S$4="",TRUE(),IF($S$4="(blank)",'Final Calculation Sheet'!$R$37="",IF($S$4="(nonblank)",'Final Calculation Sheet'!$R$37&lt;&gt;"",ISNUMBER(SEARCH($S$4,'Final Calculation Sheet'!$R$37))))),IF($T$4="",TRUE(),IF($T$4="(blank)",'Final Calculation Sheet'!$S$37="",IF($T$4="(nonblank)",'Final Calculation Sheet'!$S$37&lt;&gt;"",ISNUMBER(SEARCH($T$4,'Final Calculation Sheet'!$S$37))))),IF($U$4="",TRUE(),IF($U$4="(blank)",'Final Calculation Sheet'!$T$37="",IF($U$4="(nonblank)",'Final Calculation Sheet'!$T$37&lt;&gt;"",ISNUMBER(SEARCH($U$4,'Final Calculation Sheet'!$T$37))))),IF($V$4="",TRUE(),IF($V$4="(blank)",'Final Calculation Sheet'!$U$37="",IF($V$4="(nonblank)",'Final Calculation Sheet'!$U$37&lt;&gt;"",ISNUMBER(SEARCH($V$4,'Final Calculation Sheet'!$U$37))))),IF($W$4="",TRUE(),IF($W$4="(blank)",'Final Calculation Sheet'!$V$37="",IF($W$4="(nonblank)",'Final Calculation Sheet'!$V$37&lt;&gt;"",ISNUMBER(SEARCH($W$4,'Final Calculation Sheet'!$V$37))))),IF($X$4="",TRUE(),IF($X$4="(blank)",'Final Calculation Sheet'!$W$37="",IF($X$4="(nonblank)",'Final Calculation Sheet'!$W$37&lt;&gt;"",ISNUMBER(SEARCH($X$4,'Final Calculation Sheet'!$W$37))))),IF($Y$4="",TRUE(),IF($Y$4="(blank)",'Final Calculation Sheet'!$X$37="",IF($Y$4="(nonblank)",'Final Calculation Sheet'!$X$37&lt;&gt;"",ISNUMBER(SEARCH($Y$4,'Final Calculation Sheet'!$X$37))))),IF($Z$4="",TRUE(),IF($Z$4="(blank)",'Final Calculation Sheet'!$Y$37="",IF($Z$4="(nonblank)",'Final Calculation Sheet'!$Y$37&lt;&gt;"",ISNUMBER(SEARCH($Z$4,'Final Calculation Sheet'!$Y$37))))),IF($AA$4="",TRUE(),IF($AA$4="(blank)",'Final Calculation Sheet'!$Z$37="",IF($AA$4="(nonblank)",'Final Calculation Sheet'!$Z$37&lt;&gt;"",ISNUMBER(SEARCH($AA$4,'Final Calculation Sheet'!$Z$37))))),IF($AB$4="",TRUE(),IF($AB$4="(blank)",'Final Calculation Sheet'!$AA$37="",IF($AB$4="(nonblank)",'Final Calculation Sheet'!$AA$37&lt;&gt;"",ISNUMBER(SEARCH($AB$4,'Final Calculation Sheet'!$AA$37))))),IF($AC$4="",TRUE(),IF($AC$4="(blank)",'Final Calculation Sheet'!$AB$37="",IF($AC$4="(nonblank)",'Final Calculation Sheet'!$AB$37&lt;&gt;"",ISNUMBER(SEARCH($AC$4,'Final Calculation Sheet'!$AB$37))))),IF($AD$4="",TRUE(),IF($AD$4="(blank)",'Final Calculation Sheet'!$AC$37="",IF($AD$4="(nonblank)",'Final Calculation Sheet'!$AC$37&lt;&gt;"",ISNUMBER(SEARCH($AD$4,'Final Calculation Sheet'!$AC$37))))),IF($AE$4="",TRUE(),IF($AE$4="(blank)",'Final Calculation Sheet'!$AD$37="",IF($AE$4="(nonblank)",'Final Calculation Sheet'!$AD$37&lt;&gt;"",ISNUMBER(SEARCH($AE$4,'Final Calculation Sheet'!$AD$37))))),IF($AF$4="",TRUE(),IF($AF$4="(blank)",'Final Calculation Sheet'!$AE$37="",IF($AF$4="(nonblank)",'Final Calculation Sheet'!$AE$37&lt;&gt;"",ISNUMBER(SEARCH($AF$4,'Final Calculation Sheet'!$AE$37))))),IF($AG$4="",TRUE(),IF($AG$4="(blank)",'Final Calculation Sheet'!$AF$37="",IF($AG$4="(nonblank)",'Final Calculation Sheet'!$AF$37&lt;&gt;"",ISNUMBER(SEARCH($AG$4,'Final Calculation Sheet'!$AF$37))))),IF($AH$4="",TRUE(),IF($AH$4="(blank)",'Final Calculation Sheet'!$AG$37="",IF($AH$4="(nonblank)",'Final Calculation Sheet'!$AG$37&lt;&gt;"",ISNUMBER(SEARCH($AH$4,'Final Calculation Sheet'!$AG$37))))),IF($AI$4="",TRUE(),IF($AI$4="(blank)",IF('Final Calculation Sheet'!$AD$37&lt;=5,"SETTLED","OUTSTANDING")="",IF($AI$4="(nonblank)",IF('Final Calculation Sheet'!$AD$37&lt;=5,"SETTLED","OUTSTANDING")&lt;&gt;"",ISNUMBER(SEARCH($AI$4,IF('Final Calculation Sheet'!$AD$37&lt;=5,"SETTLED","OUTSTANDING")))))))</f>
        <v>1</v>
      </c>
      <c r="AK39" t="str">
        <f>IF(AJ39=1,COUNTIF(AJ$6:AJ39,1),"")</f>
        <v/>
      </c>
      <c r="AM39">
        <f>AM38+IF(AND(Lists!$O$39&lt;&gt;"",ISNUMBER(SEARCH($B$4,Lists!$O$39))),1,0)</f>
        <v>36</v>
      </c>
      <c r="AN39">
        <f>IF(ROW()-3&gt;MAX($AM$4:$AM$42),"",INDEX(Lists!$O$4:$O$42,MATCH(ROW()-3,$AM$4:$AM$42,0)))</f>
        <v>2089</v>
      </c>
      <c r="AO39">
        <f>AO38+IF(AND(Lists!$T$39&lt;&gt;"",ISNUMBER(SEARCH($C$4,Lists!$T$39))),1,0)</f>
        <v>13</v>
      </c>
      <c r="AP39" t="str">
        <f>IF(ROW()-3&gt;MAX($AO$4:$AO$42),"",INDEX(Lists!$T$4:$T$42,MATCH(ROW()-3,$AO$4:$AO$42,0)))</f>
        <v/>
      </c>
      <c r="AQ39">
        <f>AQ38+IF(AND(Lists!$Y$39&lt;&gt;"",ISNUMBER(SEARCH($D$4,Lists!$Y$39))),1,0)</f>
        <v>25</v>
      </c>
      <c r="AR39" t="str">
        <f>IF(ROW()-3&gt;MAX($AQ$4:$AQ$42),"",INDEX(Lists!$Y$4:$Y$42,MATCH(ROW()-3,$AQ$4:$AQ$42,0)))</f>
        <v/>
      </c>
      <c r="AS39">
        <f>AS38+IF(AND(Lists!$AD$39&lt;&gt;"",ISNUMBER(SEARCH($E$4,Lists!$AD$39))),1,0)</f>
        <v>4</v>
      </c>
      <c r="AT39" t="str">
        <f>IF(ROW()-3&gt;MAX($AS$4:$AS$42),"",INDEX(Lists!$AD$4:$AD$42,MATCH(ROW()-3,$AS$4:$AS$42,0)))</f>
        <v/>
      </c>
      <c r="AU39">
        <f>AU38+IF(AND(Lists!$AI$39&lt;&gt;"",ISNUMBER(SEARCH($F$4,Lists!$AI$39))),1,0)</f>
        <v>22</v>
      </c>
      <c r="AV39" t="str">
        <f>IF(ROW()-3&gt;MAX($AU$4:$AU$42),"",INDEX(Lists!$AI$4:$AI$42,MATCH(ROW()-3,$AU$4:$AU$42,0)))</f>
        <v/>
      </c>
      <c r="AW39">
        <f>AW38+IF(AND(Lists!$AN$39&lt;&gt;"",ISNUMBER(SEARCH($G$4,Lists!$AN$39))),1,0)</f>
        <v>3</v>
      </c>
      <c r="AX39" t="str">
        <f>IF(ROW()-3&gt;MAX($AW$4:$AW$42),"",INDEX(Lists!$AN$4:$AN$42,MATCH(ROW()-3,$AW$4:$AW$42,0)))</f>
        <v/>
      </c>
      <c r="AY39">
        <f>AY38+IF(AND(Lists!$AS$39&lt;&gt;"",ISNUMBER(SEARCH($H$4,Lists!$AS$39))),1,0)</f>
        <v>35</v>
      </c>
      <c r="AZ39" t="str">
        <f>IF(ROW()-3&gt;MAX($AY$4:$AY$42),"",INDEX(Lists!$AS$4:$AS$42,MATCH(ROW()-3,$AY$4:$AY$42,0)))</f>
        <v>(blank)</v>
      </c>
      <c r="BA39">
        <f>BA38+IF(AND(Lists!$AX$39&lt;&gt;"",ISNUMBER(SEARCH($I$4,Lists!$AX$39))),1,0)</f>
        <v>36</v>
      </c>
      <c r="BB39">
        <f>IF(ROW()-3&gt;MAX($BA$4:$BA$42),"",INDEX(Lists!$AX$4:$AX$42,MATCH(ROW()-3,$BA$4:$BA$42,0)))</f>
        <v>2787314</v>
      </c>
      <c r="BC39">
        <f>BC38+IF(AND(Lists!$BC$39&lt;&gt;"",ISNUMBER(SEARCH($J$4,Lists!$BC$39))),1,0)</f>
        <v>36</v>
      </c>
      <c r="BD39">
        <f>IF(ROW()-3&gt;MAX($BC$4:$BC$42),"",INDEX(Lists!$BC$4:$BC$42,MATCH(ROW()-3,$BC$4:$BC$42,0)))</f>
        <v>501717</v>
      </c>
      <c r="BE39">
        <f>BE38+IF(AND(Lists!$BH$39&lt;&gt;"",ISNUMBER(SEARCH($K$4,Lists!$BH$39))),1,0)</f>
        <v>36</v>
      </c>
      <c r="BF39">
        <f>IF(ROW()-3&gt;MAX($BE$4:$BE$42),"",INDEX(Lists!$BH$4:$BH$42,MATCH(ROW()-3,$BE$4:$BE$42,0)))</f>
        <v>3289031</v>
      </c>
      <c r="BG39">
        <f>BG38+IF(AND(Lists!$BM$39&lt;&gt;"",ISNUMBER(SEARCH($L$4,Lists!$BM$39))),1,0)</f>
        <v>36</v>
      </c>
      <c r="BH39">
        <f>IF(ROW()-3&gt;MAX($BG$4:$BG$42),"",INDEX(Lists!$BM$4:$BM$42,MATCH(ROW()-3,$BG$4:$BG$42,0)))</f>
        <v>91028</v>
      </c>
      <c r="BI39">
        <f>BI38+IF(AND(Lists!$BR$39&lt;&gt;"",ISNUMBER(SEARCH($M$4,Lists!$BR$39))),1,0)</f>
        <v>36</v>
      </c>
      <c r="BJ39">
        <f>IF(ROW()-3&gt;MAX($BI$4:$BI$42),"",INDEX(Lists!$BR$4:$BR$42,MATCH(ROW()-3,$BI$4:$BI$42,0)))</f>
        <v>2787.3139999999999</v>
      </c>
      <c r="BK39">
        <f>BK38+IF(AND(Lists!$BW$39&lt;&gt;"",ISNUMBER(SEARCH($N$4,Lists!$BW$39))),1,0)</f>
        <v>36</v>
      </c>
      <c r="BL39">
        <f>IF(ROW()-3&gt;MAX($BK$4:$BK$42),"",INDEX(Lists!$BW$4:$BW$42,MATCH(ROW()-3,$BK$4:$BK$42,0)))</f>
        <v>74003.186699999991</v>
      </c>
      <c r="BM39">
        <f>BM38+IF(AND(Lists!$CB$39&lt;&gt;"",ISNUMBER(SEARCH($O$4,Lists!$CB$39))),1,0)</f>
        <v>36</v>
      </c>
      <c r="BN39">
        <f>IF(ROW()-3&gt;MAX($BM$4:$BM$42),"",INDEX(Lists!$CB$4:$CB$42,MATCH(ROW()-3,$BM$4:$BM$42,0)))</f>
        <v>1254.2912999999999</v>
      </c>
      <c r="BO39">
        <f>BO38+IF(AND(Lists!$CG$39&lt;&gt;"",ISNUMBER(SEARCH($P$4,Lists!$CG$39))),1,0)</f>
        <v>36</v>
      </c>
      <c r="BP39">
        <f>IF(ROW()-3&gt;MAX($BO$4:$BO$42),"",INDEX(Lists!$CG$4:$CG$42,MATCH(ROW()-3,$BO$4:$BO$42,0)))</f>
        <v>72748.895399999994</v>
      </c>
      <c r="BQ39">
        <f>BQ38+IF(AND(Lists!$CL$39&lt;&gt;"",ISNUMBER(SEARCH($Q$4,Lists!$CL$39))),1,0)</f>
        <v>36</v>
      </c>
      <c r="BR39">
        <f>IF(ROW()-3&gt;MAX($BQ$4:$BQ$42),"",INDEX(Lists!$CL$4:$CL$42,MATCH(ROW()-3,$BQ$4:$BQ$42,0)))</f>
        <v>104528</v>
      </c>
      <c r="BS39">
        <f>BS38+IF(AND(Lists!$CQ$39&lt;&gt;"",ISNUMBER(SEARCH($R$4,Lists!$CQ$39))),1,0)</f>
        <v>2</v>
      </c>
      <c r="BT39" t="str">
        <f>IF(ROW()-3&gt;MAX($BS$4:$BS$42),"",INDEX(Lists!$CQ$4:$CQ$42,MATCH(ROW()-3,$BS$4:$BS$42,0)))</f>
        <v/>
      </c>
      <c r="BU39">
        <f>BU38+IF(AND(Lists!$CV$39&lt;&gt;"",ISNUMBER(SEARCH($S$4,Lists!$CV$39))),1,0)</f>
        <v>5</v>
      </c>
      <c r="BV39" t="str">
        <f>IF(ROW()-3&gt;MAX($BU$4:$BU$42),"",INDEX(Lists!$CV$4:$CV$42,MATCH(ROW()-3,$BU$4:$BU$42,0)))</f>
        <v/>
      </c>
      <c r="BW39">
        <f>BW38+IF(AND(Lists!$DA$39&lt;&gt;"",ISNUMBER(SEARCH($T$4,Lists!$DA$39))),1,0)</f>
        <v>36</v>
      </c>
      <c r="BX39">
        <f>IF(ROW()-3&gt;MAX($BW$4:$BW$42),"",INDEX(Lists!$DA$4:$DA$42,MATCH(ROW()-3,$BW$4:$BW$42,0)))</f>
        <v>3279275</v>
      </c>
      <c r="BY39">
        <f>BY38+IF(AND(Lists!$DF$39&lt;&gt;"",ISNUMBER(SEARCH($U$4,Lists!$DF$39))),1,0)</f>
        <v>36</v>
      </c>
      <c r="BZ39">
        <f>IF(ROW()-3&gt;MAX($BY$4:$BY$42),"",INDEX(Lists!$DF$4:$DF$42,MATCH(ROW()-3,$BY$4:$BY$42,0)))</f>
        <v>696829</v>
      </c>
      <c r="CA39">
        <f>CA38+IF(AND(Lists!$DK$39&lt;&gt;"",ISNUMBER(SEARCH($V$4,Lists!$DK$39))),1,0)</f>
        <v>36</v>
      </c>
      <c r="CB39">
        <f>IF(ROW()-3&gt;MAX($CA$4:$CA$42),"",INDEX(Lists!$DK$4:$DK$42,MATCH(ROW()-3,$CA$4:$CA$42,0)))</f>
        <v>696829</v>
      </c>
      <c r="CC39">
        <f>CC38+IF(AND(Lists!$DP$39&lt;&gt;"",ISNUMBER(SEARCH($W$4,Lists!$DP$39))),1,0)</f>
        <v>6</v>
      </c>
      <c r="CD39" t="str">
        <f>IF(ROW()-3&gt;MAX($CC$4:$CC$42),"",INDEX(Lists!$DP$4:$DP$42,MATCH(ROW()-3,$CC$4:$CC$42,0)))</f>
        <v/>
      </c>
      <c r="CE39">
        <f>CE38+IF(AND(Lists!$DU$39&lt;&gt;"",ISNUMBER(SEARCH($X$4,Lists!$DU$39))),1,0)</f>
        <v>36</v>
      </c>
      <c r="CF39">
        <f>IF(ROW()-3&gt;MAX($CE$4:$CE$42),"",INDEX(Lists!$DU$4:$DU$42,MATCH(ROW()-3,$CE$4:$CE$42,0)))</f>
        <v>2582446</v>
      </c>
      <c r="CG39" t="e">
        <f>CG38+IF(AND(Lists!$DZ$39&lt;&gt;"",ISNUMBER(SEARCH($Y$4,Lists!$DZ$39))),1,0)</f>
        <v>#N/A</v>
      </c>
      <c r="CH39" t="e">
        <f>IF(ROW()-3&gt;MAX($CG$4:$CG$42),"",INDEX(Lists!$DZ$4:$DZ$42,MATCH(ROW()-3,$CG$4:$CG$42,0)))</f>
        <v>#N/A</v>
      </c>
      <c r="CI39" t="e">
        <f>CI38+IF(AND(Lists!$EE$39&lt;&gt;"",ISNUMBER(SEARCH($Z$4,Lists!$EE$39))),1,0)</f>
        <v>#N/A</v>
      </c>
      <c r="CJ39" t="e">
        <f>IF(ROW()-3&gt;MAX($CI$4:$CI$42),"",INDEX(Lists!$EE$4:$EE$42,MATCH(ROW()-3,$CI$4:$CI$42,0)))</f>
        <v>#N/A</v>
      </c>
      <c r="CK39">
        <f>CK38+IF(AND(Lists!$EJ$39&lt;&gt;"",ISNUMBER(SEARCH($AA$4,Lists!$EJ$39))),1,0)</f>
        <v>6</v>
      </c>
      <c r="CL39" t="str">
        <f>IF(ROW()-3&gt;MAX($CK$4:$CK$42),"",INDEX(Lists!$EJ$4:$EJ$42,MATCH(ROW()-3,$CK$4:$CK$42,0)))</f>
        <v/>
      </c>
      <c r="CM39" t="e">
        <f>CM38+IF(AND(Lists!$EO$39&lt;&gt;"",ISNUMBER(SEARCH($AB$4,Lists!$EO$39))),1,0)</f>
        <v>#N/A</v>
      </c>
      <c r="CN39" t="e">
        <f>IF(ROW()-3&gt;MAX($CM$4:$CM$42),"",INDEX(Lists!$EO$4:$EO$42,MATCH(ROW()-3,$CM$4:$CM$42,0)))</f>
        <v>#N/A</v>
      </c>
      <c r="CO39" t="e">
        <f>CO38+IF(AND(Lists!$ET$39&lt;&gt;"",ISNUMBER(SEARCH($AC$4,Lists!$ET$39))),1,0)</f>
        <v>#N/A</v>
      </c>
      <c r="CP39" t="e">
        <f>IF(ROW()-3&gt;MAX($CO$4:$CO$42),"",INDEX(Lists!$ET$4:$ET$42,MATCH(ROW()-3,$CO$4:$CO$42,0)))</f>
        <v>#N/A</v>
      </c>
      <c r="CQ39">
        <f>CQ38+IF(AND(Lists!$EY$39&lt;&gt;"",ISNUMBER(SEARCH($AD$4,Lists!$EY$39))),1,0)</f>
        <v>36</v>
      </c>
      <c r="CR39">
        <f>IF(ROW()-3&gt;MAX($CQ$4:$CQ$42),"",INDEX(Lists!$EY$4:$EY$42,MATCH(ROW()-3,$CQ$4:$CQ$42,0)))</f>
        <v>3279276.0942916102</v>
      </c>
      <c r="CS39" t="e">
        <f>CS38+IF(AND(Lists!$FD$39&lt;&gt;"",ISNUMBER(SEARCH($AE$4,Lists!$FD$39))),1,0)</f>
        <v>#N/A</v>
      </c>
      <c r="CT39" t="e">
        <f>IF(ROW()-3&gt;MAX($CS$4:$CS$42),"",INDEX(Lists!$FD$4:$FD$42,MATCH(ROW()-3,$CS$4:$CS$42,0)))</f>
        <v>#N/A</v>
      </c>
      <c r="CU39" t="e">
        <f>CU38+IF(AND(Lists!$FI$39&lt;&gt;"",ISNUMBER(SEARCH($AF$4,Lists!$FI$39))),1,0)</f>
        <v>#N/A</v>
      </c>
      <c r="CV39" t="e">
        <f>IF(ROW()-3&gt;MAX($CU$4:$CU$42),"",INDEX(Lists!$FI$4:$FI$42,MATCH(ROW()-3,$CU$4:$CU$42,0)))</f>
        <v>#N/A</v>
      </c>
      <c r="CW39" t="e">
        <f>CW38+IF(AND(Lists!$FN$39&lt;&gt;"",ISNUMBER(SEARCH($AG$4,Lists!$FN$39))),1,0)</f>
        <v>#N/A</v>
      </c>
      <c r="CX39" t="e">
        <f>IF(ROW()-3&gt;MAX($CW$4:$CW$42),"",INDEX(Lists!$FN$4:$FN$42,MATCH(ROW()-3,$CW$4:$CW$42,0)))</f>
        <v>#N/A</v>
      </c>
      <c r="CY39" t="e">
        <f>CY38+IF(AND(Lists!$FS$39&lt;&gt;"",ISNUMBER(SEARCH($AH$4,Lists!$FS$39))),1,0)</f>
        <v>#N/A</v>
      </c>
      <c r="CZ39" t="e">
        <f>IF(ROW()-3&gt;MAX($CY$4:$CY$42),"",INDEX(Lists!$FS$4:$FS$42,MATCH(ROW()-3,$CY$4:$CY$42,0)))</f>
        <v>#N/A</v>
      </c>
      <c r="DA39">
        <f>DA38+IF(AND(Lists!$FX$39&lt;&gt;"",ISNUMBER(SEARCH($AI$4,Lists!$FX$39))),1,0)</f>
        <v>2</v>
      </c>
      <c r="DB39" t="str">
        <f>IF(ROW()-3&gt;MAX($DA$4:$DA$42),"",INDEX(Lists!$FX$4:$FX$42,MATCH(ROW()-3,$DA$4:$DA$42,0)))</f>
        <v/>
      </c>
    </row>
    <row r="40" ht="15" customHeight="1" s="137">
      <c r="A40" s="81" t="inlineStr">
        <is>
          <t>∑</t>
        </is>
      </c>
      <c r="B40" s="83" t="n"/>
      <c r="C40" s="83" t="str">
        <f>ROWS($C$39:$C$39)&amp;" lot(s)"</f>
        <v>1 lot(s)</v>
      </c>
      <c r="D40" s="83" t="inlineStr">
        <is>
          <t>SUBTOTAL — SAHARA ENTERPRISES</t>
        </is>
      </c>
      <c r="E40" s="83" t="inlineStr">
        <is>
          <t>–</t>
        </is>
      </c>
      <c r="F40" s="83">
        <f>SUM(F39:F39)</f>
        <v>670</v>
      </c>
      <c r="G40" s="83" t="inlineStr">
        <is>
          <t>–</t>
        </is>
      </c>
      <c r="H40" s="84" t="inlineStr">
        <is>
          <t>–</t>
        </is>
      </c>
      <c r="I40" s="84">
        <f>SUM(I39:I39)</f>
        <v>207030</v>
      </c>
      <c r="J40" s="84">
        <f>SUM(J39:J39)</f>
        <v>37265</v>
      </c>
      <c r="K40" s="84">
        <f>SUM(K39:K39)</f>
        <v>244295</v>
      </c>
      <c r="L40" s="84">
        <f>SUM(L39:L39)</f>
        <v>4886</v>
      </c>
      <c r="M40" s="84">
        <f>SUM(M39:M39)</f>
        <v>207.03</v>
      </c>
      <c r="N40" s="84">
        <f>SUM(N39:N39)</f>
        <v>5496.6464999999998</v>
      </c>
      <c r="O40" s="85">
        <f>SUM(O39:O39)</f>
        <v>93.163499999999999</v>
      </c>
      <c r="P40" s="84">
        <f>SUM(P39:P39)</f>
        <v>5403.4830000000002</v>
      </c>
      <c r="Q40" s="84">
        <f>SUM(Q39:Q39)</f>
        <v>5611</v>
      </c>
      <c r="R40" s="86" t="inlineStr">
        <is>
          <t>–</t>
        </is>
      </c>
      <c r="S40" s="84">
        <f>SUM(S39:S39)</f>
        <v>0</v>
      </c>
      <c r="T40" s="84">
        <f>SUM(T39:T39)</f>
        <v>243571</v>
      </c>
      <c r="U40" s="84">
        <f>SUM(U39:U39)</f>
        <v>51758</v>
      </c>
      <c r="V40" s="87">
        <f>SUM(V39:V39)</f>
        <v>51758</v>
      </c>
      <c r="W40" s="84" t="inlineStr">
        <is>
          <t>–</t>
        </is>
      </c>
      <c r="X40" s="84">
        <f>SUM(X39:X39)</f>
        <v>191813</v>
      </c>
      <c r="Y40" s="84">
        <f>SUM(Y39:Y39)</f>
        <v>191812</v>
      </c>
      <c r="Z40" s="84" t="inlineStr">
        <is>
          <t>–</t>
        </is>
      </c>
      <c r="AA40" s="84">
        <f>SUM(AA39:AA39)</f>
        <v>0</v>
      </c>
      <c r="AB40" s="84">
        <f>SUM(AB39:AB39)</f>
        <v>0</v>
      </c>
      <c r="AC40" s="84" t="inlineStr">
        <is>
          <t>–</t>
        </is>
      </c>
      <c r="AD40" s="84">
        <f>SUM(AD39:AD39)</f>
        <v>243570</v>
      </c>
      <c r="AE40" s="84">
        <f>SUM(AE39:AE39)</f>
        <v>1</v>
      </c>
      <c r="AF40" s="84" t="inlineStr">
        <is>
          <t>–</t>
        </is>
      </c>
      <c r="AG40" s="88" t="inlineStr">
        <is>
          <t>–</t>
        </is>
      </c>
      <c r="AH40" s="84" t="inlineStr">
        <is>
          <t>–</t>
        </is>
      </c>
      <c r="AI40" s="89" t="str">
        <f>IF(AE40&lt;=5,"SETTLED","OUTSTANDING")</f>
        <v>SETTLED</v>
      </c>
      <c r="AJ40" t="b">
        <f>AND(IF($B$4="",TRUE(),IF($B$4="(blank)",'Final Calculation Sheet'!$F$38="",IF($B$4="(nonblank)",'Final Calculation Sheet'!$F$38&lt;&gt;"",ISNUMBER(SEARCH($B$4,'Final Calculation Sheet'!$F$38))))),IF($C$4="",TRUE(),IF($C$4="(blank)",'Final Calculation Sheet'!$G$38="",IF($C$4="(nonblank)",'Final Calculation Sheet'!$G$38&lt;&gt;"",ISNUMBER(SEARCH($C$4,'Final Calculation Sheet'!$G$38))))),IF($D$4="",TRUE(),IF($D$4="(blank)",'Final Calculation Sheet'!$B$38="",IF($D$4="(nonblank)",'Final Calculation Sheet'!$B$38&lt;&gt;"",ISNUMBER(SEARCH($D$4,'Final Calculation Sheet'!$B$38))))),IF($E$4="",TRUE(),IF($E$4="(blank)",'Final Calculation Sheet'!$D$38="",IF($E$4="(nonblank)",'Final Calculation Sheet'!$D$38&lt;&gt;"",ISNUMBER(SEARCH($E$4,'Final Calculation Sheet'!$D$38))))),IF($F$4="",TRUE(),IF($F$4="(blank)",'Final Calculation Sheet'!$A$38="",IF($F$4="(nonblank)",'Final Calculation Sheet'!$A$38&lt;&gt;"",ISNUMBER(SEARCH($F$4,'Final Calculation Sheet'!$A$38))))),IF($G$4="",TRUE(),IF($G$4="(blank)",'Final Calculation Sheet'!$E$38="",IF($G$4="(nonblank)",'Final Calculation Sheet'!$E$38&lt;&gt;"",ISNUMBER(SEARCH($G$4,'Final Calculation Sheet'!$E$38))))),IF($H$4="",TRUE(),IF($H$4="(blank)",'Final Calculation Sheet'!$C$38="",IF($H$4="(nonblank)",'Final Calculation Sheet'!$C$38&lt;&gt;"",ISNUMBER(SEARCH($H$4,'Final Calculation Sheet'!$C$38))))),IF($I$4="",TRUE(),IF($I$4="(blank)",'Final Calculation Sheet'!$H$38="",IF($I$4="(nonblank)",'Final Calculation Sheet'!$H$38&lt;&gt;"",ISNUMBER(SEARCH($I$4,'Final Calculation Sheet'!$H$38))))),IF($J$4="",TRUE(),IF($J$4="(blank)",'Final Calculation Sheet'!$I$38="",IF($J$4="(nonblank)",'Final Calculation Sheet'!$I$38&lt;&gt;"",ISNUMBER(SEARCH($J$4,'Final Calculation Sheet'!$I$38))))),IF($K$4="",TRUE(),IF($K$4="(blank)",'Final Calculation Sheet'!$J$38="",IF($K$4="(nonblank)",'Final Calculation Sheet'!$J$38&lt;&gt;"",ISNUMBER(SEARCH($K$4,'Final Calculation Sheet'!$J$38))))),IF($L$4="",TRUE(),IF($L$4="(blank)",'Final Calculation Sheet'!$K$38="",IF($L$4="(nonblank)",'Final Calculation Sheet'!$K$38&lt;&gt;"",ISNUMBER(SEARCH($L$4,'Final Calculation Sheet'!$K$38))))),IF($M$4="",TRUE(),IF($M$4="(blank)",'Final Calculation Sheet'!$L$38="",IF($M$4="(nonblank)",'Final Calculation Sheet'!$L$38&lt;&gt;"",ISNUMBER(SEARCH($M$4,'Final Calculation Sheet'!$L$38))))),IF($N$4="",TRUE(),IF($N$4="(blank)",'Final Calculation Sheet'!$M$38="",IF($N$4="(nonblank)",'Final Calculation Sheet'!$M$38&lt;&gt;"",ISNUMBER(SEARCH($N$4,'Final Calculation Sheet'!$M$38))))),IF($O$4="",TRUE(),IF($O$4="(blank)",'Final Calculation Sheet'!$N$38="",IF($O$4="(nonblank)",'Final Calculation Sheet'!$N$38&lt;&gt;"",ISNUMBER(SEARCH($O$4,'Final Calculation Sheet'!$N$38))))),IF($P$4="",TRUE(),IF($P$4="(blank)",'Final Calculation Sheet'!$O$38="",IF($P$4="(nonblank)",'Final Calculation Sheet'!$O$38&lt;&gt;"",ISNUMBER(SEARCH($P$4,'Final Calculation Sheet'!$O$38))))),IF($Q$4="",TRUE(),IF($Q$4="(blank)",'Final Calculation Sheet'!$P$38="",IF($Q$4="(nonblank)",'Final Calculation Sheet'!$P$38&lt;&gt;"",ISNUMBER(SEARCH($Q$4,'Final Calculation Sheet'!$P$38))))),IF($R$4="",TRUE(),IF($R$4="(blank)",'Final Calculation Sheet'!$Q$38="",IF($R$4="(nonblank)",'Final Calculation Sheet'!$Q$38&lt;&gt;"",ISNUMBER(SEARCH($R$4,'Final Calculation Sheet'!$Q$38))))),IF($S$4="",TRUE(),IF($S$4="(blank)",'Final Calculation Sheet'!$R$38="",IF($S$4="(nonblank)",'Final Calculation Sheet'!$R$38&lt;&gt;"",ISNUMBER(SEARCH($S$4,'Final Calculation Sheet'!$R$38))))),IF($T$4="",TRUE(),IF($T$4="(blank)",'Final Calculation Sheet'!$S$38="",IF($T$4="(nonblank)",'Final Calculation Sheet'!$S$38&lt;&gt;"",ISNUMBER(SEARCH($T$4,'Final Calculation Sheet'!$S$38))))),IF($U$4="",TRUE(),IF($U$4="(blank)",'Final Calculation Sheet'!$T$38="",IF($U$4="(nonblank)",'Final Calculation Sheet'!$T$38&lt;&gt;"",ISNUMBER(SEARCH($U$4,'Final Calculation Sheet'!$T$38))))),IF($V$4="",TRUE(),IF($V$4="(blank)",'Final Calculation Sheet'!$U$38="",IF($V$4="(nonblank)",'Final Calculation Sheet'!$U$38&lt;&gt;"",ISNUMBER(SEARCH($V$4,'Final Calculation Sheet'!$U$38))))),IF($W$4="",TRUE(),IF($W$4="(blank)",'Final Calculation Sheet'!$V$38="",IF($W$4="(nonblank)",'Final Calculation Sheet'!$V$38&lt;&gt;"",ISNUMBER(SEARCH($W$4,'Final Calculation Sheet'!$V$38))))),IF($X$4="",TRUE(),IF($X$4="(blank)",'Final Calculation Sheet'!$W$38="",IF($X$4="(nonblank)",'Final Calculation Sheet'!$W$38&lt;&gt;"",ISNUMBER(SEARCH($X$4,'Final Calculation Sheet'!$W$38))))),IF($Y$4="",TRUE(),IF($Y$4="(blank)",'Final Calculation Sheet'!$X$38="",IF($Y$4="(nonblank)",'Final Calculation Sheet'!$X$38&lt;&gt;"",ISNUMBER(SEARCH($Y$4,'Final Calculation Sheet'!$X$38))))),IF($Z$4="",TRUE(),IF($Z$4="(blank)",'Final Calculation Sheet'!$Y$38="",IF($Z$4="(nonblank)",'Final Calculation Sheet'!$Y$38&lt;&gt;"",ISNUMBER(SEARCH($Z$4,'Final Calculation Sheet'!$Y$38))))),IF($AA$4="",TRUE(),IF($AA$4="(blank)",'Final Calculation Sheet'!$Z$38="",IF($AA$4="(nonblank)",'Final Calculation Sheet'!$Z$38&lt;&gt;"",ISNUMBER(SEARCH($AA$4,'Final Calculation Sheet'!$Z$38))))),IF($AB$4="",TRUE(),IF($AB$4="(blank)",'Final Calculation Sheet'!$AA$38="",IF($AB$4="(nonblank)",'Final Calculation Sheet'!$AA$38&lt;&gt;"",ISNUMBER(SEARCH($AB$4,'Final Calculation Sheet'!$AA$38))))),IF($AC$4="",TRUE(),IF($AC$4="(blank)",'Final Calculation Sheet'!$AB$38="",IF($AC$4="(nonblank)",'Final Calculation Sheet'!$AB$38&lt;&gt;"",ISNUMBER(SEARCH($AC$4,'Final Calculation Sheet'!$AB$38))))),IF($AD$4="",TRUE(),IF($AD$4="(blank)",'Final Calculation Sheet'!$AC$38="",IF($AD$4="(nonblank)",'Final Calculation Sheet'!$AC$38&lt;&gt;"",ISNUMBER(SEARCH($AD$4,'Final Calculation Sheet'!$AC$38))))),IF($AE$4="",TRUE(),IF($AE$4="(blank)",'Final Calculation Sheet'!$AD$38="",IF($AE$4="(nonblank)",'Final Calculation Sheet'!$AD$38&lt;&gt;"",ISNUMBER(SEARCH($AE$4,'Final Calculation Sheet'!$AD$38))))),IF($AF$4="",TRUE(),IF($AF$4="(blank)",'Final Calculation Sheet'!$AE$38="",IF($AF$4="(nonblank)",'Final Calculation Sheet'!$AE$38&lt;&gt;"",ISNUMBER(SEARCH($AF$4,'Final Calculation Sheet'!$AE$38))))),IF($AG$4="",TRUE(),IF($AG$4="(blank)",'Final Calculation Sheet'!$AF$38="",IF($AG$4="(nonblank)",'Final Calculation Sheet'!$AF$38&lt;&gt;"",ISNUMBER(SEARCH($AG$4,'Final Calculation Sheet'!$AF$38))))),IF($AH$4="",TRUE(),IF($AH$4="(blank)",'Final Calculation Sheet'!$AG$38="",IF($AH$4="(nonblank)",'Final Calculation Sheet'!$AG$38&lt;&gt;"",ISNUMBER(SEARCH($AH$4,'Final Calculation Sheet'!$AG$38))))),IF($AI$4="",TRUE(),IF($AI$4="(blank)",IF('Final Calculation Sheet'!$AD$38&lt;=5,"SETTLED","OUTSTANDING")="",IF($AI$4="(nonblank)",IF('Final Calculation Sheet'!$AD$38&lt;=5,"SETTLED","OUTSTANDING")&lt;&gt;"",ISNUMBER(SEARCH($AI$4,IF('Final Calculation Sheet'!$AD$38&lt;=5,"SETTLED","OUTSTANDING")))))))</f>
        <v>1</v>
      </c>
      <c r="AK40" t="str">
        <f>IF(AJ40=1,COUNTIF(AJ$6:AJ40,1),"")</f>
        <v/>
      </c>
      <c r="AM40">
        <f>AM39+IF(AND(Lists!$O$40&lt;&gt;"",ISNUMBER(SEARCH($B$4,Lists!$O$40))),1,0)</f>
        <v>37</v>
      </c>
      <c r="AN40">
        <f>IF(ROW()-3&gt;MAX($AM$4:$AM$42),"",INDEX(Lists!$O$4:$O$42,MATCH(ROW()-3,$AM$4:$AM$42,0)))</f>
        <v>2091</v>
      </c>
      <c r="AO40">
        <f>AO39+IF(AND(Lists!$T$40&lt;&gt;"",ISNUMBER(SEARCH($C$4,Lists!$T$40))),1,0)</f>
        <v>13</v>
      </c>
      <c r="AP40" t="str">
        <f>IF(ROW()-3&gt;MAX($AO$4:$AO$42),"",INDEX(Lists!$T$4:$T$42,MATCH(ROW()-3,$AO$4:$AO$42,0)))</f>
        <v/>
      </c>
      <c r="AQ40">
        <f>AQ39+IF(AND(Lists!$Y$40&lt;&gt;"",ISNUMBER(SEARCH($D$4,Lists!$Y$40))),1,0)</f>
        <v>25</v>
      </c>
      <c r="AR40" t="str">
        <f>IF(ROW()-3&gt;MAX($AQ$4:$AQ$42),"",INDEX(Lists!$Y$4:$Y$42,MATCH(ROW()-3,$AQ$4:$AQ$42,0)))</f>
        <v/>
      </c>
      <c r="AS40">
        <f>AS39+IF(AND(Lists!$AD$40&lt;&gt;"",ISNUMBER(SEARCH($E$4,Lists!$AD$40))),1,0)</f>
        <v>4</v>
      </c>
      <c r="AT40" t="str">
        <f>IF(ROW()-3&gt;MAX($AS$4:$AS$42),"",INDEX(Lists!$AD$4:$AD$42,MATCH(ROW()-3,$AS$4:$AS$42,0)))</f>
        <v/>
      </c>
      <c r="AU40">
        <f>AU39+IF(AND(Lists!$AI$40&lt;&gt;"",ISNUMBER(SEARCH($F$4,Lists!$AI$40))),1,0)</f>
        <v>22</v>
      </c>
      <c r="AV40" t="str">
        <f>IF(ROW()-3&gt;MAX($AU$4:$AU$42),"",INDEX(Lists!$AI$4:$AI$42,MATCH(ROW()-3,$AU$4:$AU$42,0)))</f>
        <v/>
      </c>
      <c r="AW40">
        <f>AW39+IF(AND(Lists!$AN$40&lt;&gt;"",ISNUMBER(SEARCH($G$4,Lists!$AN$40))),1,0)</f>
        <v>3</v>
      </c>
      <c r="AX40" t="str">
        <f>IF(ROW()-3&gt;MAX($AW$4:$AW$42),"",INDEX(Lists!$AN$4:$AN$42,MATCH(ROW()-3,$AW$4:$AW$42,0)))</f>
        <v/>
      </c>
      <c r="AY40">
        <f>AY39+IF(AND(Lists!$AS$40&lt;&gt;"",ISNUMBER(SEARCH($H$4,Lists!$AS$40))),1,0)</f>
        <v>35</v>
      </c>
      <c r="AZ40" t="str">
        <f>IF(ROW()-3&gt;MAX($AY$4:$AY$42),"",INDEX(Lists!$AS$4:$AS$42,MATCH(ROW()-3,$AY$4:$AY$42,0)))</f>
        <v>(nonblank)</v>
      </c>
      <c r="BA40">
        <f>BA39+IF(AND(Lists!$AX$40&lt;&gt;"",ISNUMBER(SEARCH($I$4,Lists!$AX$40))),1,0)</f>
        <v>37</v>
      </c>
      <c r="BB40">
        <f>IF(ROW()-3&gt;MAX($BA$4:$BA$42),"",INDEX(Lists!$AX$4:$AX$42,MATCH(ROW()-3,$BA$4:$BA$42,0)))</f>
        <v>3857116</v>
      </c>
      <c r="BC40">
        <f>BC39+IF(AND(Lists!$BC$40&lt;&gt;"",ISNUMBER(SEARCH($J$4,Lists!$BC$40))),1,0)</f>
        <v>37</v>
      </c>
      <c r="BD40">
        <f>IF(ROW()-3&gt;MAX($BC$4:$BC$42),"",INDEX(Lists!$BC$4:$BC$42,MATCH(ROW()-3,$BC$4:$BC$42,0)))</f>
        <v>694281</v>
      </c>
      <c r="BE40">
        <f>BE39+IF(AND(Lists!$BH$40&lt;&gt;"",ISNUMBER(SEARCH($K$4,Lists!$BH$40))),1,0)</f>
        <v>37</v>
      </c>
      <c r="BF40">
        <f>IF(ROW()-3&gt;MAX($BE$4:$BE$42),"",INDEX(Lists!$BH$4:$BH$42,MATCH(ROW()-3,$BE$4:$BE$42,0)))</f>
        <v>4551397</v>
      </c>
      <c r="BG40">
        <f>BG39+IF(AND(Lists!$BM$40&lt;&gt;"",ISNUMBER(SEARCH($L$4,Lists!$BM$40))),1,0)</f>
        <v>36</v>
      </c>
      <c r="BH40" t="str">
        <f>IF(ROW()-3&gt;MAX($BG$4:$BG$42),"",INDEX(Lists!$BM$4:$BM$42,MATCH(ROW()-3,$BG$4:$BG$42,0)))</f>
        <v>(blank)</v>
      </c>
      <c r="BI40">
        <f>BI39+IF(AND(Lists!$BR$40&lt;&gt;"",ISNUMBER(SEARCH($M$4,Lists!$BR$40))),1,0)</f>
        <v>37</v>
      </c>
      <c r="BJ40">
        <f>IF(ROW()-3&gt;MAX($BI$4:$BI$42),"",INDEX(Lists!$BR$4:$BR$42,MATCH(ROW()-3,$BI$4:$BI$42,0)))</f>
        <v>3857.116</v>
      </c>
      <c r="BK40">
        <f>BK39+IF(AND(Lists!$BW$40&lt;&gt;"",ISNUMBER(SEARCH($N$4,Lists!$BW$40))),1,0)</f>
        <v>37</v>
      </c>
      <c r="BL40">
        <f>IF(ROW()-3&gt;MAX($BK$4:$BK$42),"",INDEX(Lists!$BW$4:$BW$42,MATCH(ROW()-3,$BK$4:$BK$42,0)))</f>
        <v>102406.4298</v>
      </c>
      <c r="BM40">
        <f>BM39+IF(AND(Lists!$CB$40&lt;&gt;"",ISNUMBER(SEARCH($O$4,Lists!$CB$40))),1,0)</f>
        <v>37</v>
      </c>
      <c r="BN40">
        <f>IF(ROW()-3&gt;MAX($BM$4:$BM$42),"",INDEX(Lists!$CB$4:$CB$42,MATCH(ROW()-3,$BM$4:$BM$42,0)))</f>
        <v>1735.7021999999999</v>
      </c>
      <c r="BO40">
        <f>BO39+IF(AND(Lists!$CG$40&lt;&gt;"",ISNUMBER(SEARCH($P$4,Lists!$CG$40))),1,0)</f>
        <v>37</v>
      </c>
      <c r="BP40">
        <f>IF(ROW()-3&gt;MAX($BO$4:$BO$42),"",INDEX(Lists!$CG$4:$CG$42,MATCH(ROW()-3,$BO$4:$BO$42,0)))</f>
        <v>100670.7276</v>
      </c>
      <c r="BQ40">
        <f>BQ39+IF(AND(Lists!$CL$40&lt;&gt;"",ISNUMBER(SEARCH($Q$4,Lists!$CL$40))),1,0)</f>
        <v>36</v>
      </c>
      <c r="BR40" t="str">
        <f>IF(ROW()-3&gt;MAX($BQ$4:$BQ$42),"",INDEX(Lists!$CL$4:$CL$42,MATCH(ROW()-3,$BQ$4:$BQ$42,0)))</f>
        <v>(blank)</v>
      </c>
      <c r="BS40">
        <f>BS39+IF(AND(Lists!$CQ$40&lt;&gt;"",ISNUMBER(SEARCH($R$4,Lists!$CQ$40))),1,0)</f>
        <v>2</v>
      </c>
      <c r="BT40" t="str">
        <f>IF(ROW()-3&gt;MAX($BS$4:$BS$42),"",INDEX(Lists!$CQ$4:$CQ$42,MATCH(ROW()-3,$BS$4:$BS$42,0)))</f>
        <v/>
      </c>
      <c r="BU40">
        <f>BU39+IF(AND(Lists!$CV$40&lt;&gt;"",ISNUMBER(SEARCH($S$4,Lists!$CV$40))),1,0)</f>
        <v>5</v>
      </c>
      <c r="BV40" t="str">
        <f>IF(ROW()-3&gt;MAX($BU$4:$BU$42),"",INDEX(Lists!$CV$4:$CV$42,MATCH(ROW()-3,$BU$4:$BU$42,0)))</f>
        <v/>
      </c>
      <c r="BW40">
        <f>BW39+IF(AND(Lists!$DA$40&lt;&gt;"",ISNUMBER(SEARCH($T$4,Lists!$DA$40))),1,0)</f>
        <v>37</v>
      </c>
      <c r="BX40">
        <f>IF(ROW()-3&gt;MAX($BW$4:$BW$42),"",INDEX(Lists!$DA$4:$DA$42,MATCH(ROW()-3,$BW$4:$BW$42,0)))</f>
        <v>4537897</v>
      </c>
      <c r="BY40">
        <f>BY39+IF(AND(Lists!$DF$40&lt;&gt;"",ISNUMBER(SEARCH($U$4,Lists!$DF$40))),1,0)</f>
        <v>37</v>
      </c>
      <c r="BZ40">
        <f>IF(ROW()-3&gt;MAX($BY$4:$BY$42),"",INDEX(Lists!$DF$4:$DF$42,MATCH(ROW()-3,$BY$4:$BY$42,0)))</f>
        <v>964279</v>
      </c>
      <c r="CA40">
        <f>CA39+IF(AND(Lists!$DK$40&lt;&gt;"",ISNUMBER(SEARCH($V$4,Lists!$DK$40))),1,0)</f>
        <v>37</v>
      </c>
      <c r="CB40">
        <f>IF(ROW()-3&gt;MAX($CA$4:$CA$42),"",INDEX(Lists!$DK$4:$DK$42,MATCH(ROW()-3,$CA$4:$CA$42,0)))</f>
        <v>964279</v>
      </c>
      <c r="CC40">
        <f>CC39+IF(AND(Lists!$DP$40&lt;&gt;"",ISNUMBER(SEARCH($W$4,Lists!$DP$40))),1,0)</f>
        <v>6</v>
      </c>
      <c r="CD40" t="str">
        <f>IF(ROW()-3&gt;MAX($CC$4:$CC$42),"",INDEX(Lists!$DP$4:$DP$42,MATCH(ROW()-3,$CC$4:$CC$42,0)))</f>
        <v/>
      </c>
      <c r="CE40">
        <f>CE39+IF(AND(Lists!$DU$40&lt;&gt;"",ISNUMBER(SEARCH($X$4,Lists!$DU$40))),1,0)</f>
        <v>37</v>
      </c>
      <c r="CF40">
        <f>IF(ROW()-3&gt;MAX($CE$4:$CE$42),"",INDEX(Lists!$DU$4:$DU$42,MATCH(ROW()-3,$CE$4:$CE$42,0)))</f>
        <v>3573618</v>
      </c>
      <c r="CG40" t="e">
        <f>CG39+IF(AND(Lists!$DZ$40&lt;&gt;"",ISNUMBER(SEARCH($Y$4,Lists!$DZ$40))),1,0)</f>
        <v>#N/A</v>
      </c>
      <c r="CH40" t="e">
        <f>IF(ROW()-3&gt;MAX($CG$4:$CG$42),"",INDEX(Lists!$DZ$4:$DZ$42,MATCH(ROW()-3,$CG$4:$CG$42,0)))</f>
        <v>#N/A</v>
      </c>
      <c r="CI40" t="e">
        <f>CI39+IF(AND(Lists!$EE$40&lt;&gt;"",ISNUMBER(SEARCH($Z$4,Lists!$EE$40))),1,0)</f>
        <v>#N/A</v>
      </c>
      <c r="CJ40" t="e">
        <f>IF(ROW()-3&gt;MAX($CI$4:$CI$42),"",INDEX(Lists!$EE$4:$EE$42,MATCH(ROW()-3,$CI$4:$CI$42,0)))</f>
        <v>#N/A</v>
      </c>
      <c r="CK40">
        <f>CK39+IF(AND(Lists!$EJ$40&lt;&gt;"",ISNUMBER(SEARCH($AA$4,Lists!$EJ$40))),1,0)</f>
        <v>6</v>
      </c>
      <c r="CL40" t="str">
        <f>IF(ROW()-3&gt;MAX($CK$4:$CK$42),"",INDEX(Lists!$EJ$4:$EJ$42,MATCH(ROW()-3,$CK$4:$CK$42,0)))</f>
        <v/>
      </c>
      <c r="CM40" t="e">
        <f>CM39+IF(AND(Lists!$EO$40&lt;&gt;"",ISNUMBER(SEARCH($AB$4,Lists!$EO$40))),1,0)</f>
        <v>#N/A</v>
      </c>
      <c r="CN40" t="e">
        <f>IF(ROW()-3&gt;MAX($CM$4:$CM$42),"",INDEX(Lists!$EO$4:$EO$42,MATCH(ROW()-3,$CM$4:$CM$42,0)))</f>
        <v>#N/A</v>
      </c>
      <c r="CO40" t="e">
        <f>CO39+IF(AND(Lists!$ET$40&lt;&gt;"",ISNUMBER(SEARCH($AC$4,Lists!$ET$40))),1,0)</f>
        <v>#N/A</v>
      </c>
      <c r="CP40" t="e">
        <f>IF(ROW()-3&gt;MAX($CO$4:$CO$42),"",INDEX(Lists!$ET$4:$ET$42,MATCH(ROW()-3,$CO$4:$CO$42,0)))</f>
        <v>#N/A</v>
      </c>
      <c r="CQ40">
        <f>CQ39+IF(AND(Lists!$EY$40&lt;&gt;"",ISNUMBER(SEARCH($AD$4,Lists!$EY$40))),1,0)</f>
        <v>37</v>
      </c>
      <c r="CR40">
        <f>IF(ROW()-3&gt;MAX($CQ$4:$CQ$42),"",INDEX(Lists!$EY$4:$EY$42,MATCH(ROW()-3,$CQ$4:$CQ$42,0)))</f>
        <v>4537897.9057083894</v>
      </c>
      <c r="CS40" t="e">
        <f>CS39+IF(AND(Lists!$FD$40&lt;&gt;"",ISNUMBER(SEARCH($AE$4,Lists!$FD$40))),1,0)</f>
        <v>#N/A</v>
      </c>
      <c r="CT40" t="e">
        <f>IF(ROW()-3&gt;MAX($CS$4:$CS$42),"",INDEX(Lists!$FD$4:$FD$42,MATCH(ROW()-3,$CS$4:$CS$42,0)))</f>
        <v>#N/A</v>
      </c>
      <c r="CU40" t="e">
        <f>CU39+IF(AND(Lists!$FI$40&lt;&gt;"",ISNUMBER(SEARCH($AF$4,Lists!$FI$40))),1,0)</f>
        <v>#N/A</v>
      </c>
      <c r="CV40" t="e">
        <f>IF(ROW()-3&gt;MAX($CU$4:$CU$42),"",INDEX(Lists!$FI$4:$FI$42,MATCH(ROW()-3,$CU$4:$CU$42,0)))</f>
        <v>#N/A</v>
      </c>
      <c r="CW40" t="e">
        <f>CW39+IF(AND(Lists!$FN$40&lt;&gt;"",ISNUMBER(SEARCH($AG$4,Lists!$FN$40))),1,0)</f>
        <v>#N/A</v>
      </c>
      <c r="CX40" t="e">
        <f>IF(ROW()-3&gt;MAX($CW$4:$CW$42),"",INDEX(Lists!$FN$4:$FN$42,MATCH(ROW()-3,$CW$4:$CW$42,0)))</f>
        <v>#N/A</v>
      </c>
      <c r="CY40" t="e">
        <f>CY39+IF(AND(Lists!$FS$40&lt;&gt;"",ISNUMBER(SEARCH($AH$4,Lists!$FS$40))),1,0)</f>
        <v>#N/A</v>
      </c>
      <c r="CZ40" t="e">
        <f>IF(ROW()-3&gt;MAX($CY$4:$CY$42),"",INDEX(Lists!$FS$4:$FS$42,MATCH(ROW()-3,$CY$4:$CY$42,0)))</f>
        <v>#N/A</v>
      </c>
      <c r="DA40">
        <f>DA39+IF(AND(Lists!$FX$40&lt;&gt;"",ISNUMBER(SEARCH($AI$4,Lists!$FX$40))),1,0)</f>
        <v>2</v>
      </c>
      <c r="DB40" t="str">
        <f>IF(ROW()-3&gt;MAX($DA$4:$DA$42),"",INDEX(Lists!$FX$4:$FX$42,MATCH(ROW()-3,$DA$4:$DA$42,0)))</f>
        <v/>
      </c>
    </row>
    <row r="41" outlineLevel="1" ht="15" customHeight="1" s="137">
      <c r="A41" s="67" t="n">
        <v>1</v>
      </c>
      <c r="B41" s="76">
        <f>IF('Final Calculation Sheet'!$F$9="","",'Final Calculation Sheet'!$F$9)</f>
        <v>1976</v>
      </c>
      <c r="C41" s="76" t="str">
        <f>IF('Final Calculation Sheet'!$G$9="","",'Final Calculation Sheet'!$G$9)</f>
        <v>SHAR JAHAN TRADERS</v>
      </c>
      <c r="D41" s="80" t="str">
        <f>IF('Final Calculation Sheet'!$B$9="","",'Final Calculation Sheet'!$B$9)</f>
        <v>Scrap Power Transformer</v>
      </c>
      <c r="E41" s="80">
        <f>IF('Final Calculation Sheet'!$D$9="","",'Final Calculation Sheet'!$D$9)</f>
        <v>21977</v>
      </c>
      <c r="F41" s="80">
        <f>IF('Final Calculation Sheet'!$A$9="","",'Final Calculation Sheet'!$A$9)</f>
        <v>1</v>
      </c>
      <c r="G41" s="80" t="str">
        <f>IF('Final Calculation Sheet'!$E$9="","",'Final Calculation Sheet'!$E$9)</f>
        <v>NO</v>
      </c>
      <c r="H41" s="70">
        <f>IF('Final Calculation Sheet'!$C$9="","",'Final Calculation Sheet'!$C$9)</f>
        <v>2787314</v>
      </c>
      <c r="I41" s="70">
        <f>IF('Final Calculation Sheet'!$H$9="","",'Final Calculation Sheet'!$H$9)</f>
        <v>2787314</v>
      </c>
      <c r="J41" s="70">
        <f>IF('Final Calculation Sheet'!$I$9="","",'Final Calculation Sheet'!$I$9)</f>
        <v>501717</v>
      </c>
      <c r="K41" s="70">
        <f>IF('Final Calculation Sheet'!$J$9="","",'Final Calculation Sheet'!$J$9)</f>
        <v>3289031</v>
      </c>
      <c r="L41" s="70">
        <f>IF('Final Calculation Sheet'!$K$9="","",'Final Calculation Sheet'!$K$9)</f>
        <v>65781</v>
      </c>
      <c r="M41" s="70">
        <f>IF('Final Calculation Sheet'!$L$9="","",'Final Calculation Sheet'!$L$9)</f>
        <v>2787.3139999999999</v>
      </c>
      <c r="N41" s="70">
        <f>IF('Final Calculation Sheet'!$M$9="","",'Final Calculation Sheet'!$M$9)</f>
        <v>74003.186699999991</v>
      </c>
      <c r="O41" s="71">
        <f>IF('Final Calculation Sheet'!$N$9="","",'Final Calculation Sheet'!$N$9)</f>
        <v>1254.2912999999999</v>
      </c>
      <c r="P41" s="70">
        <f>IF('Final Calculation Sheet'!$O$9="","",'Final Calculation Sheet'!$O$9)</f>
        <v>72748.895399999994</v>
      </c>
      <c r="Q41" s="70">
        <f>IF('Final Calculation Sheet'!$P$9="","",'Final Calculation Sheet'!$P$9)</f>
        <v>75536</v>
      </c>
      <c r="R41" s="72">
        <f>IF('Final Calculation Sheet'!$Q$9="","",'Final Calculation Sheet'!$Q$9)</f>
        <v>0</v>
      </c>
      <c r="S41" s="70">
        <f>IF('Final Calculation Sheet'!$R$9="","",'Final Calculation Sheet'!$R$9)</f>
        <v>0</v>
      </c>
      <c r="T41" s="70">
        <f>IF('Final Calculation Sheet'!$S$9="","",'Final Calculation Sheet'!$S$9)</f>
        <v>3279275</v>
      </c>
      <c r="U41" s="70">
        <f>IF('Final Calculation Sheet'!$T$9="","",'Final Calculation Sheet'!$T$9)</f>
        <v>696829</v>
      </c>
      <c r="V41" s="73">
        <f>IF('Final Calculation Sheet'!$U$9="","",'Final Calculation Sheet'!$U$9)</f>
        <v>696829</v>
      </c>
      <c r="W41" s="70" t="str">
        <f>IF('Final Calculation Sheet'!$V$9="","",'Final Calculation Sheet'!$V$9)</f>
        <v>13.08.2026</v>
      </c>
      <c r="X41" s="70">
        <f>IF('Final Calculation Sheet'!$W$9="","",'Final Calculation Sheet'!$W$9)</f>
        <v>2582446</v>
      </c>
      <c r="Y41" s="70">
        <f>IF('Final Calculation Sheet'!$X$9="","",'Final Calculation Sheet'!$X$9)</f>
        <v>2582447.0942916102</v>
      </c>
      <c r="Z41" s="70" t="str">
        <f>IF('Final Calculation Sheet'!$Y$9="","",'Final Calculation Sheet'!$Y$9)</f>
        <v>13.08.2026</v>
      </c>
      <c r="AA41" s="70">
        <f>IF('Final Calculation Sheet'!$Z$9="","",'Final Calculation Sheet'!$Z$9)</f>
        <v>0</v>
      </c>
      <c r="AB41" s="70" t="str">
        <f>IF('Final Calculation Sheet'!$AA$9="","",'Final Calculation Sheet'!$AA$9)</f>
        <v/>
      </c>
      <c r="AC41" s="70" t="str">
        <f>IF('Final Calculation Sheet'!$AB$9="","",'Final Calculation Sheet'!$AB$9)</f>
        <v/>
      </c>
      <c r="AD41" s="70">
        <f>IF('Final Calculation Sheet'!$AC$9="","",'Final Calculation Sheet'!$AC$9)</f>
        <v>3279276.0942916102</v>
      </c>
      <c r="AE41" s="70">
        <f>IF('Final Calculation Sheet'!$AD$9="","",'Final Calculation Sheet'!$AD$9)</f>
        <v>-1.0942916101776063</v>
      </c>
      <c r="AF41" s="70" t="str">
        <f>IF('Final Calculation Sheet'!$AE$9="","",'Final Calculation Sheet'!$AE$9)</f>
        <v>DR2640100023</v>
      </c>
      <c r="AG41" s="74">
        <f>IF('Final Calculation Sheet'!$AF$9="","",'Final Calculation Sheet'!$AF$9)</f>
        <v>1800003194</v>
      </c>
      <c r="AH41" s="70" t="str">
        <f>IF('Final Calculation Sheet'!$AG$9="","",'Final Calculation Sheet'!$AG$9)</f>
        <v>17.08.2026</v>
      </c>
      <c r="AI41" s="75" t="str">
        <f>IF('Final Calculation Sheet'!$AD$9="","",IF('Final Calculation Sheet'!$AD$9&lt;=5,"SETTLED","OUTSTANDING"))</f>
        <v>SETTLED</v>
      </c>
      <c r="AJ41" t="b">
        <f>AND(IF($B$4="",TRUE(),IF($B$4="(blank)",'Final Calculation Sheet'!$F$39="",IF($B$4="(nonblank)",'Final Calculation Sheet'!$F$39&lt;&gt;"",ISNUMBER(SEARCH($B$4,'Final Calculation Sheet'!$F$39))))),IF($C$4="",TRUE(),IF($C$4="(blank)",'Final Calculation Sheet'!$G$39="",IF($C$4="(nonblank)",'Final Calculation Sheet'!$G$39&lt;&gt;"",ISNUMBER(SEARCH($C$4,'Final Calculation Sheet'!$G$39))))),IF($D$4="",TRUE(),IF($D$4="(blank)",'Final Calculation Sheet'!$B$39="",IF($D$4="(nonblank)",'Final Calculation Sheet'!$B$39&lt;&gt;"",ISNUMBER(SEARCH($D$4,'Final Calculation Sheet'!$B$39))))),IF($E$4="",TRUE(),IF($E$4="(blank)",'Final Calculation Sheet'!$D$39="",IF($E$4="(nonblank)",'Final Calculation Sheet'!$D$39&lt;&gt;"",ISNUMBER(SEARCH($E$4,'Final Calculation Sheet'!$D$39))))),IF($F$4="",TRUE(),IF($F$4="(blank)",'Final Calculation Sheet'!$A$39="",IF($F$4="(nonblank)",'Final Calculation Sheet'!$A$39&lt;&gt;"",ISNUMBER(SEARCH($F$4,'Final Calculation Sheet'!$A$39))))),IF($G$4="",TRUE(),IF($G$4="(blank)",'Final Calculation Sheet'!$E$39="",IF($G$4="(nonblank)",'Final Calculation Sheet'!$E$39&lt;&gt;"",ISNUMBER(SEARCH($G$4,'Final Calculation Sheet'!$E$39))))),IF($H$4="",TRUE(),IF($H$4="(blank)",'Final Calculation Sheet'!$C$39="",IF($H$4="(nonblank)",'Final Calculation Sheet'!$C$39&lt;&gt;"",ISNUMBER(SEARCH($H$4,'Final Calculation Sheet'!$C$39))))),IF($I$4="",TRUE(),IF($I$4="(blank)",'Final Calculation Sheet'!$H$39="",IF($I$4="(nonblank)",'Final Calculation Sheet'!$H$39&lt;&gt;"",ISNUMBER(SEARCH($I$4,'Final Calculation Sheet'!$H$39))))),IF($J$4="",TRUE(),IF($J$4="(blank)",'Final Calculation Sheet'!$I$39="",IF($J$4="(nonblank)",'Final Calculation Sheet'!$I$39&lt;&gt;"",ISNUMBER(SEARCH($J$4,'Final Calculation Sheet'!$I$39))))),IF($K$4="",TRUE(),IF($K$4="(blank)",'Final Calculation Sheet'!$J$39="",IF($K$4="(nonblank)",'Final Calculation Sheet'!$J$39&lt;&gt;"",ISNUMBER(SEARCH($K$4,'Final Calculation Sheet'!$J$39))))),IF($L$4="",TRUE(),IF($L$4="(blank)",'Final Calculation Sheet'!$K$39="",IF($L$4="(nonblank)",'Final Calculation Sheet'!$K$39&lt;&gt;"",ISNUMBER(SEARCH($L$4,'Final Calculation Sheet'!$K$39))))),IF($M$4="",TRUE(),IF($M$4="(blank)",'Final Calculation Sheet'!$L$39="",IF($M$4="(nonblank)",'Final Calculation Sheet'!$L$39&lt;&gt;"",ISNUMBER(SEARCH($M$4,'Final Calculation Sheet'!$L$39))))),IF($N$4="",TRUE(),IF($N$4="(blank)",'Final Calculation Sheet'!$M$39="",IF($N$4="(nonblank)",'Final Calculation Sheet'!$M$39&lt;&gt;"",ISNUMBER(SEARCH($N$4,'Final Calculation Sheet'!$M$39))))),IF($O$4="",TRUE(),IF($O$4="(blank)",'Final Calculation Sheet'!$N$39="",IF($O$4="(nonblank)",'Final Calculation Sheet'!$N$39&lt;&gt;"",ISNUMBER(SEARCH($O$4,'Final Calculation Sheet'!$N$39))))),IF($P$4="",TRUE(),IF($P$4="(blank)",'Final Calculation Sheet'!$O$39="",IF($P$4="(nonblank)",'Final Calculation Sheet'!$O$39&lt;&gt;"",ISNUMBER(SEARCH($P$4,'Final Calculation Sheet'!$O$39))))),IF($Q$4="",TRUE(),IF($Q$4="(blank)",'Final Calculation Sheet'!$P$39="",IF($Q$4="(nonblank)",'Final Calculation Sheet'!$P$39&lt;&gt;"",ISNUMBER(SEARCH($Q$4,'Final Calculation Sheet'!$P$39))))),IF($R$4="",TRUE(),IF($R$4="(blank)",'Final Calculation Sheet'!$Q$39="",IF($R$4="(nonblank)",'Final Calculation Sheet'!$Q$39&lt;&gt;"",ISNUMBER(SEARCH($R$4,'Final Calculation Sheet'!$Q$39))))),IF($S$4="",TRUE(),IF($S$4="(blank)",'Final Calculation Sheet'!$R$39="",IF($S$4="(nonblank)",'Final Calculation Sheet'!$R$39&lt;&gt;"",ISNUMBER(SEARCH($S$4,'Final Calculation Sheet'!$R$39))))),IF($T$4="",TRUE(),IF($T$4="(blank)",'Final Calculation Sheet'!$S$39="",IF($T$4="(nonblank)",'Final Calculation Sheet'!$S$39&lt;&gt;"",ISNUMBER(SEARCH($T$4,'Final Calculation Sheet'!$S$39))))),IF($U$4="",TRUE(),IF($U$4="(blank)",'Final Calculation Sheet'!$T$39="",IF($U$4="(nonblank)",'Final Calculation Sheet'!$T$39&lt;&gt;"",ISNUMBER(SEARCH($U$4,'Final Calculation Sheet'!$T$39))))),IF($V$4="",TRUE(),IF($V$4="(blank)",'Final Calculation Sheet'!$U$39="",IF($V$4="(nonblank)",'Final Calculation Sheet'!$U$39&lt;&gt;"",ISNUMBER(SEARCH($V$4,'Final Calculation Sheet'!$U$39))))),IF($W$4="",TRUE(),IF($W$4="(blank)",'Final Calculation Sheet'!$V$39="",IF($W$4="(nonblank)",'Final Calculation Sheet'!$V$39&lt;&gt;"",ISNUMBER(SEARCH($W$4,'Final Calculation Sheet'!$V$39))))),IF($X$4="",TRUE(),IF($X$4="(blank)",'Final Calculation Sheet'!$W$39="",IF($X$4="(nonblank)",'Final Calculation Sheet'!$W$39&lt;&gt;"",ISNUMBER(SEARCH($X$4,'Final Calculation Sheet'!$W$39))))),IF($Y$4="",TRUE(),IF($Y$4="(blank)",'Final Calculation Sheet'!$X$39="",IF($Y$4="(nonblank)",'Final Calculation Sheet'!$X$39&lt;&gt;"",ISNUMBER(SEARCH($Y$4,'Final Calculation Sheet'!$X$39))))),IF($Z$4="",TRUE(),IF($Z$4="(blank)",'Final Calculation Sheet'!$Y$39="",IF($Z$4="(nonblank)",'Final Calculation Sheet'!$Y$39&lt;&gt;"",ISNUMBER(SEARCH($Z$4,'Final Calculation Sheet'!$Y$39))))),IF($AA$4="",TRUE(),IF($AA$4="(blank)",'Final Calculation Sheet'!$Z$39="",IF($AA$4="(nonblank)",'Final Calculation Sheet'!$Z$39&lt;&gt;"",ISNUMBER(SEARCH($AA$4,'Final Calculation Sheet'!$Z$39))))),IF($AB$4="",TRUE(),IF($AB$4="(blank)",'Final Calculation Sheet'!$AA$39="",IF($AB$4="(nonblank)",'Final Calculation Sheet'!$AA$39&lt;&gt;"",ISNUMBER(SEARCH($AB$4,'Final Calculation Sheet'!$AA$39))))),IF($AC$4="",TRUE(),IF($AC$4="(blank)",'Final Calculation Sheet'!$AB$39="",IF($AC$4="(nonblank)",'Final Calculation Sheet'!$AB$39&lt;&gt;"",ISNUMBER(SEARCH($AC$4,'Final Calculation Sheet'!$AB$39))))),IF($AD$4="",TRUE(),IF($AD$4="(blank)",'Final Calculation Sheet'!$AC$39="",IF($AD$4="(nonblank)",'Final Calculation Sheet'!$AC$39&lt;&gt;"",ISNUMBER(SEARCH($AD$4,'Final Calculation Sheet'!$AC$39))))),IF($AE$4="",TRUE(),IF($AE$4="(blank)",'Final Calculation Sheet'!$AD$39="",IF($AE$4="(nonblank)",'Final Calculation Sheet'!$AD$39&lt;&gt;"",ISNUMBER(SEARCH($AE$4,'Final Calculation Sheet'!$AD$39))))),IF($AF$4="",TRUE(),IF($AF$4="(blank)",'Final Calculation Sheet'!$AE$39="",IF($AF$4="(nonblank)",'Final Calculation Sheet'!$AE$39&lt;&gt;"",ISNUMBER(SEARCH($AF$4,'Final Calculation Sheet'!$AE$39))))),IF($AG$4="",TRUE(),IF($AG$4="(blank)",'Final Calculation Sheet'!$AF$39="",IF($AG$4="(nonblank)",'Final Calculation Sheet'!$AF$39&lt;&gt;"",ISNUMBER(SEARCH($AG$4,'Final Calculation Sheet'!$AF$39))))),IF($AH$4="",TRUE(),IF($AH$4="(blank)",'Final Calculation Sheet'!$AG$39="",IF($AH$4="(nonblank)",'Final Calculation Sheet'!$AG$39&lt;&gt;"",ISNUMBER(SEARCH($AH$4,'Final Calculation Sheet'!$AG$39))))),IF($AI$4="",TRUE(),IF($AI$4="(blank)",IF('Final Calculation Sheet'!$AD$39&lt;=5,"SETTLED","OUTSTANDING")="",IF($AI$4="(nonblank)",IF('Final Calculation Sheet'!$AD$39&lt;=5,"SETTLED","OUTSTANDING")&lt;&gt;"",ISNUMBER(SEARCH($AI$4,IF('Final Calculation Sheet'!$AD$39&lt;=5,"SETTLED","OUTSTANDING")))))))</f>
        <v>1</v>
      </c>
      <c r="AK41" t="str">
        <f>IF(AJ41=1,COUNTIF(AJ$6:AJ41,1),"")</f>
        <v/>
      </c>
      <c r="AM41">
        <f>AM40+IF(AND(Lists!$O$41&lt;&gt;"",ISNUMBER(SEARCH($B$4,Lists!$O$41))),1,0)</f>
        <v>38</v>
      </c>
      <c r="AN41" t="str">
        <f>IF(ROW()-3&gt;MAX($AM$4:$AM$42),"",INDEX(Lists!$O$4:$O$42,MATCH(ROW()-3,$AM$4:$AM$42,0)))</f>
        <v>(blank)</v>
      </c>
      <c r="AO41">
        <f>AO40+IF(AND(Lists!$T$41&lt;&gt;"",ISNUMBER(SEARCH($C$4,Lists!$T$41))),1,0)</f>
        <v>14</v>
      </c>
      <c r="AP41" t="str">
        <f>IF(ROW()-3&gt;MAX($AO$4:$AO$42),"",INDEX(Lists!$T$4:$T$42,MATCH(ROW()-3,$AO$4:$AO$42,0)))</f>
        <v/>
      </c>
      <c r="AQ41">
        <f>AQ40+IF(AND(Lists!$Y$41&lt;&gt;"",ISNUMBER(SEARCH($D$4,Lists!$Y$41))),1,0)</f>
        <v>26</v>
      </c>
      <c r="AR41" t="str">
        <f>IF(ROW()-3&gt;MAX($AQ$4:$AQ$42),"",INDEX(Lists!$Y$4:$Y$42,MATCH(ROW()-3,$AQ$4:$AQ$42,0)))</f>
        <v/>
      </c>
      <c r="AS41">
        <f>AS40+IF(AND(Lists!$AD$41&lt;&gt;"",ISNUMBER(SEARCH($E$4,Lists!$AD$41))),1,0)</f>
        <v>5</v>
      </c>
      <c r="AT41" t="str">
        <f>IF(ROW()-3&gt;MAX($AS$4:$AS$42),"",INDEX(Lists!$AD$4:$AD$42,MATCH(ROW()-3,$AS$4:$AS$42,0)))</f>
        <v/>
      </c>
      <c r="AU41">
        <f>AU40+IF(AND(Lists!$AI$41&lt;&gt;"",ISNUMBER(SEARCH($F$4,Lists!$AI$41))),1,0)</f>
        <v>23</v>
      </c>
      <c r="AV41" t="str">
        <f>IF(ROW()-3&gt;MAX($AU$4:$AU$42),"",INDEX(Lists!$AI$4:$AI$42,MATCH(ROW()-3,$AU$4:$AU$42,0)))</f>
        <v/>
      </c>
      <c r="AW41">
        <f>AW40+IF(AND(Lists!$AN$41&lt;&gt;"",ISNUMBER(SEARCH($G$4,Lists!$AN$41))),1,0)</f>
        <v>4</v>
      </c>
      <c r="AX41" t="str">
        <f>IF(ROW()-3&gt;MAX($AW$4:$AW$42),"",INDEX(Lists!$AN$4:$AN$42,MATCH(ROW()-3,$AW$4:$AW$42,0)))</f>
        <v/>
      </c>
      <c r="AY41">
        <f>AY40+IF(AND(Lists!$AS$41&lt;&gt;"",ISNUMBER(SEARCH($H$4,Lists!$AS$41))),1,0)</f>
        <v>36</v>
      </c>
      <c r="AZ41" t="str">
        <f>IF(ROW()-3&gt;MAX($AY$4:$AY$42),"",INDEX(Lists!$AS$4:$AS$42,MATCH(ROW()-3,$AY$4:$AY$42,0)))</f>
        <v/>
      </c>
      <c r="BA41">
        <f>BA40+IF(AND(Lists!$AX$41&lt;&gt;"",ISNUMBER(SEARCH($I$4,Lists!$AX$41))),1,0)</f>
        <v>38</v>
      </c>
      <c r="BB41" t="str">
        <f>IF(ROW()-3&gt;MAX($BA$4:$BA$42),"",INDEX(Lists!$AX$4:$AX$42,MATCH(ROW()-3,$BA$4:$BA$42,0)))</f>
        <v>(blank)</v>
      </c>
      <c r="BC41">
        <f>BC40+IF(AND(Lists!$BC$41&lt;&gt;"",ISNUMBER(SEARCH($J$4,Lists!$BC$41))),1,0)</f>
        <v>38</v>
      </c>
      <c r="BD41" t="str">
        <f>IF(ROW()-3&gt;MAX($BC$4:$BC$42),"",INDEX(Lists!$BC$4:$BC$42,MATCH(ROW()-3,$BC$4:$BC$42,0)))</f>
        <v>(blank)</v>
      </c>
      <c r="BE41">
        <f>BE40+IF(AND(Lists!$BH$41&lt;&gt;"",ISNUMBER(SEARCH($K$4,Lists!$BH$41))),1,0)</f>
        <v>38</v>
      </c>
      <c r="BF41" t="str">
        <f>IF(ROW()-3&gt;MAX($BE$4:$BE$42),"",INDEX(Lists!$BH$4:$BH$42,MATCH(ROW()-3,$BE$4:$BE$42,0)))</f>
        <v>(blank)</v>
      </c>
      <c r="BG41">
        <f>BG40+IF(AND(Lists!$BM$41&lt;&gt;"",ISNUMBER(SEARCH($L$4,Lists!$BM$41))),1,0)</f>
        <v>37</v>
      </c>
      <c r="BH41" t="str">
        <f>IF(ROW()-3&gt;MAX($BG$4:$BG$42),"",INDEX(Lists!$BM$4:$BM$42,MATCH(ROW()-3,$BG$4:$BG$42,0)))</f>
        <v>(nonblank)</v>
      </c>
      <c r="BI41">
        <f>BI40+IF(AND(Lists!$BR$41&lt;&gt;"",ISNUMBER(SEARCH($M$4,Lists!$BR$41))),1,0)</f>
        <v>38</v>
      </c>
      <c r="BJ41" t="str">
        <f>IF(ROW()-3&gt;MAX($BI$4:$BI$42),"",INDEX(Lists!$BR$4:$BR$42,MATCH(ROW()-3,$BI$4:$BI$42,0)))</f>
        <v>(blank)</v>
      </c>
      <c r="BK41">
        <f>BK40+IF(AND(Lists!$BW$41&lt;&gt;"",ISNUMBER(SEARCH($N$4,Lists!$BW$41))),1,0)</f>
        <v>38</v>
      </c>
      <c r="BL41" t="str">
        <f>IF(ROW()-3&gt;MAX($BK$4:$BK$42),"",INDEX(Lists!$BW$4:$BW$42,MATCH(ROW()-3,$BK$4:$BK$42,0)))</f>
        <v>(blank)</v>
      </c>
      <c r="BM41">
        <f>BM40+IF(AND(Lists!$CB$41&lt;&gt;"",ISNUMBER(SEARCH($O$4,Lists!$CB$41))),1,0)</f>
        <v>38</v>
      </c>
      <c r="BN41" t="str">
        <f>IF(ROW()-3&gt;MAX($BM$4:$BM$42),"",INDEX(Lists!$CB$4:$CB$42,MATCH(ROW()-3,$BM$4:$BM$42,0)))</f>
        <v>(blank)</v>
      </c>
      <c r="BO41">
        <f>BO40+IF(AND(Lists!$CG$41&lt;&gt;"",ISNUMBER(SEARCH($P$4,Lists!$CG$41))),1,0)</f>
        <v>38</v>
      </c>
      <c r="BP41" t="str">
        <f>IF(ROW()-3&gt;MAX($BO$4:$BO$42),"",INDEX(Lists!$CG$4:$CG$42,MATCH(ROW()-3,$BO$4:$BO$42,0)))</f>
        <v>(blank)</v>
      </c>
      <c r="BQ41">
        <f>BQ40+IF(AND(Lists!$CL$41&lt;&gt;"",ISNUMBER(SEARCH($Q$4,Lists!$CL$41))),1,0)</f>
        <v>37</v>
      </c>
      <c r="BR41" t="str">
        <f>IF(ROW()-3&gt;MAX($BQ$4:$BQ$42),"",INDEX(Lists!$CL$4:$CL$42,MATCH(ROW()-3,$BQ$4:$BQ$42,0)))</f>
        <v>(nonblank)</v>
      </c>
      <c r="BS41">
        <f>BS40+IF(AND(Lists!$CQ$41&lt;&gt;"",ISNUMBER(SEARCH($R$4,Lists!$CQ$41))),1,0)</f>
        <v>3</v>
      </c>
      <c r="BT41" t="str">
        <f>IF(ROW()-3&gt;MAX($BS$4:$BS$42),"",INDEX(Lists!$CQ$4:$CQ$42,MATCH(ROW()-3,$BS$4:$BS$42,0)))</f>
        <v/>
      </c>
      <c r="BU41">
        <f>BU40+IF(AND(Lists!$CV$41&lt;&gt;"",ISNUMBER(SEARCH($S$4,Lists!$CV$41))),1,0)</f>
        <v>6</v>
      </c>
      <c r="BV41" t="str">
        <f>IF(ROW()-3&gt;MAX($BU$4:$BU$42),"",INDEX(Lists!$CV$4:$CV$42,MATCH(ROW()-3,$BU$4:$BU$42,0)))</f>
        <v/>
      </c>
      <c r="BW41">
        <f>BW40+IF(AND(Lists!$DA$41&lt;&gt;"",ISNUMBER(SEARCH($T$4,Lists!$DA$41))),1,0)</f>
        <v>38</v>
      </c>
      <c r="BX41" t="str">
        <f>IF(ROW()-3&gt;MAX($BW$4:$BW$42),"",INDEX(Lists!$DA$4:$DA$42,MATCH(ROW()-3,$BW$4:$BW$42,0)))</f>
        <v>(blank)</v>
      </c>
      <c r="BY41">
        <f>BY40+IF(AND(Lists!$DF$41&lt;&gt;"",ISNUMBER(SEARCH($U$4,Lists!$DF$41))),1,0)</f>
        <v>38</v>
      </c>
      <c r="BZ41" t="str">
        <f>IF(ROW()-3&gt;MAX($BY$4:$BY$42),"",INDEX(Lists!$DF$4:$DF$42,MATCH(ROW()-3,$BY$4:$BY$42,0)))</f>
        <v>(blank)</v>
      </c>
      <c r="CA41">
        <f>CA40+IF(AND(Lists!$DK$41&lt;&gt;"",ISNUMBER(SEARCH($V$4,Lists!$DK$41))),1,0)</f>
        <v>38</v>
      </c>
      <c r="CB41" t="str">
        <f>IF(ROW()-3&gt;MAX($CA$4:$CA$42),"",INDEX(Lists!$DK$4:$DK$42,MATCH(ROW()-3,$CA$4:$CA$42,0)))</f>
        <v>(blank)</v>
      </c>
      <c r="CC41">
        <f>CC40+IF(AND(Lists!$DP$41&lt;&gt;"",ISNUMBER(SEARCH($W$4,Lists!$DP$41))),1,0)</f>
        <v>7</v>
      </c>
      <c r="CD41" t="str">
        <f>IF(ROW()-3&gt;MAX($CC$4:$CC$42),"",INDEX(Lists!$DP$4:$DP$42,MATCH(ROW()-3,$CC$4:$CC$42,0)))</f>
        <v/>
      </c>
      <c r="CE41">
        <f>CE40+IF(AND(Lists!$DU$41&lt;&gt;"",ISNUMBER(SEARCH($X$4,Lists!$DU$41))),1,0)</f>
        <v>38</v>
      </c>
      <c r="CF41" t="str">
        <f>IF(ROW()-3&gt;MAX($CE$4:$CE$42),"",INDEX(Lists!$DU$4:$DU$42,MATCH(ROW()-3,$CE$4:$CE$42,0)))</f>
        <v>(blank)</v>
      </c>
      <c r="CG41" t="e">
        <f>CG40+IF(AND(Lists!$DZ$41&lt;&gt;"",ISNUMBER(SEARCH($Y$4,Lists!$DZ$41))),1,0)</f>
        <v>#N/A</v>
      </c>
      <c r="CH41" t="e">
        <f>IF(ROW()-3&gt;MAX($CG$4:$CG$42),"",INDEX(Lists!$DZ$4:$DZ$42,MATCH(ROW()-3,$CG$4:$CG$42,0)))</f>
        <v>#N/A</v>
      </c>
      <c r="CI41" t="e">
        <f>CI40+IF(AND(Lists!$EE$41&lt;&gt;"",ISNUMBER(SEARCH($Z$4,Lists!$EE$41))),1,0)</f>
        <v>#N/A</v>
      </c>
      <c r="CJ41" t="e">
        <f>IF(ROW()-3&gt;MAX($CI$4:$CI$42),"",INDEX(Lists!$EE$4:$EE$42,MATCH(ROW()-3,$CI$4:$CI$42,0)))</f>
        <v>#N/A</v>
      </c>
      <c r="CK41">
        <f>CK40+IF(AND(Lists!$EJ$41&lt;&gt;"",ISNUMBER(SEARCH($AA$4,Lists!$EJ$41))),1,0)</f>
        <v>7</v>
      </c>
      <c r="CL41" t="str">
        <f>IF(ROW()-3&gt;MAX($CK$4:$CK$42),"",INDEX(Lists!$EJ$4:$EJ$42,MATCH(ROW()-3,$CK$4:$CK$42,0)))</f>
        <v/>
      </c>
      <c r="CM41" t="e">
        <f>CM40+IF(AND(Lists!$EO$41&lt;&gt;"",ISNUMBER(SEARCH($AB$4,Lists!$EO$41))),1,0)</f>
        <v>#N/A</v>
      </c>
      <c r="CN41" t="e">
        <f>IF(ROW()-3&gt;MAX($CM$4:$CM$42),"",INDEX(Lists!$EO$4:$EO$42,MATCH(ROW()-3,$CM$4:$CM$42,0)))</f>
        <v>#N/A</v>
      </c>
      <c r="CO41" t="e">
        <f>CO40+IF(AND(Lists!$ET$41&lt;&gt;"",ISNUMBER(SEARCH($AC$4,Lists!$ET$41))),1,0)</f>
        <v>#N/A</v>
      </c>
      <c r="CP41" t="e">
        <f>IF(ROW()-3&gt;MAX($CO$4:$CO$42),"",INDEX(Lists!$ET$4:$ET$42,MATCH(ROW()-3,$CO$4:$CO$42,0)))</f>
        <v>#N/A</v>
      </c>
      <c r="CQ41">
        <f>CQ40+IF(AND(Lists!$EY$41&lt;&gt;"",ISNUMBER(SEARCH($AD$4,Lists!$EY$41))),1,0)</f>
        <v>38</v>
      </c>
      <c r="CR41" t="str">
        <f>IF(ROW()-3&gt;MAX($CQ$4:$CQ$42),"",INDEX(Lists!$EY$4:$EY$42,MATCH(ROW()-3,$CQ$4:$CQ$42,0)))</f>
        <v>(blank)</v>
      </c>
      <c r="CS41" t="e">
        <f>CS40+IF(AND(Lists!$FD$41&lt;&gt;"",ISNUMBER(SEARCH($AE$4,Lists!$FD$41))),1,0)</f>
        <v>#N/A</v>
      </c>
      <c r="CT41" t="e">
        <f>IF(ROW()-3&gt;MAX($CS$4:$CS$42),"",INDEX(Lists!$FD$4:$FD$42,MATCH(ROW()-3,$CS$4:$CS$42,0)))</f>
        <v>#N/A</v>
      </c>
      <c r="CU41" t="e">
        <f>CU40+IF(AND(Lists!$FI$41&lt;&gt;"",ISNUMBER(SEARCH($AF$4,Lists!$FI$41))),1,0)</f>
        <v>#N/A</v>
      </c>
      <c r="CV41" t="e">
        <f>IF(ROW()-3&gt;MAX($CU$4:$CU$42),"",INDEX(Lists!$FI$4:$FI$42,MATCH(ROW()-3,$CU$4:$CU$42,0)))</f>
        <v>#N/A</v>
      </c>
      <c r="CW41" t="e">
        <f>CW40+IF(AND(Lists!$FN$41&lt;&gt;"",ISNUMBER(SEARCH($AG$4,Lists!$FN$41))),1,0)</f>
        <v>#N/A</v>
      </c>
      <c r="CX41" t="e">
        <f>IF(ROW()-3&gt;MAX($CW$4:$CW$42),"",INDEX(Lists!$FN$4:$FN$42,MATCH(ROW()-3,$CW$4:$CW$42,0)))</f>
        <v>#N/A</v>
      </c>
      <c r="CY41" t="e">
        <f>CY40+IF(AND(Lists!$FS$41&lt;&gt;"",ISNUMBER(SEARCH($AH$4,Lists!$FS$41))),1,0)</f>
        <v>#N/A</v>
      </c>
      <c r="CZ41" t="e">
        <f>IF(ROW()-3&gt;MAX($CY$4:$CY$42),"",INDEX(Lists!$FS$4:$FS$42,MATCH(ROW()-3,$CY$4:$CY$42,0)))</f>
        <v>#N/A</v>
      </c>
      <c r="DA41">
        <f>DA40+IF(AND(Lists!$FX$41&lt;&gt;"",ISNUMBER(SEARCH($AI$4,Lists!$FX$41))),1,0)</f>
        <v>2</v>
      </c>
      <c r="DB41" t="str">
        <f>IF(ROW()-3&gt;MAX($DA$4:$DA$42),"",INDEX(Lists!$FX$4:$FX$42,MATCH(ROW()-3,$DA$4:$DA$42,0)))</f>
        <v/>
      </c>
    </row>
    <row r="42" outlineLevel="1" ht="15" customHeight="1" s="137">
      <c r="A42" s="90" t="n">
        <v>2</v>
      </c>
      <c r="B42" s="92">
        <f>IF('Final Calculation Sheet'!$F$14="","",'Final Calculation Sheet'!$F$14)</f>
        <v>2007</v>
      </c>
      <c r="C42" s="92" t="str">
        <f>IF('Final Calculation Sheet'!$G$14="","",'Final Calculation Sheet'!$G$14)</f>
        <v>SHAR JAHAN TRADERS</v>
      </c>
      <c r="D42" s="94" t="str">
        <f>IF('Final Calculation Sheet'!$B$14="","",'Final Calculation Sheet'!$B$14)</f>
        <v>SCRAP POWER TRANSFORMER</v>
      </c>
      <c r="E42" s="94">
        <f>IF('Final Calculation Sheet'!$D$14="","",'Final Calculation Sheet'!$D$14)</f>
        <v>21977</v>
      </c>
      <c r="F42" s="94">
        <f>IF('Final Calculation Sheet'!$A$14="","",'Final Calculation Sheet'!$A$14)</f>
        <v>1</v>
      </c>
      <c r="G42" s="94" t="str">
        <f>IF('Final Calculation Sheet'!$E$14="","",'Final Calculation Sheet'!$E$14)</f>
        <v>NO</v>
      </c>
      <c r="H42" s="95">
        <f>IF('Final Calculation Sheet'!$C$14="","",'Final Calculation Sheet'!$C$14)</f>
        <v>3857116</v>
      </c>
      <c r="I42" s="95">
        <f>IF('Final Calculation Sheet'!$H$14="","",'Final Calculation Sheet'!$H$14)</f>
        <v>3857116</v>
      </c>
      <c r="J42" s="95">
        <f>IF('Final Calculation Sheet'!$I$14="","",'Final Calculation Sheet'!$I$14)</f>
        <v>694281</v>
      </c>
      <c r="K42" s="95">
        <f>IF('Final Calculation Sheet'!$J$14="","",'Final Calculation Sheet'!$J$14)</f>
        <v>4551397</v>
      </c>
      <c r="L42" s="95">
        <f>IF('Final Calculation Sheet'!$K$14="","",'Final Calculation Sheet'!$K$14)</f>
        <v>91028</v>
      </c>
      <c r="M42" s="95">
        <f>IF('Final Calculation Sheet'!$L$14="","",'Final Calculation Sheet'!$L$14)</f>
        <v>3857.116</v>
      </c>
      <c r="N42" s="95">
        <f>IF('Final Calculation Sheet'!$M$14="","",'Final Calculation Sheet'!$M$14)</f>
        <v>102406.4298</v>
      </c>
      <c r="O42" s="96">
        <f>IF('Final Calculation Sheet'!$N$14="","",'Final Calculation Sheet'!$N$14)</f>
        <v>1735.7021999999999</v>
      </c>
      <c r="P42" s="95">
        <f>IF('Final Calculation Sheet'!$O$14="","",'Final Calculation Sheet'!$O$14)</f>
        <v>100670.7276</v>
      </c>
      <c r="Q42" s="95">
        <f>IF('Final Calculation Sheet'!$P$14="","",'Final Calculation Sheet'!$P$14)</f>
        <v>104528</v>
      </c>
      <c r="R42" s="97">
        <f>IF('Final Calculation Sheet'!$Q$14="","",'Final Calculation Sheet'!$Q$14)</f>
        <v>0</v>
      </c>
      <c r="S42" s="95">
        <f>IF('Final Calculation Sheet'!$R$14="","",'Final Calculation Sheet'!$R$14)</f>
        <v>0</v>
      </c>
      <c r="T42" s="95">
        <f>IF('Final Calculation Sheet'!$S$14="","",'Final Calculation Sheet'!$S$14)</f>
        <v>4537897</v>
      </c>
      <c r="U42" s="95">
        <f>IF('Final Calculation Sheet'!$T$14="","",'Final Calculation Sheet'!$T$14)</f>
        <v>964279</v>
      </c>
      <c r="V42" s="98">
        <f>IF('Final Calculation Sheet'!$U$14="","",'Final Calculation Sheet'!$U$14)</f>
        <v>964279</v>
      </c>
      <c r="W42" s="95" t="str">
        <f>IF('Final Calculation Sheet'!$V$14="","",'Final Calculation Sheet'!$V$14)</f>
        <v>13.08.2026</v>
      </c>
      <c r="X42" s="95">
        <f>IF('Final Calculation Sheet'!$W$14="","",'Final Calculation Sheet'!$W$14)</f>
        <v>3573618</v>
      </c>
      <c r="Y42" s="95">
        <f>IF('Final Calculation Sheet'!$X$14="","",'Final Calculation Sheet'!$X$14)</f>
        <v>3573618.9057083898</v>
      </c>
      <c r="Z42" s="95" t="str">
        <f>IF('Final Calculation Sheet'!$Y$14="","",'Final Calculation Sheet'!$Y$14)</f>
        <v>13.08.2026</v>
      </c>
      <c r="AA42" s="95">
        <f>IF('Final Calculation Sheet'!$Z$14="","",'Final Calculation Sheet'!$Z$14)</f>
        <v>0</v>
      </c>
      <c r="AB42" s="95" t="str">
        <f>IF('Final Calculation Sheet'!$AA$14="","",'Final Calculation Sheet'!$AA$14)</f>
        <v/>
      </c>
      <c r="AC42" s="95" t="str">
        <f>IF('Final Calculation Sheet'!$AB$14="","",'Final Calculation Sheet'!$AB$14)</f>
        <v/>
      </c>
      <c r="AD42" s="95">
        <f>IF('Final Calculation Sheet'!$AC$14="","",'Final Calculation Sheet'!$AC$14)</f>
        <v>4537897.9057083894</v>
      </c>
      <c r="AE42" s="95">
        <f>IF('Final Calculation Sheet'!$AD$14="","",'Final Calculation Sheet'!$AD$14)</f>
        <v>-0.90570838935673237</v>
      </c>
      <c r="AF42" s="95" t="str">
        <f>IF('Final Calculation Sheet'!$AE$14="","",'Final Calculation Sheet'!$AE$14)</f>
        <v>DR2640100024</v>
      </c>
      <c r="AG42" s="99">
        <f>IF('Final Calculation Sheet'!$AF$14="","",'Final Calculation Sheet'!$AF$14)</f>
        <v>1800003196</v>
      </c>
      <c r="AH42" s="95" t="str">
        <f>IF('Final Calculation Sheet'!$AG$14="","",'Final Calculation Sheet'!$AG$14)</f>
        <v>17.08.2026</v>
      </c>
      <c r="AI42" s="100" t="str">
        <f>IF('Final Calculation Sheet'!$AD$14="","",IF('Final Calculation Sheet'!$AD$14&lt;=5,"SETTLED","OUTSTANDING"))</f>
        <v>SETTLED</v>
      </c>
      <c r="AJ42" t="b">
        <f>AND(IF($B$4="",TRUE(),IF($B$4="(blank)",'Final Calculation Sheet'!$F$40="",IF($B$4="(nonblank)",'Final Calculation Sheet'!$F$40&lt;&gt;"",ISNUMBER(SEARCH($B$4,'Final Calculation Sheet'!$F$40))))),IF($C$4="",TRUE(),IF($C$4="(blank)",'Final Calculation Sheet'!$G$40="",IF($C$4="(nonblank)",'Final Calculation Sheet'!$G$40&lt;&gt;"",ISNUMBER(SEARCH($C$4,'Final Calculation Sheet'!$G$40))))),IF($D$4="",TRUE(),IF($D$4="(blank)",'Final Calculation Sheet'!$B$40="",IF($D$4="(nonblank)",'Final Calculation Sheet'!$B$40&lt;&gt;"",ISNUMBER(SEARCH($D$4,'Final Calculation Sheet'!$B$40))))),IF($E$4="",TRUE(),IF($E$4="(blank)",'Final Calculation Sheet'!$D$40="",IF($E$4="(nonblank)",'Final Calculation Sheet'!$D$40&lt;&gt;"",ISNUMBER(SEARCH($E$4,'Final Calculation Sheet'!$D$40))))),IF($F$4="",TRUE(),IF($F$4="(blank)",'Final Calculation Sheet'!$A$40="",IF($F$4="(nonblank)",'Final Calculation Sheet'!$A$40&lt;&gt;"",ISNUMBER(SEARCH($F$4,'Final Calculation Sheet'!$A$40))))),IF($G$4="",TRUE(),IF($G$4="(blank)",'Final Calculation Sheet'!$E$40="",IF($G$4="(nonblank)",'Final Calculation Sheet'!$E$40&lt;&gt;"",ISNUMBER(SEARCH($G$4,'Final Calculation Sheet'!$E$40))))),IF($H$4="",TRUE(),IF($H$4="(blank)",'Final Calculation Sheet'!$C$40="",IF($H$4="(nonblank)",'Final Calculation Sheet'!$C$40&lt;&gt;"",ISNUMBER(SEARCH($H$4,'Final Calculation Sheet'!$C$40))))),IF($I$4="",TRUE(),IF($I$4="(blank)",'Final Calculation Sheet'!$H$40="",IF($I$4="(nonblank)",'Final Calculation Sheet'!$H$40&lt;&gt;"",ISNUMBER(SEARCH($I$4,'Final Calculation Sheet'!$H$40))))),IF($J$4="",TRUE(),IF($J$4="(blank)",'Final Calculation Sheet'!$I$40="",IF($J$4="(nonblank)",'Final Calculation Sheet'!$I$40&lt;&gt;"",ISNUMBER(SEARCH($J$4,'Final Calculation Sheet'!$I$40))))),IF($K$4="",TRUE(),IF($K$4="(blank)",'Final Calculation Sheet'!$J$40="",IF($K$4="(nonblank)",'Final Calculation Sheet'!$J$40&lt;&gt;"",ISNUMBER(SEARCH($K$4,'Final Calculation Sheet'!$J$40))))),IF($L$4="",TRUE(),IF($L$4="(blank)",'Final Calculation Sheet'!$K$40="",IF($L$4="(nonblank)",'Final Calculation Sheet'!$K$40&lt;&gt;"",ISNUMBER(SEARCH($L$4,'Final Calculation Sheet'!$K$40))))),IF($M$4="",TRUE(),IF($M$4="(blank)",'Final Calculation Sheet'!$L$40="",IF($M$4="(nonblank)",'Final Calculation Sheet'!$L$40&lt;&gt;"",ISNUMBER(SEARCH($M$4,'Final Calculation Sheet'!$L$40))))),IF($N$4="",TRUE(),IF($N$4="(blank)",'Final Calculation Sheet'!$M$40="",IF($N$4="(nonblank)",'Final Calculation Sheet'!$M$40&lt;&gt;"",ISNUMBER(SEARCH($N$4,'Final Calculation Sheet'!$M$40))))),IF($O$4="",TRUE(),IF($O$4="(blank)",'Final Calculation Sheet'!$N$40="",IF($O$4="(nonblank)",'Final Calculation Sheet'!$N$40&lt;&gt;"",ISNUMBER(SEARCH($O$4,'Final Calculation Sheet'!$N$40))))),IF($P$4="",TRUE(),IF($P$4="(blank)",'Final Calculation Sheet'!$O$40="",IF($P$4="(nonblank)",'Final Calculation Sheet'!$O$40&lt;&gt;"",ISNUMBER(SEARCH($P$4,'Final Calculation Sheet'!$O$40))))),IF($Q$4="",TRUE(),IF($Q$4="(blank)",'Final Calculation Sheet'!$P$40="",IF($Q$4="(nonblank)",'Final Calculation Sheet'!$P$40&lt;&gt;"",ISNUMBER(SEARCH($Q$4,'Final Calculation Sheet'!$P$40))))),IF($R$4="",TRUE(),IF($R$4="(blank)",'Final Calculation Sheet'!$Q$40="",IF($R$4="(nonblank)",'Final Calculation Sheet'!$Q$40&lt;&gt;"",ISNUMBER(SEARCH($R$4,'Final Calculation Sheet'!$Q$40))))),IF($S$4="",TRUE(),IF($S$4="(blank)",'Final Calculation Sheet'!$R$40="",IF($S$4="(nonblank)",'Final Calculation Sheet'!$R$40&lt;&gt;"",ISNUMBER(SEARCH($S$4,'Final Calculation Sheet'!$R$40))))),IF($T$4="",TRUE(),IF($T$4="(blank)",'Final Calculation Sheet'!$S$40="",IF($T$4="(nonblank)",'Final Calculation Sheet'!$S$40&lt;&gt;"",ISNUMBER(SEARCH($T$4,'Final Calculation Sheet'!$S$40))))),IF($U$4="",TRUE(),IF($U$4="(blank)",'Final Calculation Sheet'!$T$40="",IF($U$4="(nonblank)",'Final Calculation Sheet'!$T$40&lt;&gt;"",ISNUMBER(SEARCH($U$4,'Final Calculation Sheet'!$T$40))))),IF($V$4="",TRUE(),IF($V$4="(blank)",'Final Calculation Sheet'!$U$40="",IF($V$4="(nonblank)",'Final Calculation Sheet'!$U$40&lt;&gt;"",ISNUMBER(SEARCH($V$4,'Final Calculation Sheet'!$U$40))))),IF($W$4="",TRUE(),IF($W$4="(blank)",'Final Calculation Sheet'!$V$40="",IF($W$4="(nonblank)",'Final Calculation Sheet'!$V$40&lt;&gt;"",ISNUMBER(SEARCH($W$4,'Final Calculation Sheet'!$V$40))))),IF($X$4="",TRUE(),IF($X$4="(blank)",'Final Calculation Sheet'!$W$40="",IF($X$4="(nonblank)",'Final Calculation Sheet'!$W$40&lt;&gt;"",ISNUMBER(SEARCH($X$4,'Final Calculation Sheet'!$W$40))))),IF($Y$4="",TRUE(),IF($Y$4="(blank)",'Final Calculation Sheet'!$X$40="",IF($Y$4="(nonblank)",'Final Calculation Sheet'!$X$40&lt;&gt;"",ISNUMBER(SEARCH($Y$4,'Final Calculation Sheet'!$X$40))))),IF($Z$4="",TRUE(),IF($Z$4="(blank)",'Final Calculation Sheet'!$Y$40="",IF($Z$4="(nonblank)",'Final Calculation Sheet'!$Y$40&lt;&gt;"",ISNUMBER(SEARCH($Z$4,'Final Calculation Sheet'!$Y$40))))),IF($AA$4="",TRUE(),IF($AA$4="(blank)",'Final Calculation Sheet'!$Z$40="",IF($AA$4="(nonblank)",'Final Calculation Sheet'!$Z$40&lt;&gt;"",ISNUMBER(SEARCH($AA$4,'Final Calculation Sheet'!$Z$40))))),IF($AB$4="",TRUE(),IF($AB$4="(blank)",'Final Calculation Sheet'!$AA$40="",IF($AB$4="(nonblank)",'Final Calculation Sheet'!$AA$40&lt;&gt;"",ISNUMBER(SEARCH($AB$4,'Final Calculation Sheet'!$AA$40))))),IF($AC$4="",TRUE(),IF($AC$4="(blank)",'Final Calculation Sheet'!$AB$40="",IF($AC$4="(nonblank)",'Final Calculation Sheet'!$AB$40&lt;&gt;"",ISNUMBER(SEARCH($AC$4,'Final Calculation Sheet'!$AB$40))))),IF($AD$4="",TRUE(),IF($AD$4="(blank)",'Final Calculation Sheet'!$AC$40="",IF($AD$4="(nonblank)",'Final Calculation Sheet'!$AC$40&lt;&gt;"",ISNUMBER(SEARCH($AD$4,'Final Calculation Sheet'!$AC$40))))),IF($AE$4="",TRUE(),IF($AE$4="(blank)",'Final Calculation Sheet'!$AD$40="",IF($AE$4="(nonblank)",'Final Calculation Sheet'!$AD$40&lt;&gt;"",ISNUMBER(SEARCH($AE$4,'Final Calculation Sheet'!$AD$40))))),IF($AF$4="",TRUE(),IF($AF$4="(blank)",'Final Calculation Sheet'!$AE$40="",IF($AF$4="(nonblank)",'Final Calculation Sheet'!$AE$40&lt;&gt;"",ISNUMBER(SEARCH($AF$4,'Final Calculation Sheet'!$AE$40))))),IF($AG$4="",TRUE(),IF($AG$4="(blank)",'Final Calculation Sheet'!$AF$40="",IF($AG$4="(nonblank)",'Final Calculation Sheet'!$AF$40&lt;&gt;"",ISNUMBER(SEARCH($AG$4,'Final Calculation Sheet'!$AF$40))))),IF($AH$4="",TRUE(),IF($AH$4="(blank)",'Final Calculation Sheet'!$AG$40="",IF($AH$4="(nonblank)",'Final Calculation Sheet'!$AG$40&lt;&gt;"",ISNUMBER(SEARCH($AH$4,'Final Calculation Sheet'!$AG$40))))),IF($AI$4="",TRUE(),IF($AI$4="(blank)",IF('Final Calculation Sheet'!$AD$40&lt;=5,"SETTLED","OUTSTANDING")="",IF($AI$4="(nonblank)",IF('Final Calculation Sheet'!$AD$40&lt;=5,"SETTLED","OUTSTANDING")&lt;&gt;"",ISNUMBER(SEARCH($AI$4,IF('Final Calculation Sheet'!$AD$40&lt;=5,"SETTLED","OUTSTANDING")))))))</f>
        <v>1</v>
      </c>
      <c r="AK42" t="str">
        <f>IF(AJ42=1,COUNTIF(AJ$6:AJ42,1),"")</f>
        <v/>
      </c>
      <c r="AM42">
        <f>AM41+IF(AND(Lists!$O$42&lt;&gt;"",ISNUMBER(SEARCH($B$4,Lists!$O$42))),1,0)</f>
        <v>39</v>
      </c>
      <c r="AN42" t="str">
        <f>IF(ROW()-3&gt;MAX($AM$4:$AM$42),"",INDEX(Lists!$O$4:$O$42,MATCH(ROW()-3,$AM$4:$AM$42,0)))</f>
        <v>(nonblank)</v>
      </c>
      <c r="AO42">
        <f>AO41+IF(AND(Lists!$T$42&lt;&gt;"",ISNUMBER(SEARCH($C$4,Lists!$T$42))),1,0)</f>
        <v>15</v>
      </c>
      <c r="AP42" t="str">
        <f>IF(ROW()-3&gt;MAX($AO$4:$AO$42),"",INDEX(Lists!$T$4:$T$42,MATCH(ROW()-3,$AO$4:$AO$42,0)))</f>
        <v/>
      </c>
      <c r="AQ42">
        <f>AQ41+IF(AND(Lists!$Y$42&lt;&gt;"",ISNUMBER(SEARCH($D$4,Lists!$Y$42))),1,0)</f>
        <v>27</v>
      </c>
      <c r="AR42" t="str">
        <f>IF(ROW()-3&gt;MAX($AQ$4:$AQ$42),"",INDEX(Lists!$Y$4:$Y$42,MATCH(ROW()-3,$AQ$4:$AQ$42,0)))</f>
        <v/>
      </c>
      <c r="AS42">
        <f>AS41+IF(AND(Lists!$AD$42&lt;&gt;"",ISNUMBER(SEARCH($E$4,Lists!$AD$42))),1,0)</f>
        <v>6</v>
      </c>
      <c r="AT42" t="str">
        <f>IF(ROW()-3&gt;MAX($AS$4:$AS$42),"",INDEX(Lists!$AD$4:$AD$42,MATCH(ROW()-3,$AS$4:$AS$42,0)))</f>
        <v/>
      </c>
      <c r="AU42">
        <f>AU41+IF(AND(Lists!$AI$42&lt;&gt;"",ISNUMBER(SEARCH($F$4,Lists!$AI$42))),1,0)</f>
        <v>24</v>
      </c>
      <c r="AV42" t="str">
        <f>IF(ROW()-3&gt;MAX($AU$4:$AU$42),"",INDEX(Lists!$AI$4:$AI$42,MATCH(ROW()-3,$AU$4:$AU$42,0)))</f>
        <v/>
      </c>
      <c r="AW42">
        <f>AW41+IF(AND(Lists!$AN$42&lt;&gt;"",ISNUMBER(SEARCH($G$4,Lists!$AN$42))),1,0)</f>
        <v>5</v>
      </c>
      <c r="AX42" t="str">
        <f>IF(ROW()-3&gt;MAX($AW$4:$AW$42),"",INDEX(Lists!$AN$4:$AN$42,MATCH(ROW()-3,$AW$4:$AW$42,0)))</f>
        <v/>
      </c>
      <c r="AY42">
        <f>AY41+IF(AND(Lists!$AS$42&lt;&gt;"",ISNUMBER(SEARCH($H$4,Lists!$AS$42))),1,0)</f>
        <v>37</v>
      </c>
      <c r="AZ42" t="str">
        <f>IF(ROW()-3&gt;MAX($AY$4:$AY$42),"",INDEX(Lists!$AS$4:$AS$42,MATCH(ROW()-3,$AY$4:$AY$42,0)))</f>
        <v/>
      </c>
      <c r="BA42">
        <f>BA41+IF(AND(Lists!$AX$42&lt;&gt;"",ISNUMBER(SEARCH($I$4,Lists!$AX$42))),1,0)</f>
        <v>39</v>
      </c>
      <c r="BB42" t="str">
        <f>IF(ROW()-3&gt;MAX($BA$4:$BA$42),"",INDEX(Lists!$AX$4:$AX$42,MATCH(ROW()-3,$BA$4:$BA$42,0)))</f>
        <v>(nonblank)</v>
      </c>
      <c r="BC42">
        <f>BC41+IF(AND(Lists!$BC$42&lt;&gt;"",ISNUMBER(SEARCH($J$4,Lists!$BC$42))),1,0)</f>
        <v>39</v>
      </c>
      <c r="BD42" t="str">
        <f>IF(ROW()-3&gt;MAX($BC$4:$BC$42),"",INDEX(Lists!$BC$4:$BC$42,MATCH(ROW()-3,$BC$4:$BC$42,0)))</f>
        <v>(nonblank)</v>
      </c>
      <c r="BE42">
        <f>BE41+IF(AND(Lists!$BH$42&lt;&gt;"",ISNUMBER(SEARCH($K$4,Lists!$BH$42))),1,0)</f>
        <v>39</v>
      </c>
      <c r="BF42" t="str">
        <f>IF(ROW()-3&gt;MAX($BE$4:$BE$42),"",INDEX(Lists!$BH$4:$BH$42,MATCH(ROW()-3,$BE$4:$BE$42,0)))</f>
        <v>(nonblank)</v>
      </c>
      <c r="BG42">
        <f>BG41+IF(AND(Lists!$BM$42&lt;&gt;"",ISNUMBER(SEARCH($L$4,Lists!$BM$42))),1,0)</f>
        <v>38</v>
      </c>
      <c r="BH42" t="str">
        <f>IF(ROW()-3&gt;MAX($BG$4:$BG$42),"",INDEX(Lists!$BM$4:$BM$42,MATCH(ROW()-3,$BG$4:$BG$42,0)))</f>
        <v/>
      </c>
      <c r="BI42">
        <f>BI41+IF(AND(Lists!$BR$42&lt;&gt;"",ISNUMBER(SEARCH($M$4,Lists!$BR$42))),1,0)</f>
        <v>39</v>
      </c>
      <c r="BJ42" t="str">
        <f>IF(ROW()-3&gt;MAX($BI$4:$BI$42),"",INDEX(Lists!$BR$4:$BR$42,MATCH(ROW()-3,$BI$4:$BI$42,0)))</f>
        <v>(nonblank)</v>
      </c>
      <c r="BK42">
        <f>BK41+IF(AND(Lists!$BW$42&lt;&gt;"",ISNUMBER(SEARCH($N$4,Lists!$BW$42))),1,0)</f>
        <v>39</v>
      </c>
      <c r="BL42" t="str">
        <f>IF(ROW()-3&gt;MAX($BK$4:$BK$42),"",INDEX(Lists!$BW$4:$BW$42,MATCH(ROW()-3,$BK$4:$BK$42,0)))</f>
        <v>(nonblank)</v>
      </c>
      <c r="BM42">
        <f>BM41+IF(AND(Lists!$CB$42&lt;&gt;"",ISNUMBER(SEARCH($O$4,Lists!$CB$42))),1,0)</f>
        <v>39</v>
      </c>
      <c r="BN42" t="str">
        <f>IF(ROW()-3&gt;MAX($BM$4:$BM$42),"",INDEX(Lists!$CB$4:$CB$42,MATCH(ROW()-3,$BM$4:$BM$42,0)))</f>
        <v>(nonblank)</v>
      </c>
      <c r="BO42">
        <f>BO41+IF(AND(Lists!$CG$42&lt;&gt;"",ISNUMBER(SEARCH($P$4,Lists!$CG$42))),1,0)</f>
        <v>39</v>
      </c>
      <c r="BP42" t="str">
        <f>IF(ROW()-3&gt;MAX($BO$4:$BO$42),"",INDEX(Lists!$CG$4:$CG$42,MATCH(ROW()-3,$BO$4:$BO$42,0)))</f>
        <v>(nonblank)</v>
      </c>
      <c r="BQ42">
        <f>BQ41+IF(AND(Lists!$CL$42&lt;&gt;"",ISNUMBER(SEARCH($Q$4,Lists!$CL$42))),1,0)</f>
        <v>38</v>
      </c>
      <c r="BR42" t="str">
        <f>IF(ROW()-3&gt;MAX($BQ$4:$BQ$42),"",INDEX(Lists!$CL$4:$CL$42,MATCH(ROW()-3,$BQ$4:$BQ$42,0)))</f>
        <v/>
      </c>
      <c r="BS42">
        <f>BS41+IF(AND(Lists!$CQ$42&lt;&gt;"",ISNUMBER(SEARCH($R$4,Lists!$CQ$42))),1,0)</f>
        <v>4</v>
      </c>
      <c r="BT42" t="str">
        <f>IF(ROW()-3&gt;MAX($BS$4:$BS$42),"",INDEX(Lists!$CQ$4:$CQ$42,MATCH(ROW()-3,$BS$4:$BS$42,0)))</f>
        <v/>
      </c>
      <c r="BU42">
        <f>BU41+IF(AND(Lists!$CV$42&lt;&gt;"",ISNUMBER(SEARCH($S$4,Lists!$CV$42))),1,0)</f>
        <v>7</v>
      </c>
      <c r="BV42" t="str">
        <f>IF(ROW()-3&gt;MAX($BU$4:$BU$42),"",INDEX(Lists!$CV$4:$CV$42,MATCH(ROW()-3,$BU$4:$BU$42,0)))</f>
        <v/>
      </c>
      <c r="BW42">
        <f>BW41+IF(AND(Lists!$DA$42&lt;&gt;"",ISNUMBER(SEARCH($T$4,Lists!$DA$42))),1,0)</f>
        <v>39</v>
      </c>
      <c r="BX42" t="str">
        <f>IF(ROW()-3&gt;MAX($BW$4:$BW$42),"",INDEX(Lists!$DA$4:$DA$42,MATCH(ROW()-3,$BW$4:$BW$42,0)))</f>
        <v>(nonblank)</v>
      </c>
      <c r="BY42">
        <f>BY41+IF(AND(Lists!$DF$42&lt;&gt;"",ISNUMBER(SEARCH($U$4,Lists!$DF$42))),1,0)</f>
        <v>39</v>
      </c>
      <c r="BZ42" t="str">
        <f>IF(ROW()-3&gt;MAX($BY$4:$BY$42),"",INDEX(Lists!$DF$4:$DF$42,MATCH(ROW()-3,$BY$4:$BY$42,0)))</f>
        <v>(nonblank)</v>
      </c>
      <c r="CA42">
        <f>CA41+IF(AND(Lists!$DK$42&lt;&gt;"",ISNUMBER(SEARCH($V$4,Lists!$DK$42))),1,0)</f>
        <v>39</v>
      </c>
      <c r="CB42" t="str">
        <f>IF(ROW()-3&gt;MAX($CA$4:$CA$42),"",INDEX(Lists!$DK$4:$DK$42,MATCH(ROW()-3,$CA$4:$CA$42,0)))</f>
        <v>(nonblank)</v>
      </c>
      <c r="CC42">
        <f>CC41+IF(AND(Lists!$DP$42&lt;&gt;"",ISNUMBER(SEARCH($W$4,Lists!$DP$42))),1,0)</f>
        <v>8</v>
      </c>
      <c r="CD42" t="str">
        <f>IF(ROW()-3&gt;MAX($CC$4:$CC$42),"",INDEX(Lists!$DP$4:$DP$42,MATCH(ROW()-3,$CC$4:$CC$42,0)))</f>
        <v/>
      </c>
      <c r="CE42">
        <f>CE41+IF(AND(Lists!$DU$42&lt;&gt;"",ISNUMBER(SEARCH($X$4,Lists!$DU$42))),1,0)</f>
        <v>39</v>
      </c>
      <c r="CF42" t="str">
        <f>IF(ROW()-3&gt;MAX($CE$4:$CE$42),"",INDEX(Lists!$DU$4:$DU$42,MATCH(ROW()-3,$CE$4:$CE$42,0)))</f>
        <v>(nonblank)</v>
      </c>
      <c r="CG42" t="e">
        <f>CG41+IF(AND(Lists!$DZ$42&lt;&gt;"",ISNUMBER(SEARCH($Y$4,Lists!$DZ$42))),1,0)</f>
        <v>#N/A</v>
      </c>
      <c r="CH42" t="e">
        <f>IF(ROW()-3&gt;MAX($CG$4:$CG$42),"",INDEX(Lists!$DZ$4:$DZ$42,MATCH(ROW()-3,$CG$4:$CG$42,0)))</f>
        <v>#N/A</v>
      </c>
      <c r="CI42" t="e">
        <f>CI41+IF(AND(Lists!$EE$42&lt;&gt;"",ISNUMBER(SEARCH($Z$4,Lists!$EE$42))),1,0)</f>
        <v>#N/A</v>
      </c>
      <c r="CJ42" t="e">
        <f>IF(ROW()-3&gt;MAX($CI$4:$CI$42),"",INDEX(Lists!$EE$4:$EE$42,MATCH(ROW()-3,$CI$4:$CI$42,0)))</f>
        <v>#N/A</v>
      </c>
      <c r="CK42">
        <f>CK41+IF(AND(Lists!$EJ$42&lt;&gt;"",ISNUMBER(SEARCH($AA$4,Lists!$EJ$42))),1,0)</f>
        <v>8</v>
      </c>
      <c r="CL42" t="str">
        <f>IF(ROW()-3&gt;MAX($CK$4:$CK$42),"",INDEX(Lists!$EJ$4:$EJ$42,MATCH(ROW()-3,$CK$4:$CK$42,0)))</f>
        <v/>
      </c>
      <c r="CM42" t="e">
        <f>CM41+IF(AND(Lists!$EO$42&lt;&gt;"",ISNUMBER(SEARCH($AB$4,Lists!$EO$42))),1,0)</f>
        <v>#N/A</v>
      </c>
      <c r="CN42" t="e">
        <f>IF(ROW()-3&gt;MAX($CM$4:$CM$42),"",INDEX(Lists!$EO$4:$EO$42,MATCH(ROW()-3,$CM$4:$CM$42,0)))</f>
        <v>#N/A</v>
      </c>
      <c r="CO42" t="e">
        <f>CO41+IF(AND(Lists!$ET$42&lt;&gt;"",ISNUMBER(SEARCH($AC$4,Lists!$ET$42))),1,0)</f>
        <v>#N/A</v>
      </c>
      <c r="CP42" t="e">
        <f>IF(ROW()-3&gt;MAX($CO$4:$CO$42),"",INDEX(Lists!$ET$4:$ET$42,MATCH(ROW()-3,$CO$4:$CO$42,0)))</f>
        <v>#N/A</v>
      </c>
      <c r="CQ42">
        <f>CQ41+IF(AND(Lists!$EY$42&lt;&gt;"",ISNUMBER(SEARCH($AD$4,Lists!$EY$42))),1,0)</f>
        <v>39</v>
      </c>
      <c r="CR42" t="str">
        <f>IF(ROW()-3&gt;MAX($CQ$4:$CQ$42),"",INDEX(Lists!$EY$4:$EY$42,MATCH(ROW()-3,$CQ$4:$CQ$42,0)))</f>
        <v>(nonblank)</v>
      </c>
      <c r="CS42" t="e">
        <f>CS41+IF(AND(Lists!$FD$42&lt;&gt;"",ISNUMBER(SEARCH($AE$4,Lists!$FD$42))),1,0)</f>
        <v>#N/A</v>
      </c>
      <c r="CT42" t="e">
        <f>IF(ROW()-3&gt;MAX($CS$4:$CS$42),"",INDEX(Lists!$FD$4:$FD$42,MATCH(ROW()-3,$CS$4:$CS$42,0)))</f>
        <v>#N/A</v>
      </c>
      <c r="CU42" t="e">
        <f>CU41+IF(AND(Lists!$FI$42&lt;&gt;"",ISNUMBER(SEARCH($AF$4,Lists!$FI$42))),1,0)</f>
        <v>#N/A</v>
      </c>
      <c r="CV42" t="e">
        <f>IF(ROW()-3&gt;MAX($CU$4:$CU$42),"",INDEX(Lists!$FI$4:$FI$42,MATCH(ROW()-3,$CU$4:$CU$42,0)))</f>
        <v>#N/A</v>
      </c>
      <c r="CW42" t="e">
        <f>CW41+IF(AND(Lists!$FN$42&lt;&gt;"",ISNUMBER(SEARCH($AG$4,Lists!$FN$42))),1,0)</f>
        <v>#N/A</v>
      </c>
      <c r="CX42" t="e">
        <f>IF(ROW()-3&gt;MAX($CW$4:$CW$42),"",INDEX(Lists!$FN$4:$FN$42,MATCH(ROW()-3,$CW$4:$CW$42,0)))</f>
        <v>#N/A</v>
      </c>
      <c r="CY42" t="e">
        <f>CY41+IF(AND(Lists!$FS$42&lt;&gt;"",ISNUMBER(SEARCH($AH$4,Lists!$FS$42))),1,0)</f>
        <v>#N/A</v>
      </c>
      <c r="CZ42" t="e">
        <f>IF(ROW()-3&gt;MAX($CY$4:$CY$42),"",INDEX(Lists!$FS$4:$FS$42,MATCH(ROW()-3,$CY$4:$CY$42,0)))</f>
        <v>#N/A</v>
      </c>
      <c r="DA42">
        <f>DA41+IF(AND(Lists!$FX$42&lt;&gt;"",ISNUMBER(SEARCH($AI$4,Lists!$FX$42))),1,0)</f>
        <v>2</v>
      </c>
      <c r="DB42" t="str">
        <f>IF(ROW()-3&gt;MAX($DA$4:$DA$42),"",INDEX(Lists!$FX$4:$FX$42,MATCH(ROW()-3,$DA$4:$DA$42,0)))</f>
        <v/>
      </c>
    </row>
    <row r="43" ht="15" customHeight="1" s="137">
      <c r="A43" s="81" t="inlineStr">
        <is>
          <t>∑</t>
        </is>
      </c>
      <c r="B43" s="83" t="n"/>
      <c r="C43" s="83" t="str">
        <f>ROWS($C$41:$C$42)&amp;" lot(s)"</f>
        <v>2 lot(s)</v>
      </c>
      <c r="D43" s="83" t="inlineStr">
        <is>
          <t>SUBTOTAL — SHAR JAHAN TRADERS</t>
        </is>
      </c>
      <c r="E43" s="83" t="inlineStr">
        <is>
          <t>–</t>
        </is>
      </c>
      <c r="F43" s="83">
        <f>SUM(F41:F42)</f>
        <v>2</v>
      </c>
      <c r="G43" s="83" t="inlineStr">
        <is>
          <t>–</t>
        </is>
      </c>
      <c r="H43" s="84" t="inlineStr">
        <is>
          <t>–</t>
        </is>
      </c>
      <c r="I43" s="84">
        <f>SUM(I41:I42)</f>
        <v>6644430</v>
      </c>
      <c r="J43" s="84">
        <f>SUM(J41:J42)</f>
        <v>1195998</v>
      </c>
      <c r="K43" s="84">
        <f>SUM(K41:K42)</f>
        <v>7840428</v>
      </c>
      <c r="L43" s="84">
        <f>SUM(L41:L42)</f>
        <v>156809</v>
      </c>
      <c r="M43" s="84">
        <f>SUM(M41:M42)</f>
        <v>6644.43</v>
      </c>
      <c r="N43" s="84">
        <f>SUM(N41:N42)</f>
        <v>176409.6165</v>
      </c>
      <c r="O43" s="85">
        <f>SUM(O41:O42)</f>
        <v>2989.9934999999996</v>
      </c>
      <c r="P43" s="84">
        <f>SUM(P41:P42)</f>
        <v>173419.62299999999</v>
      </c>
      <c r="Q43" s="84">
        <f>SUM(Q41:Q42)</f>
        <v>180064</v>
      </c>
      <c r="R43" s="86" t="inlineStr">
        <is>
          <t>–</t>
        </is>
      </c>
      <c r="S43" s="84">
        <f>SUM(S41:S42)</f>
        <v>0</v>
      </c>
      <c r="T43" s="84">
        <f>SUM(T41:T42)</f>
        <v>7817172</v>
      </c>
      <c r="U43" s="84">
        <f>SUM(U41:U42)</f>
        <v>1661108</v>
      </c>
      <c r="V43" s="87">
        <f>SUM(V41:V42)</f>
        <v>1661108</v>
      </c>
      <c r="W43" s="84" t="inlineStr">
        <is>
          <t>–</t>
        </is>
      </c>
      <c r="X43" s="84">
        <f>SUM(X41:X42)</f>
        <v>6156064</v>
      </c>
      <c r="Y43" s="84">
        <f>SUM(Y41:Y42)</f>
        <v>6156066</v>
      </c>
      <c r="Z43" s="84" t="inlineStr">
        <is>
          <t>–</t>
        </is>
      </c>
      <c r="AA43" s="84">
        <f>SUM(AA41:AA42)</f>
        <v>0</v>
      </c>
      <c r="AB43" s="84">
        <f>SUM(AB41:AB42)</f>
        <v>0</v>
      </c>
      <c r="AC43" s="84" t="inlineStr">
        <is>
          <t>–</t>
        </is>
      </c>
      <c r="AD43" s="84">
        <f>SUM(AD41:AD42)</f>
        <v>7817174</v>
      </c>
      <c r="AE43" s="84">
        <f>SUM(AE41:AE42)</f>
        <v>-1.9999999995343387</v>
      </c>
      <c r="AF43" s="84" t="inlineStr">
        <is>
          <t>–</t>
        </is>
      </c>
      <c r="AG43" s="88" t="inlineStr">
        <is>
          <t>–</t>
        </is>
      </c>
      <c r="AH43" s="84" t="inlineStr">
        <is>
          <t>–</t>
        </is>
      </c>
      <c r="AI43" s="89" t="str">
        <f>IF(AE43&lt;=5,"SETTLED","OUTSTANDING")</f>
        <v>SETTLED</v>
      </c>
    </row>
    <row r="44" outlineLevel="1" ht="15" customHeight="1" s="137">
      <c r="A44" s="67" t="n">
        <v>1</v>
      </c>
      <c r="B44" s="76">
        <f>IF('Final Calculation Sheet'!$F$13="","",'Final Calculation Sheet'!$F$13)</f>
        <v>2006</v>
      </c>
      <c r="C44" s="76" t="str">
        <f>IF('Final Calculation Sheet'!$G$13="","",'Final Calculation Sheet'!$G$13)</f>
        <v>STERLING ENTERPRISES</v>
      </c>
      <c r="D44" s="80" t="str">
        <f>IF('Final Calculation Sheet'!$B$13="","",'Final Calculation Sheet'!$B$13)</f>
        <v>Scrap of empty oil drums</v>
      </c>
      <c r="E44" s="80">
        <f>IF('Final Calculation Sheet'!$D$13="","",'Final Calculation Sheet'!$D$13)</f>
        <v>21977</v>
      </c>
      <c r="F44" s="80">
        <f>IF('Final Calculation Sheet'!$A$13="","",'Final Calculation Sheet'!$A$13)</f>
        <v>25</v>
      </c>
      <c r="G44" s="80" t="str">
        <f>IF('Final Calculation Sheet'!$E$13="","",'Final Calculation Sheet'!$E$13)</f>
        <v>NO</v>
      </c>
      <c r="H44" s="70">
        <f>IF('Final Calculation Sheet'!$C$13="","",'Final Calculation Sheet'!$C$13)</f>
        <v>700</v>
      </c>
      <c r="I44" s="70">
        <f>IF('Final Calculation Sheet'!$H$13="","",'Final Calculation Sheet'!$H$13)</f>
        <v>17500</v>
      </c>
      <c r="J44" s="70">
        <f>IF('Final Calculation Sheet'!$I$13="","",'Final Calculation Sheet'!$I$13)</f>
        <v>3150</v>
      </c>
      <c r="K44" s="70">
        <f>IF('Final Calculation Sheet'!$J$13="","",'Final Calculation Sheet'!$J$13)</f>
        <v>20650</v>
      </c>
      <c r="L44" s="70">
        <f>IF('Final Calculation Sheet'!$K$13="","",'Final Calculation Sheet'!$K$13)</f>
        <v>413</v>
      </c>
      <c r="M44" s="70">
        <f>IF('Final Calculation Sheet'!$L$13="","",'Final Calculation Sheet'!$L$13)</f>
        <v>17.5</v>
      </c>
      <c r="N44" s="70">
        <f>IF('Final Calculation Sheet'!$M$13="","",'Final Calculation Sheet'!$M$13)</f>
        <v>464.625</v>
      </c>
      <c r="O44" s="71">
        <f>IF('Final Calculation Sheet'!$N$13="","",'Final Calculation Sheet'!$N$13)</f>
        <v>7.875</v>
      </c>
      <c r="P44" s="70">
        <f>IF('Final Calculation Sheet'!$O$13="","",'Final Calculation Sheet'!$O$13)</f>
        <v>456.75</v>
      </c>
      <c r="Q44" s="70">
        <f>IF('Final Calculation Sheet'!$P$13="","",'Final Calculation Sheet'!$P$13)</f>
        <v>474</v>
      </c>
      <c r="R44" s="72">
        <f>IF('Final Calculation Sheet'!$Q$13="","",'Final Calculation Sheet'!$Q$13)</f>
        <v>0</v>
      </c>
      <c r="S44" s="70">
        <f>IF('Final Calculation Sheet'!$R$13="","",'Final Calculation Sheet'!$R$13)</f>
        <v>0</v>
      </c>
      <c r="T44" s="70">
        <f>IF('Final Calculation Sheet'!$S$13="","",'Final Calculation Sheet'!$S$13)</f>
        <v>20589</v>
      </c>
      <c r="U44" s="70">
        <f>IF('Final Calculation Sheet'!$T$13="","",'Final Calculation Sheet'!$T$13)</f>
        <v>4375</v>
      </c>
      <c r="V44" s="73">
        <f>IF('Final Calculation Sheet'!$U$13="","",'Final Calculation Sheet'!$U$13)</f>
        <v>4375</v>
      </c>
      <c r="W44" s="70" t="str">
        <f>IF('Final Calculation Sheet'!$V$13="","",'Final Calculation Sheet'!$V$13)</f>
        <v>11.08.2026</v>
      </c>
      <c r="X44" s="70">
        <f>IF('Final Calculation Sheet'!$W$13="","",'Final Calculation Sheet'!$W$13)</f>
        <v>16214</v>
      </c>
      <c r="Y44" s="70">
        <f>IF('Final Calculation Sheet'!$X$13="","",'Final Calculation Sheet'!$X$13)</f>
        <v>16214</v>
      </c>
      <c r="Z44" s="70" t="str">
        <f>IF('Final Calculation Sheet'!$Y$13="","",'Final Calculation Sheet'!$Y$13)</f>
        <v>11.08.2026</v>
      </c>
      <c r="AA44" s="70">
        <f>IF('Final Calculation Sheet'!$Z$13="","",'Final Calculation Sheet'!$Z$13)</f>
        <v>0</v>
      </c>
      <c r="AB44" s="70" t="str">
        <f>IF('Final Calculation Sheet'!$AA$13="","",'Final Calculation Sheet'!$AA$13)</f>
        <v/>
      </c>
      <c r="AC44" s="70" t="str">
        <f>IF('Final Calculation Sheet'!$AB$13="","",'Final Calculation Sheet'!$AB$13)</f>
        <v/>
      </c>
      <c r="AD44" s="70">
        <f>IF('Final Calculation Sheet'!$AC$13="","",'Final Calculation Sheet'!$AC$13)</f>
        <v>20589</v>
      </c>
      <c r="AE44" s="70">
        <f>IF('Final Calculation Sheet'!$AD$13="","",'Final Calculation Sheet'!$AD$13)</f>
        <v>0</v>
      </c>
      <c r="AF44" s="70" t="str">
        <f>IF('Final Calculation Sheet'!$AE$13="","",'Final Calculation Sheet'!$AE$13)</f>
        <v>DR2640100018</v>
      </c>
      <c r="AG44" s="74">
        <f>IF('Final Calculation Sheet'!$AF$13="","",'Final Calculation Sheet'!$AF$13)</f>
        <v>1800003156</v>
      </c>
      <c r="AH44" s="70" t="str">
        <f>IF('Final Calculation Sheet'!$AG$13="","",'Final Calculation Sheet'!$AG$13)</f>
        <v>14.08.2026</v>
      </c>
      <c r="AI44" s="75" t="str">
        <f>IF('Final Calculation Sheet'!$AD$13="","",IF('Final Calculation Sheet'!$AD$13&lt;=5,"SETTLED","OUTSTANDING"))</f>
        <v>SETTLED</v>
      </c>
    </row>
    <row r="45" outlineLevel="1" ht="15" customHeight="1" s="137">
      <c r="A45" s="90" t="n">
        <v>2</v>
      </c>
      <c r="B45" s="92">
        <f>IF('Final Calculation Sheet'!$F$16="","",'Final Calculation Sheet'!$F$16)</f>
        <v>2011</v>
      </c>
      <c r="C45" s="92" t="str">
        <f>IF('Final Calculation Sheet'!$G$16="","",'Final Calculation Sheet'!$G$16)</f>
        <v>STERLING ENTERPRISES</v>
      </c>
      <c r="D45" s="94" t="str">
        <f>IF('Final Calculation Sheet'!$B$16="","",'Final Calculation Sheet'!$B$16)</f>
        <v>Scrap of empty oil Barrel</v>
      </c>
      <c r="E45" s="94">
        <f>IF('Final Calculation Sheet'!$D$16="","",'Final Calculation Sheet'!$D$16)</f>
        <v>21977</v>
      </c>
      <c r="F45" s="94">
        <f>IF('Final Calculation Sheet'!$A$16="","",'Final Calculation Sheet'!$A$16)</f>
        <v>22</v>
      </c>
      <c r="G45" s="94" t="str">
        <f>IF('Final Calculation Sheet'!$E$16="","",'Final Calculation Sheet'!$E$16)</f>
        <v>NO</v>
      </c>
      <c r="H45" s="95">
        <f>IF('Final Calculation Sheet'!$C$16="","",'Final Calculation Sheet'!$C$16)</f>
        <v>700</v>
      </c>
      <c r="I45" s="95">
        <f>IF('Final Calculation Sheet'!$H$16="","",'Final Calculation Sheet'!$H$16)</f>
        <v>15400</v>
      </c>
      <c r="J45" s="95">
        <f>IF('Final Calculation Sheet'!$I$16="","",'Final Calculation Sheet'!$I$16)</f>
        <v>2772</v>
      </c>
      <c r="K45" s="95">
        <f>IF('Final Calculation Sheet'!$J$16="","",'Final Calculation Sheet'!$J$16)</f>
        <v>18172</v>
      </c>
      <c r="L45" s="95">
        <f>IF('Final Calculation Sheet'!$K$16="","",'Final Calculation Sheet'!$K$16)</f>
        <v>363</v>
      </c>
      <c r="M45" s="95">
        <f>IF('Final Calculation Sheet'!$L$16="","",'Final Calculation Sheet'!$L$16)</f>
        <v>15.4</v>
      </c>
      <c r="N45" s="95">
        <f>IF('Final Calculation Sheet'!$M$16="","",'Final Calculation Sheet'!$M$16)</f>
        <v>408.87</v>
      </c>
      <c r="O45" s="96">
        <f>IF('Final Calculation Sheet'!$N$16="","",'Final Calculation Sheet'!$N$16)</f>
        <v>6.93</v>
      </c>
      <c r="P45" s="95">
        <f>IF('Final Calculation Sheet'!$O$16="","",'Final Calculation Sheet'!$O$16)</f>
        <v>401.94</v>
      </c>
      <c r="Q45" s="95">
        <f>IF('Final Calculation Sheet'!$P$16="","",'Final Calculation Sheet'!$P$16)</f>
        <v>417</v>
      </c>
      <c r="R45" s="97">
        <f>IF('Final Calculation Sheet'!$Q$16="","",'Final Calculation Sheet'!$Q$16)</f>
        <v>0</v>
      </c>
      <c r="S45" s="95">
        <f>IF('Final Calculation Sheet'!$R$16="","",'Final Calculation Sheet'!$R$16)</f>
        <v>0</v>
      </c>
      <c r="T45" s="95">
        <f>IF('Final Calculation Sheet'!$S$16="","",'Final Calculation Sheet'!$S$16)</f>
        <v>18118</v>
      </c>
      <c r="U45" s="95">
        <f>IF('Final Calculation Sheet'!$T$16="","",'Final Calculation Sheet'!$T$16)</f>
        <v>3850</v>
      </c>
      <c r="V45" s="98">
        <f>IF('Final Calculation Sheet'!$U$16="","",'Final Calculation Sheet'!$U$16)</f>
        <v>3850</v>
      </c>
      <c r="W45" s="95" t="str">
        <f>IF('Final Calculation Sheet'!$V$16="","",'Final Calculation Sheet'!$V$16)</f>
        <v>11.08.2026</v>
      </c>
      <c r="X45" s="95">
        <f>IF('Final Calculation Sheet'!$W$16="","",'Final Calculation Sheet'!$W$16)</f>
        <v>14268</v>
      </c>
      <c r="Y45" s="95">
        <f>IF('Final Calculation Sheet'!$X$16="","",'Final Calculation Sheet'!$X$16)</f>
        <v>14267</v>
      </c>
      <c r="Z45" s="95" t="str">
        <f>IF('Final Calculation Sheet'!$Y$16="","",'Final Calculation Sheet'!$Y$16)</f>
        <v>11.08.2026</v>
      </c>
      <c r="AA45" s="95">
        <f>IF('Final Calculation Sheet'!$Z$16="","",'Final Calculation Sheet'!$Z$16)</f>
        <v>0</v>
      </c>
      <c r="AB45" s="95" t="str">
        <f>IF('Final Calculation Sheet'!$AA$16="","",'Final Calculation Sheet'!$AA$16)</f>
        <v/>
      </c>
      <c r="AC45" s="95" t="str">
        <f>IF('Final Calculation Sheet'!$AB$16="","",'Final Calculation Sheet'!$AB$16)</f>
        <v/>
      </c>
      <c r="AD45" s="95">
        <f>IF('Final Calculation Sheet'!$AC$16="","",'Final Calculation Sheet'!$AC$16)</f>
        <v>18117</v>
      </c>
      <c r="AE45" s="95">
        <f>IF('Final Calculation Sheet'!$AD$16="","",'Final Calculation Sheet'!$AD$16)</f>
        <v>1</v>
      </c>
      <c r="AF45" s="95" t="str">
        <f>IF('Final Calculation Sheet'!$AE$16="","",'Final Calculation Sheet'!$AE$16)</f>
        <v>DR2640100019</v>
      </c>
      <c r="AG45" s="99">
        <f>IF('Final Calculation Sheet'!$AF$16="","",'Final Calculation Sheet'!$AF$16)</f>
        <v>1800003157</v>
      </c>
      <c r="AH45" s="95" t="str">
        <f>IF('Final Calculation Sheet'!$AG$16="","",'Final Calculation Sheet'!$AG$16)</f>
        <v>14.08.2026</v>
      </c>
      <c r="AI45" s="100" t="str">
        <f>IF('Final Calculation Sheet'!$AD$16="","",IF('Final Calculation Sheet'!$AD$16&lt;=5,"SETTLED","OUTSTANDING"))</f>
        <v>SETTLED</v>
      </c>
    </row>
    <row r="46" outlineLevel="1" ht="15" customHeight="1" s="137">
      <c r="A46" s="67" t="n">
        <v>3</v>
      </c>
      <c r="B46" s="76">
        <f>IF('Final Calculation Sheet'!$F$17="","",'Final Calculation Sheet'!$F$17)</f>
        <v>2015</v>
      </c>
      <c r="C46" s="76" t="str">
        <f>IF('Final Calculation Sheet'!$G$17="","",'Final Calculation Sheet'!$G$17)</f>
        <v>STERLING ENTERPRISES</v>
      </c>
      <c r="D46" s="80" t="str">
        <f>IF('Final Calculation Sheet'!$B$17="","",'Final Calculation Sheet'!$B$17)</f>
        <v>Scrap of empty oil Barrels</v>
      </c>
      <c r="E46" s="80">
        <f>IF('Final Calculation Sheet'!$D$17="","",'Final Calculation Sheet'!$D$17)</f>
        <v>21978</v>
      </c>
      <c r="F46" s="80">
        <f>IF('Final Calculation Sheet'!$A$17="","",'Final Calculation Sheet'!$A$17)</f>
        <v>100</v>
      </c>
      <c r="G46" s="80" t="str">
        <f>IF('Final Calculation Sheet'!$E$17="","",'Final Calculation Sheet'!$E$17)</f>
        <v>NO</v>
      </c>
      <c r="H46" s="70">
        <f>IF('Final Calculation Sheet'!$C$17="","",'Final Calculation Sheet'!$C$17)</f>
        <v>710</v>
      </c>
      <c r="I46" s="70">
        <f>IF('Final Calculation Sheet'!$H$17="","",'Final Calculation Sheet'!$H$17)</f>
        <v>71000</v>
      </c>
      <c r="J46" s="70">
        <f>IF('Final Calculation Sheet'!$I$17="","",'Final Calculation Sheet'!$I$17)</f>
        <v>12780</v>
      </c>
      <c r="K46" s="70">
        <f>IF('Final Calculation Sheet'!$J$17="","",'Final Calculation Sheet'!$J$17)</f>
        <v>83780</v>
      </c>
      <c r="L46" s="70">
        <f>IF('Final Calculation Sheet'!$K$17="","",'Final Calculation Sheet'!$K$17)</f>
        <v>1676</v>
      </c>
      <c r="M46" s="70">
        <f>IF('Final Calculation Sheet'!$L$17="","",'Final Calculation Sheet'!$L$17)</f>
        <v>71</v>
      </c>
      <c r="N46" s="70">
        <f>IF('Final Calculation Sheet'!$M$17="","",'Final Calculation Sheet'!$M$17)</f>
        <v>1885.05</v>
      </c>
      <c r="O46" s="71">
        <f>IF('Final Calculation Sheet'!$N$17="","",'Final Calculation Sheet'!$N$17)</f>
        <v>31.95</v>
      </c>
      <c r="P46" s="70">
        <f>IF('Final Calculation Sheet'!$O$17="","",'Final Calculation Sheet'!$O$17)</f>
        <v>1853.1</v>
      </c>
      <c r="Q46" s="70">
        <f>IF('Final Calculation Sheet'!$P$17="","",'Final Calculation Sheet'!$P$17)</f>
        <v>1924</v>
      </c>
      <c r="R46" s="72">
        <f>IF('Final Calculation Sheet'!$Q$17="","",'Final Calculation Sheet'!$Q$17)</f>
        <v>0</v>
      </c>
      <c r="S46" s="70">
        <f>IF('Final Calculation Sheet'!$R$17="","",'Final Calculation Sheet'!$R$17)</f>
        <v>0</v>
      </c>
      <c r="T46" s="70">
        <f>IF('Final Calculation Sheet'!$S$17="","",'Final Calculation Sheet'!$S$17)</f>
        <v>83532</v>
      </c>
      <c r="U46" s="70">
        <f>IF('Final Calculation Sheet'!$T$17="","",'Final Calculation Sheet'!$T$17)</f>
        <v>17750</v>
      </c>
      <c r="V46" s="73">
        <f>IF('Final Calculation Sheet'!$U$17="","",'Final Calculation Sheet'!$U$17)</f>
        <v>17750</v>
      </c>
      <c r="W46" s="70" t="str">
        <f>IF('Final Calculation Sheet'!$V$17="","",'Final Calculation Sheet'!$V$17)</f>
        <v>11.08.2026</v>
      </c>
      <c r="X46" s="70">
        <f>IF('Final Calculation Sheet'!$W$17="","",'Final Calculation Sheet'!$W$17)</f>
        <v>65782</v>
      </c>
      <c r="Y46" s="70">
        <f>IF('Final Calculation Sheet'!$X$17="","",'Final Calculation Sheet'!$X$17)</f>
        <v>65782</v>
      </c>
      <c r="Z46" s="70" t="str">
        <f>IF('Final Calculation Sheet'!$Y$17="","",'Final Calculation Sheet'!$Y$17)</f>
        <v>11.08.2026</v>
      </c>
      <c r="AA46" s="70">
        <f>IF('Final Calculation Sheet'!$Z$17="","",'Final Calculation Sheet'!$Z$17)</f>
        <v>0</v>
      </c>
      <c r="AB46" s="70" t="str">
        <f>IF('Final Calculation Sheet'!$AA$17="","",'Final Calculation Sheet'!$AA$17)</f>
        <v/>
      </c>
      <c r="AC46" s="70" t="str">
        <f>IF('Final Calculation Sheet'!$AB$17="","",'Final Calculation Sheet'!$AB$17)</f>
        <v/>
      </c>
      <c r="AD46" s="70">
        <f>IF('Final Calculation Sheet'!$AC$17="","",'Final Calculation Sheet'!$AC$17)</f>
        <v>83532</v>
      </c>
      <c r="AE46" s="70">
        <f>IF('Final Calculation Sheet'!$AD$17="","",'Final Calculation Sheet'!$AD$17)</f>
        <v>0</v>
      </c>
      <c r="AF46" s="70" t="str">
        <f>IF('Final Calculation Sheet'!$AE$17="","",'Final Calculation Sheet'!$AE$17)</f>
        <v>DR2640100020</v>
      </c>
      <c r="AG46" s="74">
        <f>IF('Final Calculation Sheet'!$AF$17="","",'Final Calculation Sheet'!$AF$17)</f>
        <v>1800003158</v>
      </c>
      <c r="AH46" s="70" t="str">
        <f>IF('Final Calculation Sheet'!$AG$17="","",'Final Calculation Sheet'!$AG$17)</f>
        <v>14.08.2026</v>
      </c>
      <c r="AI46" s="75" t="str">
        <f>IF('Final Calculation Sheet'!$AD$17="","",IF('Final Calculation Sheet'!$AD$17&lt;=5,"SETTLED","OUTSTANDING"))</f>
        <v>SETTLED</v>
      </c>
    </row>
    <row r="47" outlineLevel="1" ht="15" customHeight="1" s="137">
      <c r="A47" s="90" t="n">
        <v>4</v>
      </c>
      <c r="B47" s="92">
        <f>IF('Final Calculation Sheet'!$F$23="","",'Final Calculation Sheet'!$F$23)</f>
        <v>2025</v>
      </c>
      <c r="C47" s="92" t="str">
        <f>IF('Final Calculation Sheet'!$G$23="","",'Final Calculation Sheet'!$G$23)</f>
        <v>STERLING ENTERPRISES</v>
      </c>
      <c r="D47" s="94" t="str">
        <f>IF('Final Calculation Sheet'!$B$23="","",'Final Calculation Sheet'!$B$23)</f>
        <v>Scrap of empty oil Barrels</v>
      </c>
      <c r="E47" s="94">
        <f>IF('Final Calculation Sheet'!$D$23="","",'Final Calculation Sheet'!$D$23)</f>
        <v>21978</v>
      </c>
      <c r="F47" s="94">
        <f>IF('Final Calculation Sheet'!$A$23="","",'Final Calculation Sheet'!$A$23)</f>
        <v>90</v>
      </c>
      <c r="G47" s="94" t="str">
        <f>IF('Final Calculation Sheet'!$E$23="","",'Final Calculation Sheet'!$E$23)</f>
        <v>NO</v>
      </c>
      <c r="H47" s="95">
        <f>IF('Final Calculation Sheet'!$C$23="","",'Final Calculation Sheet'!$C$23)</f>
        <v>700</v>
      </c>
      <c r="I47" s="95">
        <f>IF('Final Calculation Sheet'!$H$23="","",'Final Calculation Sheet'!$H$23)</f>
        <v>63000</v>
      </c>
      <c r="J47" s="95">
        <f>IF('Final Calculation Sheet'!$I$23="","",'Final Calculation Sheet'!$I$23)</f>
        <v>11340</v>
      </c>
      <c r="K47" s="95">
        <f>IF('Final Calculation Sheet'!$J$23="","",'Final Calculation Sheet'!$J$23)</f>
        <v>74340</v>
      </c>
      <c r="L47" s="95">
        <f>IF('Final Calculation Sheet'!$K$23="","",'Final Calculation Sheet'!$K$23)</f>
        <v>1487</v>
      </c>
      <c r="M47" s="95">
        <f>IF('Final Calculation Sheet'!$L$23="","",'Final Calculation Sheet'!$L$23)</f>
        <v>63</v>
      </c>
      <c r="N47" s="95">
        <f>IF('Final Calculation Sheet'!$M$23="","",'Final Calculation Sheet'!$M$23)</f>
        <v>1672.6499999999999</v>
      </c>
      <c r="O47" s="96">
        <f>IF('Final Calculation Sheet'!$N$23="","",'Final Calculation Sheet'!$N$23)</f>
        <v>28.35</v>
      </c>
      <c r="P47" s="95">
        <f>IF('Final Calculation Sheet'!$O$23="","",'Final Calculation Sheet'!$O$23)</f>
        <v>1644.3</v>
      </c>
      <c r="Q47" s="95">
        <f>IF('Final Calculation Sheet'!$P$23="","",'Final Calculation Sheet'!$P$23)</f>
        <v>1707</v>
      </c>
      <c r="R47" s="97">
        <f>IF('Final Calculation Sheet'!$Q$23="","",'Final Calculation Sheet'!$Q$23)</f>
        <v>0</v>
      </c>
      <c r="S47" s="95">
        <f>IF('Final Calculation Sheet'!$R$23="","",'Final Calculation Sheet'!$R$23)</f>
        <v>0</v>
      </c>
      <c r="T47" s="95">
        <f>IF('Final Calculation Sheet'!$S$23="","",'Final Calculation Sheet'!$S$23)</f>
        <v>74120</v>
      </c>
      <c r="U47" s="95">
        <f>IF('Final Calculation Sheet'!$T$23="","",'Final Calculation Sheet'!$T$23)</f>
        <v>15750</v>
      </c>
      <c r="V47" s="98">
        <f>IF('Final Calculation Sheet'!$U$23="","",'Final Calculation Sheet'!$U$23)</f>
        <v>15750</v>
      </c>
      <c r="W47" s="95" t="str">
        <f>IF('Final Calculation Sheet'!$V$23="","",'Final Calculation Sheet'!$V$23)</f>
        <v>11.08.2026</v>
      </c>
      <c r="X47" s="95">
        <f>IF('Final Calculation Sheet'!$W$23="","",'Final Calculation Sheet'!$W$23)</f>
        <v>58370</v>
      </c>
      <c r="Y47" s="95">
        <f>IF('Final Calculation Sheet'!$X$23="","",'Final Calculation Sheet'!$X$23)</f>
        <v>58418</v>
      </c>
      <c r="Z47" s="95" t="str">
        <f>IF('Final Calculation Sheet'!$Y$23="","",'Final Calculation Sheet'!$Y$23)</f>
        <v>11.08.2026</v>
      </c>
      <c r="AA47" s="95">
        <f>IF('Final Calculation Sheet'!$Z$23="","",'Final Calculation Sheet'!$Z$23)</f>
        <v>0</v>
      </c>
      <c r="AB47" s="95" t="str">
        <f>IF('Final Calculation Sheet'!$AA$23="","",'Final Calculation Sheet'!$AA$23)</f>
        <v/>
      </c>
      <c r="AC47" s="95" t="str">
        <f>IF('Final Calculation Sheet'!$AB$23="","",'Final Calculation Sheet'!$AB$23)</f>
        <v/>
      </c>
      <c r="AD47" s="95">
        <f>IF('Final Calculation Sheet'!$AC$23="","",'Final Calculation Sheet'!$AC$23)</f>
        <v>74168</v>
      </c>
      <c r="AE47" s="95">
        <f>IF('Final Calculation Sheet'!$AD$23="","",'Final Calculation Sheet'!$AD$23)</f>
        <v>-48</v>
      </c>
      <c r="AF47" s="95" t="str">
        <f>IF('Final Calculation Sheet'!$AE$23="","",'Final Calculation Sheet'!$AE$23)</f>
        <v>DR2640100021</v>
      </c>
      <c r="AG47" s="99">
        <f>IF('Final Calculation Sheet'!$AF$23="","",'Final Calculation Sheet'!$AF$23)</f>
        <v>1800003160</v>
      </c>
      <c r="AH47" s="95" t="str">
        <f>IF('Final Calculation Sheet'!$AG$23="","",'Final Calculation Sheet'!$AG$23)</f>
        <v>14.08.2026</v>
      </c>
      <c r="AI47" s="100" t="str">
        <f>IF('Final Calculation Sheet'!$AD$23="","",IF('Final Calculation Sheet'!$AD$23&lt;=5,"SETTLED","OUTSTANDING"))</f>
        <v>SETTLED</v>
      </c>
    </row>
    <row r="48" outlineLevel="1" ht="15" customHeight="1" s="137">
      <c r="A48" s="67" t="n">
        <v>5</v>
      </c>
      <c r="B48" s="76">
        <f>IF('Final Calculation Sheet'!$F$29="","",'Final Calculation Sheet'!$F$29)</f>
        <v>2040</v>
      </c>
      <c r="C48" s="76" t="str">
        <f>IF('Final Calculation Sheet'!$G$29="","",'Final Calculation Sheet'!$G$29)</f>
        <v>STERLING ENTERPRISES</v>
      </c>
      <c r="D48" s="80" t="str">
        <f>IF('Final Calculation Sheet'!$B$29="","",'Final Calculation Sheet'!$B$29)</f>
        <v>Scrap of 33 KV CT</v>
      </c>
      <c r="E48" s="80">
        <f>IF('Final Calculation Sheet'!$D$29="","",'Final Calculation Sheet'!$D$29)</f>
        <v>21978</v>
      </c>
      <c r="F48" s="80">
        <f>IF('Final Calculation Sheet'!$A$29="","",'Final Calculation Sheet'!$A$29)</f>
        <v>3</v>
      </c>
      <c r="G48" s="80" t="str">
        <f>IF('Final Calculation Sheet'!$E$29="","",'Final Calculation Sheet'!$E$29)</f>
        <v>NO</v>
      </c>
      <c r="H48" s="70">
        <f>IF('Final Calculation Sheet'!$C$29="","",'Final Calculation Sheet'!$C$29)</f>
        <v>90002</v>
      </c>
      <c r="I48" s="70">
        <f>IF('Final Calculation Sheet'!$H$29="","",'Final Calculation Sheet'!$H$29)</f>
        <v>270006</v>
      </c>
      <c r="J48" s="70">
        <f>IF('Final Calculation Sheet'!$I$29="","",'Final Calculation Sheet'!$I$29)</f>
        <v>48601</v>
      </c>
      <c r="K48" s="70">
        <f>IF('Final Calculation Sheet'!$J$29="","",'Final Calculation Sheet'!$J$29)</f>
        <v>318607</v>
      </c>
      <c r="L48" s="70">
        <f>IF('Final Calculation Sheet'!$K$29="","",'Final Calculation Sheet'!$K$29)</f>
        <v>6372</v>
      </c>
      <c r="M48" s="70">
        <f>IF('Final Calculation Sheet'!$L$29="","",'Final Calculation Sheet'!$L$29)</f>
        <v>270.00600000000003</v>
      </c>
      <c r="N48" s="70">
        <f>IF('Final Calculation Sheet'!$M$29="","",'Final Calculation Sheet'!$M$29)</f>
        <v>7168.6593000000003</v>
      </c>
      <c r="O48" s="71">
        <f>IF('Final Calculation Sheet'!$N$29="","",'Final Calculation Sheet'!$N$29)</f>
        <v>121.5027</v>
      </c>
      <c r="P48" s="70">
        <f>IF('Final Calculation Sheet'!$O$29="","",'Final Calculation Sheet'!$O$29)</f>
        <v>7047.1566000000003</v>
      </c>
      <c r="Q48" s="70">
        <f>IF('Final Calculation Sheet'!$P$29="","",'Final Calculation Sheet'!$P$29)</f>
        <v>7317</v>
      </c>
      <c r="R48" s="72">
        <f>IF('Final Calculation Sheet'!$Q$29="","",'Final Calculation Sheet'!$Q$29)</f>
        <v>0</v>
      </c>
      <c r="S48" s="70">
        <f>IF('Final Calculation Sheet'!$R$29="","",'Final Calculation Sheet'!$R$29)</f>
        <v>0</v>
      </c>
      <c r="T48" s="70">
        <f>IF('Final Calculation Sheet'!$S$29="","",'Final Calculation Sheet'!$S$29)</f>
        <v>317662</v>
      </c>
      <c r="U48" s="70">
        <f>IF('Final Calculation Sheet'!$T$29="","",'Final Calculation Sheet'!$T$29)</f>
        <v>67502</v>
      </c>
      <c r="V48" s="73">
        <f>IF('Final Calculation Sheet'!$U$29="","",'Final Calculation Sheet'!$U$29)</f>
        <v>67502</v>
      </c>
      <c r="W48" s="70" t="str">
        <f>IF('Final Calculation Sheet'!$V$29="","",'Final Calculation Sheet'!$V$29)</f>
        <v>11.08.2026</v>
      </c>
      <c r="X48" s="70">
        <f>IF('Final Calculation Sheet'!$W$29="","",'Final Calculation Sheet'!$W$29)</f>
        <v>250161</v>
      </c>
      <c r="Y48" s="70" t="str">
        <f>IF('Final Calculation Sheet'!$X$29="","",'Final Calculation Sheet'!$X$29)</f>
        <v/>
      </c>
      <c r="Z48" s="70">
        <f>IF('Final Calculation Sheet'!$Y$29="","",'Final Calculation Sheet'!$Y$29)</f>
        <v>0</v>
      </c>
      <c r="AA48" s="70">
        <f>IF('Final Calculation Sheet'!$Z$29="","",'Final Calculation Sheet'!$Z$29)</f>
        <v>9558.2124000000003</v>
      </c>
      <c r="AB48" s="70" t="str">
        <f>IF('Final Calculation Sheet'!$AA$29="","",'Final Calculation Sheet'!$AA$29)</f>
        <v/>
      </c>
      <c r="AC48" s="70" t="str">
        <f>IF('Final Calculation Sheet'!$AB$29="","",'Final Calculation Sheet'!$AB$29)</f>
        <v/>
      </c>
      <c r="AD48" s="70">
        <f>IF('Final Calculation Sheet'!$AC$29="","",'Final Calculation Sheet'!$AC$29)</f>
        <v>67502</v>
      </c>
      <c r="AE48" s="70">
        <f>IF('Final Calculation Sheet'!$AD$29="","",'Final Calculation Sheet'!$AD$29)</f>
        <v>250160</v>
      </c>
      <c r="AF48" s="70" t="str">
        <f>IF('Final Calculation Sheet'!$AE$29="","",'Final Calculation Sheet'!$AE$29)</f>
        <v/>
      </c>
      <c r="AG48" s="74" t="str">
        <f>IF('Final Calculation Sheet'!$AF$29="","",'Final Calculation Sheet'!$AF$29)</f>
        <v/>
      </c>
      <c r="AH48" s="70" t="str">
        <f>IF('Final Calculation Sheet'!$AG$29="","",'Final Calculation Sheet'!$AG$29)</f>
        <v/>
      </c>
      <c r="AI48" s="75" t="str">
        <f>IF('Final Calculation Sheet'!$AD$29="","",IF('Final Calculation Sheet'!$AD$29&lt;=5,"SETTLED","OUTSTANDING"))</f>
        <v>OUTSTANDING</v>
      </c>
    </row>
    <row r="49" outlineLevel="1" ht="15" customHeight="1" s="137">
      <c r="A49" s="90" t="n">
        <v>6</v>
      </c>
      <c r="B49" s="92">
        <f>IF('Final Calculation Sheet'!$F$34="","",'Final Calculation Sheet'!$F$34)</f>
        <v>2062</v>
      </c>
      <c r="C49" s="92" t="str">
        <f>IF('Final Calculation Sheet'!$G$34="","",'Final Calculation Sheet'!$G$34)</f>
        <v>STERLING ENTERPRISES</v>
      </c>
      <c r="D49" s="94" t="str">
        <f>IF('Final Calculation Sheet'!$B$34="","",'Final Calculation Sheet'!$B$34)</f>
        <v>Scrap of Empty oil Barrels</v>
      </c>
      <c r="E49" s="94">
        <f>IF('Final Calculation Sheet'!$D$34="","",'Final Calculation Sheet'!$D$34)</f>
        <v>21979</v>
      </c>
      <c r="F49" s="94">
        <f>IF('Final Calculation Sheet'!$A$34="","",'Final Calculation Sheet'!$A$34)</f>
        <v>30</v>
      </c>
      <c r="G49" s="94" t="str">
        <f>IF('Final Calculation Sheet'!$E$34="","",'Final Calculation Sheet'!$E$34)</f>
        <v>NO</v>
      </c>
      <c r="H49" s="95">
        <f>IF('Final Calculation Sheet'!$C$34="","",'Final Calculation Sheet'!$C$34)</f>
        <v>702</v>
      </c>
      <c r="I49" s="95">
        <f>IF('Final Calculation Sheet'!$H$34="","",'Final Calculation Sheet'!$H$34)</f>
        <v>21060</v>
      </c>
      <c r="J49" s="95">
        <f>IF('Final Calculation Sheet'!$I$34="","",'Final Calculation Sheet'!$I$34)</f>
        <v>3791</v>
      </c>
      <c r="K49" s="95">
        <f>IF('Final Calculation Sheet'!$J$34="","",'Final Calculation Sheet'!$J$34)</f>
        <v>24851</v>
      </c>
      <c r="L49" s="95">
        <f>IF('Final Calculation Sheet'!$K$34="","",'Final Calculation Sheet'!$K$34)</f>
        <v>497</v>
      </c>
      <c r="M49" s="95">
        <f>IF('Final Calculation Sheet'!$L$34="","",'Final Calculation Sheet'!$L$34)</f>
        <v>21.06</v>
      </c>
      <c r="N49" s="95">
        <f>IF('Final Calculation Sheet'!$M$34="","",'Final Calculation Sheet'!$M$34)</f>
        <v>559.14299999999992</v>
      </c>
      <c r="O49" s="96">
        <f>IF('Final Calculation Sheet'!$N$34="","",'Final Calculation Sheet'!$N$34)</f>
        <v>9.4770000000000003</v>
      </c>
      <c r="P49" s="95">
        <f>IF('Final Calculation Sheet'!$O$34="","",'Final Calculation Sheet'!$O$34)</f>
        <v>549.66599999999994</v>
      </c>
      <c r="Q49" s="95">
        <f>IF('Final Calculation Sheet'!$P$34="","",'Final Calculation Sheet'!$P$34)</f>
        <v>571</v>
      </c>
      <c r="R49" s="97">
        <f>IF('Final Calculation Sheet'!$Q$34="","",'Final Calculation Sheet'!$Q$34)</f>
        <v>0</v>
      </c>
      <c r="S49" s="95">
        <f>IF('Final Calculation Sheet'!$R$34="","",'Final Calculation Sheet'!$R$34)</f>
        <v>0</v>
      </c>
      <c r="T49" s="95">
        <f>IF('Final Calculation Sheet'!$S$34="","",'Final Calculation Sheet'!$S$34)</f>
        <v>24777</v>
      </c>
      <c r="U49" s="95">
        <f>IF('Final Calculation Sheet'!$T$34="","",'Final Calculation Sheet'!$T$34)</f>
        <v>5265</v>
      </c>
      <c r="V49" s="98">
        <f>IF('Final Calculation Sheet'!$U$34="","",'Final Calculation Sheet'!$U$34)</f>
        <v>5265</v>
      </c>
      <c r="W49" s="95" t="str">
        <f>IF('Final Calculation Sheet'!$V$34="","",'Final Calculation Sheet'!$V$34)</f>
        <v>11.08.2026</v>
      </c>
      <c r="X49" s="95">
        <f>IF('Final Calculation Sheet'!$W$34="","",'Final Calculation Sheet'!$W$34)</f>
        <v>19512</v>
      </c>
      <c r="Y49" s="95">
        <f>IF('Final Calculation Sheet'!$X$34="","",'Final Calculation Sheet'!$X$34)</f>
        <v>19512</v>
      </c>
      <c r="Z49" s="95" t="str">
        <f>IF('Final Calculation Sheet'!$Y$34="","",'Final Calculation Sheet'!$Y$34)</f>
        <v>11.08.2026</v>
      </c>
      <c r="AA49" s="95">
        <f>IF('Final Calculation Sheet'!$Z$34="","",'Final Calculation Sheet'!$Z$34)</f>
        <v>0</v>
      </c>
      <c r="AB49" s="95" t="str">
        <f>IF('Final Calculation Sheet'!$AA$34="","",'Final Calculation Sheet'!$AA$34)</f>
        <v/>
      </c>
      <c r="AC49" s="95" t="str">
        <f>IF('Final Calculation Sheet'!$AB$34="","",'Final Calculation Sheet'!$AB$34)</f>
        <v/>
      </c>
      <c r="AD49" s="95">
        <f>IF('Final Calculation Sheet'!$AC$34="","",'Final Calculation Sheet'!$AC$34)</f>
        <v>24777</v>
      </c>
      <c r="AE49" s="95">
        <f>IF('Final Calculation Sheet'!$AD$34="","",'Final Calculation Sheet'!$AD$34)</f>
        <v>0</v>
      </c>
      <c r="AF49" s="95" t="str">
        <f>IF('Final Calculation Sheet'!$AE$34="","",'Final Calculation Sheet'!$AE$34)</f>
        <v>DR2640100022</v>
      </c>
      <c r="AG49" s="99">
        <f>IF('Final Calculation Sheet'!$AF$34="","",'Final Calculation Sheet'!$AF$34)</f>
        <v>1800003161</v>
      </c>
      <c r="AH49" s="95" t="str">
        <f>IF('Final Calculation Sheet'!$AG$34="","",'Final Calculation Sheet'!$AG$34)</f>
        <v>14.08.2026</v>
      </c>
      <c r="AI49" s="100" t="str">
        <f>IF('Final Calculation Sheet'!$AD$34="","",IF('Final Calculation Sheet'!$AD$34&lt;=5,"SETTLED","OUTSTANDING"))</f>
        <v>SETTLED</v>
      </c>
    </row>
    <row r="50" outlineLevel="1" ht="15" customHeight="1" s="137">
      <c r="A50" s="67" t="n">
        <v>7</v>
      </c>
      <c r="B50" s="76">
        <f>IF('Final Calculation Sheet'!$F$36="","",'Final Calculation Sheet'!$F$36)</f>
        <v>2069</v>
      </c>
      <c r="C50" s="76" t="str">
        <f>IF('Final Calculation Sheet'!$G$36="","",'Final Calculation Sheet'!$G$36)</f>
        <v>STERLING ENTERPRISES</v>
      </c>
      <c r="D50" s="80" t="str">
        <f>IF('Final Calculation Sheet'!$B$36="","",'Final Calculation Sheet'!$B$36)</f>
        <v>Scrap of 33 KV CB</v>
      </c>
      <c r="E50" s="80">
        <f>IF('Final Calculation Sheet'!$D$36="","",'Final Calculation Sheet'!$D$36)</f>
        <v>21980</v>
      </c>
      <c r="F50" s="80">
        <f>IF('Final Calculation Sheet'!$A$36="","",'Final Calculation Sheet'!$A$36)</f>
        <v>1</v>
      </c>
      <c r="G50" s="80" t="str">
        <f>IF('Final Calculation Sheet'!$E$36="","",'Final Calculation Sheet'!$E$36)</f>
        <v>NO</v>
      </c>
      <c r="H50" s="70">
        <f>IF('Final Calculation Sheet'!$C$36="","",'Final Calculation Sheet'!$C$36)</f>
        <v>54000</v>
      </c>
      <c r="I50" s="70">
        <f>IF('Final Calculation Sheet'!$H$36="","",'Final Calculation Sheet'!$H$36)</f>
        <v>54000</v>
      </c>
      <c r="J50" s="70">
        <f>IF('Final Calculation Sheet'!$I$36="","",'Final Calculation Sheet'!$I$36)</f>
        <v>9720</v>
      </c>
      <c r="K50" s="70">
        <f>IF('Final Calculation Sheet'!$J$36="","",'Final Calculation Sheet'!$J$36)</f>
        <v>63720</v>
      </c>
      <c r="L50" s="70">
        <f>IF('Final Calculation Sheet'!$K$36="","",'Final Calculation Sheet'!$K$36)</f>
        <v>1274</v>
      </c>
      <c r="M50" s="70">
        <f>IF('Final Calculation Sheet'!$L$36="","",'Final Calculation Sheet'!$L$36)</f>
        <v>54</v>
      </c>
      <c r="N50" s="70">
        <f>IF('Final Calculation Sheet'!$M$36="","",'Final Calculation Sheet'!$M$36)</f>
        <v>1433.6999999999998</v>
      </c>
      <c r="O50" s="71">
        <f>IF('Final Calculation Sheet'!$N$36="","",'Final Calculation Sheet'!$N$36)</f>
        <v>24.3</v>
      </c>
      <c r="P50" s="70">
        <f>IF('Final Calculation Sheet'!$O$36="","",'Final Calculation Sheet'!$O$36)</f>
        <v>1409.3999999999999</v>
      </c>
      <c r="Q50" s="70">
        <f>IF('Final Calculation Sheet'!$P$36="","",'Final Calculation Sheet'!$P$36)</f>
        <v>1463</v>
      </c>
      <c r="R50" s="72">
        <f>IF('Final Calculation Sheet'!$Q$36="","",'Final Calculation Sheet'!$Q$36)</f>
        <v>0</v>
      </c>
      <c r="S50" s="70">
        <f>IF('Final Calculation Sheet'!$R$36="","",'Final Calculation Sheet'!$R$36)</f>
        <v>0</v>
      </c>
      <c r="T50" s="70">
        <f>IF('Final Calculation Sheet'!$S$36="","",'Final Calculation Sheet'!$S$36)</f>
        <v>63531</v>
      </c>
      <c r="U50" s="70">
        <f>IF('Final Calculation Sheet'!$T$36="","",'Final Calculation Sheet'!$T$36)</f>
        <v>13500</v>
      </c>
      <c r="V50" s="73">
        <f>IF('Final Calculation Sheet'!$U$36="","",'Final Calculation Sheet'!$U$36)</f>
        <v>13500</v>
      </c>
      <c r="W50" s="70" t="str">
        <f>IF('Final Calculation Sheet'!$V$36="","",'Final Calculation Sheet'!$V$36)</f>
        <v>11.08.2026</v>
      </c>
      <c r="X50" s="70">
        <f>IF('Final Calculation Sheet'!$W$36="","",'Final Calculation Sheet'!$W$36)</f>
        <v>50031</v>
      </c>
      <c r="Y50" s="70" t="str">
        <f>IF('Final Calculation Sheet'!$X$36="","",'Final Calculation Sheet'!$X$36)</f>
        <v/>
      </c>
      <c r="Z50" s="70">
        <f>IF('Final Calculation Sheet'!$Y$36="","",'Final Calculation Sheet'!$Y$36)</f>
        <v>0</v>
      </c>
      <c r="AA50" s="70">
        <f>IF('Final Calculation Sheet'!$Z$36="","",'Final Calculation Sheet'!$Z$36)</f>
        <v>1911.6</v>
      </c>
      <c r="AB50" s="70" t="str">
        <f>IF('Final Calculation Sheet'!$AA$36="","",'Final Calculation Sheet'!$AA$36)</f>
        <v/>
      </c>
      <c r="AC50" s="70" t="str">
        <f>IF('Final Calculation Sheet'!$AB$36="","",'Final Calculation Sheet'!$AB$36)</f>
        <v/>
      </c>
      <c r="AD50" s="70">
        <f>IF('Final Calculation Sheet'!$AC$36="","",'Final Calculation Sheet'!$AC$36)</f>
        <v>13500</v>
      </c>
      <c r="AE50" s="70">
        <f>IF('Final Calculation Sheet'!$AD$36="","",'Final Calculation Sheet'!$AD$36)</f>
        <v>50031</v>
      </c>
      <c r="AF50" s="70" t="str">
        <f>IF('Final Calculation Sheet'!$AE$36="","",'Final Calculation Sheet'!$AE$36)</f>
        <v/>
      </c>
      <c r="AG50" s="74" t="str">
        <f>IF('Final Calculation Sheet'!$AF$36="","",'Final Calculation Sheet'!$AF$36)</f>
        <v/>
      </c>
      <c r="AH50" s="70" t="str">
        <f>IF('Final Calculation Sheet'!$AG$36="","",'Final Calculation Sheet'!$AG$36)</f>
        <v/>
      </c>
      <c r="AI50" s="75" t="str">
        <f>IF('Final Calculation Sheet'!$AD$36="","",IF('Final Calculation Sheet'!$AD$36&lt;=5,"SETTLED","OUTSTANDING"))</f>
        <v>OUTSTANDING</v>
      </c>
    </row>
    <row r="51" ht="15" customHeight="1" s="137">
      <c r="A51" s="81" t="inlineStr">
        <is>
          <t>∑</t>
        </is>
      </c>
      <c r="B51" s="83" t="n"/>
      <c r="C51" s="83" t="str">
        <f>ROWS($C$44:$C$50)&amp;" lot(s)"</f>
        <v>7 lot(s)</v>
      </c>
      <c r="D51" s="83" t="inlineStr">
        <is>
          <t>SUBTOTAL — STERLING ENTERPRISES</t>
        </is>
      </c>
      <c r="E51" s="83" t="inlineStr">
        <is>
          <t>–</t>
        </is>
      </c>
      <c r="F51" s="83">
        <f>SUM(F44:F50)</f>
        <v>271</v>
      </c>
      <c r="G51" s="83" t="inlineStr">
        <is>
          <t>–</t>
        </is>
      </c>
      <c r="H51" s="84" t="inlineStr">
        <is>
          <t>–</t>
        </is>
      </c>
      <c r="I51" s="84">
        <f>SUM(I44:I50)</f>
        <v>511966</v>
      </c>
      <c r="J51" s="84">
        <f>SUM(J44:J50)</f>
        <v>92154</v>
      </c>
      <c r="K51" s="84">
        <f>SUM(K44:K50)</f>
        <v>604120</v>
      </c>
      <c r="L51" s="84">
        <f>SUM(L44:L50)</f>
        <v>12082</v>
      </c>
      <c r="M51" s="84">
        <f>SUM(M44:M50)</f>
        <v>511.96600000000007</v>
      </c>
      <c r="N51" s="84">
        <f>SUM(N44:N50)</f>
        <v>13592.6973</v>
      </c>
      <c r="O51" s="85">
        <f>SUM(O44:O50)</f>
        <v>230.38470000000001</v>
      </c>
      <c r="P51" s="84">
        <f>SUM(P44:P50)</f>
        <v>13362.312599999999</v>
      </c>
      <c r="Q51" s="84">
        <f>SUM(Q44:Q50)</f>
        <v>13873</v>
      </c>
      <c r="R51" s="86" t="inlineStr">
        <is>
          <t>–</t>
        </is>
      </c>
      <c r="S51" s="84">
        <f>SUM(S44:S50)</f>
        <v>0</v>
      </c>
      <c r="T51" s="84">
        <f>SUM(T44:T50)</f>
        <v>602329</v>
      </c>
      <c r="U51" s="84">
        <f>SUM(U44:U50)</f>
        <v>127992</v>
      </c>
      <c r="V51" s="87">
        <f>SUM(V44:V50)</f>
        <v>127992</v>
      </c>
      <c r="W51" s="84" t="inlineStr">
        <is>
          <t>–</t>
        </is>
      </c>
      <c r="X51" s="84">
        <f>SUM(X44:X50)</f>
        <v>474338</v>
      </c>
      <c r="Y51" s="84">
        <f>SUM(Y44:Y50)</f>
        <v>174193</v>
      </c>
      <c r="Z51" s="84" t="inlineStr">
        <is>
          <t>–</t>
        </is>
      </c>
      <c r="AA51" s="84">
        <f>SUM(AA44:AA50)</f>
        <v>11469.812400000001</v>
      </c>
      <c r="AB51" s="84">
        <f>SUM(AB44:AB50)</f>
        <v>0</v>
      </c>
      <c r="AC51" s="84" t="inlineStr">
        <is>
          <t>–</t>
        </is>
      </c>
      <c r="AD51" s="84">
        <f>SUM(AD44:AD50)</f>
        <v>302185</v>
      </c>
      <c r="AE51" s="84">
        <f>SUM(AE44:AE50)</f>
        <v>300144</v>
      </c>
      <c r="AF51" s="84" t="inlineStr">
        <is>
          <t>–</t>
        </is>
      </c>
      <c r="AG51" s="88" t="inlineStr">
        <is>
          <t>–</t>
        </is>
      </c>
      <c r="AH51" s="84" t="inlineStr">
        <is>
          <t>–</t>
        </is>
      </c>
      <c r="AI51" s="89" t="str">
        <f>IF(AE51&lt;=5,"SETTLED","OUTSTANDING")</f>
        <v>OUTSTANDING</v>
      </c>
    </row>
    <row r="52" outlineLevel="1" ht="15" customHeight="1" s="137">
      <c r="A52" s="67" t="n">
        <v>1</v>
      </c>
      <c r="B52" s="76">
        <f>IF('Final Calculation Sheet'!$F$25="","",'Final Calculation Sheet'!$F$25)</f>
        <v>2033</v>
      </c>
      <c r="C52" s="76" t="str">
        <f>IF('Final Calculation Sheet'!$G$25="","",'Final Calculation Sheet'!$G$25)</f>
        <v>WATAN SCRAP TRADERS</v>
      </c>
      <c r="D52" s="80" t="str">
        <f>IF('Final Calculation Sheet'!$B$25="","",'Final Calculation Sheet'!$B$25)</f>
        <v>Scrap Empty Oil Drum/ Barrel</v>
      </c>
      <c r="E52" s="80">
        <f>IF('Final Calculation Sheet'!$D$25="","",'Final Calculation Sheet'!$D$25)</f>
        <v>21978</v>
      </c>
      <c r="F52" s="80">
        <f>IF('Final Calculation Sheet'!$A$25="","",'Final Calculation Sheet'!$A$25)</f>
        <v>1000</v>
      </c>
      <c r="G52" s="80" t="str">
        <f>IF('Final Calculation Sheet'!$E$25="","",'Final Calculation Sheet'!$E$25)</f>
        <v>NO</v>
      </c>
      <c r="H52" s="70">
        <f>IF('Final Calculation Sheet'!$C$25="","",'Final Calculation Sheet'!$C$25)</f>
        <v>517</v>
      </c>
      <c r="I52" s="70">
        <f>IF('Final Calculation Sheet'!$H$25="","",'Final Calculation Sheet'!$H$25)</f>
        <v>517000</v>
      </c>
      <c r="J52" s="70">
        <f>IF('Final Calculation Sheet'!$I$25="","",'Final Calculation Sheet'!$I$25)</f>
        <v>93060</v>
      </c>
      <c r="K52" s="70">
        <f>IF('Final Calculation Sheet'!$J$25="","",'Final Calculation Sheet'!$J$25)</f>
        <v>610060</v>
      </c>
      <c r="L52" s="70">
        <f>IF('Final Calculation Sheet'!$K$25="","",'Final Calculation Sheet'!$K$25)</f>
        <v>12201</v>
      </c>
      <c r="M52" s="70">
        <f>IF('Final Calculation Sheet'!$L$25="","",'Final Calculation Sheet'!$L$25)</f>
        <v>517</v>
      </c>
      <c r="N52" s="70">
        <f>IF('Final Calculation Sheet'!$M$25="","",'Final Calculation Sheet'!$M$25)</f>
        <v>13726.349999999999</v>
      </c>
      <c r="O52" s="71">
        <f>IF('Final Calculation Sheet'!$N$25="","",'Final Calculation Sheet'!$N$25)</f>
        <v>232.65</v>
      </c>
      <c r="P52" s="70">
        <f>IF('Final Calculation Sheet'!$O$25="","",'Final Calculation Sheet'!$O$25)</f>
        <v>13493.699999999999</v>
      </c>
      <c r="Q52" s="70">
        <f>IF('Final Calculation Sheet'!$P$25="","",'Final Calculation Sheet'!$P$25)</f>
        <v>14011</v>
      </c>
      <c r="R52" s="72">
        <f>IF('Final Calculation Sheet'!$Q$25="","",'Final Calculation Sheet'!$Q$25)</f>
        <v>0</v>
      </c>
      <c r="S52" s="70">
        <f>IF('Final Calculation Sheet'!$R$25="","",'Final Calculation Sheet'!$R$25)</f>
        <v>0</v>
      </c>
      <c r="T52" s="70">
        <f>IF('Final Calculation Sheet'!$S$25="","",'Final Calculation Sheet'!$S$25)</f>
        <v>608251</v>
      </c>
      <c r="U52" s="70">
        <f>IF('Final Calculation Sheet'!$T$25="","",'Final Calculation Sheet'!$T$25)</f>
        <v>129250</v>
      </c>
      <c r="V52" s="73">
        <f>IF('Final Calculation Sheet'!$U$25="","",'Final Calculation Sheet'!$U$25)</f>
        <v>129250</v>
      </c>
      <c r="W52" s="70" t="str">
        <f>IF('Final Calculation Sheet'!$V$25="","",'Final Calculation Sheet'!$V$25)</f>
        <v>14.08.2026</v>
      </c>
      <c r="X52" s="70">
        <f>IF('Final Calculation Sheet'!$W$25="","",'Final Calculation Sheet'!$W$25)</f>
        <v>479001</v>
      </c>
      <c r="Y52" s="70">
        <f>IF('Final Calculation Sheet'!$X$25="","",'Final Calculation Sheet'!$X$25)</f>
        <v>479001</v>
      </c>
      <c r="Z52" s="70" t="str">
        <f>IF('Final Calculation Sheet'!$Y$25="","",'Final Calculation Sheet'!$Y$25)</f>
        <v>21.08.2026</v>
      </c>
      <c r="AA52" s="70">
        <f>IF('Final Calculation Sheet'!$Z$25="","",'Final Calculation Sheet'!$Z$25)</f>
        <v>0</v>
      </c>
      <c r="AB52" s="70" t="str">
        <f>IF('Final Calculation Sheet'!$AA$25="","",'Final Calculation Sheet'!$AA$25)</f>
        <v/>
      </c>
      <c r="AC52" s="70" t="str">
        <f>IF('Final Calculation Sheet'!$AB$25="","",'Final Calculation Sheet'!$AB$25)</f>
        <v/>
      </c>
      <c r="AD52" s="70">
        <f>IF('Final Calculation Sheet'!$AC$25="","",'Final Calculation Sheet'!$AC$25)</f>
        <v>608251</v>
      </c>
      <c r="AE52" s="70">
        <f>IF('Final Calculation Sheet'!$AD$25="","",'Final Calculation Sheet'!$AD$25)</f>
        <v>0</v>
      </c>
      <c r="AF52" s="70" t="str">
        <f>IF('Final Calculation Sheet'!$AE$25="","",'Final Calculation Sheet'!$AE$25)</f>
        <v>DR2640100042</v>
      </c>
      <c r="AG52" s="74">
        <f>IF('Final Calculation Sheet'!$AF$25="","",'Final Calculation Sheet'!$AF$25)</f>
        <v>1800003317</v>
      </c>
      <c r="AH52" s="70" t="str">
        <f>IF('Final Calculation Sheet'!$AG$25="","",'Final Calculation Sheet'!$AG$25)</f>
        <v>27.08.2026</v>
      </c>
      <c r="AI52" s="75" t="str">
        <f>IF('Final Calculation Sheet'!$AD$25="","",IF('Final Calculation Sheet'!$AD$25&lt;=5,"SETTLED","OUTSTANDING"))</f>
        <v>SETTLED</v>
      </c>
    </row>
    <row r="53" outlineLevel="1" ht="15" customHeight="1" s="137">
      <c r="A53" s="90" t="n">
        <v>2</v>
      </c>
      <c r="B53" s="92">
        <f>IF('Final Calculation Sheet'!$F$28="","",'Final Calculation Sheet'!$F$28)</f>
        <v>2037</v>
      </c>
      <c r="C53" s="92" t="str">
        <f>IF('Final Calculation Sheet'!$G$28="","",'Final Calculation Sheet'!$G$28)</f>
        <v>WATAN SCRAP TRADERS</v>
      </c>
      <c r="D53" s="94" t="str">
        <f>IF('Final Calculation Sheet'!$B$28="","",'Final Calculation Sheet'!$B$28)</f>
        <v>Scrap of empty oil Barrels</v>
      </c>
      <c r="E53" s="94">
        <f>IF('Final Calculation Sheet'!$D$28="","",'Final Calculation Sheet'!$D$28)</f>
        <v>21978</v>
      </c>
      <c r="F53" s="94">
        <f>IF('Final Calculation Sheet'!$A$28="","",'Final Calculation Sheet'!$A$28)</f>
        <v>50</v>
      </c>
      <c r="G53" s="94" t="str">
        <f>IF('Final Calculation Sheet'!$E$28="","",'Final Calculation Sheet'!$E$28)</f>
        <v>NO</v>
      </c>
      <c r="H53" s="95">
        <f>IF('Final Calculation Sheet'!$C$28="","",'Final Calculation Sheet'!$C$28)</f>
        <v>531</v>
      </c>
      <c r="I53" s="95">
        <f>IF('Final Calculation Sheet'!$H$28="","",'Final Calculation Sheet'!$H$28)</f>
        <v>26550</v>
      </c>
      <c r="J53" s="95">
        <f>IF('Final Calculation Sheet'!$I$28="","",'Final Calculation Sheet'!$I$28)</f>
        <v>4779</v>
      </c>
      <c r="K53" s="95">
        <f>IF('Final Calculation Sheet'!$J$28="","",'Final Calculation Sheet'!$J$28)</f>
        <v>31329</v>
      </c>
      <c r="L53" s="95">
        <f>IF('Final Calculation Sheet'!$K$28="","",'Final Calculation Sheet'!$K$28)</f>
        <v>627</v>
      </c>
      <c r="M53" s="95">
        <f>IF('Final Calculation Sheet'!$L$28="","",'Final Calculation Sheet'!$L$28)</f>
        <v>26.55</v>
      </c>
      <c r="N53" s="95">
        <f>IF('Final Calculation Sheet'!$M$28="","",'Final Calculation Sheet'!$M$28)</f>
        <v>704.90249999999992</v>
      </c>
      <c r="O53" s="96">
        <f>IF('Final Calculation Sheet'!$N$28="","",'Final Calculation Sheet'!$N$28)</f>
        <v>11.9475</v>
      </c>
      <c r="P53" s="95">
        <f>IF('Final Calculation Sheet'!$O$28="","",'Final Calculation Sheet'!$O$28)</f>
        <v>692.95499999999993</v>
      </c>
      <c r="Q53" s="95">
        <f>IF('Final Calculation Sheet'!$P$28="","",'Final Calculation Sheet'!$P$28)</f>
        <v>720</v>
      </c>
      <c r="R53" s="97">
        <f>IF('Final Calculation Sheet'!$Q$28="","",'Final Calculation Sheet'!$Q$28)</f>
        <v>0</v>
      </c>
      <c r="S53" s="95">
        <f>IF('Final Calculation Sheet'!$R$28="","",'Final Calculation Sheet'!$R$28)</f>
        <v>0</v>
      </c>
      <c r="T53" s="95">
        <f>IF('Final Calculation Sheet'!$S$28="","",'Final Calculation Sheet'!$S$28)</f>
        <v>31236</v>
      </c>
      <c r="U53" s="95">
        <f>IF('Final Calculation Sheet'!$T$28="","",'Final Calculation Sheet'!$T$28)</f>
        <v>6638</v>
      </c>
      <c r="V53" s="98">
        <f>IF('Final Calculation Sheet'!$U$28="","",'Final Calculation Sheet'!$U$28)</f>
        <v>6638</v>
      </c>
      <c r="W53" s="95" t="str">
        <f>IF('Final Calculation Sheet'!$V$28="","",'Final Calculation Sheet'!$V$28)</f>
        <v>14.08.2026</v>
      </c>
      <c r="X53" s="95">
        <f>IF('Final Calculation Sheet'!$W$28="","",'Final Calculation Sheet'!$W$28)</f>
        <v>24599</v>
      </c>
      <c r="Y53" s="95">
        <f>IF('Final Calculation Sheet'!$X$28="","",'Final Calculation Sheet'!$X$28)</f>
        <v>24598</v>
      </c>
      <c r="Z53" s="95" t="str">
        <f>IF('Final Calculation Sheet'!$Y$28="","",'Final Calculation Sheet'!$Y$28)</f>
        <v>21.08.2026</v>
      </c>
      <c r="AA53" s="95">
        <f>IF('Final Calculation Sheet'!$Z$28="","",'Final Calculation Sheet'!$Z$28)</f>
        <v>0</v>
      </c>
      <c r="AB53" s="95" t="str">
        <f>IF('Final Calculation Sheet'!$AA$28="","",'Final Calculation Sheet'!$AA$28)</f>
        <v/>
      </c>
      <c r="AC53" s="95" t="str">
        <f>IF('Final Calculation Sheet'!$AB$28="","",'Final Calculation Sheet'!$AB$28)</f>
        <v/>
      </c>
      <c r="AD53" s="95">
        <f>IF('Final Calculation Sheet'!$AC$28="","",'Final Calculation Sheet'!$AC$28)</f>
        <v>31236</v>
      </c>
      <c r="AE53" s="95">
        <f>IF('Final Calculation Sheet'!$AD$28="","",'Final Calculation Sheet'!$AD$28)</f>
        <v>0</v>
      </c>
      <c r="AF53" s="95" t="str">
        <f>IF('Final Calculation Sheet'!$AE$28="","",'Final Calculation Sheet'!$AE$28)</f>
        <v>DR2640100043</v>
      </c>
      <c r="AG53" s="99">
        <f>IF('Final Calculation Sheet'!$AF$28="","",'Final Calculation Sheet'!$AF$28)</f>
        <v>1800003318</v>
      </c>
      <c r="AH53" s="95" t="str">
        <f>IF('Final Calculation Sheet'!$AG$28="","",'Final Calculation Sheet'!$AG$28)</f>
        <v>27.08.2026</v>
      </c>
      <c r="AI53" s="100" t="str">
        <f>IF('Final Calculation Sheet'!$AD$28="","",IF('Final Calculation Sheet'!$AD$28&lt;=5,"SETTLED","OUTSTANDING"))</f>
        <v>SETTLED</v>
      </c>
    </row>
    <row r="54" outlineLevel="1" ht="15" customHeight="1" s="137">
      <c r="A54" s="67" t="n">
        <v>3</v>
      </c>
      <c r="B54" s="76">
        <f>IF('Final Calculation Sheet'!$F$35="","",'Final Calculation Sheet'!$F$35)</f>
        <v>2067</v>
      </c>
      <c r="C54" s="76" t="str">
        <f>IF('Final Calculation Sheet'!$G$35="","",'Final Calculation Sheet'!$G$35)</f>
        <v>WATAN SCRAP TRADERS</v>
      </c>
      <c r="D54" s="80" t="str">
        <f>IF('Final Calculation Sheet'!$B$35="","",'Final Calculation Sheet'!$B$35)</f>
        <v>Scrap of empty oil drums</v>
      </c>
      <c r="E54" s="80">
        <f>IF('Final Calculation Sheet'!$D$35="","",'Final Calculation Sheet'!$D$35)</f>
        <v>21980</v>
      </c>
      <c r="F54" s="80">
        <f>IF('Final Calculation Sheet'!$A$35="","",'Final Calculation Sheet'!$A$35)</f>
        <v>150</v>
      </c>
      <c r="G54" s="80" t="str">
        <f>IF('Final Calculation Sheet'!$E$35="","",'Final Calculation Sheet'!$E$35)</f>
        <v>NO</v>
      </c>
      <c r="H54" s="70">
        <f>IF('Final Calculation Sheet'!$C$35="","",'Final Calculation Sheet'!$C$35)</f>
        <v>571</v>
      </c>
      <c r="I54" s="70">
        <f>IF('Final Calculation Sheet'!$H$35="","",'Final Calculation Sheet'!$H$35)</f>
        <v>85650</v>
      </c>
      <c r="J54" s="70">
        <f>IF('Final Calculation Sheet'!$I$35="","",'Final Calculation Sheet'!$I$35)</f>
        <v>15417</v>
      </c>
      <c r="K54" s="70">
        <f>IF('Final Calculation Sheet'!$J$35="","",'Final Calculation Sheet'!$J$35)</f>
        <v>101067</v>
      </c>
      <c r="L54" s="70">
        <f>IF('Final Calculation Sheet'!$K$35="","",'Final Calculation Sheet'!$K$35)</f>
        <v>2021</v>
      </c>
      <c r="M54" s="70">
        <f>IF('Final Calculation Sheet'!$L$35="","",'Final Calculation Sheet'!$L$35)</f>
        <v>85.65</v>
      </c>
      <c r="N54" s="70">
        <f>IF('Final Calculation Sheet'!$M$35="","",'Final Calculation Sheet'!$M$35)</f>
        <v>2274.0074999999997</v>
      </c>
      <c r="O54" s="71">
        <f>IF('Final Calculation Sheet'!$N$35="","",'Final Calculation Sheet'!$N$35)</f>
        <v>38.542500000000004</v>
      </c>
      <c r="P54" s="70">
        <f>IF('Final Calculation Sheet'!$O$35="","",'Final Calculation Sheet'!$O$35)</f>
        <v>2235.4649999999997</v>
      </c>
      <c r="Q54" s="70">
        <f>IF('Final Calculation Sheet'!$P$35="","",'Final Calculation Sheet'!$P$35)</f>
        <v>2321</v>
      </c>
      <c r="R54" s="72">
        <f>IF('Final Calculation Sheet'!$Q$35="","",'Final Calculation Sheet'!$Q$35)</f>
        <v>0</v>
      </c>
      <c r="S54" s="70">
        <f>IF('Final Calculation Sheet'!$R$35="","",'Final Calculation Sheet'!$R$35)</f>
        <v>0</v>
      </c>
      <c r="T54" s="70">
        <f>IF('Final Calculation Sheet'!$S$35="","",'Final Calculation Sheet'!$S$35)</f>
        <v>100767</v>
      </c>
      <c r="U54" s="70">
        <f>IF('Final Calculation Sheet'!$T$35="","",'Final Calculation Sheet'!$T$35)</f>
        <v>21413</v>
      </c>
      <c r="V54" s="73">
        <f>IF('Final Calculation Sheet'!$U$35="","",'Final Calculation Sheet'!$U$35)</f>
        <v>21413</v>
      </c>
      <c r="W54" s="70" t="str">
        <f>IF('Final Calculation Sheet'!$V$35="","",'Final Calculation Sheet'!$V$35)</f>
        <v>14.08.2026</v>
      </c>
      <c r="X54" s="70">
        <f>IF('Final Calculation Sheet'!$W$35="","",'Final Calculation Sheet'!$W$35)</f>
        <v>79355</v>
      </c>
      <c r="Y54" s="70">
        <f>IF('Final Calculation Sheet'!$X$35="","",'Final Calculation Sheet'!$X$35)</f>
        <v>79354</v>
      </c>
      <c r="Z54" s="70" t="str">
        <f>IF('Final Calculation Sheet'!$Y$35="","",'Final Calculation Sheet'!$Y$35)</f>
        <v>20.08.2026</v>
      </c>
      <c r="AA54" s="70">
        <f>IF('Final Calculation Sheet'!$Z$35="","",'Final Calculation Sheet'!$Z$35)</f>
        <v>0</v>
      </c>
      <c r="AB54" s="70" t="str">
        <f>IF('Final Calculation Sheet'!$AA$35="","",'Final Calculation Sheet'!$AA$35)</f>
        <v/>
      </c>
      <c r="AC54" s="70" t="str">
        <f>IF('Final Calculation Sheet'!$AB$35="","",'Final Calculation Sheet'!$AB$35)</f>
        <v/>
      </c>
      <c r="AD54" s="70">
        <f>IF('Final Calculation Sheet'!$AC$35="","",'Final Calculation Sheet'!$AC$35)</f>
        <v>100767</v>
      </c>
      <c r="AE54" s="70">
        <f>IF('Final Calculation Sheet'!$AD$35="","",'Final Calculation Sheet'!$AD$35)</f>
        <v>0</v>
      </c>
      <c r="AF54" s="70" t="str">
        <f>IF('Final Calculation Sheet'!$AE$35="","",'Final Calculation Sheet'!$AE$35)</f>
        <v>DR2640100027</v>
      </c>
      <c r="AG54" s="74">
        <f>IF('Final Calculation Sheet'!$AF$35="","",'Final Calculation Sheet'!$AF$35)</f>
        <v>1800003248</v>
      </c>
      <c r="AH54" s="70" t="str">
        <f>IF('Final Calculation Sheet'!$AG$35="","",'Final Calculation Sheet'!$AG$35)</f>
        <v>20.08.2026</v>
      </c>
      <c r="AI54" s="75" t="str">
        <f>IF('Final Calculation Sheet'!$AD$35="","",IF('Final Calculation Sheet'!$AD$35&lt;=5,"SETTLED","OUTSTANDING"))</f>
        <v>SETTLED</v>
      </c>
    </row>
    <row r="55" ht="15" customHeight="1" s="137">
      <c r="A55" s="81" t="inlineStr">
        <is>
          <t>∑</t>
        </is>
      </c>
      <c r="B55" s="83" t="n"/>
      <c r="C55" s="83" t="str">
        <f>ROWS($C$52:$C$54)&amp;" lot(s)"</f>
        <v>3 lot(s)</v>
      </c>
      <c r="D55" s="83" t="inlineStr">
        <is>
          <t>SUBTOTAL — WATAN SCRAP TRADERS</t>
        </is>
      </c>
      <c r="E55" s="83" t="inlineStr">
        <is>
          <t>–</t>
        </is>
      </c>
      <c r="F55" s="83">
        <f>SUM(F52:F54)</f>
        <v>1200</v>
      </c>
      <c r="G55" s="83" t="inlineStr">
        <is>
          <t>–</t>
        </is>
      </c>
      <c r="H55" s="84" t="inlineStr">
        <is>
          <t>–</t>
        </is>
      </c>
      <c r="I55" s="84">
        <f>SUM(I52:I54)</f>
        <v>629200</v>
      </c>
      <c r="J55" s="84">
        <f>SUM(J52:J54)</f>
        <v>113256</v>
      </c>
      <c r="K55" s="84">
        <f>SUM(K52:K54)</f>
        <v>742456</v>
      </c>
      <c r="L55" s="84">
        <f>SUM(L52:L54)</f>
        <v>14849</v>
      </c>
      <c r="M55" s="84">
        <f>SUM(M52:M54)</f>
        <v>629.19999999999993</v>
      </c>
      <c r="N55" s="84">
        <f>SUM(N52:N54)</f>
        <v>16705.259999999998</v>
      </c>
      <c r="O55" s="85">
        <f>SUM(O52:O54)</f>
        <v>283.14</v>
      </c>
      <c r="P55" s="84">
        <f>SUM(P52:P54)</f>
        <v>16422.12</v>
      </c>
      <c r="Q55" s="84">
        <f>SUM(Q52:Q54)</f>
        <v>17052</v>
      </c>
      <c r="R55" s="86" t="inlineStr">
        <is>
          <t>–</t>
        </is>
      </c>
      <c r="S55" s="84">
        <f>SUM(S52:S54)</f>
        <v>0</v>
      </c>
      <c r="T55" s="84">
        <f>SUM(T52:T54)</f>
        <v>740254</v>
      </c>
      <c r="U55" s="84">
        <f>SUM(U52:U54)</f>
        <v>157301</v>
      </c>
      <c r="V55" s="87">
        <f>SUM(V52:V54)</f>
        <v>157301</v>
      </c>
      <c r="W55" s="84" t="inlineStr">
        <is>
          <t>–</t>
        </is>
      </c>
      <c r="X55" s="84">
        <f>SUM(X52:X54)</f>
        <v>582955</v>
      </c>
      <c r="Y55" s="84">
        <f>SUM(Y52:Y54)</f>
        <v>582953</v>
      </c>
      <c r="Z55" s="84" t="inlineStr">
        <is>
          <t>–</t>
        </is>
      </c>
      <c r="AA55" s="84">
        <f>SUM(AA52:AA54)</f>
        <v>0</v>
      </c>
      <c r="AB55" s="84">
        <f>SUM(AB52:AB54)</f>
        <v>0</v>
      </c>
      <c r="AC55" s="84" t="inlineStr">
        <is>
          <t>–</t>
        </is>
      </c>
      <c r="AD55" s="84">
        <f>SUM(AD52:AD54)</f>
        <v>740254</v>
      </c>
      <c r="AE55" s="84">
        <f>SUM(AE52:AE54)</f>
        <v>0</v>
      </c>
      <c r="AF55" s="84" t="inlineStr">
        <is>
          <t>–</t>
        </is>
      </c>
      <c r="AG55" s="88" t="inlineStr">
        <is>
          <t>–</t>
        </is>
      </c>
      <c r="AH55" s="84" t="inlineStr">
        <is>
          <t>–</t>
        </is>
      </c>
      <c r="AI55" s="89" t="str">
        <f>IF(AE55&lt;=5,"SETTLED","OUTSTANDING")</f>
        <v>SETTLED</v>
      </c>
    </row>
    <row r="56" ht="15" customHeight="1" s="137">
      <c r="A56" s="101" t="inlineStr">
        <is>
          <t>∑</t>
        </is>
      </c>
      <c r="B56" s="102" t="n"/>
      <c r="C56" s="102" t="str">
        <f>COUNTA('Final Calculation Sheet'!$G$4:$G$40)&amp;" lot(s)"</f>
        <v>37 lot(s)</v>
      </c>
      <c r="D56" s="102" t="inlineStr">
        <is>
          <t>TOTAL — every buyer together</t>
        </is>
      </c>
      <c r="E56" s="102" t="inlineStr">
        <is>
          <t>–</t>
        </is>
      </c>
      <c r="F56" s="102">
        <f>SUM(F7,F10,F12,F14,F16,F30,F32,F35,F38,F40,F43,F51,F55)</f>
        <v>17157.2</v>
      </c>
      <c r="G56" s="102" t="inlineStr">
        <is>
          <t>–</t>
        </is>
      </c>
      <c r="H56" s="103" t="inlineStr">
        <is>
          <t>–</t>
        </is>
      </c>
      <c r="I56" s="103">
        <f>SUM(I7,I10,I12,I14,I16,I30,I32,I35,I38,I40,I43,I51,I55)</f>
        <v>15130598</v>
      </c>
      <c r="J56" s="103">
        <f>SUM(J7,J10,J12,J14,J16,J30,J32,J35,J38,J40,J43,J51,J55)</f>
        <v>2723508</v>
      </c>
      <c r="K56" s="103">
        <f>SUM(K7,K10,K12,K14,K16,K30,K32,K35,K38,K40,K43,K51,K55)</f>
        <v>17854106</v>
      </c>
      <c r="L56" s="103">
        <f>SUM(L7,L10,L12,L14,L16,L30,L32,L35,L38,L40,L43,L51,L55)</f>
        <v>357082</v>
      </c>
      <c r="M56" s="103">
        <f>SUM(M7,M10,M12,M14,M16,M30,M32,M35,M38,M40,M43,M51,M55)</f>
        <v>15130.598</v>
      </c>
      <c r="N56" s="103">
        <f>SUM(N7,N10,N12,N14,N16,N30,N32,N35,N38,N40,N43,N51,N55)</f>
        <v>401717.37690000003</v>
      </c>
      <c r="O56" s="104">
        <f>SUM(O7,O10,O12,O14,O16,O30,O32,O35,O38,O40,O43,O51,O55)</f>
        <v>6808.7690999999995</v>
      </c>
      <c r="P56" s="103">
        <f>SUM(P7,P10,P12,P14,P16,P30,P32,P35,P38,P40,P43,P51,P55)</f>
        <v>394908.6078</v>
      </c>
      <c r="Q56" s="103">
        <f>SUM(Q7,Q10,Q12,Q14,Q16,Q30,Q32,Q35,Q38,Q40,Q43,Q51,Q55)</f>
        <v>410039</v>
      </c>
      <c r="R56" s="105" t="inlineStr">
        <is>
          <t>–</t>
        </is>
      </c>
      <c r="S56" s="103">
        <f>SUM(S7,S10,S12,S14,S16,S30,S32,S35,S38,S40,S43,S51,S55)</f>
        <v>83029</v>
      </c>
      <c r="T56" s="103">
        <f>SUM(T7,T10,T12,T14,T16,T30,T32,T35,T38,T40,T43,T51,T55)</f>
        <v>17718123</v>
      </c>
      <c r="U56" s="103">
        <f>SUM(U7,U10,U12,U14,U16,U30,U32,U35,U38,U40,U43,U51,U55)</f>
        <v>3782654</v>
      </c>
      <c r="V56" s="106">
        <f>SUM(V7,V10,V12,V14,V16,V30,V32,V35,V38,V40,V43,V51,V55)</f>
        <v>3782654</v>
      </c>
      <c r="W56" s="103" t="inlineStr">
        <is>
          <t>–</t>
        </is>
      </c>
      <c r="X56" s="103">
        <f>SUM(X7,X10,X12,X14,X16,X30,X32,X35,X38,X40,X43,X51,X55)</f>
        <v>13935473</v>
      </c>
      <c r="Y56" s="103">
        <f>SUM(Y7,Y10,Y12,Y14,Y16,Y30,Y32,Y35,Y38,Y40,Y43,Y51,Y55)</f>
        <v>13137293</v>
      </c>
      <c r="Z56" s="103" t="inlineStr">
        <is>
          <t>–</t>
        </is>
      </c>
      <c r="AA56" s="103">
        <f>SUM(AA7,AA10,AA12,AA14,AA16,AA30,AA32,AA35,AA38,AA40,AA43,AA51,AA55)</f>
        <v>34459.067999999999</v>
      </c>
      <c r="AB56" s="103">
        <f>SUM(AB7,AB10,AB12,AB14,AB16,AB30,AB32,AB35,AB38,AB40,AB43,AB51,AB55)</f>
        <v>3540</v>
      </c>
      <c r="AC56" s="103" t="inlineStr">
        <is>
          <t>–</t>
        </is>
      </c>
      <c r="AD56" s="103">
        <f>SUM(AD7,AD10,AD12,AD14,AD16,AD30,AD32,AD35,AD38,AD40,AD43,AD51,AD55)</f>
        <v>16923487</v>
      </c>
      <c r="AE56" s="103">
        <f>SUM(AE7,AE10,AE12,AE14,AE16,AE30,AE32,AE35,AE38,AE40,AE43,AE51,AE55)</f>
        <v>794636.00000000047</v>
      </c>
      <c r="AF56" s="103" t="inlineStr">
        <is>
          <t>–</t>
        </is>
      </c>
      <c r="AG56" s="107" t="inlineStr">
        <is>
          <t>–</t>
        </is>
      </c>
      <c r="AH56" s="103" t="inlineStr">
        <is>
          <t>–</t>
        </is>
      </c>
      <c r="AI56" s="108" t="str">
        <f>IF(AE56&lt;=5,"SETTLED","OUTSTANDING")</f>
        <v>OUTSTANDING</v>
      </c>
    </row>
    <row r="57" ht="15" customHeight="1" s="137">
      <c r="A57" s="109" t="inlineStr">
        <is>
          <t>∑</t>
        </is>
      </c>
      <c r="B57" s="110" t="n"/>
      <c r="C57" s="110" t="str">
        <f>COUNTA('Final Calculation Sheet'!$G$4:$G$40)&amp;" lot(s)"</f>
        <v>37 lot(s)</v>
      </c>
      <c r="D57" s="110" t="inlineStr">
        <is>
          <t>GRAND TOTAL — cross-checked to source</t>
        </is>
      </c>
      <c r="E57" s="110" t="inlineStr">
        <is>
          <t>–</t>
        </is>
      </c>
      <c r="F57" s="110">
        <f>SUM('Final Calculation Sheet'!$A$4:$A$40)</f>
        <v>17157.2</v>
      </c>
      <c r="G57" s="110" t="inlineStr">
        <is>
          <t>–</t>
        </is>
      </c>
      <c r="H57" s="111" t="inlineStr">
        <is>
          <t>–</t>
        </is>
      </c>
      <c r="I57" s="111">
        <f>SUM('Final Calculation Sheet'!$H$4:$H$40)</f>
        <v>15130598</v>
      </c>
      <c r="J57" s="111">
        <f>SUM('Final Calculation Sheet'!$I$4:$I$40)</f>
        <v>2723508</v>
      </c>
      <c r="K57" s="111">
        <f>SUM('Final Calculation Sheet'!$J$4:$J$40)</f>
        <v>17854106</v>
      </c>
      <c r="L57" s="111">
        <f>SUM('Final Calculation Sheet'!$K$4:$K$40)</f>
        <v>357082</v>
      </c>
      <c r="M57" s="111">
        <f>SUM('Final Calculation Sheet'!$L$4:$L$40)</f>
        <v>15130.598000000002</v>
      </c>
      <c r="N57" s="111">
        <f>SUM('Final Calculation Sheet'!$M$4:$M$40)</f>
        <v>401717.37689999992</v>
      </c>
      <c r="O57" s="112">
        <f>SUM('Final Calculation Sheet'!$N$4:$N$40)</f>
        <v>6808.7690999999977</v>
      </c>
      <c r="P57" s="111">
        <f>SUM('Final Calculation Sheet'!$O$4:$O$40)</f>
        <v>394908.6078</v>
      </c>
      <c r="Q57" s="111">
        <f>SUM('Final Calculation Sheet'!$P$4:$P$40)</f>
        <v>410039</v>
      </c>
      <c r="R57" s="113" t="inlineStr">
        <is>
          <t>–</t>
        </is>
      </c>
      <c r="S57" s="111">
        <f>SUM('Final Calculation Sheet'!$R$4:$R$40)</f>
        <v>83029</v>
      </c>
      <c r="T57" s="111">
        <f>SUM('Final Calculation Sheet'!$S$4:$S$40)</f>
        <v>17718123</v>
      </c>
      <c r="U57" s="111">
        <f>SUM('Final Calculation Sheet'!$T$4:$T$40)</f>
        <v>3782654</v>
      </c>
      <c r="V57" s="114">
        <f>SUM('Final Calculation Sheet'!$U$4:$U$40)</f>
        <v>3782654</v>
      </c>
      <c r="W57" s="111" t="inlineStr">
        <is>
          <t>–</t>
        </is>
      </c>
      <c r="X57" s="111">
        <f>SUM('Final Calculation Sheet'!$W$4:$W$40)</f>
        <v>13935473</v>
      </c>
      <c r="Y57" s="111">
        <f>SUM('Final Calculation Sheet'!$X$4:$X$40)</f>
        <v>13137293</v>
      </c>
      <c r="Z57" s="111" t="inlineStr">
        <is>
          <t>–</t>
        </is>
      </c>
      <c r="AA57" s="111">
        <f>SUM('Final Calculation Sheet'!$Z$4:$Z$40)</f>
        <v>34459.067999999999</v>
      </c>
      <c r="AB57" s="111">
        <f>SUM('Final Calculation Sheet'!$AA$4:$AA$40)</f>
        <v>3540</v>
      </c>
      <c r="AC57" s="111" t="inlineStr">
        <is>
          <t>–</t>
        </is>
      </c>
      <c r="AD57" s="111">
        <f>SUM('Final Calculation Sheet'!$AC$4:$AC$40)</f>
        <v>16923487</v>
      </c>
      <c r="AE57" s="111">
        <f>SUM('Final Calculation Sheet'!$AD$4:$AD$40)</f>
        <v>794636.00000000047</v>
      </c>
      <c r="AF57" s="111" t="inlineStr">
        <is>
          <t>–</t>
        </is>
      </c>
      <c r="AG57" s="115" t="inlineStr">
        <is>
          <t>–</t>
        </is>
      </c>
      <c r="AH57" s="111" t="inlineStr">
        <is>
          <t>–</t>
        </is>
      </c>
      <c r="AI57" s="116" t="str">
        <f>IF(AE57&lt;=5,"SETTLED","OUTSTANDING")</f>
        <v>OUTSTANDING</v>
      </c>
    </row>
    <row r="59">
      <c r="A59" s="117" t="inlineStr">
        <is>
          <t>▸ MATCHED LOTS</t>
        </is>
      </c>
      <c r="B59" s="117" t="n"/>
      <c r="C59" s="117" t="str">
        <f>IF(COUNTIF($B$4:$AI$4,"&lt;&gt;")=0,"—",SUM($AJ$6:$AJ$42)&amp;" of 37")</f>
        <v>—</v>
      </c>
      <c r="D59" s="117" t="n"/>
      <c r="E59" s="117" t="inlineStr">
        <is>
          <t>live from SEARCH row ↑</t>
        </is>
      </c>
      <c r="F59" s="117" t="n"/>
      <c r="G59" s="117" t="n"/>
      <c r="H59" s="117" t="n"/>
      <c r="I59" s="117" t="n"/>
      <c r="J59" s="117" t="n"/>
      <c r="K59" s="117" t="n"/>
      <c r="L59" s="117" t="n"/>
      <c r="M59" s="117" t="n"/>
      <c r="N59" s="117" t="n"/>
      <c r="O59" s="117" t="n"/>
      <c r="P59" s="117" t="n"/>
      <c r="Q59" s="117" t="n"/>
      <c r="R59" s="117" t="n"/>
      <c r="S59" s="117" t="n"/>
      <c r="T59" s="117" t="n"/>
      <c r="U59" s="117" t="n"/>
      <c r="V59" s="117" t="n"/>
      <c r="W59" s="117" t="n"/>
      <c r="X59" s="117" t="n"/>
      <c r="Y59" s="117" t="n"/>
      <c r="Z59" s="117" t="n"/>
      <c r="AA59" s="117" t="n"/>
      <c r="AB59" s="117" t="n"/>
      <c r="AC59" s="117" t="n"/>
      <c r="AD59" s="117" t="n"/>
      <c r="AE59" s="117" t="n"/>
      <c r="AF59" s="117" t="n"/>
      <c r="AG59" s="117" t="n"/>
      <c r="AH59" s="117" t="n"/>
      <c r="AI59" s="117" t="n"/>
    </row>
    <row r="60">
      <c r="A60" s="118" t="str">
        <f>IF($AL$60="","",1)</f>
        <v/>
      </c>
      <c r="B60" s="119" t="str">
        <f>IF($AL$60="","",IF(INDEX('Final Calculation Sheet'!$F$4:$F$40,$AL$60)="","",INDEX('Final Calculation Sheet'!$F$4:$F$40,$AL$60)))</f>
        <v/>
      </c>
      <c r="C60" s="119" t="str">
        <f>IF($AL$60="","",IF(INDEX('Final Calculation Sheet'!$G$4:$G$40,$AL$60)="","",INDEX('Final Calculation Sheet'!$G$4:$G$40,$AL$60)))</f>
        <v/>
      </c>
      <c r="D60" s="120" t="str">
        <f>IF(COUNTIF($B$4:$AI$4,"&lt;&gt;")=0,"↑ Pick a value from any SEARCH dropdown (or type) — matching lots will list here",IF($AL60="","",IF(INDEX('Final Calculation Sheet'!$B$4:$B$40,$AL60)="","",INDEX('Final Calculation Sheet'!$B$4:$B$40,$AL60))))</f>
        <v>↑ Pick a value from any SEARCH dropdown (or type) — matching lots will list here</v>
      </c>
      <c r="E60" s="121" t="str">
        <f>IF($AL$60="","",IF(INDEX('Final Calculation Sheet'!$D$4:$D$40,$AL$60)="","",INDEX('Final Calculation Sheet'!$D$4:$D$40,$AL$60)))</f>
        <v/>
      </c>
      <c r="F60" s="121" t="str">
        <f>IF($AL$60="","",IF(INDEX('Final Calculation Sheet'!$A$4:$A$40,$AL$60)="","",INDEX('Final Calculation Sheet'!$A$4:$A$40,$AL$60)))</f>
        <v/>
      </c>
      <c r="G60" s="121" t="str">
        <f>IF($AL$60="","",IF(INDEX('Final Calculation Sheet'!$E$4:$E$40,$AL$60)="","",INDEX('Final Calculation Sheet'!$E$4:$E$40,$AL$60)))</f>
        <v/>
      </c>
      <c r="H60" s="122" t="str">
        <f>IF($AL$60="","",IF(INDEX('Final Calculation Sheet'!$C$4:$C$40,$AL$60)="","",INDEX('Final Calculation Sheet'!$C$4:$C$40,$AL$60)))</f>
        <v/>
      </c>
      <c r="I60" s="122" t="str">
        <f>IF($AL$60="","",IF(INDEX('Final Calculation Sheet'!$H$4:$H$40,$AL$60)="","",INDEX('Final Calculation Sheet'!$H$4:$H$40,$AL$60)))</f>
        <v/>
      </c>
      <c r="J60" s="122" t="str">
        <f>IF($AL$60="","",IF(INDEX('Final Calculation Sheet'!$I$4:$I$40,$AL$60)="","",INDEX('Final Calculation Sheet'!$I$4:$I$40,$AL$60)))</f>
        <v/>
      </c>
      <c r="K60" s="122" t="str">
        <f>IF($AL$60="","",IF(INDEX('Final Calculation Sheet'!$J$4:$J$40,$AL$60)="","",INDEX('Final Calculation Sheet'!$J$4:$J$40,$AL$60)))</f>
        <v/>
      </c>
      <c r="L60" s="122" t="str">
        <f>IF($AL$60="","",IF(INDEX('Final Calculation Sheet'!$K$4:$K$40,$AL$60)="","",INDEX('Final Calculation Sheet'!$K$4:$K$40,$AL$60)))</f>
        <v/>
      </c>
      <c r="M60" s="122" t="str">
        <f>IF($AL$60="","",IF(INDEX('Final Calculation Sheet'!$L$4:$L$40,$AL$60)="","",INDEX('Final Calculation Sheet'!$L$4:$L$40,$AL$60)))</f>
        <v/>
      </c>
      <c r="N60" s="122" t="str">
        <f>IF($AL$60="","",IF(INDEX('Final Calculation Sheet'!$M$4:$M$40,$AL$60)="","",INDEX('Final Calculation Sheet'!$M$4:$M$40,$AL$60)))</f>
        <v/>
      </c>
      <c r="O60" s="123" t="str">
        <f>IF($AL$60="","",IF(INDEX('Final Calculation Sheet'!$N$4:$N$40,$AL$60)="","",INDEX('Final Calculation Sheet'!$N$4:$N$40,$AL$60)))</f>
        <v/>
      </c>
      <c r="P60" s="122" t="str">
        <f>IF($AL$60="","",IF(INDEX('Final Calculation Sheet'!$O$4:$O$40,$AL$60)="","",INDEX('Final Calculation Sheet'!$O$4:$O$40,$AL$60)))</f>
        <v/>
      </c>
      <c r="Q60" s="122" t="str">
        <f>IF($AL$60="","",IF(INDEX('Final Calculation Sheet'!$P$4:$P$40,$AL$60)="","",INDEX('Final Calculation Sheet'!$P$4:$P$40,$AL$60)))</f>
        <v/>
      </c>
      <c r="R60" s="124" t="str">
        <f>IF($AL$60="","",IF(INDEX('Final Calculation Sheet'!$Q$4:$Q$40,$AL$60)="","",INDEX('Final Calculation Sheet'!$Q$4:$Q$40,$AL$60)))</f>
        <v/>
      </c>
      <c r="S60" s="122" t="str">
        <f>IF($AL$60="","",IF(INDEX('Final Calculation Sheet'!$R$4:$R$40,$AL$60)="","",INDEX('Final Calculation Sheet'!$R$4:$R$40,$AL$60)))</f>
        <v/>
      </c>
      <c r="T60" s="122" t="str">
        <f>IF($AL$60="","",IF(INDEX('Final Calculation Sheet'!$S$4:$S$40,$AL$60)="","",INDEX('Final Calculation Sheet'!$S$4:$S$40,$AL$60)))</f>
        <v/>
      </c>
      <c r="U60" s="122" t="str">
        <f>IF($AL$60="","",IF(INDEX('Final Calculation Sheet'!$T$4:$T$40,$AL$60)="","",INDEX('Final Calculation Sheet'!$T$4:$T$40,$AL$60)))</f>
        <v/>
      </c>
      <c r="V60" s="125" t="str">
        <f>IF($AL$60="","",IF(INDEX('Final Calculation Sheet'!$U$4:$U$40,$AL$60)="","",INDEX('Final Calculation Sheet'!$U$4:$U$40,$AL$60)))</f>
        <v/>
      </c>
      <c r="W60" s="122" t="str">
        <f>IF($AL$60="","",IF(INDEX('Final Calculation Sheet'!$V$4:$V$40,$AL$60)="","",INDEX('Final Calculation Sheet'!$V$4:$V$40,$AL$60)))</f>
        <v/>
      </c>
      <c r="X60" s="122" t="str">
        <f>IF($AL$60="","",IF(INDEX('Final Calculation Sheet'!$W$4:$W$40,$AL$60)="","",INDEX('Final Calculation Sheet'!$W$4:$W$40,$AL$60)))</f>
        <v/>
      </c>
      <c r="Y60" s="122" t="str">
        <f>IF($AL$60="","",IF(INDEX('Final Calculation Sheet'!$X$4:$X$40,$AL$60)="","",INDEX('Final Calculation Sheet'!$X$4:$X$40,$AL$60)))</f>
        <v/>
      </c>
      <c r="Z60" s="122" t="str">
        <f>IF($AL$60="","",IF(INDEX('Final Calculation Sheet'!$Y$4:$Y$40,$AL$60)="","",INDEX('Final Calculation Sheet'!$Y$4:$Y$40,$AL$60)))</f>
        <v/>
      </c>
      <c r="AA60" s="122" t="str">
        <f>IF($AL$60="","",IF(INDEX('Final Calculation Sheet'!$Z$4:$Z$40,$AL$60)="","",INDEX('Final Calculation Sheet'!$Z$4:$Z$40,$AL$60)))</f>
        <v/>
      </c>
      <c r="AB60" s="122" t="str">
        <f>IF($AL$60="","",IF(INDEX('Final Calculation Sheet'!$AA$4:$AA$40,$AL$60)="","",INDEX('Final Calculation Sheet'!$AA$4:$AA$40,$AL$60)))</f>
        <v/>
      </c>
      <c r="AC60" s="122" t="str">
        <f>IF($AL$60="","",IF(INDEX('Final Calculation Sheet'!$AB$4:$AB$40,$AL$60)="","",INDEX('Final Calculation Sheet'!$AB$4:$AB$40,$AL$60)))</f>
        <v/>
      </c>
      <c r="AD60" s="122" t="str">
        <f>IF($AL$60="","",IF(INDEX('Final Calculation Sheet'!$AC$4:$AC$40,$AL$60)="","",INDEX('Final Calculation Sheet'!$AC$4:$AC$40,$AL$60)))</f>
        <v/>
      </c>
      <c r="AE60" s="122" t="str">
        <f>IF($AL$60="","",IF(INDEX('Final Calculation Sheet'!$AD$4:$AD$40,$AL$60)="","",INDEX('Final Calculation Sheet'!$AD$4:$AD$40,$AL$60)))</f>
        <v/>
      </c>
      <c r="AF60" s="122" t="str">
        <f>IF($AL$60="","",IF(INDEX('Final Calculation Sheet'!$AE$4:$AE$40,$AL$60)="","",INDEX('Final Calculation Sheet'!$AE$4:$AE$40,$AL$60)))</f>
        <v/>
      </c>
      <c r="AG60" s="126" t="str">
        <f>IF($AL$60="","",IF(INDEX('Final Calculation Sheet'!$AF$4:$AF$40,$AL$60)="","",INDEX('Final Calculation Sheet'!$AF$4:$AF$40,$AL$60)))</f>
        <v/>
      </c>
      <c r="AH60" s="122" t="str">
        <f>IF($AL$60="","",IF(INDEX('Final Calculation Sheet'!$AG$4:$AG$40,$AL$60)="","",INDEX('Final Calculation Sheet'!$AG$4:$AG$40,$AL$60)))</f>
        <v/>
      </c>
      <c r="AI60" s="127" t="str">
        <f>IF($AL$60="","",IF(INDEX('Final Calculation Sheet'!$AD$4:$AD$40,$AL$60)&lt;=5,"SETTLED","OUTSTANDING"))</f>
        <v/>
      </c>
      <c r="AL60" t="str">
        <f>IF(COUNTIF($B$4:$AI$4,"&lt;&gt;")=0,"",IFERROR(MATCH(1,$AK$6:$AK$42,0),""))</f>
        <v/>
      </c>
    </row>
    <row r="61">
      <c r="A61" s="128" t="str">
        <f>IF($AL$61="","",2)</f>
        <v/>
      </c>
      <c r="B61" s="129" t="str">
        <f>IF($AL$61="","",IF(INDEX('Final Calculation Sheet'!$F$4:$F$40,$AL$61)="","",INDEX('Final Calculation Sheet'!$F$4:$F$40,$AL$61)))</f>
        <v/>
      </c>
      <c r="C61" s="129" t="str">
        <f>IF($AL$61="","",IF(INDEX('Final Calculation Sheet'!$G$4:$G$40,$AL$61)="","",INDEX('Final Calculation Sheet'!$G$4:$G$40,$AL$61)))</f>
        <v/>
      </c>
      <c r="D61" s="130" t="str">
        <f>IF($AL$61="","",IF(INDEX('Final Calculation Sheet'!$B$4:$B$40,$AL$61)="","",INDEX('Final Calculation Sheet'!$B$4:$B$40,$AL$61)))</f>
        <v/>
      </c>
      <c r="E61" s="130" t="str">
        <f>IF($AL$61="","",IF(INDEX('Final Calculation Sheet'!$D$4:$D$40,$AL$61)="","",INDEX('Final Calculation Sheet'!$D$4:$D$40,$AL$61)))</f>
        <v/>
      </c>
      <c r="F61" s="130" t="str">
        <f>IF($AL$61="","",IF(INDEX('Final Calculation Sheet'!$A$4:$A$40,$AL$61)="","",INDEX('Final Calculation Sheet'!$A$4:$A$40,$AL$61)))</f>
        <v/>
      </c>
      <c r="G61" s="130" t="str">
        <f>IF($AL$61="","",IF(INDEX('Final Calculation Sheet'!$E$4:$E$40,$AL$61)="","",INDEX('Final Calculation Sheet'!$E$4:$E$40,$AL$61)))</f>
        <v/>
      </c>
      <c r="H61" s="131" t="str">
        <f>IF($AL$61="","",IF(INDEX('Final Calculation Sheet'!$C$4:$C$40,$AL$61)="","",INDEX('Final Calculation Sheet'!$C$4:$C$40,$AL$61)))</f>
        <v/>
      </c>
      <c r="I61" s="131" t="str">
        <f>IF($AL$61="","",IF(INDEX('Final Calculation Sheet'!$H$4:$H$40,$AL$61)="","",INDEX('Final Calculation Sheet'!$H$4:$H$40,$AL$61)))</f>
        <v/>
      </c>
      <c r="J61" s="131" t="str">
        <f>IF($AL$61="","",IF(INDEX('Final Calculation Sheet'!$I$4:$I$40,$AL$61)="","",INDEX('Final Calculation Sheet'!$I$4:$I$40,$AL$61)))</f>
        <v/>
      </c>
      <c r="K61" s="131" t="str">
        <f>IF($AL$61="","",IF(INDEX('Final Calculation Sheet'!$J$4:$J$40,$AL$61)="","",INDEX('Final Calculation Sheet'!$J$4:$J$40,$AL$61)))</f>
        <v/>
      </c>
      <c r="L61" s="131" t="str">
        <f>IF($AL$61="","",IF(INDEX('Final Calculation Sheet'!$K$4:$K$40,$AL$61)="","",INDEX('Final Calculation Sheet'!$K$4:$K$40,$AL$61)))</f>
        <v/>
      </c>
      <c r="M61" s="131" t="str">
        <f>IF($AL$61="","",IF(INDEX('Final Calculation Sheet'!$L$4:$L$40,$AL$61)="","",INDEX('Final Calculation Sheet'!$L$4:$L$40,$AL$61)))</f>
        <v/>
      </c>
      <c r="N61" s="131" t="str">
        <f>IF($AL$61="","",IF(INDEX('Final Calculation Sheet'!$M$4:$M$40,$AL$61)="","",INDEX('Final Calculation Sheet'!$M$4:$M$40,$AL$61)))</f>
        <v/>
      </c>
      <c r="O61" s="132" t="str">
        <f>IF($AL$61="","",IF(INDEX('Final Calculation Sheet'!$N$4:$N$40,$AL$61)="","",INDEX('Final Calculation Sheet'!$N$4:$N$40,$AL$61)))</f>
        <v/>
      </c>
      <c r="P61" s="131" t="str">
        <f>IF($AL$61="","",IF(INDEX('Final Calculation Sheet'!$O$4:$O$40,$AL$61)="","",INDEX('Final Calculation Sheet'!$O$4:$O$40,$AL$61)))</f>
        <v/>
      </c>
      <c r="Q61" s="131" t="str">
        <f>IF($AL$61="","",IF(INDEX('Final Calculation Sheet'!$P$4:$P$40,$AL$61)="","",INDEX('Final Calculation Sheet'!$P$4:$P$40,$AL$61)))</f>
        <v/>
      </c>
      <c r="R61" s="133" t="str">
        <f>IF($AL$61="","",IF(INDEX('Final Calculation Sheet'!$Q$4:$Q$40,$AL$61)="","",INDEX('Final Calculation Sheet'!$Q$4:$Q$40,$AL$61)))</f>
        <v/>
      </c>
      <c r="S61" s="131" t="str">
        <f>IF($AL$61="","",IF(INDEX('Final Calculation Sheet'!$R$4:$R$40,$AL$61)="","",INDEX('Final Calculation Sheet'!$R$4:$R$40,$AL$61)))</f>
        <v/>
      </c>
      <c r="T61" s="131" t="str">
        <f>IF($AL$61="","",IF(INDEX('Final Calculation Sheet'!$S$4:$S$40,$AL$61)="","",INDEX('Final Calculation Sheet'!$S$4:$S$40,$AL$61)))</f>
        <v/>
      </c>
      <c r="U61" s="131" t="str">
        <f>IF($AL$61="","",IF(INDEX('Final Calculation Sheet'!$T$4:$T$40,$AL$61)="","",INDEX('Final Calculation Sheet'!$T$4:$T$40,$AL$61)))</f>
        <v/>
      </c>
      <c r="V61" s="134" t="str">
        <f>IF($AL$61="","",IF(INDEX('Final Calculation Sheet'!$U$4:$U$40,$AL$61)="","",INDEX('Final Calculation Sheet'!$U$4:$U$40,$AL$61)))</f>
        <v/>
      </c>
      <c r="W61" s="131" t="str">
        <f>IF($AL$61="","",IF(INDEX('Final Calculation Sheet'!$V$4:$V$40,$AL$61)="","",INDEX('Final Calculation Sheet'!$V$4:$V$40,$AL$61)))</f>
        <v/>
      </c>
      <c r="X61" s="131" t="str">
        <f>IF($AL$61="","",IF(INDEX('Final Calculation Sheet'!$W$4:$W$40,$AL$61)="","",INDEX('Final Calculation Sheet'!$W$4:$W$40,$AL$61)))</f>
        <v/>
      </c>
      <c r="Y61" s="131" t="str">
        <f>IF($AL$61="","",IF(INDEX('Final Calculation Sheet'!$X$4:$X$40,$AL$61)="","",INDEX('Final Calculation Sheet'!$X$4:$X$40,$AL$61)))</f>
        <v/>
      </c>
      <c r="Z61" s="131" t="str">
        <f>IF($AL$61="","",IF(INDEX('Final Calculation Sheet'!$Y$4:$Y$40,$AL$61)="","",INDEX('Final Calculation Sheet'!$Y$4:$Y$40,$AL$61)))</f>
        <v/>
      </c>
      <c r="AA61" s="131" t="str">
        <f>IF($AL$61="","",IF(INDEX('Final Calculation Sheet'!$Z$4:$Z$40,$AL$61)="","",INDEX('Final Calculation Sheet'!$Z$4:$Z$40,$AL$61)))</f>
        <v/>
      </c>
      <c r="AB61" s="131" t="str">
        <f>IF($AL$61="","",IF(INDEX('Final Calculation Sheet'!$AA$4:$AA$40,$AL$61)="","",INDEX('Final Calculation Sheet'!$AA$4:$AA$40,$AL$61)))</f>
        <v/>
      </c>
      <c r="AC61" s="131" t="str">
        <f>IF($AL$61="","",IF(INDEX('Final Calculation Sheet'!$AB$4:$AB$40,$AL$61)="","",INDEX('Final Calculation Sheet'!$AB$4:$AB$40,$AL$61)))</f>
        <v/>
      </c>
      <c r="AD61" s="131" t="str">
        <f>IF($AL$61="","",IF(INDEX('Final Calculation Sheet'!$AC$4:$AC$40,$AL$61)="","",INDEX('Final Calculation Sheet'!$AC$4:$AC$40,$AL$61)))</f>
        <v/>
      </c>
      <c r="AE61" s="131" t="str">
        <f>IF($AL$61="","",IF(INDEX('Final Calculation Sheet'!$AD$4:$AD$40,$AL$61)="","",INDEX('Final Calculation Sheet'!$AD$4:$AD$40,$AL$61)))</f>
        <v/>
      </c>
      <c r="AF61" s="131" t="str">
        <f>IF($AL$61="","",IF(INDEX('Final Calculation Sheet'!$AE$4:$AE$40,$AL$61)="","",INDEX('Final Calculation Sheet'!$AE$4:$AE$40,$AL$61)))</f>
        <v/>
      </c>
      <c r="AG61" s="135" t="str">
        <f>IF($AL$61="","",IF(INDEX('Final Calculation Sheet'!$AF$4:$AF$40,$AL$61)="","",INDEX('Final Calculation Sheet'!$AF$4:$AF$40,$AL$61)))</f>
        <v/>
      </c>
      <c r="AH61" s="131" t="str">
        <f>IF($AL$61="","",IF(INDEX('Final Calculation Sheet'!$AG$4:$AG$40,$AL$61)="","",INDEX('Final Calculation Sheet'!$AG$4:$AG$40,$AL$61)))</f>
        <v/>
      </c>
      <c r="AI61" s="136" t="str">
        <f>IF($AL$61="","",IF(INDEX('Final Calculation Sheet'!$AD$4:$AD$40,$AL$61)&lt;=5,"SETTLED","OUTSTANDING"))</f>
        <v/>
      </c>
      <c r="AL61" t="str">
        <f>IF(COUNTIF($B$4:$AI$4,"&lt;&gt;")=0,"",IFERROR(MATCH(2,$AK$6:$AK$42,0),""))</f>
        <v/>
      </c>
    </row>
    <row r="62">
      <c r="A62" s="118" t="str">
        <f>IF($AL$62="","",3)</f>
        <v/>
      </c>
      <c r="B62" s="119" t="str">
        <f>IF($AL$62="","",IF(INDEX('Final Calculation Sheet'!$F$4:$F$40,$AL$62)="","",INDEX('Final Calculation Sheet'!$F$4:$F$40,$AL$62)))</f>
        <v/>
      </c>
      <c r="C62" s="119" t="str">
        <f>IF($AL$62="","",IF(INDEX('Final Calculation Sheet'!$G$4:$G$40,$AL$62)="","",INDEX('Final Calculation Sheet'!$G$4:$G$40,$AL$62)))</f>
        <v/>
      </c>
      <c r="D62" s="121" t="str">
        <f>IF($AL$62="","",IF(INDEX('Final Calculation Sheet'!$B$4:$B$40,$AL$62)="","",INDEX('Final Calculation Sheet'!$B$4:$B$40,$AL$62)))</f>
        <v/>
      </c>
      <c r="E62" s="121" t="str">
        <f>IF($AL$62="","",IF(INDEX('Final Calculation Sheet'!$D$4:$D$40,$AL$62)="","",INDEX('Final Calculation Sheet'!$D$4:$D$40,$AL$62)))</f>
        <v/>
      </c>
      <c r="F62" s="121" t="str">
        <f>IF($AL$62="","",IF(INDEX('Final Calculation Sheet'!$A$4:$A$40,$AL$62)="","",INDEX('Final Calculation Sheet'!$A$4:$A$40,$AL$62)))</f>
        <v/>
      </c>
      <c r="G62" s="121" t="str">
        <f>IF($AL$62="","",IF(INDEX('Final Calculation Sheet'!$E$4:$E$40,$AL$62)="","",INDEX('Final Calculation Sheet'!$E$4:$E$40,$AL$62)))</f>
        <v/>
      </c>
      <c r="H62" s="122" t="str">
        <f>IF($AL$62="","",IF(INDEX('Final Calculation Sheet'!$C$4:$C$40,$AL$62)="","",INDEX('Final Calculation Sheet'!$C$4:$C$40,$AL$62)))</f>
        <v/>
      </c>
      <c r="I62" s="122" t="str">
        <f>IF($AL$62="","",IF(INDEX('Final Calculation Sheet'!$H$4:$H$40,$AL$62)="","",INDEX('Final Calculation Sheet'!$H$4:$H$40,$AL$62)))</f>
        <v/>
      </c>
      <c r="J62" s="122" t="str">
        <f>IF($AL$62="","",IF(INDEX('Final Calculation Sheet'!$I$4:$I$40,$AL$62)="","",INDEX('Final Calculation Sheet'!$I$4:$I$40,$AL$62)))</f>
        <v/>
      </c>
      <c r="K62" s="122" t="str">
        <f>IF($AL$62="","",IF(INDEX('Final Calculation Sheet'!$J$4:$J$40,$AL$62)="","",INDEX('Final Calculation Sheet'!$J$4:$J$40,$AL$62)))</f>
        <v/>
      </c>
      <c r="L62" s="122" t="str">
        <f>IF($AL$62="","",IF(INDEX('Final Calculation Sheet'!$K$4:$K$40,$AL$62)="","",INDEX('Final Calculation Sheet'!$K$4:$K$40,$AL$62)))</f>
        <v/>
      </c>
      <c r="M62" s="122" t="str">
        <f>IF($AL$62="","",IF(INDEX('Final Calculation Sheet'!$L$4:$L$40,$AL$62)="","",INDEX('Final Calculation Sheet'!$L$4:$L$40,$AL$62)))</f>
        <v/>
      </c>
      <c r="N62" s="122" t="str">
        <f>IF($AL$62="","",IF(INDEX('Final Calculation Sheet'!$M$4:$M$40,$AL$62)="","",INDEX('Final Calculation Sheet'!$M$4:$M$40,$AL$62)))</f>
        <v/>
      </c>
      <c r="O62" s="123" t="str">
        <f>IF($AL$62="","",IF(INDEX('Final Calculation Sheet'!$N$4:$N$40,$AL$62)="","",INDEX('Final Calculation Sheet'!$N$4:$N$40,$AL$62)))</f>
        <v/>
      </c>
      <c r="P62" s="122" t="str">
        <f>IF($AL$62="","",IF(INDEX('Final Calculation Sheet'!$O$4:$O$40,$AL$62)="","",INDEX('Final Calculation Sheet'!$O$4:$O$40,$AL$62)))</f>
        <v/>
      </c>
      <c r="Q62" s="122" t="str">
        <f>IF($AL$62="","",IF(INDEX('Final Calculation Sheet'!$P$4:$P$40,$AL$62)="","",INDEX('Final Calculation Sheet'!$P$4:$P$40,$AL$62)))</f>
        <v/>
      </c>
      <c r="R62" s="124" t="str">
        <f>IF($AL$62="","",IF(INDEX('Final Calculation Sheet'!$Q$4:$Q$40,$AL$62)="","",INDEX('Final Calculation Sheet'!$Q$4:$Q$40,$AL$62)))</f>
        <v/>
      </c>
      <c r="S62" s="122" t="str">
        <f>IF($AL$62="","",IF(INDEX('Final Calculation Sheet'!$R$4:$R$40,$AL$62)="","",INDEX('Final Calculation Sheet'!$R$4:$R$40,$AL$62)))</f>
        <v/>
      </c>
      <c r="T62" s="122" t="str">
        <f>IF($AL$62="","",IF(INDEX('Final Calculation Sheet'!$S$4:$S$40,$AL$62)="","",INDEX('Final Calculation Sheet'!$S$4:$S$40,$AL$62)))</f>
        <v/>
      </c>
      <c r="U62" s="122" t="str">
        <f>IF($AL$62="","",IF(INDEX('Final Calculation Sheet'!$T$4:$T$40,$AL$62)="","",INDEX('Final Calculation Sheet'!$T$4:$T$40,$AL$62)))</f>
        <v/>
      </c>
      <c r="V62" s="125" t="str">
        <f>IF($AL$62="","",IF(INDEX('Final Calculation Sheet'!$U$4:$U$40,$AL$62)="","",INDEX('Final Calculation Sheet'!$U$4:$U$40,$AL$62)))</f>
        <v/>
      </c>
      <c r="W62" s="122" t="str">
        <f>IF($AL$62="","",IF(INDEX('Final Calculation Sheet'!$V$4:$V$40,$AL$62)="","",INDEX('Final Calculation Sheet'!$V$4:$V$40,$AL$62)))</f>
        <v/>
      </c>
      <c r="X62" s="122" t="str">
        <f>IF($AL$62="","",IF(INDEX('Final Calculation Sheet'!$W$4:$W$40,$AL$62)="","",INDEX('Final Calculation Sheet'!$W$4:$W$40,$AL$62)))</f>
        <v/>
      </c>
      <c r="Y62" s="122" t="str">
        <f>IF($AL$62="","",IF(INDEX('Final Calculation Sheet'!$X$4:$X$40,$AL$62)="","",INDEX('Final Calculation Sheet'!$X$4:$X$40,$AL$62)))</f>
        <v/>
      </c>
      <c r="Z62" s="122" t="str">
        <f>IF($AL$62="","",IF(INDEX('Final Calculation Sheet'!$Y$4:$Y$40,$AL$62)="","",INDEX('Final Calculation Sheet'!$Y$4:$Y$40,$AL$62)))</f>
        <v/>
      </c>
      <c r="AA62" s="122" t="str">
        <f>IF($AL$62="","",IF(INDEX('Final Calculation Sheet'!$Z$4:$Z$40,$AL$62)="","",INDEX('Final Calculation Sheet'!$Z$4:$Z$40,$AL$62)))</f>
        <v/>
      </c>
      <c r="AB62" s="122" t="str">
        <f>IF($AL$62="","",IF(INDEX('Final Calculation Sheet'!$AA$4:$AA$40,$AL$62)="","",INDEX('Final Calculation Sheet'!$AA$4:$AA$40,$AL$62)))</f>
        <v/>
      </c>
      <c r="AC62" s="122" t="str">
        <f>IF($AL$62="","",IF(INDEX('Final Calculation Sheet'!$AB$4:$AB$40,$AL$62)="","",INDEX('Final Calculation Sheet'!$AB$4:$AB$40,$AL$62)))</f>
        <v/>
      </c>
      <c r="AD62" s="122" t="str">
        <f>IF($AL$62="","",IF(INDEX('Final Calculation Sheet'!$AC$4:$AC$40,$AL$62)="","",INDEX('Final Calculation Sheet'!$AC$4:$AC$40,$AL$62)))</f>
        <v/>
      </c>
      <c r="AE62" s="122" t="str">
        <f>IF($AL$62="","",IF(INDEX('Final Calculation Sheet'!$AD$4:$AD$40,$AL$62)="","",INDEX('Final Calculation Sheet'!$AD$4:$AD$40,$AL$62)))</f>
        <v/>
      </c>
      <c r="AF62" s="122" t="str">
        <f>IF($AL$62="","",IF(INDEX('Final Calculation Sheet'!$AE$4:$AE$40,$AL$62)="","",INDEX('Final Calculation Sheet'!$AE$4:$AE$40,$AL$62)))</f>
        <v/>
      </c>
      <c r="AG62" s="126" t="str">
        <f>IF($AL$62="","",IF(INDEX('Final Calculation Sheet'!$AF$4:$AF$40,$AL$62)="","",INDEX('Final Calculation Sheet'!$AF$4:$AF$40,$AL$62)))</f>
        <v/>
      </c>
      <c r="AH62" s="122" t="str">
        <f>IF($AL$62="","",IF(INDEX('Final Calculation Sheet'!$AG$4:$AG$40,$AL$62)="","",INDEX('Final Calculation Sheet'!$AG$4:$AG$40,$AL$62)))</f>
        <v/>
      </c>
      <c r="AI62" s="127" t="str">
        <f>IF($AL$62="","",IF(INDEX('Final Calculation Sheet'!$AD$4:$AD$40,$AL$62)&lt;=5,"SETTLED","OUTSTANDING"))</f>
        <v/>
      </c>
      <c r="AL62" t="str">
        <f>IF(COUNTIF($B$4:$AI$4,"&lt;&gt;")=0,"",IFERROR(MATCH(3,$AK$6:$AK$42,0),""))</f>
        <v/>
      </c>
    </row>
    <row r="63">
      <c r="A63" s="128" t="str">
        <f>IF($AL$63="","",4)</f>
        <v/>
      </c>
      <c r="B63" s="129" t="str">
        <f>IF($AL$63="","",IF(INDEX('Final Calculation Sheet'!$F$4:$F$40,$AL$63)="","",INDEX('Final Calculation Sheet'!$F$4:$F$40,$AL$63)))</f>
        <v/>
      </c>
      <c r="C63" s="129" t="str">
        <f>IF($AL$63="","",IF(INDEX('Final Calculation Sheet'!$G$4:$G$40,$AL$63)="","",INDEX('Final Calculation Sheet'!$G$4:$G$40,$AL$63)))</f>
        <v/>
      </c>
      <c r="D63" s="130" t="str">
        <f>IF($AL$63="","",IF(INDEX('Final Calculation Sheet'!$B$4:$B$40,$AL$63)="","",INDEX('Final Calculation Sheet'!$B$4:$B$40,$AL$63)))</f>
        <v/>
      </c>
      <c r="E63" s="130" t="str">
        <f>IF($AL$63="","",IF(INDEX('Final Calculation Sheet'!$D$4:$D$40,$AL$63)="","",INDEX('Final Calculation Sheet'!$D$4:$D$40,$AL$63)))</f>
        <v/>
      </c>
      <c r="F63" s="130" t="str">
        <f>IF($AL$63="","",IF(INDEX('Final Calculation Sheet'!$A$4:$A$40,$AL$63)="","",INDEX('Final Calculation Sheet'!$A$4:$A$40,$AL$63)))</f>
        <v/>
      </c>
      <c r="G63" s="130" t="str">
        <f>IF($AL$63="","",IF(INDEX('Final Calculation Sheet'!$E$4:$E$40,$AL$63)="","",INDEX('Final Calculation Sheet'!$E$4:$E$40,$AL$63)))</f>
        <v/>
      </c>
      <c r="H63" s="131" t="str">
        <f>IF($AL$63="","",IF(INDEX('Final Calculation Sheet'!$C$4:$C$40,$AL$63)="","",INDEX('Final Calculation Sheet'!$C$4:$C$40,$AL$63)))</f>
        <v/>
      </c>
      <c r="I63" s="131" t="str">
        <f>IF($AL$63="","",IF(INDEX('Final Calculation Sheet'!$H$4:$H$40,$AL$63)="","",INDEX('Final Calculation Sheet'!$H$4:$H$40,$AL$63)))</f>
        <v/>
      </c>
      <c r="J63" s="131" t="str">
        <f>IF($AL$63="","",IF(INDEX('Final Calculation Sheet'!$I$4:$I$40,$AL$63)="","",INDEX('Final Calculation Sheet'!$I$4:$I$40,$AL$63)))</f>
        <v/>
      </c>
      <c r="K63" s="131" t="str">
        <f>IF($AL$63="","",IF(INDEX('Final Calculation Sheet'!$J$4:$J$40,$AL$63)="","",INDEX('Final Calculation Sheet'!$J$4:$J$40,$AL$63)))</f>
        <v/>
      </c>
      <c r="L63" s="131" t="str">
        <f>IF($AL$63="","",IF(INDEX('Final Calculation Sheet'!$K$4:$K$40,$AL$63)="","",INDEX('Final Calculation Sheet'!$K$4:$K$40,$AL$63)))</f>
        <v/>
      </c>
      <c r="M63" s="131" t="str">
        <f>IF($AL$63="","",IF(INDEX('Final Calculation Sheet'!$L$4:$L$40,$AL$63)="","",INDEX('Final Calculation Sheet'!$L$4:$L$40,$AL$63)))</f>
        <v/>
      </c>
      <c r="N63" s="131" t="str">
        <f>IF($AL$63="","",IF(INDEX('Final Calculation Sheet'!$M$4:$M$40,$AL$63)="","",INDEX('Final Calculation Sheet'!$M$4:$M$40,$AL$63)))</f>
        <v/>
      </c>
      <c r="O63" s="132" t="str">
        <f>IF($AL$63="","",IF(INDEX('Final Calculation Sheet'!$N$4:$N$40,$AL$63)="","",INDEX('Final Calculation Sheet'!$N$4:$N$40,$AL$63)))</f>
        <v/>
      </c>
      <c r="P63" s="131" t="str">
        <f>IF($AL$63="","",IF(INDEX('Final Calculation Sheet'!$O$4:$O$40,$AL$63)="","",INDEX('Final Calculation Sheet'!$O$4:$O$40,$AL$63)))</f>
        <v/>
      </c>
      <c r="Q63" s="131" t="str">
        <f>IF($AL$63="","",IF(INDEX('Final Calculation Sheet'!$P$4:$P$40,$AL$63)="","",INDEX('Final Calculation Sheet'!$P$4:$P$40,$AL$63)))</f>
        <v/>
      </c>
      <c r="R63" s="133" t="str">
        <f>IF($AL$63="","",IF(INDEX('Final Calculation Sheet'!$Q$4:$Q$40,$AL$63)="","",INDEX('Final Calculation Sheet'!$Q$4:$Q$40,$AL$63)))</f>
        <v/>
      </c>
      <c r="S63" s="131" t="str">
        <f>IF($AL$63="","",IF(INDEX('Final Calculation Sheet'!$R$4:$R$40,$AL$63)="","",INDEX('Final Calculation Sheet'!$R$4:$R$40,$AL$63)))</f>
        <v/>
      </c>
      <c r="T63" s="131" t="str">
        <f>IF($AL$63="","",IF(INDEX('Final Calculation Sheet'!$S$4:$S$40,$AL$63)="","",INDEX('Final Calculation Sheet'!$S$4:$S$40,$AL$63)))</f>
        <v/>
      </c>
      <c r="U63" s="131" t="str">
        <f>IF($AL$63="","",IF(INDEX('Final Calculation Sheet'!$T$4:$T$40,$AL$63)="","",INDEX('Final Calculation Sheet'!$T$4:$T$40,$AL$63)))</f>
        <v/>
      </c>
      <c r="V63" s="134" t="str">
        <f>IF($AL$63="","",IF(INDEX('Final Calculation Sheet'!$U$4:$U$40,$AL$63)="","",INDEX('Final Calculation Sheet'!$U$4:$U$40,$AL$63)))</f>
        <v/>
      </c>
      <c r="W63" s="131" t="str">
        <f>IF($AL$63="","",IF(INDEX('Final Calculation Sheet'!$V$4:$V$40,$AL$63)="","",INDEX('Final Calculation Sheet'!$V$4:$V$40,$AL$63)))</f>
        <v/>
      </c>
      <c r="X63" s="131" t="str">
        <f>IF($AL$63="","",IF(INDEX('Final Calculation Sheet'!$W$4:$W$40,$AL$63)="","",INDEX('Final Calculation Sheet'!$W$4:$W$40,$AL$63)))</f>
        <v/>
      </c>
      <c r="Y63" s="131" t="str">
        <f>IF($AL$63="","",IF(INDEX('Final Calculation Sheet'!$X$4:$X$40,$AL$63)="","",INDEX('Final Calculation Sheet'!$X$4:$X$40,$AL$63)))</f>
        <v/>
      </c>
      <c r="Z63" s="131" t="str">
        <f>IF($AL$63="","",IF(INDEX('Final Calculation Sheet'!$Y$4:$Y$40,$AL$63)="","",INDEX('Final Calculation Sheet'!$Y$4:$Y$40,$AL$63)))</f>
        <v/>
      </c>
      <c r="AA63" s="131" t="str">
        <f>IF($AL$63="","",IF(INDEX('Final Calculation Sheet'!$Z$4:$Z$40,$AL$63)="","",INDEX('Final Calculation Sheet'!$Z$4:$Z$40,$AL$63)))</f>
        <v/>
      </c>
      <c r="AB63" s="131" t="str">
        <f>IF($AL$63="","",IF(INDEX('Final Calculation Sheet'!$AA$4:$AA$40,$AL$63)="","",INDEX('Final Calculation Sheet'!$AA$4:$AA$40,$AL$63)))</f>
        <v/>
      </c>
      <c r="AC63" s="131" t="str">
        <f>IF($AL$63="","",IF(INDEX('Final Calculation Sheet'!$AB$4:$AB$40,$AL$63)="","",INDEX('Final Calculation Sheet'!$AB$4:$AB$40,$AL$63)))</f>
        <v/>
      </c>
      <c r="AD63" s="131" t="str">
        <f>IF($AL$63="","",IF(INDEX('Final Calculation Sheet'!$AC$4:$AC$40,$AL$63)="","",INDEX('Final Calculation Sheet'!$AC$4:$AC$40,$AL$63)))</f>
        <v/>
      </c>
      <c r="AE63" s="131" t="str">
        <f>IF($AL$63="","",IF(INDEX('Final Calculation Sheet'!$AD$4:$AD$40,$AL$63)="","",INDEX('Final Calculation Sheet'!$AD$4:$AD$40,$AL$63)))</f>
        <v/>
      </c>
      <c r="AF63" s="131" t="str">
        <f>IF($AL$63="","",IF(INDEX('Final Calculation Sheet'!$AE$4:$AE$40,$AL$63)="","",INDEX('Final Calculation Sheet'!$AE$4:$AE$40,$AL$63)))</f>
        <v/>
      </c>
      <c r="AG63" s="135" t="str">
        <f>IF($AL$63="","",IF(INDEX('Final Calculation Sheet'!$AF$4:$AF$40,$AL$63)="","",INDEX('Final Calculation Sheet'!$AF$4:$AF$40,$AL$63)))</f>
        <v/>
      </c>
      <c r="AH63" s="131" t="str">
        <f>IF($AL$63="","",IF(INDEX('Final Calculation Sheet'!$AG$4:$AG$40,$AL$63)="","",INDEX('Final Calculation Sheet'!$AG$4:$AG$40,$AL$63)))</f>
        <v/>
      </c>
      <c r="AI63" s="136" t="str">
        <f>IF($AL$63="","",IF(INDEX('Final Calculation Sheet'!$AD$4:$AD$40,$AL$63)&lt;=5,"SETTLED","OUTSTANDING"))</f>
        <v/>
      </c>
      <c r="AL63" t="str">
        <f>IF(COUNTIF($B$4:$AI$4,"&lt;&gt;")=0,"",IFERROR(MATCH(4,$AK$6:$AK$42,0),""))</f>
        <v/>
      </c>
    </row>
    <row r="64">
      <c r="A64" s="118" t="str">
        <f>IF($AL$64="","",5)</f>
        <v/>
      </c>
      <c r="B64" s="119" t="str">
        <f>IF($AL$64="","",IF(INDEX('Final Calculation Sheet'!$F$4:$F$40,$AL$64)="","",INDEX('Final Calculation Sheet'!$F$4:$F$40,$AL$64)))</f>
        <v/>
      </c>
      <c r="C64" s="119" t="str">
        <f>IF($AL$64="","",IF(INDEX('Final Calculation Sheet'!$G$4:$G$40,$AL$64)="","",INDEX('Final Calculation Sheet'!$G$4:$G$40,$AL$64)))</f>
        <v/>
      </c>
      <c r="D64" s="121" t="str">
        <f>IF($AL$64="","",IF(INDEX('Final Calculation Sheet'!$B$4:$B$40,$AL$64)="","",INDEX('Final Calculation Sheet'!$B$4:$B$40,$AL$64)))</f>
        <v/>
      </c>
      <c r="E64" s="121" t="str">
        <f>IF($AL$64="","",IF(INDEX('Final Calculation Sheet'!$D$4:$D$40,$AL$64)="","",INDEX('Final Calculation Sheet'!$D$4:$D$40,$AL$64)))</f>
        <v/>
      </c>
      <c r="F64" s="121" t="str">
        <f>IF($AL$64="","",IF(INDEX('Final Calculation Sheet'!$A$4:$A$40,$AL$64)="","",INDEX('Final Calculation Sheet'!$A$4:$A$40,$AL$64)))</f>
        <v/>
      </c>
      <c r="G64" s="121" t="str">
        <f>IF($AL$64="","",IF(INDEX('Final Calculation Sheet'!$E$4:$E$40,$AL$64)="","",INDEX('Final Calculation Sheet'!$E$4:$E$40,$AL$64)))</f>
        <v/>
      </c>
      <c r="H64" s="122" t="str">
        <f>IF($AL$64="","",IF(INDEX('Final Calculation Sheet'!$C$4:$C$40,$AL$64)="","",INDEX('Final Calculation Sheet'!$C$4:$C$40,$AL$64)))</f>
        <v/>
      </c>
      <c r="I64" s="122" t="str">
        <f>IF($AL$64="","",IF(INDEX('Final Calculation Sheet'!$H$4:$H$40,$AL$64)="","",INDEX('Final Calculation Sheet'!$H$4:$H$40,$AL$64)))</f>
        <v/>
      </c>
      <c r="J64" s="122" t="str">
        <f>IF($AL$64="","",IF(INDEX('Final Calculation Sheet'!$I$4:$I$40,$AL$64)="","",INDEX('Final Calculation Sheet'!$I$4:$I$40,$AL$64)))</f>
        <v/>
      </c>
      <c r="K64" s="122" t="str">
        <f>IF($AL$64="","",IF(INDEX('Final Calculation Sheet'!$J$4:$J$40,$AL$64)="","",INDEX('Final Calculation Sheet'!$J$4:$J$40,$AL$64)))</f>
        <v/>
      </c>
      <c r="L64" s="122" t="str">
        <f>IF($AL$64="","",IF(INDEX('Final Calculation Sheet'!$K$4:$K$40,$AL$64)="","",INDEX('Final Calculation Sheet'!$K$4:$K$40,$AL$64)))</f>
        <v/>
      </c>
      <c r="M64" s="122" t="str">
        <f>IF($AL$64="","",IF(INDEX('Final Calculation Sheet'!$L$4:$L$40,$AL$64)="","",INDEX('Final Calculation Sheet'!$L$4:$L$40,$AL$64)))</f>
        <v/>
      </c>
      <c r="N64" s="122" t="str">
        <f>IF($AL$64="","",IF(INDEX('Final Calculation Sheet'!$M$4:$M$40,$AL$64)="","",INDEX('Final Calculation Sheet'!$M$4:$M$40,$AL$64)))</f>
        <v/>
      </c>
      <c r="O64" s="123" t="str">
        <f>IF($AL$64="","",IF(INDEX('Final Calculation Sheet'!$N$4:$N$40,$AL$64)="","",INDEX('Final Calculation Sheet'!$N$4:$N$40,$AL$64)))</f>
        <v/>
      </c>
      <c r="P64" s="122" t="str">
        <f>IF($AL$64="","",IF(INDEX('Final Calculation Sheet'!$O$4:$O$40,$AL$64)="","",INDEX('Final Calculation Sheet'!$O$4:$O$40,$AL$64)))</f>
        <v/>
      </c>
      <c r="Q64" s="122" t="str">
        <f>IF($AL$64="","",IF(INDEX('Final Calculation Sheet'!$P$4:$P$40,$AL$64)="","",INDEX('Final Calculation Sheet'!$P$4:$P$40,$AL$64)))</f>
        <v/>
      </c>
      <c r="R64" s="124" t="str">
        <f>IF($AL$64="","",IF(INDEX('Final Calculation Sheet'!$Q$4:$Q$40,$AL$64)="","",INDEX('Final Calculation Sheet'!$Q$4:$Q$40,$AL$64)))</f>
        <v/>
      </c>
      <c r="S64" s="122" t="str">
        <f>IF($AL$64="","",IF(INDEX('Final Calculation Sheet'!$R$4:$R$40,$AL$64)="","",INDEX('Final Calculation Sheet'!$R$4:$R$40,$AL$64)))</f>
        <v/>
      </c>
      <c r="T64" s="122" t="str">
        <f>IF($AL$64="","",IF(INDEX('Final Calculation Sheet'!$S$4:$S$40,$AL$64)="","",INDEX('Final Calculation Sheet'!$S$4:$S$40,$AL$64)))</f>
        <v/>
      </c>
      <c r="U64" s="122" t="str">
        <f>IF($AL$64="","",IF(INDEX('Final Calculation Sheet'!$T$4:$T$40,$AL$64)="","",INDEX('Final Calculation Sheet'!$T$4:$T$40,$AL$64)))</f>
        <v/>
      </c>
      <c r="V64" s="125" t="str">
        <f>IF($AL$64="","",IF(INDEX('Final Calculation Sheet'!$U$4:$U$40,$AL$64)="","",INDEX('Final Calculation Sheet'!$U$4:$U$40,$AL$64)))</f>
        <v/>
      </c>
      <c r="W64" s="122" t="str">
        <f>IF($AL$64="","",IF(INDEX('Final Calculation Sheet'!$V$4:$V$40,$AL$64)="","",INDEX('Final Calculation Sheet'!$V$4:$V$40,$AL$64)))</f>
        <v/>
      </c>
      <c r="X64" s="122" t="str">
        <f>IF($AL$64="","",IF(INDEX('Final Calculation Sheet'!$W$4:$W$40,$AL$64)="","",INDEX('Final Calculation Sheet'!$W$4:$W$40,$AL$64)))</f>
        <v/>
      </c>
      <c r="Y64" s="122" t="str">
        <f>IF($AL$64="","",IF(INDEX('Final Calculation Sheet'!$X$4:$X$40,$AL$64)="","",INDEX('Final Calculation Sheet'!$X$4:$X$40,$AL$64)))</f>
        <v/>
      </c>
      <c r="Z64" s="122" t="str">
        <f>IF($AL$64="","",IF(INDEX('Final Calculation Sheet'!$Y$4:$Y$40,$AL$64)="","",INDEX('Final Calculation Sheet'!$Y$4:$Y$40,$AL$64)))</f>
        <v/>
      </c>
      <c r="AA64" s="122" t="str">
        <f>IF($AL$64="","",IF(INDEX('Final Calculation Sheet'!$Z$4:$Z$40,$AL$64)="","",INDEX('Final Calculation Sheet'!$Z$4:$Z$40,$AL$64)))</f>
        <v/>
      </c>
      <c r="AB64" s="122" t="str">
        <f>IF($AL$64="","",IF(INDEX('Final Calculation Sheet'!$AA$4:$AA$40,$AL$64)="","",INDEX('Final Calculation Sheet'!$AA$4:$AA$40,$AL$64)))</f>
        <v/>
      </c>
      <c r="AC64" s="122" t="str">
        <f>IF($AL$64="","",IF(INDEX('Final Calculation Sheet'!$AB$4:$AB$40,$AL$64)="","",INDEX('Final Calculation Sheet'!$AB$4:$AB$40,$AL$64)))</f>
        <v/>
      </c>
      <c r="AD64" s="122" t="str">
        <f>IF($AL$64="","",IF(INDEX('Final Calculation Sheet'!$AC$4:$AC$40,$AL$64)="","",INDEX('Final Calculation Sheet'!$AC$4:$AC$40,$AL$64)))</f>
        <v/>
      </c>
      <c r="AE64" s="122" t="str">
        <f>IF($AL$64="","",IF(INDEX('Final Calculation Sheet'!$AD$4:$AD$40,$AL$64)="","",INDEX('Final Calculation Sheet'!$AD$4:$AD$40,$AL$64)))</f>
        <v/>
      </c>
      <c r="AF64" s="122" t="str">
        <f>IF($AL$64="","",IF(INDEX('Final Calculation Sheet'!$AE$4:$AE$40,$AL$64)="","",INDEX('Final Calculation Sheet'!$AE$4:$AE$40,$AL$64)))</f>
        <v/>
      </c>
      <c r="AG64" s="126" t="str">
        <f>IF($AL$64="","",IF(INDEX('Final Calculation Sheet'!$AF$4:$AF$40,$AL$64)="","",INDEX('Final Calculation Sheet'!$AF$4:$AF$40,$AL$64)))</f>
        <v/>
      </c>
      <c r="AH64" s="122" t="str">
        <f>IF($AL$64="","",IF(INDEX('Final Calculation Sheet'!$AG$4:$AG$40,$AL$64)="","",INDEX('Final Calculation Sheet'!$AG$4:$AG$40,$AL$64)))</f>
        <v/>
      </c>
      <c r="AI64" s="127" t="str">
        <f>IF($AL$64="","",IF(INDEX('Final Calculation Sheet'!$AD$4:$AD$40,$AL$64)&lt;=5,"SETTLED","OUTSTANDING"))</f>
        <v/>
      </c>
      <c r="AL64" t="str">
        <f>IF(COUNTIF($B$4:$AI$4,"&lt;&gt;")=0,"",IFERROR(MATCH(5,$AK$6:$AK$42,0),""))</f>
        <v/>
      </c>
    </row>
    <row r="65">
      <c r="A65" s="128" t="str">
        <f>IF($AL$65="","",6)</f>
        <v/>
      </c>
      <c r="B65" s="129" t="str">
        <f>IF($AL$65="","",IF(INDEX('Final Calculation Sheet'!$F$4:$F$40,$AL$65)="","",INDEX('Final Calculation Sheet'!$F$4:$F$40,$AL$65)))</f>
        <v/>
      </c>
      <c r="C65" s="129" t="str">
        <f>IF($AL$65="","",IF(INDEX('Final Calculation Sheet'!$G$4:$G$40,$AL$65)="","",INDEX('Final Calculation Sheet'!$G$4:$G$40,$AL$65)))</f>
        <v/>
      </c>
      <c r="D65" s="130" t="str">
        <f>IF($AL$65="","",IF(INDEX('Final Calculation Sheet'!$B$4:$B$40,$AL$65)="","",INDEX('Final Calculation Sheet'!$B$4:$B$40,$AL$65)))</f>
        <v/>
      </c>
      <c r="E65" s="130" t="str">
        <f>IF($AL$65="","",IF(INDEX('Final Calculation Sheet'!$D$4:$D$40,$AL$65)="","",INDEX('Final Calculation Sheet'!$D$4:$D$40,$AL$65)))</f>
        <v/>
      </c>
      <c r="F65" s="130" t="str">
        <f>IF($AL$65="","",IF(INDEX('Final Calculation Sheet'!$A$4:$A$40,$AL$65)="","",INDEX('Final Calculation Sheet'!$A$4:$A$40,$AL$65)))</f>
        <v/>
      </c>
      <c r="G65" s="130" t="str">
        <f>IF($AL$65="","",IF(INDEX('Final Calculation Sheet'!$E$4:$E$40,$AL$65)="","",INDEX('Final Calculation Sheet'!$E$4:$E$40,$AL$65)))</f>
        <v/>
      </c>
      <c r="H65" s="131" t="str">
        <f>IF($AL$65="","",IF(INDEX('Final Calculation Sheet'!$C$4:$C$40,$AL$65)="","",INDEX('Final Calculation Sheet'!$C$4:$C$40,$AL$65)))</f>
        <v/>
      </c>
      <c r="I65" s="131" t="str">
        <f>IF($AL$65="","",IF(INDEX('Final Calculation Sheet'!$H$4:$H$40,$AL$65)="","",INDEX('Final Calculation Sheet'!$H$4:$H$40,$AL$65)))</f>
        <v/>
      </c>
      <c r="J65" s="131" t="str">
        <f>IF($AL$65="","",IF(INDEX('Final Calculation Sheet'!$I$4:$I$40,$AL$65)="","",INDEX('Final Calculation Sheet'!$I$4:$I$40,$AL$65)))</f>
        <v/>
      </c>
      <c r="K65" s="131" t="str">
        <f>IF($AL$65="","",IF(INDEX('Final Calculation Sheet'!$J$4:$J$40,$AL$65)="","",INDEX('Final Calculation Sheet'!$J$4:$J$40,$AL$65)))</f>
        <v/>
      </c>
      <c r="L65" s="131" t="str">
        <f>IF($AL$65="","",IF(INDEX('Final Calculation Sheet'!$K$4:$K$40,$AL$65)="","",INDEX('Final Calculation Sheet'!$K$4:$K$40,$AL$65)))</f>
        <v/>
      </c>
      <c r="M65" s="131" t="str">
        <f>IF($AL$65="","",IF(INDEX('Final Calculation Sheet'!$L$4:$L$40,$AL$65)="","",INDEX('Final Calculation Sheet'!$L$4:$L$40,$AL$65)))</f>
        <v/>
      </c>
      <c r="N65" s="131" t="str">
        <f>IF($AL$65="","",IF(INDEX('Final Calculation Sheet'!$M$4:$M$40,$AL$65)="","",INDEX('Final Calculation Sheet'!$M$4:$M$40,$AL$65)))</f>
        <v/>
      </c>
      <c r="O65" s="132" t="str">
        <f>IF($AL$65="","",IF(INDEX('Final Calculation Sheet'!$N$4:$N$40,$AL$65)="","",INDEX('Final Calculation Sheet'!$N$4:$N$40,$AL$65)))</f>
        <v/>
      </c>
      <c r="P65" s="131" t="str">
        <f>IF($AL$65="","",IF(INDEX('Final Calculation Sheet'!$O$4:$O$40,$AL$65)="","",INDEX('Final Calculation Sheet'!$O$4:$O$40,$AL$65)))</f>
        <v/>
      </c>
      <c r="Q65" s="131" t="str">
        <f>IF($AL$65="","",IF(INDEX('Final Calculation Sheet'!$P$4:$P$40,$AL$65)="","",INDEX('Final Calculation Sheet'!$P$4:$P$40,$AL$65)))</f>
        <v/>
      </c>
      <c r="R65" s="133" t="str">
        <f>IF($AL$65="","",IF(INDEX('Final Calculation Sheet'!$Q$4:$Q$40,$AL$65)="","",INDEX('Final Calculation Sheet'!$Q$4:$Q$40,$AL$65)))</f>
        <v/>
      </c>
      <c r="S65" s="131" t="str">
        <f>IF($AL$65="","",IF(INDEX('Final Calculation Sheet'!$R$4:$R$40,$AL$65)="","",INDEX('Final Calculation Sheet'!$R$4:$R$40,$AL$65)))</f>
        <v/>
      </c>
      <c r="T65" s="131" t="str">
        <f>IF($AL$65="","",IF(INDEX('Final Calculation Sheet'!$S$4:$S$40,$AL$65)="","",INDEX('Final Calculation Sheet'!$S$4:$S$40,$AL$65)))</f>
        <v/>
      </c>
      <c r="U65" s="131" t="str">
        <f>IF($AL$65="","",IF(INDEX('Final Calculation Sheet'!$T$4:$T$40,$AL$65)="","",INDEX('Final Calculation Sheet'!$T$4:$T$40,$AL$65)))</f>
        <v/>
      </c>
      <c r="V65" s="134" t="str">
        <f>IF($AL$65="","",IF(INDEX('Final Calculation Sheet'!$U$4:$U$40,$AL$65)="","",INDEX('Final Calculation Sheet'!$U$4:$U$40,$AL$65)))</f>
        <v/>
      </c>
      <c r="W65" s="131" t="str">
        <f>IF($AL$65="","",IF(INDEX('Final Calculation Sheet'!$V$4:$V$40,$AL$65)="","",INDEX('Final Calculation Sheet'!$V$4:$V$40,$AL$65)))</f>
        <v/>
      </c>
      <c r="X65" s="131" t="str">
        <f>IF($AL$65="","",IF(INDEX('Final Calculation Sheet'!$W$4:$W$40,$AL$65)="","",INDEX('Final Calculation Sheet'!$W$4:$W$40,$AL$65)))</f>
        <v/>
      </c>
      <c r="Y65" s="131" t="str">
        <f>IF($AL$65="","",IF(INDEX('Final Calculation Sheet'!$X$4:$X$40,$AL$65)="","",INDEX('Final Calculation Sheet'!$X$4:$X$40,$AL$65)))</f>
        <v/>
      </c>
      <c r="Z65" s="131" t="str">
        <f>IF($AL$65="","",IF(INDEX('Final Calculation Sheet'!$Y$4:$Y$40,$AL$65)="","",INDEX('Final Calculation Sheet'!$Y$4:$Y$40,$AL$65)))</f>
        <v/>
      </c>
      <c r="AA65" s="131" t="str">
        <f>IF($AL$65="","",IF(INDEX('Final Calculation Sheet'!$Z$4:$Z$40,$AL$65)="","",INDEX('Final Calculation Sheet'!$Z$4:$Z$40,$AL$65)))</f>
        <v/>
      </c>
      <c r="AB65" s="131" t="str">
        <f>IF($AL$65="","",IF(INDEX('Final Calculation Sheet'!$AA$4:$AA$40,$AL$65)="","",INDEX('Final Calculation Sheet'!$AA$4:$AA$40,$AL$65)))</f>
        <v/>
      </c>
      <c r="AC65" s="131" t="str">
        <f>IF($AL$65="","",IF(INDEX('Final Calculation Sheet'!$AB$4:$AB$40,$AL$65)="","",INDEX('Final Calculation Sheet'!$AB$4:$AB$40,$AL$65)))</f>
        <v/>
      </c>
      <c r="AD65" s="131" t="str">
        <f>IF($AL$65="","",IF(INDEX('Final Calculation Sheet'!$AC$4:$AC$40,$AL$65)="","",INDEX('Final Calculation Sheet'!$AC$4:$AC$40,$AL$65)))</f>
        <v/>
      </c>
      <c r="AE65" s="131" t="str">
        <f>IF($AL$65="","",IF(INDEX('Final Calculation Sheet'!$AD$4:$AD$40,$AL$65)="","",INDEX('Final Calculation Sheet'!$AD$4:$AD$40,$AL$65)))</f>
        <v/>
      </c>
      <c r="AF65" s="131" t="str">
        <f>IF($AL$65="","",IF(INDEX('Final Calculation Sheet'!$AE$4:$AE$40,$AL$65)="","",INDEX('Final Calculation Sheet'!$AE$4:$AE$40,$AL$65)))</f>
        <v/>
      </c>
      <c r="AG65" s="135" t="str">
        <f>IF($AL$65="","",IF(INDEX('Final Calculation Sheet'!$AF$4:$AF$40,$AL$65)="","",INDEX('Final Calculation Sheet'!$AF$4:$AF$40,$AL$65)))</f>
        <v/>
      </c>
      <c r="AH65" s="131" t="str">
        <f>IF($AL$65="","",IF(INDEX('Final Calculation Sheet'!$AG$4:$AG$40,$AL$65)="","",INDEX('Final Calculation Sheet'!$AG$4:$AG$40,$AL$65)))</f>
        <v/>
      </c>
      <c r="AI65" s="136" t="str">
        <f>IF($AL$65="","",IF(INDEX('Final Calculation Sheet'!$AD$4:$AD$40,$AL$65)&lt;=5,"SETTLED","OUTSTANDING"))</f>
        <v/>
      </c>
      <c r="AL65" t="str">
        <f>IF(COUNTIF($B$4:$AI$4,"&lt;&gt;")=0,"",IFERROR(MATCH(6,$AK$6:$AK$42,0),""))</f>
        <v/>
      </c>
    </row>
    <row r="66">
      <c r="A66" s="118" t="str">
        <f>IF($AL$66="","",7)</f>
        <v/>
      </c>
      <c r="B66" s="119" t="str">
        <f>IF($AL$66="","",IF(INDEX('Final Calculation Sheet'!$F$4:$F$40,$AL$66)="","",INDEX('Final Calculation Sheet'!$F$4:$F$40,$AL$66)))</f>
        <v/>
      </c>
      <c r="C66" s="119" t="str">
        <f>IF($AL$66="","",IF(INDEX('Final Calculation Sheet'!$G$4:$G$40,$AL$66)="","",INDEX('Final Calculation Sheet'!$G$4:$G$40,$AL$66)))</f>
        <v/>
      </c>
      <c r="D66" s="121" t="str">
        <f>IF($AL$66="","",IF(INDEX('Final Calculation Sheet'!$B$4:$B$40,$AL$66)="","",INDEX('Final Calculation Sheet'!$B$4:$B$40,$AL$66)))</f>
        <v/>
      </c>
      <c r="E66" s="121" t="str">
        <f>IF($AL$66="","",IF(INDEX('Final Calculation Sheet'!$D$4:$D$40,$AL$66)="","",INDEX('Final Calculation Sheet'!$D$4:$D$40,$AL$66)))</f>
        <v/>
      </c>
      <c r="F66" s="121" t="str">
        <f>IF($AL$66="","",IF(INDEX('Final Calculation Sheet'!$A$4:$A$40,$AL$66)="","",INDEX('Final Calculation Sheet'!$A$4:$A$40,$AL$66)))</f>
        <v/>
      </c>
      <c r="G66" s="121" t="str">
        <f>IF($AL$66="","",IF(INDEX('Final Calculation Sheet'!$E$4:$E$40,$AL$66)="","",INDEX('Final Calculation Sheet'!$E$4:$E$40,$AL$66)))</f>
        <v/>
      </c>
      <c r="H66" s="122" t="str">
        <f>IF($AL$66="","",IF(INDEX('Final Calculation Sheet'!$C$4:$C$40,$AL$66)="","",INDEX('Final Calculation Sheet'!$C$4:$C$40,$AL$66)))</f>
        <v/>
      </c>
      <c r="I66" s="122" t="str">
        <f>IF($AL$66="","",IF(INDEX('Final Calculation Sheet'!$H$4:$H$40,$AL$66)="","",INDEX('Final Calculation Sheet'!$H$4:$H$40,$AL$66)))</f>
        <v/>
      </c>
      <c r="J66" s="122" t="str">
        <f>IF($AL$66="","",IF(INDEX('Final Calculation Sheet'!$I$4:$I$40,$AL$66)="","",INDEX('Final Calculation Sheet'!$I$4:$I$40,$AL$66)))</f>
        <v/>
      </c>
      <c r="K66" s="122" t="str">
        <f>IF($AL$66="","",IF(INDEX('Final Calculation Sheet'!$J$4:$J$40,$AL$66)="","",INDEX('Final Calculation Sheet'!$J$4:$J$40,$AL$66)))</f>
        <v/>
      </c>
      <c r="L66" s="122" t="str">
        <f>IF($AL$66="","",IF(INDEX('Final Calculation Sheet'!$K$4:$K$40,$AL$66)="","",INDEX('Final Calculation Sheet'!$K$4:$K$40,$AL$66)))</f>
        <v/>
      </c>
      <c r="M66" s="122" t="str">
        <f>IF($AL$66="","",IF(INDEX('Final Calculation Sheet'!$L$4:$L$40,$AL$66)="","",INDEX('Final Calculation Sheet'!$L$4:$L$40,$AL$66)))</f>
        <v/>
      </c>
      <c r="N66" s="122" t="str">
        <f>IF($AL$66="","",IF(INDEX('Final Calculation Sheet'!$M$4:$M$40,$AL$66)="","",INDEX('Final Calculation Sheet'!$M$4:$M$40,$AL$66)))</f>
        <v/>
      </c>
      <c r="O66" s="123" t="str">
        <f>IF($AL$66="","",IF(INDEX('Final Calculation Sheet'!$N$4:$N$40,$AL$66)="","",INDEX('Final Calculation Sheet'!$N$4:$N$40,$AL$66)))</f>
        <v/>
      </c>
      <c r="P66" s="122" t="str">
        <f>IF($AL$66="","",IF(INDEX('Final Calculation Sheet'!$O$4:$O$40,$AL$66)="","",INDEX('Final Calculation Sheet'!$O$4:$O$40,$AL$66)))</f>
        <v/>
      </c>
      <c r="Q66" s="122" t="str">
        <f>IF($AL$66="","",IF(INDEX('Final Calculation Sheet'!$P$4:$P$40,$AL$66)="","",INDEX('Final Calculation Sheet'!$P$4:$P$40,$AL$66)))</f>
        <v/>
      </c>
      <c r="R66" s="124" t="str">
        <f>IF($AL$66="","",IF(INDEX('Final Calculation Sheet'!$Q$4:$Q$40,$AL$66)="","",INDEX('Final Calculation Sheet'!$Q$4:$Q$40,$AL$66)))</f>
        <v/>
      </c>
      <c r="S66" s="122" t="str">
        <f>IF($AL$66="","",IF(INDEX('Final Calculation Sheet'!$R$4:$R$40,$AL$66)="","",INDEX('Final Calculation Sheet'!$R$4:$R$40,$AL$66)))</f>
        <v/>
      </c>
      <c r="T66" s="122" t="str">
        <f>IF($AL$66="","",IF(INDEX('Final Calculation Sheet'!$S$4:$S$40,$AL$66)="","",INDEX('Final Calculation Sheet'!$S$4:$S$40,$AL$66)))</f>
        <v/>
      </c>
      <c r="U66" s="122" t="str">
        <f>IF($AL$66="","",IF(INDEX('Final Calculation Sheet'!$T$4:$T$40,$AL$66)="","",INDEX('Final Calculation Sheet'!$T$4:$T$40,$AL$66)))</f>
        <v/>
      </c>
      <c r="V66" s="125" t="str">
        <f>IF($AL$66="","",IF(INDEX('Final Calculation Sheet'!$U$4:$U$40,$AL$66)="","",INDEX('Final Calculation Sheet'!$U$4:$U$40,$AL$66)))</f>
        <v/>
      </c>
      <c r="W66" s="122" t="str">
        <f>IF($AL$66="","",IF(INDEX('Final Calculation Sheet'!$V$4:$V$40,$AL$66)="","",INDEX('Final Calculation Sheet'!$V$4:$V$40,$AL$66)))</f>
        <v/>
      </c>
      <c r="X66" s="122" t="str">
        <f>IF($AL$66="","",IF(INDEX('Final Calculation Sheet'!$W$4:$W$40,$AL$66)="","",INDEX('Final Calculation Sheet'!$W$4:$W$40,$AL$66)))</f>
        <v/>
      </c>
      <c r="Y66" s="122" t="str">
        <f>IF($AL$66="","",IF(INDEX('Final Calculation Sheet'!$X$4:$X$40,$AL$66)="","",INDEX('Final Calculation Sheet'!$X$4:$X$40,$AL$66)))</f>
        <v/>
      </c>
      <c r="Z66" s="122" t="str">
        <f>IF($AL$66="","",IF(INDEX('Final Calculation Sheet'!$Y$4:$Y$40,$AL$66)="","",INDEX('Final Calculation Sheet'!$Y$4:$Y$40,$AL$66)))</f>
        <v/>
      </c>
      <c r="AA66" s="122" t="str">
        <f>IF($AL$66="","",IF(INDEX('Final Calculation Sheet'!$Z$4:$Z$40,$AL$66)="","",INDEX('Final Calculation Sheet'!$Z$4:$Z$40,$AL$66)))</f>
        <v/>
      </c>
      <c r="AB66" s="122" t="str">
        <f>IF($AL$66="","",IF(INDEX('Final Calculation Sheet'!$AA$4:$AA$40,$AL$66)="","",INDEX('Final Calculation Sheet'!$AA$4:$AA$40,$AL$66)))</f>
        <v/>
      </c>
      <c r="AC66" s="122" t="str">
        <f>IF($AL$66="","",IF(INDEX('Final Calculation Sheet'!$AB$4:$AB$40,$AL$66)="","",INDEX('Final Calculation Sheet'!$AB$4:$AB$40,$AL$66)))</f>
        <v/>
      </c>
      <c r="AD66" s="122" t="str">
        <f>IF($AL$66="","",IF(INDEX('Final Calculation Sheet'!$AC$4:$AC$40,$AL$66)="","",INDEX('Final Calculation Sheet'!$AC$4:$AC$40,$AL$66)))</f>
        <v/>
      </c>
      <c r="AE66" s="122" t="str">
        <f>IF($AL$66="","",IF(INDEX('Final Calculation Sheet'!$AD$4:$AD$40,$AL$66)="","",INDEX('Final Calculation Sheet'!$AD$4:$AD$40,$AL$66)))</f>
        <v/>
      </c>
      <c r="AF66" s="122" t="str">
        <f>IF($AL$66="","",IF(INDEX('Final Calculation Sheet'!$AE$4:$AE$40,$AL$66)="","",INDEX('Final Calculation Sheet'!$AE$4:$AE$40,$AL$66)))</f>
        <v/>
      </c>
      <c r="AG66" s="126" t="str">
        <f>IF($AL$66="","",IF(INDEX('Final Calculation Sheet'!$AF$4:$AF$40,$AL$66)="","",INDEX('Final Calculation Sheet'!$AF$4:$AF$40,$AL$66)))</f>
        <v/>
      </c>
      <c r="AH66" s="122" t="str">
        <f>IF($AL$66="","",IF(INDEX('Final Calculation Sheet'!$AG$4:$AG$40,$AL$66)="","",INDEX('Final Calculation Sheet'!$AG$4:$AG$40,$AL$66)))</f>
        <v/>
      </c>
      <c r="AI66" s="127" t="str">
        <f>IF($AL$66="","",IF(INDEX('Final Calculation Sheet'!$AD$4:$AD$40,$AL$66)&lt;=5,"SETTLED","OUTSTANDING"))</f>
        <v/>
      </c>
      <c r="AL66" t="str">
        <f>IF(COUNTIF($B$4:$AI$4,"&lt;&gt;")=0,"",IFERROR(MATCH(7,$AK$6:$AK$42,0),""))</f>
        <v/>
      </c>
    </row>
    <row r="67">
      <c r="A67" s="128" t="str">
        <f>IF($AL$67="","",8)</f>
        <v/>
      </c>
      <c r="B67" s="129" t="str">
        <f>IF($AL$67="","",IF(INDEX('Final Calculation Sheet'!$F$4:$F$40,$AL$67)="","",INDEX('Final Calculation Sheet'!$F$4:$F$40,$AL$67)))</f>
        <v/>
      </c>
      <c r="C67" s="129" t="str">
        <f>IF($AL$67="","",IF(INDEX('Final Calculation Sheet'!$G$4:$G$40,$AL$67)="","",INDEX('Final Calculation Sheet'!$G$4:$G$40,$AL$67)))</f>
        <v/>
      </c>
      <c r="D67" s="130" t="str">
        <f>IF($AL$67="","",IF(INDEX('Final Calculation Sheet'!$B$4:$B$40,$AL$67)="","",INDEX('Final Calculation Sheet'!$B$4:$B$40,$AL$67)))</f>
        <v/>
      </c>
      <c r="E67" s="130" t="str">
        <f>IF($AL$67="","",IF(INDEX('Final Calculation Sheet'!$D$4:$D$40,$AL$67)="","",INDEX('Final Calculation Sheet'!$D$4:$D$40,$AL$67)))</f>
        <v/>
      </c>
      <c r="F67" s="130" t="str">
        <f>IF($AL$67="","",IF(INDEX('Final Calculation Sheet'!$A$4:$A$40,$AL$67)="","",INDEX('Final Calculation Sheet'!$A$4:$A$40,$AL$67)))</f>
        <v/>
      </c>
      <c r="G67" s="130" t="str">
        <f>IF($AL$67="","",IF(INDEX('Final Calculation Sheet'!$E$4:$E$40,$AL$67)="","",INDEX('Final Calculation Sheet'!$E$4:$E$40,$AL$67)))</f>
        <v/>
      </c>
      <c r="H67" s="131" t="str">
        <f>IF($AL$67="","",IF(INDEX('Final Calculation Sheet'!$C$4:$C$40,$AL$67)="","",INDEX('Final Calculation Sheet'!$C$4:$C$40,$AL$67)))</f>
        <v/>
      </c>
      <c r="I67" s="131" t="str">
        <f>IF($AL$67="","",IF(INDEX('Final Calculation Sheet'!$H$4:$H$40,$AL$67)="","",INDEX('Final Calculation Sheet'!$H$4:$H$40,$AL$67)))</f>
        <v/>
      </c>
      <c r="J67" s="131" t="str">
        <f>IF($AL$67="","",IF(INDEX('Final Calculation Sheet'!$I$4:$I$40,$AL$67)="","",INDEX('Final Calculation Sheet'!$I$4:$I$40,$AL$67)))</f>
        <v/>
      </c>
      <c r="K67" s="131" t="str">
        <f>IF($AL$67="","",IF(INDEX('Final Calculation Sheet'!$J$4:$J$40,$AL$67)="","",INDEX('Final Calculation Sheet'!$J$4:$J$40,$AL$67)))</f>
        <v/>
      </c>
      <c r="L67" s="131" t="str">
        <f>IF($AL$67="","",IF(INDEX('Final Calculation Sheet'!$K$4:$K$40,$AL$67)="","",INDEX('Final Calculation Sheet'!$K$4:$K$40,$AL$67)))</f>
        <v/>
      </c>
      <c r="M67" s="131" t="str">
        <f>IF($AL$67="","",IF(INDEX('Final Calculation Sheet'!$L$4:$L$40,$AL$67)="","",INDEX('Final Calculation Sheet'!$L$4:$L$40,$AL$67)))</f>
        <v/>
      </c>
      <c r="N67" s="131" t="str">
        <f>IF($AL$67="","",IF(INDEX('Final Calculation Sheet'!$M$4:$M$40,$AL$67)="","",INDEX('Final Calculation Sheet'!$M$4:$M$40,$AL$67)))</f>
        <v/>
      </c>
      <c r="O67" s="132" t="str">
        <f>IF($AL$67="","",IF(INDEX('Final Calculation Sheet'!$N$4:$N$40,$AL$67)="","",INDEX('Final Calculation Sheet'!$N$4:$N$40,$AL$67)))</f>
        <v/>
      </c>
      <c r="P67" s="131" t="str">
        <f>IF($AL$67="","",IF(INDEX('Final Calculation Sheet'!$O$4:$O$40,$AL$67)="","",INDEX('Final Calculation Sheet'!$O$4:$O$40,$AL$67)))</f>
        <v/>
      </c>
      <c r="Q67" s="131" t="str">
        <f>IF($AL$67="","",IF(INDEX('Final Calculation Sheet'!$P$4:$P$40,$AL$67)="","",INDEX('Final Calculation Sheet'!$P$4:$P$40,$AL$67)))</f>
        <v/>
      </c>
      <c r="R67" s="133" t="str">
        <f>IF($AL$67="","",IF(INDEX('Final Calculation Sheet'!$Q$4:$Q$40,$AL$67)="","",INDEX('Final Calculation Sheet'!$Q$4:$Q$40,$AL$67)))</f>
        <v/>
      </c>
      <c r="S67" s="131" t="str">
        <f>IF($AL$67="","",IF(INDEX('Final Calculation Sheet'!$R$4:$R$40,$AL$67)="","",INDEX('Final Calculation Sheet'!$R$4:$R$40,$AL$67)))</f>
        <v/>
      </c>
      <c r="T67" s="131" t="str">
        <f>IF($AL$67="","",IF(INDEX('Final Calculation Sheet'!$S$4:$S$40,$AL$67)="","",INDEX('Final Calculation Sheet'!$S$4:$S$40,$AL$67)))</f>
        <v/>
      </c>
      <c r="U67" s="131" t="str">
        <f>IF($AL$67="","",IF(INDEX('Final Calculation Sheet'!$T$4:$T$40,$AL$67)="","",INDEX('Final Calculation Sheet'!$T$4:$T$40,$AL$67)))</f>
        <v/>
      </c>
      <c r="V67" s="134" t="str">
        <f>IF($AL$67="","",IF(INDEX('Final Calculation Sheet'!$U$4:$U$40,$AL$67)="","",INDEX('Final Calculation Sheet'!$U$4:$U$40,$AL$67)))</f>
        <v/>
      </c>
      <c r="W67" s="131" t="str">
        <f>IF($AL$67="","",IF(INDEX('Final Calculation Sheet'!$V$4:$V$40,$AL$67)="","",INDEX('Final Calculation Sheet'!$V$4:$V$40,$AL$67)))</f>
        <v/>
      </c>
      <c r="X67" s="131" t="str">
        <f>IF($AL$67="","",IF(INDEX('Final Calculation Sheet'!$W$4:$W$40,$AL$67)="","",INDEX('Final Calculation Sheet'!$W$4:$W$40,$AL$67)))</f>
        <v/>
      </c>
      <c r="Y67" s="131" t="str">
        <f>IF($AL$67="","",IF(INDEX('Final Calculation Sheet'!$X$4:$X$40,$AL$67)="","",INDEX('Final Calculation Sheet'!$X$4:$X$40,$AL$67)))</f>
        <v/>
      </c>
      <c r="Z67" s="131" t="str">
        <f>IF($AL$67="","",IF(INDEX('Final Calculation Sheet'!$Y$4:$Y$40,$AL$67)="","",INDEX('Final Calculation Sheet'!$Y$4:$Y$40,$AL$67)))</f>
        <v/>
      </c>
      <c r="AA67" s="131" t="str">
        <f>IF($AL$67="","",IF(INDEX('Final Calculation Sheet'!$Z$4:$Z$40,$AL$67)="","",INDEX('Final Calculation Sheet'!$Z$4:$Z$40,$AL$67)))</f>
        <v/>
      </c>
      <c r="AB67" s="131" t="str">
        <f>IF($AL$67="","",IF(INDEX('Final Calculation Sheet'!$AA$4:$AA$40,$AL$67)="","",INDEX('Final Calculation Sheet'!$AA$4:$AA$40,$AL$67)))</f>
        <v/>
      </c>
      <c r="AC67" s="131" t="str">
        <f>IF($AL$67="","",IF(INDEX('Final Calculation Sheet'!$AB$4:$AB$40,$AL$67)="","",INDEX('Final Calculation Sheet'!$AB$4:$AB$40,$AL$67)))</f>
        <v/>
      </c>
      <c r="AD67" s="131" t="str">
        <f>IF($AL$67="","",IF(INDEX('Final Calculation Sheet'!$AC$4:$AC$40,$AL$67)="","",INDEX('Final Calculation Sheet'!$AC$4:$AC$40,$AL$67)))</f>
        <v/>
      </c>
      <c r="AE67" s="131" t="str">
        <f>IF($AL$67="","",IF(INDEX('Final Calculation Sheet'!$AD$4:$AD$40,$AL$67)="","",INDEX('Final Calculation Sheet'!$AD$4:$AD$40,$AL$67)))</f>
        <v/>
      </c>
      <c r="AF67" s="131" t="str">
        <f>IF($AL$67="","",IF(INDEX('Final Calculation Sheet'!$AE$4:$AE$40,$AL$67)="","",INDEX('Final Calculation Sheet'!$AE$4:$AE$40,$AL$67)))</f>
        <v/>
      </c>
      <c r="AG67" s="135" t="str">
        <f>IF($AL$67="","",IF(INDEX('Final Calculation Sheet'!$AF$4:$AF$40,$AL$67)="","",INDEX('Final Calculation Sheet'!$AF$4:$AF$40,$AL$67)))</f>
        <v/>
      </c>
      <c r="AH67" s="131" t="str">
        <f>IF($AL$67="","",IF(INDEX('Final Calculation Sheet'!$AG$4:$AG$40,$AL$67)="","",INDEX('Final Calculation Sheet'!$AG$4:$AG$40,$AL$67)))</f>
        <v/>
      </c>
      <c r="AI67" s="136" t="str">
        <f>IF($AL$67="","",IF(INDEX('Final Calculation Sheet'!$AD$4:$AD$40,$AL$67)&lt;=5,"SETTLED","OUTSTANDING"))</f>
        <v/>
      </c>
      <c r="AL67" t="str">
        <f>IF(COUNTIF($B$4:$AI$4,"&lt;&gt;")=0,"",IFERROR(MATCH(8,$AK$6:$AK$42,0),""))</f>
        <v/>
      </c>
    </row>
    <row r="68">
      <c r="A68" s="118" t="str">
        <f>IF($AL$68="","",9)</f>
        <v/>
      </c>
      <c r="B68" s="119" t="str">
        <f>IF($AL$68="","",IF(INDEX('Final Calculation Sheet'!$F$4:$F$40,$AL$68)="","",INDEX('Final Calculation Sheet'!$F$4:$F$40,$AL$68)))</f>
        <v/>
      </c>
      <c r="C68" s="119" t="str">
        <f>IF($AL$68="","",IF(INDEX('Final Calculation Sheet'!$G$4:$G$40,$AL$68)="","",INDEX('Final Calculation Sheet'!$G$4:$G$40,$AL$68)))</f>
        <v/>
      </c>
      <c r="D68" s="121" t="str">
        <f>IF($AL$68="","",IF(INDEX('Final Calculation Sheet'!$B$4:$B$40,$AL$68)="","",INDEX('Final Calculation Sheet'!$B$4:$B$40,$AL$68)))</f>
        <v/>
      </c>
      <c r="E68" s="121" t="str">
        <f>IF($AL$68="","",IF(INDEX('Final Calculation Sheet'!$D$4:$D$40,$AL$68)="","",INDEX('Final Calculation Sheet'!$D$4:$D$40,$AL$68)))</f>
        <v/>
      </c>
      <c r="F68" s="121" t="str">
        <f>IF($AL$68="","",IF(INDEX('Final Calculation Sheet'!$A$4:$A$40,$AL$68)="","",INDEX('Final Calculation Sheet'!$A$4:$A$40,$AL$68)))</f>
        <v/>
      </c>
      <c r="G68" s="121" t="str">
        <f>IF($AL$68="","",IF(INDEX('Final Calculation Sheet'!$E$4:$E$40,$AL$68)="","",INDEX('Final Calculation Sheet'!$E$4:$E$40,$AL$68)))</f>
        <v/>
      </c>
      <c r="H68" s="122" t="str">
        <f>IF($AL$68="","",IF(INDEX('Final Calculation Sheet'!$C$4:$C$40,$AL$68)="","",INDEX('Final Calculation Sheet'!$C$4:$C$40,$AL$68)))</f>
        <v/>
      </c>
      <c r="I68" s="122" t="str">
        <f>IF($AL$68="","",IF(INDEX('Final Calculation Sheet'!$H$4:$H$40,$AL$68)="","",INDEX('Final Calculation Sheet'!$H$4:$H$40,$AL$68)))</f>
        <v/>
      </c>
      <c r="J68" s="122" t="str">
        <f>IF($AL$68="","",IF(INDEX('Final Calculation Sheet'!$I$4:$I$40,$AL$68)="","",INDEX('Final Calculation Sheet'!$I$4:$I$40,$AL$68)))</f>
        <v/>
      </c>
      <c r="K68" s="122" t="str">
        <f>IF($AL$68="","",IF(INDEX('Final Calculation Sheet'!$J$4:$J$40,$AL$68)="","",INDEX('Final Calculation Sheet'!$J$4:$J$40,$AL$68)))</f>
        <v/>
      </c>
      <c r="L68" s="122" t="str">
        <f>IF($AL$68="","",IF(INDEX('Final Calculation Sheet'!$K$4:$K$40,$AL$68)="","",INDEX('Final Calculation Sheet'!$K$4:$K$40,$AL$68)))</f>
        <v/>
      </c>
      <c r="M68" s="122" t="str">
        <f>IF($AL$68="","",IF(INDEX('Final Calculation Sheet'!$L$4:$L$40,$AL$68)="","",INDEX('Final Calculation Sheet'!$L$4:$L$40,$AL$68)))</f>
        <v/>
      </c>
      <c r="N68" s="122" t="str">
        <f>IF($AL$68="","",IF(INDEX('Final Calculation Sheet'!$M$4:$M$40,$AL$68)="","",INDEX('Final Calculation Sheet'!$M$4:$M$40,$AL$68)))</f>
        <v/>
      </c>
      <c r="O68" s="123" t="str">
        <f>IF($AL$68="","",IF(INDEX('Final Calculation Sheet'!$N$4:$N$40,$AL$68)="","",INDEX('Final Calculation Sheet'!$N$4:$N$40,$AL$68)))</f>
        <v/>
      </c>
      <c r="P68" s="122" t="str">
        <f>IF($AL$68="","",IF(INDEX('Final Calculation Sheet'!$O$4:$O$40,$AL$68)="","",INDEX('Final Calculation Sheet'!$O$4:$O$40,$AL$68)))</f>
        <v/>
      </c>
      <c r="Q68" s="122" t="str">
        <f>IF($AL$68="","",IF(INDEX('Final Calculation Sheet'!$P$4:$P$40,$AL$68)="","",INDEX('Final Calculation Sheet'!$P$4:$P$40,$AL$68)))</f>
        <v/>
      </c>
      <c r="R68" s="124" t="str">
        <f>IF($AL$68="","",IF(INDEX('Final Calculation Sheet'!$Q$4:$Q$40,$AL$68)="","",INDEX('Final Calculation Sheet'!$Q$4:$Q$40,$AL$68)))</f>
        <v/>
      </c>
      <c r="S68" s="122" t="str">
        <f>IF($AL$68="","",IF(INDEX('Final Calculation Sheet'!$R$4:$R$40,$AL$68)="","",INDEX('Final Calculation Sheet'!$R$4:$R$40,$AL$68)))</f>
        <v/>
      </c>
      <c r="T68" s="122" t="str">
        <f>IF($AL$68="","",IF(INDEX('Final Calculation Sheet'!$S$4:$S$40,$AL$68)="","",INDEX('Final Calculation Sheet'!$S$4:$S$40,$AL$68)))</f>
        <v/>
      </c>
      <c r="U68" s="122" t="str">
        <f>IF($AL$68="","",IF(INDEX('Final Calculation Sheet'!$T$4:$T$40,$AL$68)="","",INDEX('Final Calculation Sheet'!$T$4:$T$40,$AL$68)))</f>
        <v/>
      </c>
      <c r="V68" s="125" t="str">
        <f>IF($AL$68="","",IF(INDEX('Final Calculation Sheet'!$U$4:$U$40,$AL$68)="","",INDEX('Final Calculation Sheet'!$U$4:$U$40,$AL$68)))</f>
        <v/>
      </c>
      <c r="W68" s="122" t="str">
        <f>IF($AL$68="","",IF(INDEX('Final Calculation Sheet'!$V$4:$V$40,$AL$68)="","",INDEX('Final Calculation Sheet'!$V$4:$V$40,$AL$68)))</f>
        <v/>
      </c>
      <c r="X68" s="122" t="str">
        <f>IF($AL$68="","",IF(INDEX('Final Calculation Sheet'!$W$4:$W$40,$AL$68)="","",INDEX('Final Calculation Sheet'!$W$4:$W$40,$AL$68)))</f>
        <v/>
      </c>
      <c r="Y68" s="122" t="str">
        <f>IF($AL$68="","",IF(INDEX('Final Calculation Sheet'!$X$4:$X$40,$AL$68)="","",INDEX('Final Calculation Sheet'!$X$4:$X$40,$AL$68)))</f>
        <v/>
      </c>
      <c r="Z68" s="122" t="str">
        <f>IF($AL$68="","",IF(INDEX('Final Calculation Sheet'!$Y$4:$Y$40,$AL$68)="","",INDEX('Final Calculation Sheet'!$Y$4:$Y$40,$AL$68)))</f>
        <v/>
      </c>
      <c r="AA68" s="122" t="str">
        <f>IF($AL$68="","",IF(INDEX('Final Calculation Sheet'!$Z$4:$Z$40,$AL$68)="","",INDEX('Final Calculation Sheet'!$Z$4:$Z$40,$AL$68)))</f>
        <v/>
      </c>
      <c r="AB68" s="122" t="str">
        <f>IF($AL$68="","",IF(INDEX('Final Calculation Sheet'!$AA$4:$AA$40,$AL$68)="","",INDEX('Final Calculation Sheet'!$AA$4:$AA$40,$AL$68)))</f>
        <v/>
      </c>
      <c r="AC68" s="122" t="str">
        <f>IF($AL$68="","",IF(INDEX('Final Calculation Sheet'!$AB$4:$AB$40,$AL$68)="","",INDEX('Final Calculation Sheet'!$AB$4:$AB$40,$AL$68)))</f>
        <v/>
      </c>
      <c r="AD68" s="122" t="str">
        <f>IF($AL$68="","",IF(INDEX('Final Calculation Sheet'!$AC$4:$AC$40,$AL$68)="","",INDEX('Final Calculation Sheet'!$AC$4:$AC$40,$AL$68)))</f>
        <v/>
      </c>
      <c r="AE68" s="122" t="str">
        <f>IF($AL$68="","",IF(INDEX('Final Calculation Sheet'!$AD$4:$AD$40,$AL$68)="","",INDEX('Final Calculation Sheet'!$AD$4:$AD$40,$AL$68)))</f>
        <v/>
      </c>
      <c r="AF68" s="122" t="str">
        <f>IF($AL$68="","",IF(INDEX('Final Calculation Sheet'!$AE$4:$AE$40,$AL$68)="","",INDEX('Final Calculation Sheet'!$AE$4:$AE$40,$AL$68)))</f>
        <v/>
      </c>
      <c r="AG68" s="126" t="str">
        <f>IF($AL$68="","",IF(INDEX('Final Calculation Sheet'!$AF$4:$AF$40,$AL$68)="","",INDEX('Final Calculation Sheet'!$AF$4:$AF$40,$AL$68)))</f>
        <v/>
      </c>
      <c r="AH68" s="122" t="str">
        <f>IF($AL$68="","",IF(INDEX('Final Calculation Sheet'!$AG$4:$AG$40,$AL$68)="","",INDEX('Final Calculation Sheet'!$AG$4:$AG$40,$AL$68)))</f>
        <v/>
      </c>
      <c r="AI68" s="127" t="str">
        <f>IF($AL$68="","",IF(INDEX('Final Calculation Sheet'!$AD$4:$AD$40,$AL$68)&lt;=5,"SETTLED","OUTSTANDING"))</f>
        <v/>
      </c>
      <c r="AL68" t="str">
        <f>IF(COUNTIF($B$4:$AI$4,"&lt;&gt;")=0,"",IFERROR(MATCH(9,$AK$6:$AK$42,0),""))</f>
        <v/>
      </c>
    </row>
    <row r="69">
      <c r="A69" s="128" t="str">
        <f>IF($AL$69="","",10)</f>
        <v/>
      </c>
      <c r="B69" s="129" t="str">
        <f>IF($AL$69="","",IF(INDEX('Final Calculation Sheet'!$F$4:$F$40,$AL$69)="","",INDEX('Final Calculation Sheet'!$F$4:$F$40,$AL$69)))</f>
        <v/>
      </c>
      <c r="C69" s="129" t="str">
        <f>IF($AL$69="","",IF(INDEX('Final Calculation Sheet'!$G$4:$G$40,$AL$69)="","",INDEX('Final Calculation Sheet'!$G$4:$G$40,$AL$69)))</f>
        <v/>
      </c>
      <c r="D69" s="130" t="str">
        <f>IF($AL$69="","",IF(INDEX('Final Calculation Sheet'!$B$4:$B$40,$AL$69)="","",INDEX('Final Calculation Sheet'!$B$4:$B$40,$AL$69)))</f>
        <v/>
      </c>
      <c r="E69" s="130" t="str">
        <f>IF($AL$69="","",IF(INDEX('Final Calculation Sheet'!$D$4:$D$40,$AL$69)="","",INDEX('Final Calculation Sheet'!$D$4:$D$40,$AL$69)))</f>
        <v/>
      </c>
      <c r="F69" s="130" t="str">
        <f>IF($AL$69="","",IF(INDEX('Final Calculation Sheet'!$A$4:$A$40,$AL$69)="","",INDEX('Final Calculation Sheet'!$A$4:$A$40,$AL$69)))</f>
        <v/>
      </c>
      <c r="G69" s="130" t="str">
        <f>IF($AL$69="","",IF(INDEX('Final Calculation Sheet'!$E$4:$E$40,$AL$69)="","",INDEX('Final Calculation Sheet'!$E$4:$E$40,$AL$69)))</f>
        <v/>
      </c>
      <c r="H69" s="131" t="str">
        <f>IF($AL$69="","",IF(INDEX('Final Calculation Sheet'!$C$4:$C$40,$AL$69)="","",INDEX('Final Calculation Sheet'!$C$4:$C$40,$AL$69)))</f>
        <v/>
      </c>
      <c r="I69" s="131" t="str">
        <f>IF($AL$69="","",IF(INDEX('Final Calculation Sheet'!$H$4:$H$40,$AL$69)="","",INDEX('Final Calculation Sheet'!$H$4:$H$40,$AL$69)))</f>
        <v/>
      </c>
      <c r="J69" s="131" t="str">
        <f>IF($AL$69="","",IF(INDEX('Final Calculation Sheet'!$I$4:$I$40,$AL$69)="","",INDEX('Final Calculation Sheet'!$I$4:$I$40,$AL$69)))</f>
        <v/>
      </c>
      <c r="K69" s="131" t="str">
        <f>IF($AL$69="","",IF(INDEX('Final Calculation Sheet'!$J$4:$J$40,$AL$69)="","",INDEX('Final Calculation Sheet'!$J$4:$J$40,$AL$69)))</f>
        <v/>
      </c>
      <c r="L69" s="131" t="str">
        <f>IF($AL$69="","",IF(INDEX('Final Calculation Sheet'!$K$4:$K$40,$AL$69)="","",INDEX('Final Calculation Sheet'!$K$4:$K$40,$AL$69)))</f>
        <v/>
      </c>
      <c r="M69" s="131" t="str">
        <f>IF($AL$69="","",IF(INDEX('Final Calculation Sheet'!$L$4:$L$40,$AL$69)="","",INDEX('Final Calculation Sheet'!$L$4:$L$40,$AL$69)))</f>
        <v/>
      </c>
      <c r="N69" s="131" t="str">
        <f>IF($AL$69="","",IF(INDEX('Final Calculation Sheet'!$M$4:$M$40,$AL$69)="","",INDEX('Final Calculation Sheet'!$M$4:$M$40,$AL$69)))</f>
        <v/>
      </c>
      <c r="O69" s="132" t="str">
        <f>IF($AL$69="","",IF(INDEX('Final Calculation Sheet'!$N$4:$N$40,$AL$69)="","",INDEX('Final Calculation Sheet'!$N$4:$N$40,$AL$69)))</f>
        <v/>
      </c>
      <c r="P69" s="131" t="str">
        <f>IF($AL$69="","",IF(INDEX('Final Calculation Sheet'!$O$4:$O$40,$AL$69)="","",INDEX('Final Calculation Sheet'!$O$4:$O$40,$AL$69)))</f>
        <v/>
      </c>
      <c r="Q69" s="131" t="str">
        <f>IF($AL$69="","",IF(INDEX('Final Calculation Sheet'!$P$4:$P$40,$AL$69)="","",INDEX('Final Calculation Sheet'!$P$4:$P$40,$AL$69)))</f>
        <v/>
      </c>
      <c r="R69" s="133" t="str">
        <f>IF($AL$69="","",IF(INDEX('Final Calculation Sheet'!$Q$4:$Q$40,$AL$69)="","",INDEX('Final Calculation Sheet'!$Q$4:$Q$40,$AL$69)))</f>
        <v/>
      </c>
      <c r="S69" s="131" t="str">
        <f>IF($AL$69="","",IF(INDEX('Final Calculation Sheet'!$R$4:$R$40,$AL$69)="","",INDEX('Final Calculation Sheet'!$R$4:$R$40,$AL$69)))</f>
        <v/>
      </c>
      <c r="T69" s="131" t="str">
        <f>IF($AL$69="","",IF(INDEX('Final Calculation Sheet'!$S$4:$S$40,$AL$69)="","",INDEX('Final Calculation Sheet'!$S$4:$S$40,$AL$69)))</f>
        <v/>
      </c>
      <c r="U69" s="131" t="str">
        <f>IF($AL$69="","",IF(INDEX('Final Calculation Sheet'!$T$4:$T$40,$AL$69)="","",INDEX('Final Calculation Sheet'!$T$4:$T$40,$AL$69)))</f>
        <v/>
      </c>
      <c r="V69" s="134" t="str">
        <f>IF($AL$69="","",IF(INDEX('Final Calculation Sheet'!$U$4:$U$40,$AL$69)="","",INDEX('Final Calculation Sheet'!$U$4:$U$40,$AL$69)))</f>
        <v/>
      </c>
      <c r="W69" s="131" t="str">
        <f>IF($AL$69="","",IF(INDEX('Final Calculation Sheet'!$V$4:$V$40,$AL$69)="","",INDEX('Final Calculation Sheet'!$V$4:$V$40,$AL$69)))</f>
        <v/>
      </c>
      <c r="X69" s="131" t="str">
        <f>IF($AL$69="","",IF(INDEX('Final Calculation Sheet'!$W$4:$W$40,$AL$69)="","",INDEX('Final Calculation Sheet'!$W$4:$W$40,$AL$69)))</f>
        <v/>
      </c>
      <c r="Y69" s="131" t="str">
        <f>IF($AL$69="","",IF(INDEX('Final Calculation Sheet'!$X$4:$X$40,$AL$69)="","",INDEX('Final Calculation Sheet'!$X$4:$X$40,$AL$69)))</f>
        <v/>
      </c>
      <c r="Z69" s="131" t="str">
        <f>IF($AL$69="","",IF(INDEX('Final Calculation Sheet'!$Y$4:$Y$40,$AL$69)="","",INDEX('Final Calculation Sheet'!$Y$4:$Y$40,$AL$69)))</f>
        <v/>
      </c>
      <c r="AA69" s="131" t="str">
        <f>IF($AL$69="","",IF(INDEX('Final Calculation Sheet'!$Z$4:$Z$40,$AL$69)="","",INDEX('Final Calculation Sheet'!$Z$4:$Z$40,$AL$69)))</f>
        <v/>
      </c>
      <c r="AB69" s="131" t="str">
        <f>IF($AL$69="","",IF(INDEX('Final Calculation Sheet'!$AA$4:$AA$40,$AL$69)="","",INDEX('Final Calculation Sheet'!$AA$4:$AA$40,$AL$69)))</f>
        <v/>
      </c>
      <c r="AC69" s="131" t="str">
        <f>IF($AL$69="","",IF(INDEX('Final Calculation Sheet'!$AB$4:$AB$40,$AL$69)="","",INDEX('Final Calculation Sheet'!$AB$4:$AB$40,$AL$69)))</f>
        <v/>
      </c>
      <c r="AD69" s="131" t="str">
        <f>IF($AL$69="","",IF(INDEX('Final Calculation Sheet'!$AC$4:$AC$40,$AL$69)="","",INDEX('Final Calculation Sheet'!$AC$4:$AC$40,$AL$69)))</f>
        <v/>
      </c>
      <c r="AE69" s="131" t="str">
        <f>IF($AL$69="","",IF(INDEX('Final Calculation Sheet'!$AD$4:$AD$40,$AL$69)="","",INDEX('Final Calculation Sheet'!$AD$4:$AD$40,$AL$69)))</f>
        <v/>
      </c>
      <c r="AF69" s="131" t="str">
        <f>IF($AL$69="","",IF(INDEX('Final Calculation Sheet'!$AE$4:$AE$40,$AL$69)="","",INDEX('Final Calculation Sheet'!$AE$4:$AE$40,$AL$69)))</f>
        <v/>
      </c>
      <c r="AG69" s="135" t="str">
        <f>IF($AL$69="","",IF(INDEX('Final Calculation Sheet'!$AF$4:$AF$40,$AL$69)="","",INDEX('Final Calculation Sheet'!$AF$4:$AF$40,$AL$69)))</f>
        <v/>
      </c>
      <c r="AH69" s="131" t="str">
        <f>IF($AL$69="","",IF(INDEX('Final Calculation Sheet'!$AG$4:$AG$40,$AL$69)="","",INDEX('Final Calculation Sheet'!$AG$4:$AG$40,$AL$69)))</f>
        <v/>
      </c>
      <c r="AI69" s="136" t="str">
        <f>IF($AL$69="","",IF(INDEX('Final Calculation Sheet'!$AD$4:$AD$40,$AL$69)&lt;=5,"SETTLED","OUTSTANDING"))</f>
        <v/>
      </c>
      <c r="AL69" t="str">
        <f>IF(COUNTIF($B$4:$AI$4,"&lt;&gt;")=0,"",IFERROR(MATCH(10,$AK$6:$AK$42,0),""))</f>
        <v/>
      </c>
    </row>
    <row r="70">
      <c r="A70" s="118" t="str">
        <f>IF($AL$70="","",11)</f>
        <v/>
      </c>
      <c r="B70" s="119" t="str">
        <f>IF($AL$70="","",IF(INDEX('Final Calculation Sheet'!$F$4:$F$40,$AL$70)="","",INDEX('Final Calculation Sheet'!$F$4:$F$40,$AL$70)))</f>
        <v/>
      </c>
      <c r="C70" s="119" t="str">
        <f>IF($AL$70="","",IF(INDEX('Final Calculation Sheet'!$G$4:$G$40,$AL$70)="","",INDEX('Final Calculation Sheet'!$G$4:$G$40,$AL$70)))</f>
        <v/>
      </c>
      <c r="D70" s="121" t="str">
        <f>IF($AL$70="","",IF(INDEX('Final Calculation Sheet'!$B$4:$B$40,$AL$70)="","",INDEX('Final Calculation Sheet'!$B$4:$B$40,$AL$70)))</f>
        <v/>
      </c>
      <c r="E70" s="121" t="str">
        <f>IF($AL$70="","",IF(INDEX('Final Calculation Sheet'!$D$4:$D$40,$AL$70)="","",INDEX('Final Calculation Sheet'!$D$4:$D$40,$AL$70)))</f>
        <v/>
      </c>
      <c r="F70" s="121" t="str">
        <f>IF($AL$70="","",IF(INDEX('Final Calculation Sheet'!$A$4:$A$40,$AL$70)="","",INDEX('Final Calculation Sheet'!$A$4:$A$40,$AL$70)))</f>
        <v/>
      </c>
      <c r="G70" s="121" t="str">
        <f>IF($AL$70="","",IF(INDEX('Final Calculation Sheet'!$E$4:$E$40,$AL$70)="","",INDEX('Final Calculation Sheet'!$E$4:$E$40,$AL$70)))</f>
        <v/>
      </c>
      <c r="H70" s="122" t="str">
        <f>IF($AL$70="","",IF(INDEX('Final Calculation Sheet'!$C$4:$C$40,$AL$70)="","",INDEX('Final Calculation Sheet'!$C$4:$C$40,$AL$70)))</f>
        <v/>
      </c>
      <c r="I70" s="122" t="str">
        <f>IF($AL$70="","",IF(INDEX('Final Calculation Sheet'!$H$4:$H$40,$AL$70)="","",INDEX('Final Calculation Sheet'!$H$4:$H$40,$AL$70)))</f>
        <v/>
      </c>
      <c r="J70" s="122" t="str">
        <f>IF($AL$70="","",IF(INDEX('Final Calculation Sheet'!$I$4:$I$40,$AL$70)="","",INDEX('Final Calculation Sheet'!$I$4:$I$40,$AL$70)))</f>
        <v/>
      </c>
      <c r="K70" s="122" t="str">
        <f>IF($AL$70="","",IF(INDEX('Final Calculation Sheet'!$J$4:$J$40,$AL$70)="","",INDEX('Final Calculation Sheet'!$J$4:$J$40,$AL$70)))</f>
        <v/>
      </c>
      <c r="L70" s="122" t="str">
        <f>IF($AL$70="","",IF(INDEX('Final Calculation Sheet'!$K$4:$K$40,$AL$70)="","",INDEX('Final Calculation Sheet'!$K$4:$K$40,$AL$70)))</f>
        <v/>
      </c>
      <c r="M70" s="122" t="str">
        <f>IF($AL$70="","",IF(INDEX('Final Calculation Sheet'!$L$4:$L$40,$AL$70)="","",INDEX('Final Calculation Sheet'!$L$4:$L$40,$AL$70)))</f>
        <v/>
      </c>
      <c r="N70" s="122" t="str">
        <f>IF($AL$70="","",IF(INDEX('Final Calculation Sheet'!$M$4:$M$40,$AL$70)="","",INDEX('Final Calculation Sheet'!$M$4:$M$40,$AL$70)))</f>
        <v/>
      </c>
      <c r="O70" s="123" t="str">
        <f>IF($AL$70="","",IF(INDEX('Final Calculation Sheet'!$N$4:$N$40,$AL$70)="","",INDEX('Final Calculation Sheet'!$N$4:$N$40,$AL$70)))</f>
        <v/>
      </c>
      <c r="P70" s="122" t="str">
        <f>IF($AL$70="","",IF(INDEX('Final Calculation Sheet'!$O$4:$O$40,$AL$70)="","",INDEX('Final Calculation Sheet'!$O$4:$O$40,$AL$70)))</f>
        <v/>
      </c>
      <c r="Q70" s="122" t="str">
        <f>IF($AL$70="","",IF(INDEX('Final Calculation Sheet'!$P$4:$P$40,$AL$70)="","",INDEX('Final Calculation Sheet'!$P$4:$P$40,$AL$70)))</f>
        <v/>
      </c>
      <c r="R70" s="124" t="str">
        <f>IF($AL$70="","",IF(INDEX('Final Calculation Sheet'!$Q$4:$Q$40,$AL$70)="","",INDEX('Final Calculation Sheet'!$Q$4:$Q$40,$AL$70)))</f>
        <v/>
      </c>
      <c r="S70" s="122" t="str">
        <f>IF($AL$70="","",IF(INDEX('Final Calculation Sheet'!$R$4:$R$40,$AL$70)="","",INDEX('Final Calculation Sheet'!$R$4:$R$40,$AL$70)))</f>
        <v/>
      </c>
      <c r="T70" s="122" t="str">
        <f>IF($AL$70="","",IF(INDEX('Final Calculation Sheet'!$S$4:$S$40,$AL$70)="","",INDEX('Final Calculation Sheet'!$S$4:$S$40,$AL$70)))</f>
        <v/>
      </c>
      <c r="U70" s="122" t="str">
        <f>IF($AL$70="","",IF(INDEX('Final Calculation Sheet'!$T$4:$T$40,$AL$70)="","",INDEX('Final Calculation Sheet'!$T$4:$T$40,$AL$70)))</f>
        <v/>
      </c>
      <c r="V70" s="125" t="str">
        <f>IF($AL$70="","",IF(INDEX('Final Calculation Sheet'!$U$4:$U$40,$AL$70)="","",INDEX('Final Calculation Sheet'!$U$4:$U$40,$AL$70)))</f>
        <v/>
      </c>
      <c r="W70" s="122" t="str">
        <f>IF($AL$70="","",IF(INDEX('Final Calculation Sheet'!$V$4:$V$40,$AL$70)="","",INDEX('Final Calculation Sheet'!$V$4:$V$40,$AL$70)))</f>
        <v/>
      </c>
      <c r="X70" s="122" t="str">
        <f>IF($AL$70="","",IF(INDEX('Final Calculation Sheet'!$W$4:$W$40,$AL$70)="","",INDEX('Final Calculation Sheet'!$W$4:$W$40,$AL$70)))</f>
        <v/>
      </c>
      <c r="Y70" s="122" t="str">
        <f>IF($AL$70="","",IF(INDEX('Final Calculation Sheet'!$X$4:$X$40,$AL$70)="","",INDEX('Final Calculation Sheet'!$X$4:$X$40,$AL$70)))</f>
        <v/>
      </c>
      <c r="Z70" s="122" t="str">
        <f>IF($AL$70="","",IF(INDEX('Final Calculation Sheet'!$Y$4:$Y$40,$AL$70)="","",INDEX('Final Calculation Sheet'!$Y$4:$Y$40,$AL$70)))</f>
        <v/>
      </c>
      <c r="AA70" s="122" t="str">
        <f>IF($AL$70="","",IF(INDEX('Final Calculation Sheet'!$Z$4:$Z$40,$AL$70)="","",INDEX('Final Calculation Sheet'!$Z$4:$Z$40,$AL$70)))</f>
        <v/>
      </c>
      <c r="AB70" s="122" t="str">
        <f>IF($AL$70="","",IF(INDEX('Final Calculation Sheet'!$AA$4:$AA$40,$AL$70)="","",INDEX('Final Calculation Sheet'!$AA$4:$AA$40,$AL$70)))</f>
        <v/>
      </c>
      <c r="AC70" s="122" t="str">
        <f>IF($AL$70="","",IF(INDEX('Final Calculation Sheet'!$AB$4:$AB$40,$AL$70)="","",INDEX('Final Calculation Sheet'!$AB$4:$AB$40,$AL$70)))</f>
        <v/>
      </c>
      <c r="AD70" s="122" t="str">
        <f>IF($AL$70="","",IF(INDEX('Final Calculation Sheet'!$AC$4:$AC$40,$AL$70)="","",INDEX('Final Calculation Sheet'!$AC$4:$AC$40,$AL$70)))</f>
        <v/>
      </c>
      <c r="AE70" s="122" t="str">
        <f>IF($AL$70="","",IF(INDEX('Final Calculation Sheet'!$AD$4:$AD$40,$AL$70)="","",INDEX('Final Calculation Sheet'!$AD$4:$AD$40,$AL$70)))</f>
        <v/>
      </c>
      <c r="AF70" s="122" t="str">
        <f>IF($AL$70="","",IF(INDEX('Final Calculation Sheet'!$AE$4:$AE$40,$AL$70)="","",INDEX('Final Calculation Sheet'!$AE$4:$AE$40,$AL$70)))</f>
        <v/>
      </c>
      <c r="AG70" s="126" t="str">
        <f>IF($AL$70="","",IF(INDEX('Final Calculation Sheet'!$AF$4:$AF$40,$AL$70)="","",INDEX('Final Calculation Sheet'!$AF$4:$AF$40,$AL$70)))</f>
        <v/>
      </c>
      <c r="AH70" s="122" t="str">
        <f>IF($AL$70="","",IF(INDEX('Final Calculation Sheet'!$AG$4:$AG$40,$AL$70)="","",INDEX('Final Calculation Sheet'!$AG$4:$AG$40,$AL$70)))</f>
        <v/>
      </c>
      <c r="AI70" s="127" t="str">
        <f>IF($AL$70="","",IF(INDEX('Final Calculation Sheet'!$AD$4:$AD$40,$AL$70)&lt;=5,"SETTLED","OUTSTANDING"))</f>
        <v/>
      </c>
      <c r="AL70" t="str">
        <f>IF(COUNTIF($B$4:$AI$4,"&lt;&gt;")=0,"",IFERROR(MATCH(11,$AK$6:$AK$42,0),""))</f>
        <v/>
      </c>
    </row>
    <row r="71">
      <c r="A71" s="128" t="str">
        <f>IF($AL$71="","",12)</f>
        <v/>
      </c>
      <c r="B71" s="129" t="str">
        <f>IF($AL$71="","",IF(INDEX('Final Calculation Sheet'!$F$4:$F$40,$AL$71)="","",INDEX('Final Calculation Sheet'!$F$4:$F$40,$AL$71)))</f>
        <v/>
      </c>
      <c r="C71" s="129" t="str">
        <f>IF($AL$71="","",IF(INDEX('Final Calculation Sheet'!$G$4:$G$40,$AL$71)="","",INDEX('Final Calculation Sheet'!$G$4:$G$40,$AL$71)))</f>
        <v/>
      </c>
      <c r="D71" s="130" t="str">
        <f>IF($AL$71="","",IF(INDEX('Final Calculation Sheet'!$B$4:$B$40,$AL$71)="","",INDEX('Final Calculation Sheet'!$B$4:$B$40,$AL$71)))</f>
        <v/>
      </c>
      <c r="E71" s="130" t="str">
        <f>IF($AL$71="","",IF(INDEX('Final Calculation Sheet'!$D$4:$D$40,$AL$71)="","",INDEX('Final Calculation Sheet'!$D$4:$D$40,$AL$71)))</f>
        <v/>
      </c>
      <c r="F71" s="130" t="str">
        <f>IF($AL$71="","",IF(INDEX('Final Calculation Sheet'!$A$4:$A$40,$AL$71)="","",INDEX('Final Calculation Sheet'!$A$4:$A$40,$AL$71)))</f>
        <v/>
      </c>
      <c r="G71" s="130" t="str">
        <f>IF($AL$71="","",IF(INDEX('Final Calculation Sheet'!$E$4:$E$40,$AL$71)="","",INDEX('Final Calculation Sheet'!$E$4:$E$40,$AL$71)))</f>
        <v/>
      </c>
      <c r="H71" s="131" t="str">
        <f>IF($AL$71="","",IF(INDEX('Final Calculation Sheet'!$C$4:$C$40,$AL$71)="","",INDEX('Final Calculation Sheet'!$C$4:$C$40,$AL$71)))</f>
        <v/>
      </c>
      <c r="I71" s="131" t="str">
        <f>IF($AL$71="","",IF(INDEX('Final Calculation Sheet'!$H$4:$H$40,$AL$71)="","",INDEX('Final Calculation Sheet'!$H$4:$H$40,$AL$71)))</f>
        <v/>
      </c>
      <c r="J71" s="131" t="str">
        <f>IF($AL$71="","",IF(INDEX('Final Calculation Sheet'!$I$4:$I$40,$AL$71)="","",INDEX('Final Calculation Sheet'!$I$4:$I$40,$AL$71)))</f>
        <v/>
      </c>
      <c r="K71" s="131" t="str">
        <f>IF($AL$71="","",IF(INDEX('Final Calculation Sheet'!$J$4:$J$40,$AL$71)="","",INDEX('Final Calculation Sheet'!$J$4:$J$40,$AL$71)))</f>
        <v/>
      </c>
      <c r="L71" s="131" t="str">
        <f>IF($AL$71="","",IF(INDEX('Final Calculation Sheet'!$K$4:$K$40,$AL$71)="","",INDEX('Final Calculation Sheet'!$K$4:$K$40,$AL$71)))</f>
        <v/>
      </c>
      <c r="M71" s="131" t="str">
        <f>IF($AL$71="","",IF(INDEX('Final Calculation Sheet'!$L$4:$L$40,$AL$71)="","",INDEX('Final Calculation Sheet'!$L$4:$L$40,$AL$71)))</f>
        <v/>
      </c>
      <c r="N71" s="131" t="str">
        <f>IF($AL$71="","",IF(INDEX('Final Calculation Sheet'!$M$4:$M$40,$AL$71)="","",INDEX('Final Calculation Sheet'!$M$4:$M$40,$AL$71)))</f>
        <v/>
      </c>
      <c r="O71" s="132" t="str">
        <f>IF($AL$71="","",IF(INDEX('Final Calculation Sheet'!$N$4:$N$40,$AL$71)="","",INDEX('Final Calculation Sheet'!$N$4:$N$40,$AL$71)))</f>
        <v/>
      </c>
      <c r="P71" s="131" t="str">
        <f>IF($AL$71="","",IF(INDEX('Final Calculation Sheet'!$O$4:$O$40,$AL$71)="","",INDEX('Final Calculation Sheet'!$O$4:$O$40,$AL$71)))</f>
        <v/>
      </c>
      <c r="Q71" s="131" t="str">
        <f>IF($AL$71="","",IF(INDEX('Final Calculation Sheet'!$P$4:$P$40,$AL$71)="","",INDEX('Final Calculation Sheet'!$P$4:$P$40,$AL$71)))</f>
        <v/>
      </c>
      <c r="R71" s="133" t="str">
        <f>IF($AL$71="","",IF(INDEX('Final Calculation Sheet'!$Q$4:$Q$40,$AL$71)="","",INDEX('Final Calculation Sheet'!$Q$4:$Q$40,$AL$71)))</f>
        <v/>
      </c>
      <c r="S71" s="131" t="str">
        <f>IF($AL$71="","",IF(INDEX('Final Calculation Sheet'!$R$4:$R$40,$AL$71)="","",INDEX('Final Calculation Sheet'!$R$4:$R$40,$AL$71)))</f>
        <v/>
      </c>
      <c r="T71" s="131" t="str">
        <f>IF($AL$71="","",IF(INDEX('Final Calculation Sheet'!$S$4:$S$40,$AL$71)="","",INDEX('Final Calculation Sheet'!$S$4:$S$40,$AL$71)))</f>
        <v/>
      </c>
      <c r="U71" s="131" t="str">
        <f>IF($AL$71="","",IF(INDEX('Final Calculation Sheet'!$T$4:$T$40,$AL$71)="","",INDEX('Final Calculation Sheet'!$T$4:$T$40,$AL$71)))</f>
        <v/>
      </c>
      <c r="V71" s="134" t="str">
        <f>IF($AL$71="","",IF(INDEX('Final Calculation Sheet'!$U$4:$U$40,$AL$71)="","",INDEX('Final Calculation Sheet'!$U$4:$U$40,$AL$71)))</f>
        <v/>
      </c>
      <c r="W71" s="131" t="str">
        <f>IF($AL$71="","",IF(INDEX('Final Calculation Sheet'!$V$4:$V$40,$AL$71)="","",INDEX('Final Calculation Sheet'!$V$4:$V$40,$AL$71)))</f>
        <v/>
      </c>
      <c r="X71" s="131" t="str">
        <f>IF($AL$71="","",IF(INDEX('Final Calculation Sheet'!$W$4:$W$40,$AL$71)="","",INDEX('Final Calculation Sheet'!$W$4:$W$40,$AL$71)))</f>
        <v/>
      </c>
      <c r="Y71" s="131" t="str">
        <f>IF($AL$71="","",IF(INDEX('Final Calculation Sheet'!$X$4:$X$40,$AL$71)="","",INDEX('Final Calculation Sheet'!$X$4:$X$40,$AL$71)))</f>
        <v/>
      </c>
      <c r="Z71" s="131" t="str">
        <f>IF($AL$71="","",IF(INDEX('Final Calculation Sheet'!$Y$4:$Y$40,$AL$71)="","",INDEX('Final Calculation Sheet'!$Y$4:$Y$40,$AL$71)))</f>
        <v/>
      </c>
      <c r="AA71" s="131" t="str">
        <f>IF($AL$71="","",IF(INDEX('Final Calculation Sheet'!$Z$4:$Z$40,$AL$71)="","",INDEX('Final Calculation Sheet'!$Z$4:$Z$40,$AL$71)))</f>
        <v/>
      </c>
      <c r="AB71" s="131" t="str">
        <f>IF($AL$71="","",IF(INDEX('Final Calculation Sheet'!$AA$4:$AA$40,$AL$71)="","",INDEX('Final Calculation Sheet'!$AA$4:$AA$40,$AL$71)))</f>
        <v/>
      </c>
      <c r="AC71" s="131" t="str">
        <f>IF($AL$71="","",IF(INDEX('Final Calculation Sheet'!$AB$4:$AB$40,$AL$71)="","",INDEX('Final Calculation Sheet'!$AB$4:$AB$40,$AL$71)))</f>
        <v/>
      </c>
      <c r="AD71" s="131" t="str">
        <f>IF($AL$71="","",IF(INDEX('Final Calculation Sheet'!$AC$4:$AC$40,$AL$71)="","",INDEX('Final Calculation Sheet'!$AC$4:$AC$40,$AL$71)))</f>
        <v/>
      </c>
      <c r="AE71" s="131" t="str">
        <f>IF($AL$71="","",IF(INDEX('Final Calculation Sheet'!$AD$4:$AD$40,$AL$71)="","",INDEX('Final Calculation Sheet'!$AD$4:$AD$40,$AL$71)))</f>
        <v/>
      </c>
      <c r="AF71" s="131" t="str">
        <f>IF($AL$71="","",IF(INDEX('Final Calculation Sheet'!$AE$4:$AE$40,$AL$71)="","",INDEX('Final Calculation Sheet'!$AE$4:$AE$40,$AL$71)))</f>
        <v/>
      </c>
      <c r="AG71" s="135" t="str">
        <f>IF($AL$71="","",IF(INDEX('Final Calculation Sheet'!$AF$4:$AF$40,$AL$71)="","",INDEX('Final Calculation Sheet'!$AF$4:$AF$40,$AL$71)))</f>
        <v/>
      </c>
      <c r="AH71" s="131" t="str">
        <f>IF($AL$71="","",IF(INDEX('Final Calculation Sheet'!$AG$4:$AG$40,$AL$71)="","",INDEX('Final Calculation Sheet'!$AG$4:$AG$40,$AL$71)))</f>
        <v/>
      </c>
      <c r="AI71" s="136" t="str">
        <f>IF($AL$71="","",IF(INDEX('Final Calculation Sheet'!$AD$4:$AD$40,$AL$71)&lt;=5,"SETTLED","OUTSTANDING"))</f>
        <v/>
      </c>
      <c r="AL71" t="str">
        <f>IF(COUNTIF($B$4:$AI$4,"&lt;&gt;")=0,"",IFERROR(MATCH(12,$AK$6:$AK$42,0),""))</f>
        <v/>
      </c>
    </row>
    <row r="72">
      <c r="A72" s="118" t="str">
        <f>IF($AL$72="","",13)</f>
        <v/>
      </c>
      <c r="B72" s="119" t="str">
        <f>IF($AL$72="","",IF(INDEX('Final Calculation Sheet'!$F$4:$F$40,$AL$72)="","",INDEX('Final Calculation Sheet'!$F$4:$F$40,$AL$72)))</f>
        <v/>
      </c>
      <c r="C72" s="119" t="str">
        <f>IF($AL$72="","",IF(INDEX('Final Calculation Sheet'!$G$4:$G$40,$AL$72)="","",INDEX('Final Calculation Sheet'!$G$4:$G$40,$AL$72)))</f>
        <v/>
      </c>
      <c r="D72" s="121" t="str">
        <f>IF($AL$72="","",IF(INDEX('Final Calculation Sheet'!$B$4:$B$40,$AL$72)="","",INDEX('Final Calculation Sheet'!$B$4:$B$40,$AL$72)))</f>
        <v/>
      </c>
      <c r="E72" s="121" t="str">
        <f>IF($AL$72="","",IF(INDEX('Final Calculation Sheet'!$D$4:$D$40,$AL$72)="","",INDEX('Final Calculation Sheet'!$D$4:$D$40,$AL$72)))</f>
        <v/>
      </c>
      <c r="F72" s="121" t="str">
        <f>IF($AL$72="","",IF(INDEX('Final Calculation Sheet'!$A$4:$A$40,$AL$72)="","",INDEX('Final Calculation Sheet'!$A$4:$A$40,$AL$72)))</f>
        <v/>
      </c>
      <c r="G72" s="121" t="str">
        <f>IF($AL$72="","",IF(INDEX('Final Calculation Sheet'!$E$4:$E$40,$AL$72)="","",INDEX('Final Calculation Sheet'!$E$4:$E$40,$AL$72)))</f>
        <v/>
      </c>
      <c r="H72" s="122" t="str">
        <f>IF($AL$72="","",IF(INDEX('Final Calculation Sheet'!$C$4:$C$40,$AL$72)="","",INDEX('Final Calculation Sheet'!$C$4:$C$40,$AL$72)))</f>
        <v/>
      </c>
      <c r="I72" s="122" t="str">
        <f>IF($AL$72="","",IF(INDEX('Final Calculation Sheet'!$H$4:$H$40,$AL$72)="","",INDEX('Final Calculation Sheet'!$H$4:$H$40,$AL$72)))</f>
        <v/>
      </c>
      <c r="J72" s="122" t="str">
        <f>IF($AL$72="","",IF(INDEX('Final Calculation Sheet'!$I$4:$I$40,$AL$72)="","",INDEX('Final Calculation Sheet'!$I$4:$I$40,$AL$72)))</f>
        <v/>
      </c>
      <c r="K72" s="122" t="str">
        <f>IF($AL$72="","",IF(INDEX('Final Calculation Sheet'!$J$4:$J$40,$AL$72)="","",INDEX('Final Calculation Sheet'!$J$4:$J$40,$AL$72)))</f>
        <v/>
      </c>
      <c r="L72" s="122" t="str">
        <f>IF($AL$72="","",IF(INDEX('Final Calculation Sheet'!$K$4:$K$40,$AL$72)="","",INDEX('Final Calculation Sheet'!$K$4:$K$40,$AL$72)))</f>
        <v/>
      </c>
      <c r="M72" s="122" t="str">
        <f>IF($AL$72="","",IF(INDEX('Final Calculation Sheet'!$L$4:$L$40,$AL$72)="","",INDEX('Final Calculation Sheet'!$L$4:$L$40,$AL$72)))</f>
        <v/>
      </c>
      <c r="N72" s="122" t="str">
        <f>IF($AL$72="","",IF(INDEX('Final Calculation Sheet'!$M$4:$M$40,$AL$72)="","",INDEX('Final Calculation Sheet'!$M$4:$M$40,$AL$72)))</f>
        <v/>
      </c>
      <c r="O72" s="123" t="str">
        <f>IF($AL$72="","",IF(INDEX('Final Calculation Sheet'!$N$4:$N$40,$AL$72)="","",INDEX('Final Calculation Sheet'!$N$4:$N$40,$AL$72)))</f>
        <v/>
      </c>
      <c r="P72" s="122" t="str">
        <f>IF($AL$72="","",IF(INDEX('Final Calculation Sheet'!$O$4:$O$40,$AL$72)="","",INDEX('Final Calculation Sheet'!$O$4:$O$40,$AL$72)))</f>
        <v/>
      </c>
      <c r="Q72" s="122" t="str">
        <f>IF($AL$72="","",IF(INDEX('Final Calculation Sheet'!$P$4:$P$40,$AL$72)="","",INDEX('Final Calculation Sheet'!$P$4:$P$40,$AL$72)))</f>
        <v/>
      </c>
      <c r="R72" s="124" t="str">
        <f>IF($AL$72="","",IF(INDEX('Final Calculation Sheet'!$Q$4:$Q$40,$AL$72)="","",INDEX('Final Calculation Sheet'!$Q$4:$Q$40,$AL$72)))</f>
        <v/>
      </c>
      <c r="S72" s="122" t="str">
        <f>IF($AL$72="","",IF(INDEX('Final Calculation Sheet'!$R$4:$R$40,$AL$72)="","",INDEX('Final Calculation Sheet'!$R$4:$R$40,$AL$72)))</f>
        <v/>
      </c>
      <c r="T72" s="122" t="str">
        <f>IF($AL$72="","",IF(INDEX('Final Calculation Sheet'!$S$4:$S$40,$AL$72)="","",INDEX('Final Calculation Sheet'!$S$4:$S$40,$AL$72)))</f>
        <v/>
      </c>
      <c r="U72" s="122" t="str">
        <f>IF($AL$72="","",IF(INDEX('Final Calculation Sheet'!$T$4:$T$40,$AL$72)="","",INDEX('Final Calculation Sheet'!$T$4:$T$40,$AL$72)))</f>
        <v/>
      </c>
      <c r="V72" s="125" t="str">
        <f>IF($AL$72="","",IF(INDEX('Final Calculation Sheet'!$U$4:$U$40,$AL$72)="","",INDEX('Final Calculation Sheet'!$U$4:$U$40,$AL$72)))</f>
        <v/>
      </c>
      <c r="W72" s="122" t="str">
        <f>IF($AL$72="","",IF(INDEX('Final Calculation Sheet'!$V$4:$V$40,$AL$72)="","",INDEX('Final Calculation Sheet'!$V$4:$V$40,$AL$72)))</f>
        <v/>
      </c>
      <c r="X72" s="122" t="str">
        <f>IF($AL$72="","",IF(INDEX('Final Calculation Sheet'!$W$4:$W$40,$AL$72)="","",INDEX('Final Calculation Sheet'!$W$4:$W$40,$AL$72)))</f>
        <v/>
      </c>
      <c r="Y72" s="122" t="str">
        <f>IF($AL$72="","",IF(INDEX('Final Calculation Sheet'!$X$4:$X$40,$AL$72)="","",INDEX('Final Calculation Sheet'!$X$4:$X$40,$AL$72)))</f>
        <v/>
      </c>
      <c r="Z72" s="122" t="str">
        <f>IF($AL$72="","",IF(INDEX('Final Calculation Sheet'!$Y$4:$Y$40,$AL$72)="","",INDEX('Final Calculation Sheet'!$Y$4:$Y$40,$AL$72)))</f>
        <v/>
      </c>
      <c r="AA72" s="122" t="str">
        <f>IF($AL$72="","",IF(INDEX('Final Calculation Sheet'!$Z$4:$Z$40,$AL$72)="","",INDEX('Final Calculation Sheet'!$Z$4:$Z$40,$AL$72)))</f>
        <v/>
      </c>
      <c r="AB72" s="122" t="str">
        <f>IF($AL$72="","",IF(INDEX('Final Calculation Sheet'!$AA$4:$AA$40,$AL$72)="","",INDEX('Final Calculation Sheet'!$AA$4:$AA$40,$AL$72)))</f>
        <v/>
      </c>
      <c r="AC72" s="122" t="str">
        <f>IF($AL$72="","",IF(INDEX('Final Calculation Sheet'!$AB$4:$AB$40,$AL$72)="","",INDEX('Final Calculation Sheet'!$AB$4:$AB$40,$AL$72)))</f>
        <v/>
      </c>
      <c r="AD72" s="122" t="str">
        <f>IF($AL$72="","",IF(INDEX('Final Calculation Sheet'!$AC$4:$AC$40,$AL$72)="","",INDEX('Final Calculation Sheet'!$AC$4:$AC$40,$AL$72)))</f>
        <v/>
      </c>
      <c r="AE72" s="122" t="str">
        <f>IF($AL$72="","",IF(INDEX('Final Calculation Sheet'!$AD$4:$AD$40,$AL$72)="","",INDEX('Final Calculation Sheet'!$AD$4:$AD$40,$AL$72)))</f>
        <v/>
      </c>
      <c r="AF72" s="122" t="str">
        <f>IF($AL$72="","",IF(INDEX('Final Calculation Sheet'!$AE$4:$AE$40,$AL$72)="","",INDEX('Final Calculation Sheet'!$AE$4:$AE$40,$AL$72)))</f>
        <v/>
      </c>
      <c r="AG72" s="126" t="str">
        <f>IF($AL$72="","",IF(INDEX('Final Calculation Sheet'!$AF$4:$AF$40,$AL$72)="","",INDEX('Final Calculation Sheet'!$AF$4:$AF$40,$AL$72)))</f>
        <v/>
      </c>
      <c r="AH72" s="122" t="str">
        <f>IF($AL$72="","",IF(INDEX('Final Calculation Sheet'!$AG$4:$AG$40,$AL$72)="","",INDEX('Final Calculation Sheet'!$AG$4:$AG$40,$AL$72)))</f>
        <v/>
      </c>
      <c r="AI72" s="127" t="str">
        <f>IF($AL$72="","",IF(INDEX('Final Calculation Sheet'!$AD$4:$AD$40,$AL$72)&lt;=5,"SETTLED","OUTSTANDING"))</f>
        <v/>
      </c>
      <c r="AL72" t="str">
        <f>IF(COUNTIF($B$4:$AI$4,"&lt;&gt;")=0,"",IFERROR(MATCH(13,$AK$6:$AK$42,0),""))</f>
        <v/>
      </c>
    </row>
    <row r="73">
      <c r="A73" s="128" t="str">
        <f>IF($AL$73="","",14)</f>
        <v/>
      </c>
      <c r="B73" s="129" t="str">
        <f>IF($AL$73="","",IF(INDEX('Final Calculation Sheet'!$F$4:$F$40,$AL$73)="","",INDEX('Final Calculation Sheet'!$F$4:$F$40,$AL$73)))</f>
        <v/>
      </c>
      <c r="C73" s="129" t="str">
        <f>IF($AL$73="","",IF(INDEX('Final Calculation Sheet'!$G$4:$G$40,$AL$73)="","",INDEX('Final Calculation Sheet'!$G$4:$G$40,$AL$73)))</f>
        <v/>
      </c>
      <c r="D73" s="130" t="str">
        <f>IF($AL$73="","",IF(INDEX('Final Calculation Sheet'!$B$4:$B$40,$AL$73)="","",INDEX('Final Calculation Sheet'!$B$4:$B$40,$AL$73)))</f>
        <v/>
      </c>
      <c r="E73" s="130" t="str">
        <f>IF($AL$73="","",IF(INDEX('Final Calculation Sheet'!$D$4:$D$40,$AL$73)="","",INDEX('Final Calculation Sheet'!$D$4:$D$40,$AL$73)))</f>
        <v/>
      </c>
      <c r="F73" s="130" t="str">
        <f>IF($AL$73="","",IF(INDEX('Final Calculation Sheet'!$A$4:$A$40,$AL$73)="","",INDEX('Final Calculation Sheet'!$A$4:$A$40,$AL$73)))</f>
        <v/>
      </c>
      <c r="G73" s="130" t="str">
        <f>IF($AL$73="","",IF(INDEX('Final Calculation Sheet'!$E$4:$E$40,$AL$73)="","",INDEX('Final Calculation Sheet'!$E$4:$E$40,$AL$73)))</f>
        <v/>
      </c>
      <c r="H73" s="131" t="str">
        <f>IF($AL$73="","",IF(INDEX('Final Calculation Sheet'!$C$4:$C$40,$AL$73)="","",INDEX('Final Calculation Sheet'!$C$4:$C$40,$AL$73)))</f>
        <v/>
      </c>
      <c r="I73" s="131" t="str">
        <f>IF($AL$73="","",IF(INDEX('Final Calculation Sheet'!$H$4:$H$40,$AL$73)="","",INDEX('Final Calculation Sheet'!$H$4:$H$40,$AL$73)))</f>
        <v/>
      </c>
      <c r="J73" s="131" t="str">
        <f>IF($AL$73="","",IF(INDEX('Final Calculation Sheet'!$I$4:$I$40,$AL$73)="","",INDEX('Final Calculation Sheet'!$I$4:$I$40,$AL$73)))</f>
        <v/>
      </c>
      <c r="K73" s="131" t="str">
        <f>IF($AL$73="","",IF(INDEX('Final Calculation Sheet'!$J$4:$J$40,$AL$73)="","",INDEX('Final Calculation Sheet'!$J$4:$J$40,$AL$73)))</f>
        <v/>
      </c>
      <c r="L73" s="131" t="str">
        <f>IF($AL$73="","",IF(INDEX('Final Calculation Sheet'!$K$4:$K$40,$AL$73)="","",INDEX('Final Calculation Sheet'!$K$4:$K$40,$AL$73)))</f>
        <v/>
      </c>
      <c r="M73" s="131" t="str">
        <f>IF($AL$73="","",IF(INDEX('Final Calculation Sheet'!$L$4:$L$40,$AL$73)="","",INDEX('Final Calculation Sheet'!$L$4:$L$40,$AL$73)))</f>
        <v/>
      </c>
      <c r="N73" s="131" t="str">
        <f>IF($AL$73="","",IF(INDEX('Final Calculation Sheet'!$M$4:$M$40,$AL$73)="","",INDEX('Final Calculation Sheet'!$M$4:$M$40,$AL$73)))</f>
        <v/>
      </c>
      <c r="O73" s="132" t="str">
        <f>IF($AL$73="","",IF(INDEX('Final Calculation Sheet'!$N$4:$N$40,$AL$73)="","",INDEX('Final Calculation Sheet'!$N$4:$N$40,$AL$73)))</f>
        <v/>
      </c>
      <c r="P73" s="131" t="str">
        <f>IF($AL$73="","",IF(INDEX('Final Calculation Sheet'!$O$4:$O$40,$AL$73)="","",INDEX('Final Calculation Sheet'!$O$4:$O$40,$AL$73)))</f>
        <v/>
      </c>
      <c r="Q73" s="131" t="str">
        <f>IF($AL$73="","",IF(INDEX('Final Calculation Sheet'!$P$4:$P$40,$AL$73)="","",INDEX('Final Calculation Sheet'!$P$4:$P$40,$AL$73)))</f>
        <v/>
      </c>
      <c r="R73" s="133" t="str">
        <f>IF($AL$73="","",IF(INDEX('Final Calculation Sheet'!$Q$4:$Q$40,$AL$73)="","",INDEX('Final Calculation Sheet'!$Q$4:$Q$40,$AL$73)))</f>
        <v/>
      </c>
      <c r="S73" s="131" t="str">
        <f>IF($AL$73="","",IF(INDEX('Final Calculation Sheet'!$R$4:$R$40,$AL$73)="","",INDEX('Final Calculation Sheet'!$R$4:$R$40,$AL$73)))</f>
        <v/>
      </c>
      <c r="T73" s="131" t="str">
        <f>IF($AL$73="","",IF(INDEX('Final Calculation Sheet'!$S$4:$S$40,$AL$73)="","",INDEX('Final Calculation Sheet'!$S$4:$S$40,$AL$73)))</f>
        <v/>
      </c>
      <c r="U73" s="131" t="str">
        <f>IF($AL$73="","",IF(INDEX('Final Calculation Sheet'!$T$4:$T$40,$AL$73)="","",INDEX('Final Calculation Sheet'!$T$4:$T$40,$AL$73)))</f>
        <v/>
      </c>
      <c r="V73" s="134" t="str">
        <f>IF($AL$73="","",IF(INDEX('Final Calculation Sheet'!$U$4:$U$40,$AL$73)="","",INDEX('Final Calculation Sheet'!$U$4:$U$40,$AL$73)))</f>
        <v/>
      </c>
      <c r="W73" s="131" t="str">
        <f>IF($AL$73="","",IF(INDEX('Final Calculation Sheet'!$V$4:$V$40,$AL$73)="","",INDEX('Final Calculation Sheet'!$V$4:$V$40,$AL$73)))</f>
        <v/>
      </c>
      <c r="X73" s="131" t="str">
        <f>IF($AL$73="","",IF(INDEX('Final Calculation Sheet'!$W$4:$W$40,$AL$73)="","",INDEX('Final Calculation Sheet'!$W$4:$W$40,$AL$73)))</f>
        <v/>
      </c>
      <c r="Y73" s="131" t="str">
        <f>IF($AL$73="","",IF(INDEX('Final Calculation Sheet'!$X$4:$X$40,$AL$73)="","",INDEX('Final Calculation Sheet'!$X$4:$X$40,$AL$73)))</f>
        <v/>
      </c>
      <c r="Z73" s="131" t="str">
        <f>IF($AL$73="","",IF(INDEX('Final Calculation Sheet'!$Y$4:$Y$40,$AL$73)="","",INDEX('Final Calculation Sheet'!$Y$4:$Y$40,$AL$73)))</f>
        <v/>
      </c>
      <c r="AA73" s="131" t="str">
        <f>IF($AL$73="","",IF(INDEX('Final Calculation Sheet'!$Z$4:$Z$40,$AL$73)="","",INDEX('Final Calculation Sheet'!$Z$4:$Z$40,$AL$73)))</f>
        <v/>
      </c>
      <c r="AB73" s="131" t="str">
        <f>IF($AL$73="","",IF(INDEX('Final Calculation Sheet'!$AA$4:$AA$40,$AL$73)="","",INDEX('Final Calculation Sheet'!$AA$4:$AA$40,$AL$73)))</f>
        <v/>
      </c>
      <c r="AC73" s="131" t="str">
        <f>IF($AL$73="","",IF(INDEX('Final Calculation Sheet'!$AB$4:$AB$40,$AL$73)="","",INDEX('Final Calculation Sheet'!$AB$4:$AB$40,$AL$73)))</f>
        <v/>
      </c>
      <c r="AD73" s="131" t="str">
        <f>IF($AL$73="","",IF(INDEX('Final Calculation Sheet'!$AC$4:$AC$40,$AL$73)="","",INDEX('Final Calculation Sheet'!$AC$4:$AC$40,$AL$73)))</f>
        <v/>
      </c>
      <c r="AE73" s="131" t="str">
        <f>IF($AL$73="","",IF(INDEX('Final Calculation Sheet'!$AD$4:$AD$40,$AL$73)="","",INDEX('Final Calculation Sheet'!$AD$4:$AD$40,$AL$73)))</f>
        <v/>
      </c>
      <c r="AF73" s="131" t="str">
        <f>IF($AL$73="","",IF(INDEX('Final Calculation Sheet'!$AE$4:$AE$40,$AL$73)="","",INDEX('Final Calculation Sheet'!$AE$4:$AE$40,$AL$73)))</f>
        <v/>
      </c>
      <c r="AG73" s="135" t="str">
        <f>IF($AL$73="","",IF(INDEX('Final Calculation Sheet'!$AF$4:$AF$40,$AL$73)="","",INDEX('Final Calculation Sheet'!$AF$4:$AF$40,$AL$73)))</f>
        <v/>
      </c>
      <c r="AH73" s="131" t="str">
        <f>IF($AL$73="","",IF(INDEX('Final Calculation Sheet'!$AG$4:$AG$40,$AL$73)="","",INDEX('Final Calculation Sheet'!$AG$4:$AG$40,$AL$73)))</f>
        <v/>
      </c>
      <c r="AI73" s="136" t="str">
        <f>IF($AL$73="","",IF(INDEX('Final Calculation Sheet'!$AD$4:$AD$40,$AL$73)&lt;=5,"SETTLED","OUTSTANDING"))</f>
        <v/>
      </c>
      <c r="AL73" t="str">
        <f>IF(COUNTIF($B$4:$AI$4,"&lt;&gt;")=0,"",IFERROR(MATCH(14,$AK$6:$AK$42,0),""))</f>
        <v/>
      </c>
    </row>
    <row r="74">
      <c r="A74" s="118" t="str">
        <f>IF($AL$74="","",15)</f>
        <v/>
      </c>
      <c r="B74" s="119" t="str">
        <f>IF($AL$74="","",IF(INDEX('Final Calculation Sheet'!$F$4:$F$40,$AL$74)="","",INDEX('Final Calculation Sheet'!$F$4:$F$40,$AL$74)))</f>
        <v/>
      </c>
      <c r="C74" s="119" t="str">
        <f>IF($AL$74="","",IF(INDEX('Final Calculation Sheet'!$G$4:$G$40,$AL$74)="","",INDEX('Final Calculation Sheet'!$G$4:$G$40,$AL$74)))</f>
        <v/>
      </c>
      <c r="D74" s="121" t="str">
        <f>IF($AL$74="","",IF(INDEX('Final Calculation Sheet'!$B$4:$B$40,$AL$74)="","",INDEX('Final Calculation Sheet'!$B$4:$B$40,$AL$74)))</f>
        <v/>
      </c>
      <c r="E74" s="121" t="str">
        <f>IF($AL$74="","",IF(INDEX('Final Calculation Sheet'!$D$4:$D$40,$AL$74)="","",INDEX('Final Calculation Sheet'!$D$4:$D$40,$AL$74)))</f>
        <v/>
      </c>
      <c r="F74" s="121" t="str">
        <f>IF($AL$74="","",IF(INDEX('Final Calculation Sheet'!$A$4:$A$40,$AL$74)="","",INDEX('Final Calculation Sheet'!$A$4:$A$40,$AL$74)))</f>
        <v/>
      </c>
      <c r="G74" s="121" t="str">
        <f>IF($AL$74="","",IF(INDEX('Final Calculation Sheet'!$E$4:$E$40,$AL$74)="","",INDEX('Final Calculation Sheet'!$E$4:$E$40,$AL$74)))</f>
        <v/>
      </c>
      <c r="H74" s="122" t="str">
        <f>IF($AL$74="","",IF(INDEX('Final Calculation Sheet'!$C$4:$C$40,$AL$74)="","",INDEX('Final Calculation Sheet'!$C$4:$C$40,$AL$74)))</f>
        <v/>
      </c>
      <c r="I74" s="122" t="str">
        <f>IF($AL$74="","",IF(INDEX('Final Calculation Sheet'!$H$4:$H$40,$AL$74)="","",INDEX('Final Calculation Sheet'!$H$4:$H$40,$AL$74)))</f>
        <v/>
      </c>
      <c r="J74" s="122" t="str">
        <f>IF($AL$74="","",IF(INDEX('Final Calculation Sheet'!$I$4:$I$40,$AL$74)="","",INDEX('Final Calculation Sheet'!$I$4:$I$40,$AL$74)))</f>
        <v/>
      </c>
      <c r="K74" s="122" t="str">
        <f>IF($AL$74="","",IF(INDEX('Final Calculation Sheet'!$J$4:$J$40,$AL$74)="","",INDEX('Final Calculation Sheet'!$J$4:$J$40,$AL$74)))</f>
        <v/>
      </c>
      <c r="L74" s="122" t="str">
        <f>IF($AL$74="","",IF(INDEX('Final Calculation Sheet'!$K$4:$K$40,$AL$74)="","",INDEX('Final Calculation Sheet'!$K$4:$K$40,$AL$74)))</f>
        <v/>
      </c>
      <c r="M74" s="122" t="str">
        <f>IF($AL$74="","",IF(INDEX('Final Calculation Sheet'!$L$4:$L$40,$AL$74)="","",INDEX('Final Calculation Sheet'!$L$4:$L$40,$AL$74)))</f>
        <v/>
      </c>
      <c r="N74" s="122" t="str">
        <f>IF($AL$74="","",IF(INDEX('Final Calculation Sheet'!$M$4:$M$40,$AL$74)="","",INDEX('Final Calculation Sheet'!$M$4:$M$40,$AL$74)))</f>
        <v/>
      </c>
      <c r="O74" s="123" t="str">
        <f>IF($AL$74="","",IF(INDEX('Final Calculation Sheet'!$N$4:$N$40,$AL$74)="","",INDEX('Final Calculation Sheet'!$N$4:$N$40,$AL$74)))</f>
        <v/>
      </c>
      <c r="P74" s="122" t="str">
        <f>IF($AL$74="","",IF(INDEX('Final Calculation Sheet'!$O$4:$O$40,$AL$74)="","",INDEX('Final Calculation Sheet'!$O$4:$O$40,$AL$74)))</f>
        <v/>
      </c>
      <c r="Q74" s="122" t="str">
        <f>IF($AL$74="","",IF(INDEX('Final Calculation Sheet'!$P$4:$P$40,$AL$74)="","",INDEX('Final Calculation Sheet'!$P$4:$P$40,$AL$74)))</f>
        <v/>
      </c>
      <c r="R74" s="124" t="str">
        <f>IF($AL$74="","",IF(INDEX('Final Calculation Sheet'!$Q$4:$Q$40,$AL$74)="","",INDEX('Final Calculation Sheet'!$Q$4:$Q$40,$AL$74)))</f>
        <v/>
      </c>
      <c r="S74" s="122" t="str">
        <f>IF($AL$74="","",IF(INDEX('Final Calculation Sheet'!$R$4:$R$40,$AL$74)="","",INDEX('Final Calculation Sheet'!$R$4:$R$40,$AL$74)))</f>
        <v/>
      </c>
      <c r="T74" s="122" t="str">
        <f>IF($AL$74="","",IF(INDEX('Final Calculation Sheet'!$S$4:$S$40,$AL$74)="","",INDEX('Final Calculation Sheet'!$S$4:$S$40,$AL$74)))</f>
        <v/>
      </c>
      <c r="U74" s="122" t="str">
        <f>IF($AL$74="","",IF(INDEX('Final Calculation Sheet'!$T$4:$T$40,$AL$74)="","",INDEX('Final Calculation Sheet'!$T$4:$T$40,$AL$74)))</f>
        <v/>
      </c>
      <c r="V74" s="125" t="str">
        <f>IF($AL$74="","",IF(INDEX('Final Calculation Sheet'!$U$4:$U$40,$AL$74)="","",INDEX('Final Calculation Sheet'!$U$4:$U$40,$AL$74)))</f>
        <v/>
      </c>
      <c r="W74" s="122" t="str">
        <f>IF($AL$74="","",IF(INDEX('Final Calculation Sheet'!$V$4:$V$40,$AL$74)="","",INDEX('Final Calculation Sheet'!$V$4:$V$40,$AL$74)))</f>
        <v/>
      </c>
      <c r="X74" s="122" t="str">
        <f>IF($AL$74="","",IF(INDEX('Final Calculation Sheet'!$W$4:$W$40,$AL$74)="","",INDEX('Final Calculation Sheet'!$W$4:$W$40,$AL$74)))</f>
        <v/>
      </c>
      <c r="Y74" s="122" t="str">
        <f>IF($AL$74="","",IF(INDEX('Final Calculation Sheet'!$X$4:$X$40,$AL$74)="","",INDEX('Final Calculation Sheet'!$X$4:$X$40,$AL$74)))</f>
        <v/>
      </c>
      <c r="Z74" s="122" t="str">
        <f>IF($AL$74="","",IF(INDEX('Final Calculation Sheet'!$Y$4:$Y$40,$AL$74)="","",INDEX('Final Calculation Sheet'!$Y$4:$Y$40,$AL$74)))</f>
        <v/>
      </c>
      <c r="AA74" s="122" t="str">
        <f>IF($AL$74="","",IF(INDEX('Final Calculation Sheet'!$Z$4:$Z$40,$AL$74)="","",INDEX('Final Calculation Sheet'!$Z$4:$Z$40,$AL$74)))</f>
        <v/>
      </c>
      <c r="AB74" s="122" t="str">
        <f>IF($AL$74="","",IF(INDEX('Final Calculation Sheet'!$AA$4:$AA$40,$AL$74)="","",INDEX('Final Calculation Sheet'!$AA$4:$AA$40,$AL$74)))</f>
        <v/>
      </c>
      <c r="AC74" s="122" t="str">
        <f>IF($AL$74="","",IF(INDEX('Final Calculation Sheet'!$AB$4:$AB$40,$AL$74)="","",INDEX('Final Calculation Sheet'!$AB$4:$AB$40,$AL$74)))</f>
        <v/>
      </c>
      <c r="AD74" s="122" t="str">
        <f>IF($AL$74="","",IF(INDEX('Final Calculation Sheet'!$AC$4:$AC$40,$AL$74)="","",INDEX('Final Calculation Sheet'!$AC$4:$AC$40,$AL$74)))</f>
        <v/>
      </c>
      <c r="AE74" s="122" t="str">
        <f>IF($AL$74="","",IF(INDEX('Final Calculation Sheet'!$AD$4:$AD$40,$AL$74)="","",INDEX('Final Calculation Sheet'!$AD$4:$AD$40,$AL$74)))</f>
        <v/>
      </c>
      <c r="AF74" s="122" t="str">
        <f>IF($AL$74="","",IF(INDEX('Final Calculation Sheet'!$AE$4:$AE$40,$AL$74)="","",INDEX('Final Calculation Sheet'!$AE$4:$AE$40,$AL$74)))</f>
        <v/>
      </c>
      <c r="AG74" s="126" t="str">
        <f>IF($AL$74="","",IF(INDEX('Final Calculation Sheet'!$AF$4:$AF$40,$AL$74)="","",INDEX('Final Calculation Sheet'!$AF$4:$AF$40,$AL$74)))</f>
        <v/>
      </c>
      <c r="AH74" s="122" t="str">
        <f>IF($AL$74="","",IF(INDEX('Final Calculation Sheet'!$AG$4:$AG$40,$AL$74)="","",INDEX('Final Calculation Sheet'!$AG$4:$AG$40,$AL$74)))</f>
        <v/>
      </c>
      <c r="AI74" s="127" t="str">
        <f>IF($AL$74="","",IF(INDEX('Final Calculation Sheet'!$AD$4:$AD$40,$AL$74)&lt;=5,"SETTLED","OUTSTANDING"))</f>
        <v/>
      </c>
      <c r="AL74" t="str">
        <f>IF(COUNTIF($B$4:$AI$4,"&lt;&gt;")=0,"",IFERROR(MATCH(15,$AK$6:$AK$42,0),""))</f>
        <v/>
      </c>
    </row>
    <row r="75">
      <c r="A75" s="128" t="str">
        <f>IF($AL$75="","",16)</f>
        <v/>
      </c>
      <c r="B75" s="129" t="str">
        <f>IF($AL$75="","",IF(INDEX('Final Calculation Sheet'!$F$4:$F$40,$AL$75)="","",INDEX('Final Calculation Sheet'!$F$4:$F$40,$AL$75)))</f>
        <v/>
      </c>
      <c r="C75" s="129" t="str">
        <f>IF($AL$75="","",IF(INDEX('Final Calculation Sheet'!$G$4:$G$40,$AL$75)="","",INDEX('Final Calculation Sheet'!$G$4:$G$40,$AL$75)))</f>
        <v/>
      </c>
      <c r="D75" s="130" t="str">
        <f>IF($AL$75="","",IF(INDEX('Final Calculation Sheet'!$B$4:$B$40,$AL$75)="","",INDEX('Final Calculation Sheet'!$B$4:$B$40,$AL$75)))</f>
        <v/>
      </c>
      <c r="E75" s="130" t="str">
        <f>IF($AL$75="","",IF(INDEX('Final Calculation Sheet'!$D$4:$D$40,$AL$75)="","",INDEX('Final Calculation Sheet'!$D$4:$D$40,$AL$75)))</f>
        <v/>
      </c>
      <c r="F75" s="130" t="str">
        <f>IF($AL$75="","",IF(INDEX('Final Calculation Sheet'!$A$4:$A$40,$AL$75)="","",INDEX('Final Calculation Sheet'!$A$4:$A$40,$AL$75)))</f>
        <v/>
      </c>
      <c r="G75" s="130" t="str">
        <f>IF($AL$75="","",IF(INDEX('Final Calculation Sheet'!$E$4:$E$40,$AL$75)="","",INDEX('Final Calculation Sheet'!$E$4:$E$40,$AL$75)))</f>
        <v/>
      </c>
      <c r="H75" s="131" t="str">
        <f>IF($AL$75="","",IF(INDEX('Final Calculation Sheet'!$C$4:$C$40,$AL$75)="","",INDEX('Final Calculation Sheet'!$C$4:$C$40,$AL$75)))</f>
        <v/>
      </c>
      <c r="I75" s="131" t="str">
        <f>IF($AL$75="","",IF(INDEX('Final Calculation Sheet'!$H$4:$H$40,$AL$75)="","",INDEX('Final Calculation Sheet'!$H$4:$H$40,$AL$75)))</f>
        <v/>
      </c>
      <c r="J75" s="131" t="str">
        <f>IF($AL$75="","",IF(INDEX('Final Calculation Sheet'!$I$4:$I$40,$AL$75)="","",INDEX('Final Calculation Sheet'!$I$4:$I$40,$AL$75)))</f>
        <v/>
      </c>
      <c r="K75" s="131" t="str">
        <f>IF($AL$75="","",IF(INDEX('Final Calculation Sheet'!$J$4:$J$40,$AL$75)="","",INDEX('Final Calculation Sheet'!$J$4:$J$40,$AL$75)))</f>
        <v/>
      </c>
      <c r="L75" s="131" t="str">
        <f>IF($AL$75="","",IF(INDEX('Final Calculation Sheet'!$K$4:$K$40,$AL$75)="","",INDEX('Final Calculation Sheet'!$K$4:$K$40,$AL$75)))</f>
        <v/>
      </c>
      <c r="M75" s="131" t="str">
        <f>IF($AL$75="","",IF(INDEX('Final Calculation Sheet'!$L$4:$L$40,$AL$75)="","",INDEX('Final Calculation Sheet'!$L$4:$L$40,$AL$75)))</f>
        <v/>
      </c>
      <c r="N75" s="131" t="str">
        <f>IF($AL$75="","",IF(INDEX('Final Calculation Sheet'!$M$4:$M$40,$AL$75)="","",INDEX('Final Calculation Sheet'!$M$4:$M$40,$AL$75)))</f>
        <v/>
      </c>
      <c r="O75" s="132" t="str">
        <f>IF($AL$75="","",IF(INDEX('Final Calculation Sheet'!$N$4:$N$40,$AL$75)="","",INDEX('Final Calculation Sheet'!$N$4:$N$40,$AL$75)))</f>
        <v/>
      </c>
      <c r="P75" s="131" t="str">
        <f>IF($AL$75="","",IF(INDEX('Final Calculation Sheet'!$O$4:$O$40,$AL$75)="","",INDEX('Final Calculation Sheet'!$O$4:$O$40,$AL$75)))</f>
        <v/>
      </c>
      <c r="Q75" s="131" t="str">
        <f>IF($AL$75="","",IF(INDEX('Final Calculation Sheet'!$P$4:$P$40,$AL$75)="","",INDEX('Final Calculation Sheet'!$P$4:$P$40,$AL$75)))</f>
        <v/>
      </c>
      <c r="R75" s="133" t="str">
        <f>IF($AL$75="","",IF(INDEX('Final Calculation Sheet'!$Q$4:$Q$40,$AL$75)="","",INDEX('Final Calculation Sheet'!$Q$4:$Q$40,$AL$75)))</f>
        <v/>
      </c>
      <c r="S75" s="131" t="str">
        <f>IF($AL$75="","",IF(INDEX('Final Calculation Sheet'!$R$4:$R$40,$AL$75)="","",INDEX('Final Calculation Sheet'!$R$4:$R$40,$AL$75)))</f>
        <v/>
      </c>
      <c r="T75" s="131" t="str">
        <f>IF($AL$75="","",IF(INDEX('Final Calculation Sheet'!$S$4:$S$40,$AL$75)="","",INDEX('Final Calculation Sheet'!$S$4:$S$40,$AL$75)))</f>
        <v/>
      </c>
      <c r="U75" s="131" t="str">
        <f>IF($AL$75="","",IF(INDEX('Final Calculation Sheet'!$T$4:$T$40,$AL$75)="","",INDEX('Final Calculation Sheet'!$T$4:$T$40,$AL$75)))</f>
        <v/>
      </c>
      <c r="V75" s="134" t="str">
        <f>IF($AL$75="","",IF(INDEX('Final Calculation Sheet'!$U$4:$U$40,$AL$75)="","",INDEX('Final Calculation Sheet'!$U$4:$U$40,$AL$75)))</f>
        <v/>
      </c>
      <c r="W75" s="131" t="str">
        <f>IF($AL$75="","",IF(INDEX('Final Calculation Sheet'!$V$4:$V$40,$AL$75)="","",INDEX('Final Calculation Sheet'!$V$4:$V$40,$AL$75)))</f>
        <v/>
      </c>
      <c r="X75" s="131" t="str">
        <f>IF($AL$75="","",IF(INDEX('Final Calculation Sheet'!$W$4:$W$40,$AL$75)="","",INDEX('Final Calculation Sheet'!$W$4:$W$40,$AL$75)))</f>
        <v/>
      </c>
      <c r="Y75" s="131" t="str">
        <f>IF($AL$75="","",IF(INDEX('Final Calculation Sheet'!$X$4:$X$40,$AL$75)="","",INDEX('Final Calculation Sheet'!$X$4:$X$40,$AL$75)))</f>
        <v/>
      </c>
      <c r="Z75" s="131" t="str">
        <f>IF($AL$75="","",IF(INDEX('Final Calculation Sheet'!$Y$4:$Y$40,$AL$75)="","",INDEX('Final Calculation Sheet'!$Y$4:$Y$40,$AL$75)))</f>
        <v/>
      </c>
      <c r="AA75" s="131" t="str">
        <f>IF($AL$75="","",IF(INDEX('Final Calculation Sheet'!$Z$4:$Z$40,$AL$75)="","",INDEX('Final Calculation Sheet'!$Z$4:$Z$40,$AL$75)))</f>
        <v/>
      </c>
      <c r="AB75" s="131" t="str">
        <f>IF($AL$75="","",IF(INDEX('Final Calculation Sheet'!$AA$4:$AA$40,$AL$75)="","",INDEX('Final Calculation Sheet'!$AA$4:$AA$40,$AL$75)))</f>
        <v/>
      </c>
      <c r="AC75" s="131" t="str">
        <f>IF($AL$75="","",IF(INDEX('Final Calculation Sheet'!$AB$4:$AB$40,$AL$75)="","",INDEX('Final Calculation Sheet'!$AB$4:$AB$40,$AL$75)))</f>
        <v/>
      </c>
      <c r="AD75" s="131" t="str">
        <f>IF($AL$75="","",IF(INDEX('Final Calculation Sheet'!$AC$4:$AC$40,$AL$75)="","",INDEX('Final Calculation Sheet'!$AC$4:$AC$40,$AL$75)))</f>
        <v/>
      </c>
      <c r="AE75" s="131" t="str">
        <f>IF($AL$75="","",IF(INDEX('Final Calculation Sheet'!$AD$4:$AD$40,$AL$75)="","",INDEX('Final Calculation Sheet'!$AD$4:$AD$40,$AL$75)))</f>
        <v/>
      </c>
      <c r="AF75" s="131" t="str">
        <f>IF($AL$75="","",IF(INDEX('Final Calculation Sheet'!$AE$4:$AE$40,$AL$75)="","",INDEX('Final Calculation Sheet'!$AE$4:$AE$40,$AL$75)))</f>
        <v/>
      </c>
      <c r="AG75" s="135" t="str">
        <f>IF($AL$75="","",IF(INDEX('Final Calculation Sheet'!$AF$4:$AF$40,$AL$75)="","",INDEX('Final Calculation Sheet'!$AF$4:$AF$40,$AL$75)))</f>
        <v/>
      </c>
      <c r="AH75" s="131" t="str">
        <f>IF($AL$75="","",IF(INDEX('Final Calculation Sheet'!$AG$4:$AG$40,$AL$75)="","",INDEX('Final Calculation Sheet'!$AG$4:$AG$40,$AL$75)))</f>
        <v/>
      </c>
      <c r="AI75" s="136" t="str">
        <f>IF($AL$75="","",IF(INDEX('Final Calculation Sheet'!$AD$4:$AD$40,$AL$75)&lt;=5,"SETTLED","OUTSTANDING"))</f>
        <v/>
      </c>
      <c r="AL75" t="str">
        <f>IF(COUNTIF($B$4:$AI$4,"&lt;&gt;")=0,"",IFERROR(MATCH(16,$AK$6:$AK$42,0),""))</f>
        <v/>
      </c>
    </row>
    <row r="76">
      <c r="A76" s="118" t="str">
        <f>IF($AL$76="","",17)</f>
        <v/>
      </c>
      <c r="B76" s="119" t="str">
        <f>IF($AL$76="","",IF(INDEX('Final Calculation Sheet'!$F$4:$F$40,$AL$76)="","",INDEX('Final Calculation Sheet'!$F$4:$F$40,$AL$76)))</f>
        <v/>
      </c>
      <c r="C76" s="119" t="str">
        <f>IF($AL$76="","",IF(INDEX('Final Calculation Sheet'!$G$4:$G$40,$AL$76)="","",INDEX('Final Calculation Sheet'!$G$4:$G$40,$AL$76)))</f>
        <v/>
      </c>
      <c r="D76" s="121" t="str">
        <f>IF($AL$76="","",IF(INDEX('Final Calculation Sheet'!$B$4:$B$40,$AL$76)="","",INDEX('Final Calculation Sheet'!$B$4:$B$40,$AL$76)))</f>
        <v/>
      </c>
      <c r="E76" s="121" t="str">
        <f>IF($AL$76="","",IF(INDEX('Final Calculation Sheet'!$D$4:$D$40,$AL$76)="","",INDEX('Final Calculation Sheet'!$D$4:$D$40,$AL$76)))</f>
        <v/>
      </c>
      <c r="F76" s="121" t="str">
        <f>IF($AL$76="","",IF(INDEX('Final Calculation Sheet'!$A$4:$A$40,$AL$76)="","",INDEX('Final Calculation Sheet'!$A$4:$A$40,$AL$76)))</f>
        <v/>
      </c>
      <c r="G76" s="121" t="str">
        <f>IF($AL$76="","",IF(INDEX('Final Calculation Sheet'!$E$4:$E$40,$AL$76)="","",INDEX('Final Calculation Sheet'!$E$4:$E$40,$AL$76)))</f>
        <v/>
      </c>
      <c r="H76" s="122" t="str">
        <f>IF($AL$76="","",IF(INDEX('Final Calculation Sheet'!$C$4:$C$40,$AL$76)="","",INDEX('Final Calculation Sheet'!$C$4:$C$40,$AL$76)))</f>
        <v/>
      </c>
      <c r="I76" s="122" t="str">
        <f>IF($AL$76="","",IF(INDEX('Final Calculation Sheet'!$H$4:$H$40,$AL$76)="","",INDEX('Final Calculation Sheet'!$H$4:$H$40,$AL$76)))</f>
        <v/>
      </c>
      <c r="J76" s="122" t="str">
        <f>IF($AL$76="","",IF(INDEX('Final Calculation Sheet'!$I$4:$I$40,$AL$76)="","",INDEX('Final Calculation Sheet'!$I$4:$I$40,$AL$76)))</f>
        <v/>
      </c>
      <c r="K76" s="122" t="str">
        <f>IF($AL$76="","",IF(INDEX('Final Calculation Sheet'!$J$4:$J$40,$AL$76)="","",INDEX('Final Calculation Sheet'!$J$4:$J$40,$AL$76)))</f>
        <v/>
      </c>
      <c r="L76" s="122" t="str">
        <f>IF($AL$76="","",IF(INDEX('Final Calculation Sheet'!$K$4:$K$40,$AL$76)="","",INDEX('Final Calculation Sheet'!$K$4:$K$40,$AL$76)))</f>
        <v/>
      </c>
      <c r="M76" s="122" t="str">
        <f>IF($AL$76="","",IF(INDEX('Final Calculation Sheet'!$L$4:$L$40,$AL$76)="","",INDEX('Final Calculation Sheet'!$L$4:$L$40,$AL$76)))</f>
        <v/>
      </c>
      <c r="N76" s="122" t="str">
        <f>IF($AL$76="","",IF(INDEX('Final Calculation Sheet'!$M$4:$M$40,$AL$76)="","",INDEX('Final Calculation Sheet'!$M$4:$M$40,$AL$76)))</f>
        <v/>
      </c>
      <c r="O76" s="123" t="str">
        <f>IF($AL$76="","",IF(INDEX('Final Calculation Sheet'!$N$4:$N$40,$AL$76)="","",INDEX('Final Calculation Sheet'!$N$4:$N$40,$AL$76)))</f>
        <v/>
      </c>
      <c r="P76" s="122" t="str">
        <f>IF($AL$76="","",IF(INDEX('Final Calculation Sheet'!$O$4:$O$40,$AL$76)="","",INDEX('Final Calculation Sheet'!$O$4:$O$40,$AL$76)))</f>
        <v/>
      </c>
      <c r="Q76" s="122" t="str">
        <f>IF($AL$76="","",IF(INDEX('Final Calculation Sheet'!$P$4:$P$40,$AL$76)="","",INDEX('Final Calculation Sheet'!$P$4:$P$40,$AL$76)))</f>
        <v/>
      </c>
      <c r="R76" s="124" t="str">
        <f>IF($AL$76="","",IF(INDEX('Final Calculation Sheet'!$Q$4:$Q$40,$AL$76)="","",INDEX('Final Calculation Sheet'!$Q$4:$Q$40,$AL$76)))</f>
        <v/>
      </c>
      <c r="S76" s="122" t="str">
        <f>IF($AL$76="","",IF(INDEX('Final Calculation Sheet'!$R$4:$R$40,$AL$76)="","",INDEX('Final Calculation Sheet'!$R$4:$R$40,$AL$76)))</f>
        <v/>
      </c>
      <c r="T76" s="122" t="str">
        <f>IF($AL$76="","",IF(INDEX('Final Calculation Sheet'!$S$4:$S$40,$AL$76)="","",INDEX('Final Calculation Sheet'!$S$4:$S$40,$AL$76)))</f>
        <v/>
      </c>
      <c r="U76" s="122" t="str">
        <f>IF($AL$76="","",IF(INDEX('Final Calculation Sheet'!$T$4:$T$40,$AL$76)="","",INDEX('Final Calculation Sheet'!$T$4:$T$40,$AL$76)))</f>
        <v/>
      </c>
      <c r="V76" s="125" t="str">
        <f>IF($AL$76="","",IF(INDEX('Final Calculation Sheet'!$U$4:$U$40,$AL$76)="","",INDEX('Final Calculation Sheet'!$U$4:$U$40,$AL$76)))</f>
        <v/>
      </c>
      <c r="W76" s="122" t="str">
        <f>IF($AL$76="","",IF(INDEX('Final Calculation Sheet'!$V$4:$V$40,$AL$76)="","",INDEX('Final Calculation Sheet'!$V$4:$V$40,$AL$76)))</f>
        <v/>
      </c>
      <c r="X76" s="122" t="str">
        <f>IF($AL$76="","",IF(INDEX('Final Calculation Sheet'!$W$4:$W$40,$AL$76)="","",INDEX('Final Calculation Sheet'!$W$4:$W$40,$AL$76)))</f>
        <v/>
      </c>
      <c r="Y76" s="122" t="str">
        <f>IF($AL$76="","",IF(INDEX('Final Calculation Sheet'!$X$4:$X$40,$AL$76)="","",INDEX('Final Calculation Sheet'!$X$4:$X$40,$AL$76)))</f>
        <v/>
      </c>
      <c r="Z76" s="122" t="str">
        <f>IF($AL$76="","",IF(INDEX('Final Calculation Sheet'!$Y$4:$Y$40,$AL$76)="","",INDEX('Final Calculation Sheet'!$Y$4:$Y$40,$AL$76)))</f>
        <v/>
      </c>
      <c r="AA76" s="122" t="str">
        <f>IF($AL$76="","",IF(INDEX('Final Calculation Sheet'!$Z$4:$Z$40,$AL$76)="","",INDEX('Final Calculation Sheet'!$Z$4:$Z$40,$AL$76)))</f>
        <v/>
      </c>
      <c r="AB76" s="122" t="str">
        <f>IF($AL$76="","",IF(INDEX('Final Calculation Sheet'!$AA$4:$AA$40,$AL$76)="","",INDEX('Final Calculation Sheet'!$AA$4:$AA$40,$AL$76)))</f>
        <v/>
      </c>
      <c r="AC76" s="122" t="str">
        <f>IF($AL$76="","",IF(INDEX('Final Calculation Sheet'!$AB$4:$AB$40,$AL$76)="","",INDEX('Final Calculation Sheet'!$AB$4:$AB$40,$AL$76)))</f>
        <v/>
      </c>
      <c r="AD76" s="122" t="str">
        <f>IF($AL$76="","",IF(INDEX('Final Calculation Sheet'!$AC$4:$AC$40,$AL$76)="","",INDEX('Final Calculation Sheet'!$AC$4:$AC$40,$AL$76)))</f>
        <v/>
      </c>
      <c r="AE76" s="122" t="str">
        <f>IF($AL$76="","",IF(INDEX('Final Calculation Sheet'!$AD$4:$AD$40,$AL$76)="","",INDEX('Final Calculation Sheet'!$AD$4:$AD$40,$AL$76)))</f>
        <v/>
      </c>
      <c r="AF76" s="122" t="str">
        <f>IF($AL$76="","",IF(INDEX('Final Calculation Sheet'!$AE$4:$AE$40,$AL$76)="","",INDEX('Final Calculation Sheet'!$AE$4:$AE$40,$AL$76)))</f>
        <v/>
      </c>
      <c r="AG76" s="126" t="str">
        <f>IF($AL$76="","",IF(INDEX('Final Calculation Sheet'!$AF$4:$AF$40,$AL$76)="","",INDEX('Final Calculation Sheet'!$AF$4:$AF$40,$AL$76)))</f>
        <v/>
      </c>
      <c r="AH76" s="122" t="str">
        <f>IF($AL$76="","",IF(INDEX('Final Calculation Sheet'!$AG$4:$AG$40,$AL$76)="","",INDEX('Final Calculation Sheet'!$AG$4:$AG$40,$AL$76)))</f>
        <v/>
      </c>
      <c r="AI76" s="127" t="str">
        <f>IF($AL$76="","",IF(INDEX('Final Calculation Sheet'!$AD$4:$AD$40,$AL$76)&lt;=5,"SETTLED","OUTSTANDING"))</f>
        <v/>
      </c>
      <c r="AL76" t="str">
        <f>IF(COUNTIF($B$4:$AI$4,"&lt;&gt;")=0,"",IFERROR(MATCH(17,$AK$6:$AK$42,0),""))</f>
        <v/>
      </c>
    </row>
    <row r="77">
      <c r="A77" s="128" t="str">
        <f>IF($AL$77="","",18)</f>
        <v/>
      </c>
      <c r="B77" s="129" t="str">
        <f>IF($AL$77="","",IF(INDEX('Final Calculation Sheet'!$F$4:$F$40,$AL$77)="","",INDEX('Final Calculation Sheet'!$F$4:$F$40,$AL$77)))</f>
        <v/>
      </c>
      <c r="C77" s="129" t="str">
        <f>IF($AL$77="","",IF(INDEX('Final Calculation Sheet'!$G$4:$G$40,$AL$77)="","",INDEX('Final Calculation Sheet'!$G$4:$G$40,$AL$77)))</f>
        <v/>
      </c>
      <c r="D77" s="130" t="str">
        <f>IF($AL$77="","",IF(INDEX('Final Calculation Sheet'!$B$4:$B$40,$AL$77)="","",INDEX('Final Calculation Sheet'!$B$4:$B$40,$AL$77)))</f>
        <v/>
      </c>
      <c r="E77" s="130" t="str">
        <f>IF($AL$77="","",IF(INDEX('Final Calculation Sheet'!$D$4:$D$40,$AL$77)="","",INDEX('Final Calculation Sheet'!$D$4:$D$40,$AL$77)))</f>
        <v/>
      </c>
      <c r="F77" s="130" t="str">
        <f>IF($AL$77="","",IF(INDEX('Final Calculation Sheet'!$A$4:$A$40,$AL$77)="","",INDEX('Final Calculation Sheet'!$A$4:$A$40,$AL$77)))</f>
        <v/>
      </c>
      <c r="G77" s="130" t="str">
        <f>IF($AL$77="","",IF(INDEX('Final Calculation Sheet'!$E$4:$E$40,$AL$77)="","",INDEX('Final Calculation Sheet'!$E$4:$E$40,$AL$77)))</f>
        <v/>
      </c>
      <c r="H77" s="131" t="str">
        <f>IF($AL$77="","",IF(INDEX('Final Calculation Sheet'!$C$4:$C$40,$AL$77)="","",INDEX('Final Calculation Sheet'!$C$4:$C$40,$AL$77)))</f>
        <v/>
      </c>
      <c r="I77" s="131" t="str">
        <f>IF($AL$77="","",IF(INDEX('Final Calculation Sheet'!$H$4:$H$40,$AL$77)="","",INDEX('Final Calculation Sheet'!$H$4:$H$40,$AL$77)))</f>
        <v/>
      </c>
      <c r="J77" s="131" t="str">
        <f>IF($AL$77="","",IF(INDEX('Final Calculation Sheet'!$I$4:$I$40,$AL$77)="","",INDEX('Final Calculation Sheet'!$I$4:$I$40,$AL$77)))</f>
        <v/>
      </c>
      <c r="K77" s="131" t="str">
        <f>IF($AL$77="","",IF(INDEX('Final Calculation Sheet'!$J$4:$J$40,$AL$77)="","",INDEX('Final Calculation Sheet'!$J$4:$J$40,$AL$77)))</f>
        <v/>
      </c>
      <c r="L77" s="131" t="str">
        <f>IF($AL$77="","",IF(INDEX('Final Calculation Sheet'!$K$4:$K$40,$AL$77)="","",INDEX('Final Calculation Sheet'!$K$4:$K$40,$AL$77)))</f>
        <v/>
      </c>
      <c r="M77" s="131" t="str">
        <f>IF($AL$77="","",IF(INDEX('Final Calculation Sheet'!$L$4:$L$40,$AL$77)="","",INDEX('Final Calculation Sheet'!$L$4:$L$40,$AL$77)))</f>
        <v/>
      </c>
      <c r="N77" s="131" t="str">
        <f>IF($AL$77="","",IF(INDEX('Final Calculation Sheet'!$M$4:$M$40,$AL$77)="","",INDEX('Final Calculation Sheet'!$M$4:$M$40,$AL$77)))</f>
        <v/>
      </c>
      <c r="O77" s="132" t="str">
        <f>IF($AL$77="","",IF(INDEX('Final Calculation Sheet'!$N$4:$N$40,$AL$77)="","",INDEX('Final Calculation Sheet'!$N$4:$N$40,$AL$77)))</f>
        <v/>
      </c>
      <c r="P77" s="131" t="str">
        <f>IF($AL$77="","",IF(INDEX('Final Calculation Sheet'!$O$4:$O$40,$AL$77)="","",INDEX('Final Calculation Sheet'!$O$4:$O$40,$AL$77)))</f>
        <v/>
      </c>
      <c r="Q77" s="131" t="str">
        <f>IF($AL$77="","",IF(INDEX('Final Calculation Sheet'!$P$4:$P$40,$AL$77)="","",INDEX('Final Calculation Sheet'!$P$4:$P$40,$AL$77)))</f>
        <v/>
      </c>
      <c r="R77" s="133" t="str">
        <f>IF($AL$77="","",IF(INDEX('Final Calculation Sheet'!$Q$4:$Q$40,$AL$77)="","",INDEX('Final Calculation Sheet'!$Q$4:$Q$40,$AL$77)))</f>
        <v/>
      </c>
      <c r="S77" s="131" t="str">
        <f>IF($AL$77="","",IF(INDEX('Final Calculation Sheet'!$R$4:$R$40,$AL$77)="","",INDEX('Final Calculation Sheet'!$R$4:$R$40,$AL$77)))</f>
        <v/>
      </c>
      <c r="T77" s="131" t="str">
        <f>IF($AL$77="","",IF(INDEX('Final Calculation Sheet'!$S$4:$S$40,$AL$77)="","",INDEX('Final Calculation Sheet'!$S$4:$S$40,$AL$77)))</f>
        <v/>
      </c>
      <c r="U77" s="131" t="str">
        <f>IF($AL$77="","",IF(INDEX('Final Calculation Sheet'!$T$4:$T$40,$AL$77)="","",INDEX('Final Calculation Sheet'!$T$4:$T$40,$AL$77)))</f>
        <v/>
      </c>
      <c r="V77" s="134" t="str">
        <f>IF($AL$77="","",IF(INDEX('Final Calculation Sheet'!$U$4:$U$40,$AL$77)="","",INDEX('Final Calculation Sheet'!$U$4:$U$40,$AL$77)))</f>
        <v/>
      </c>
      <c r="W77" s="131" t="str">
        <f>IF($AL$77="","",IF(INDEX('Final Calculation Sheet'!$V$4:$V$40,$AL$77)="","",INDEX('Final Calculation Sheet'!$V$4:$V$40,$AL$77)))</f>
        <v/>
      </c>
      <c r="X77" s="131" t="str">
        <f>IF($AL$77="","",IF(INDEX('Final Calculation Sheet'!$W$4:$W$40,$AL$77)="","",INDEX('Final Calculation Sheet'!$W$4:$W$40,$AL$77)))</f>
        <v/>
      </c>
      <c r="Y77" s="131" t="str">
        <f>IF($AL$77="","",IF(INDEX('Final Calculation Sheet'!$X$4:$X$40,$AL$77)="","",INDEX('Final Calculation Sheet'!$X$4:$X$40,$AL$77)))</f>
        <v/>
      </c>
      <c r="Z77" s="131" t="str">
        <f>IF($AL$77="","",IF(INDEX('Final Calculation Sheet'!$Y$4:$Y$40,$AL$77)="","",INDEX('Final Calculation Sheet'!$Y$4:$Y$40,$AL$77)))</f>
        <v/>
      </c>
      <c r="AA77" s="131" t="str">
        <f>IF($AL$77="","",IF(INDEX('Final Calculation Sheet'!$Z$4:$Z$40,$AL$77)="","",INDEX('Final Calculation Sheet'!$Z$4:$Z$40,$AL$77)))</f>
        <v/>
      </c>
      <c r="AB77" s="131" t="str">
        <f>IF($AL$77="","",IF(INDEX('Final Calculation Sheet'!$AA$4:$AA$40,$AL$77)="","",INDEX('Final Calculation Sheet'!$AA$4:$AA$40,$AL$77)))</f>
        <v/>
      </c>
      <c r="AC77" s="131" t="str">
        <f>IF($AL$77="","",IF(INDEX('Final Calculation Sheet'!$AB$4:$AB$40,$AL$77)="","",INDEX('Final Calculation Sheet'!$AB$4:$AB$40,$AL$77)))</f>
        <v/>
      </c>
      <c r="AD77" s="131" t="str">
        <f>IF($AL$77="","",IF(INDEX('Final Calculation Sheet'!$AC$4:$AC$40,$AL$77)="","",INDEX('Final Calculation Sheet'!$AC$4:$AC$40,$AL$77)))</f>
        <v/>
      </c>
      <c r="AE77" s="131" t="str">
        <f>IF($AL$77="","",IF(INDEX('Final Calculation Sheet'!$AD$4:$AD$40,$AL$77)="","",INDEX('Final Calculation Sheet'!$AD$4:$AD$40,$AL$77)))</f>
        <v/>
      </c>
      <c r="AF77" s="131" t="str">
        <f>IF($AL$77="","",IF(INDEX('Final Calculation Sheet'!$AE$4:$AE$40,$AL$77)="","",INDEX('Final Calculation Sheet'!$AE$4:$AE$40,$AL$77)))</f>
        <v/>
      </c>
      <c r="AG77" s="135" t="str">
        <f>IF($AL$77="","",IF(INDEX('Final Calculation Sheet'!$AF$4:$AF$40,$AL$77)="","",INDEX('Final Calculation Sheet'!$AF$4:$AF$40,$AL$77)))</f>
        <v/>
      </c>
      <c r="AH77" s="131" t="str">
        <f>IF($AL$77="","",IF(INDEX('Final Calculation Sheet'!$AG$4:$AG$40,$AL$77)="","",INDEX('Final Calculation Sheet'!$AG$4:$AG$40,$AL$77)))</f>
        <v/>
      </c>
      <c r="AI77" s="136" t="str">
        <f>IF($AL$77="","",IF(INDEX('Final Calculation Sheet'!$AD$4:$AD$40,$AL$77)&lt;=5,"SETTLED","OUTSTANDING"))</f>
        <v/>
      </c>
      <c r="AL77" t="str">
        <f>IF(COUNTIF($B$4:$AI$4,"&lt;&gt;")=0,"",IFERROR(MATCH(18,$AK$6:$AK$42,0),""))</f>
        <v/>
      </c>
    </row>
    <row r="78">
      <c r="A78" s="118" t="str">
        <f>IF($AL$78="","",19)</f>
        <v/>
      </c>
      <c r="B78" s="119" t="str">
        <f>IF($AL$78="","",IF(INDEX('Final Calculation Sheet'!$F$4:$F$40,$AL$78)="","",INDEX('Final Calculation Sheet'!$F$4:$F$40,$AL$78)))</f>
        <v/>
      </c>
      <c r="C78" s="119" t="str">
        <f>IF($AL$78="","",IF(INDEX('Final Calculation Sheet'!$G$4:$G$40,$AL$78)="","",INDEX('Final Calculation Sheet'!$G$4:$G$40,$AL$78)))</f>
        <v/>
      </c>
      <c r="D78" s="121" t="str">
        <f>IF($AL$78="","",IF(INDEX('Final Calculation Sheet'!$B$4:$B$40,$AL$78)="","",INDEX('Final Calculation Sheet'!$B$4:$B$40,$AL$78)))</f>
        <v/>
      </c>
      <c r="E78" s="121" t="str">
        <f>IF($AL$78="","",IF(INDEX('Final Calculation Sheet'!$D$4:$D$40,$AL$78)="","",INDEX('Final Calculation Sheet'!$D$4:$D$40,$AL$78)))</f>
        <v/>
      </c>
      <c r="F78" s="121" t="str">
        <f>IF($AL$78="","",IF(INDEX('Final Calculation Sheet'!$A$4:$A$40,$AL$78)="","",INDEX('Final Calculation Sheet'!$A$4:$A$40,$AL$78)))</f>
        <v/>
      </c>
      <c r="G78" s="121" t="str">
        <f>IF($AL$78="","",IF(INDEX('Final Calculation Sheet'!$E$4:$E$40,$AL$78)="","",INDEX('Final Calculation Sheet'!$E$4:$E$40,$AL$78)))</f>
        <v/>
      </c>
      <c r="H78" s="122" t="str">
        <f>IF($AL$78="","",IF(INDEX('Final Calculation Sheet'!$C$4:$C$40,$AL$78)="","",INDEX('Final Calculation Sheet'!$C$4:$C$40,$AL$78)))</f>
        <v/>
      </c>
      <c r="I78" s="122" t="str">
        <f>IF($AL$78="","",IF(INDEX('Final Calculation Sheet'!$H$4:$H$40,$AL$78)="","",INDEX('Final Calculation Sheet'!$H$4:$H$40,$AL$78)))</f>
        <v/>
      </c>
      <c r="J78" s="122" t="str">
        <f>IF($AL$78="","",IF(INDEX('Final Calculation Sheet'!$I$4:$I$40,$AL$78)="","",INDEX('Final Calculation Sheet'!$I$4:$I$40,$AL$78)))</f>
        <v/>
      </c>
      <c r="K78" s="122" t="str">
        <f>IF($AL$78="","",IF(INDEX('Final Calculation Sheet'!$J$4:$J$40,$AL$78)="","",INDEX('Final Calculation Sheet'!$J$4:$J$40,$AL$78)))</f>
        <v/>
      </c>
      <c r="L78" s="122" t="str">
        <f>IF($AL$78="","",IF(INDEX('Final Calculation Sheet'!$K$4:$K$40,$AL$78)="","",INDEX('Final Calculation Sheet'!$K$4:$K$40,$AL$78)))</f>
        <v/>
      </c>
      <c r="M78" s="122" t="str">
        <f>IF($AL$78="","",IF(INDEX('Final Calculation Sheet'!$L$4:$L$40,$AL$78)="","",INDEX('Final Calculation Sheet'!$L$4:$L$40,$AL$78)))</f>
        <v/>
      </c>
      <c r="N78" s="122" t="str">
        <f>IF($AL$78="","",IF(INDEX('Final Calculation Sheet'!$M$4:$M$40,$AL$78)="","",INDEX('Final Calculation Sheet'!$M$4:$M$40,$AL$78)))</f>
        <v/>
      </c>
      <c r="O78" s="123" t="str">
        <f>IF($AL$78="","",IF(INDEX('Final Calculation Sheet'!$N$4:$N$40,$AL$78)="","",INDEX('Final Calculation Sheet'!$N$4:$N$40,$AL$78)))</f>
        <v/>
      </c>
      <c r="P78" s="122" t="str">
        <f>IF($AL$78="","",IF(INDEX('Final Calculation Sheet'!$O$4:$O$40,$AL$78)="","",INDEX('Final Calculation Sheet'!$O$4:$O$40,$AL$78)))</f>
        <v/>
      </c>
      <c r="Q78" s="122" t="str">
        <f>IF($AL$78="","",IF(INDEX('Final Calculation Sheet'!$P$4:$P$40,$AL$78)="","",INDEX('Final Calculation Sheet'!$P$4:$P$40,$AL$78)))</f>
        <v/>
      </c>
      <c r="R78" s="124" t="str">
        <f>IF($AL$78="","",IF(INDEX('Final Calculation Sheet'!$Q$4:$Q$40,$AL$78)="","",INDEX('Final Calculation Sheet'!$Q$4:$Q$40,$AL$78)))</f>
        <v/>
      </c>
      <c r="S78" s="122" t="str">
        <f>IF($AL$78="","",IF(INDEX('Final Calculation Sheet'!$R$4:$R$40,$AL$78)="","",INDEX('Final Calculation Sheet'!$R$4:$R$40,$AL$78)))</f>
        <v/>
      </c>
      <c r="T78" s="122" t="str">
        <f>IF($AL$78="","",IF(INDEX('Final Calculation Sheet'!$S$4:$S$40,$AL$78)="","",INDEX('Final Calculation Sheet'!$S$4:$S$40,$AL$78)))</f>
        <v/>
      </c>
      <c r="U78" s="122" t="str">
        <f>IF($AL$78="","",IF(INDEX('Final Calculation Sheet'!$T$4:$T$40,$AL$78)="","",INDEX('Final Calculation Sheet'!$T$4:$T$40,$AL$78)))</f>
        <v/>
      </c>
      <c r="V78" s="125" t="str">
        <f>IF($AL$78="","",IF(INDEX('Final Calculation Sheet'!$U$4:$U$40,$AL$78)="","",INDEX('Final Calculation Sheet'!$U$4:$U$40,$AL$78)))</f>
        <v/>
      </c>
      <c r="W78" s="122" t="str">
        <f>IF($AL$78="","",IF(INDEX('Final Calculation Sheet'!$V$4:$V$40,$AL$78)="","",INDEX('Final Calculation Sheet'!$V$4:$V$40,$AL$78)))</f>
        <v/>
      </c>
      <c r="X78" s="122" t="str">
        <f>IF($AL$78="","",IF(INDEX('Final Calculation Sheet'!$W$4:$W$40,$AL$78)="","",INDEX('Final Calculation Sheet'!$W$4:$W$40,$AL$78)))</f>
        <v/>
      </c>
      <c r="Y78" s="122" t="str">
        <f>IF($AL$78="","",IF(INDEX('Final Calculation Sheet'!$X$4:$X$40,$AL$78)="","",INDEX('Final Calculation Sheet'!$X$4:$X$40,$AL$78)))</f>
        <v/>
      </c>
      <c r="Z78" s="122" t="str">
        <f>IF($AL$78="","",IF(INDEX('Final Calculation Sheet'!$Y$4:$Y$40,$AL$78)="","",INDEX('Final Calculation Sheet'!$Y$4:$Y$40,$AL$78)))</f>
        <v/>
      </c>
      <c r="AA78" s="122" t="str">
        <f>IF($AL$78="","",IF(INDEX('Final Calculation Sheet'!$Z$4:$Z$40,$AL$78)="","",INDEX('Final Calculation Sheet'!$Z$4:$Z$40,$AL$78)))</f>
        <v/>
      </c>
      <c r="AB78" s="122" t="str">
        <f>IF($AL$78="","",IF(INDEX('Final Calculation Sheet'!$AA$4:$AA$40,$AL$78)="","",INDEX('Final Calculation Sheet'!$AA$4:$AA$40,$AL$78)))</f>
        <v/>
      </c>
      <c r="AC78" s="122" t="str">
        <f>IF($AL$78="","",IF(INDEX('Final Calculation Sheet'!$AB$4:$AB$40,$AL$78)="","",INDEX('Final Calculation Sheet'!$AB$4:$AB$40,$AL$78)))</f>
        <v/>
      </c>
      <c r="AD78" s="122" t="str">
        <f>IF($AL$78="","",IF(INDEX('Final Calculation Sheet'!$AC$4:$AC$40,$AL$78)="","",INDEX('Final Calculation Sheet'!$AC$4:$AC$40,$AL$78)))</f>
        <v/>
      </c>
      <c r="AE78" s="122" t="str">
        <f>IF($AL$78="","",IF(INDEX('Final Calculation Sheet'!$AD$4:$AD$40,$AL$78)="","",INDEX('Final Calculation Sheet'!$AD$4:$AD$40,$AL$78)))</f>
        <v/>
      </c>
      <c r="AF78" s="122" t="str">
        <f>IF($AL$78="","",IF(INDEX('Final Calculation Sheet'!$AE$4:$AE$40,$AL$78)="","",INDEX('Final Calculation Sheet'!$AE$4:$AE$40,$AL$78)))</f>
        <v/>
      </c>
      <c r="AG78" s="126" t="str">
        <f>IF($AL$78="","",IF(INDEX('Final Calculation Sheet'!$AF$4:$AF$40,$AL$78)="","",INDEX('Final Calculation Sheet'!$AF$4:$AF$40,$AL$78)))</f>
        <v/>
      </c>
      <c r="AH78" s="122" t="str">
        <f>IF($AL$78="","",IF(INDEX('Final Calculation Sheet'!$AG$4:$AG$40,$AL$78)="","",INDEX('Final Calculation Sheet'!$AG$4:$AG$40,$AL$78)))</f>
        <v/>
      </c>
      <c r="AI78" s="127" t="str">
        <f>IF($AL$78="","",IF(INDEX('Final Calculation Sheet'!$AD$4:$AD$40,$AL$78)&lt;=5,"SETTLED","OUTSTANDING"))</f>
        <v/>
      </c>
      <c r="AL78" t="str">
        <f>IF(COUNTIF($B$4:$AI$4,"&lt;&gt;")=0,"",IFERROR(MATCH(19,$AK$6:$AK$42,0),""))</f>
        <v/>
      </c>
    </row>
    <row r="79">
      <c r="A79" s="128" t="str">
        <f>IF($AL$79="","",20)</f>
        <v/>
      </c>
      <c r="B79" s="129" t="str">
        <f>IF($AL$79="","",IF(INDEX('Final Calculation Sheet'!$F$4:$F$40,$AL$79)="","",INDEX('Final Calculation Sheet'!$F$4:$F$40,$AL$79)))</f>
        <v/>
      </c>
      <c r="C79" s="129" t="str">
        <f>IF($AL$79="","",IF(INDEX('Final Calculation Sheet'!$G$4:$G$40,$AL$79)="","",INDEX('Final Calculation Sheet'!$G$4:$G$40,$AL$79)))</f>
        <v/>
      </c>
      <c r="D79" s="130" t="str">
        <f>IF($AL$79="","",IF(INDEX('Final Calculation Sheet'!$B$4:$B$40,$AL$79)="","",INDEX('Final Calculation Sheet'!$B$4:$B$40,$AL$79)))</f>
        <v/>
      </c>
      <c r="E79" s="130" t="str">
        <f>IF($AL$79="","",IF(INDEX('Final Calculation Sheet'!$D$4:$D$40,$AL$79)="","",INDEX('Final Calculation Sheet'!$D$4:$D$40,$AL$79)))</f>
        <v/>
      </c>
      <c r="F79" s="130" t="str">
        <f>IF($AL$79="","",IF(INDEX('Final Calculation Sheet'!$A$4:$A$40,$AL$79)="","",INDEX('Final Calculation Sheet'!$A$4:$A$40,$AL$79)))</f>
        <v/>
      </c>
      <c r="G79" s="130" t="str">
        <f>IF($AL$79="","",IF(INDEX('Final Calculation Sheet'!$E$4:$E$40,$AL$79)="","",INDEX('Final Calculation Sheet'!$E$4:$E$40,$AL$79)))</f>
        <v/>
      </c>
      <c r="H79" s="131" t="str">
        <f>IF($AL$79="","",IF(INDEX('Final Calculation Sheet'!$C$4:$C$40,$AL$79)="","",INDEX('Final Calculation Sheet'!$C$4:$C$40,$AL$79)))</f>
        <v/>
      </c>
      <c r="I79" s="131" t="str">
        <f>IF($AL$79="","",IF(INDEX('Final Calculation Sheet'!$H$4:$H$40,$AL$79)="","",INDEX('Final Calculation Sheet'!$H$4:$H$40,$AL$79)))</f>
        <v/>
      </c>
      <c r="J79" s="131" t="str">
        <f>IF($AL$79="","",IF(INDEX('Final Calculation Sheet'!$I$4:$I$40,$AL$79)="","",INDEX('Final Calculation Sheet'!$I$4:$I$40,$AL$79)))</f>
        <v/>
      </c>
      <c r="K79" s="131" t="str">
        <f>IF($AL$79="","",IF(INDEX('Final Calculation Sheet'!$J$4:$J$40,$AL$79)="","",INDEX('Final Calculation Sheet'!$J$4:$J$40,$AL$79)))</f>
        <v/>
      </c>
      <c r="L79" s="131" t="str">
        <f>IF($AL$79="","",IF(INDEX('Final Calculation Sheet'!$K$4:$K$40,$AL$79)="","",INDEX('Final Calculation Sheet'!$K$4:$K$40,$AL$79)))</f>
        <v/>
      </c>
      <c r="M79" s="131" t="str">
        <f>IF($AL$79="","",IF(INDEX('Final Calculation Sheet'!$L$4:$L$40,$AL$79)="","",INDEX('Final Calculation Sheet'!$L$4:$L$40,$AL$79)))</f>
        <v/>
      </c>
      <c r="N79" s="131" t="str">
        <f>IF($AL$79="","",IF(INDEX('Final Calculation Sheet'!$M$4:$M$40,$AL$79)="","",INDEX('Final Calculation Sheet'!$M$4:$M$40,$AL$79)))</f>
        <v/>
      </c>
      <c r="O79" s="132" t="str">
        <f>IF($AL$79="","",IF(INDEX('Final Calculation Sheet'!$N$4:$N$40,$AL$79)="","",INDEX('Final Calculation Sheet'!$N$4:$N$40,$AL$79)))</f>
        <v/>
      </c>
      <c r="P79" s="131" t="str">
        <f>IF($AL$79="","",IF(INDEX('Final Calculation Sheet'!$O$4:$O$40,$AL$79)="","",INDEX('Final Calculation Sheet'!$O$4:$O$40,$AL$79)))</f>
        <v/>
      </c>
      <c r="Q79" s="131" t="str">
        <f>IF($AL$79="","",IF(INDEX('Final Calculation Sheet'!$P$4:$P$40,$AL$79)="","",INDEX('Final Calculation Sheet'!$P$4:$P$40,$AL$79)))</f>
        <v/>
      </c>
      <c r="R79" s="133" t="str">
        <f>IF($AL$79="","",IF(INDEX('Final Calculation Sheet'!$Q$4:$Q$40,$AL$79)="","",INDEX('Final Calculation Sheet'!$Q$4:$Q$40,$AL$79)))</f>
        <v/>
      </c>
      <c r="S79" s="131" t="str">
        <f>IF($AL$79="","",IF(INDEX('Final Calculation Sheet'!$R$4:$R$40,$AL$79)="","",INDEX('Final Calculation Sheet'!$R$4:$R$40,$AL$79)))</f>
        <v/>
      </c>
      <c r="T79" s="131" t="str">
        <f>IF($AL$79="","",IF(INDEX('Final Calculation Sheet'!$S$4:$S$40,$AL$79)="","",INDEX('Final Calculation Sheet'!$S$4:$S$40,$AL$79)))</f>
        <v/>
      </c>
      <c r="U79" s="131" t="str">
        <f>IF($AL$79="","",IF(INDEX('Final Calculation Sheet'!$T$4:$T$40,$AL$79)="","",INDEX('Final Calculation Sheet'!$T$4:$T$40,$AL$79)))</f>
        <v/>
      </c>
      <c r="V79" s="134" t="str">
        <f>IF($AL$79="","",IF(INDEX('Final Calculation Sheet'!$U$4:$U$40,$AL$79)="","",INDEX('Final Calculation Sheet'!$U$4:$U$40,$AL$79)))</f>
        <v/>
      </c>
      <c r="W79" s="131" t="str">
        <f>IF($AL$79="","",IF(INDEX('Final Calculation Sheet'!$V$4:$V$40,$AL$79)="","",INDEX('Final Calculation Sheet'!$V$4:$V$40,$AL$79)))</f>
        <v/>
      </c>
      <c r="X79" s="131" t="str">
        <f>IF($AL$79="","",IF(INDEX('Final Calculation Sheet'!$W$4:$W$40,$AL$79)="","",INDEX('Final Calculation Sheet'!$W$4:$W$40,$AL$79)))</f>
        <v/>
      </c>
      <c r="Y79" s="131" t="str">
        <f>IF($AL$79="","",IF(INDEX('Final Calculation Sheet'!$X$4:$X$40,$AL$79)="","",INDEX('Final Calculation Sheet'!$X$4:$X$40,$AL$79)))</f>
        <v/>
      </c>
      <c r="Z79" s="131" t="str">
        <f>IF($AL$79="","",IF(INDEX('Final Calculation Sheet'!$Y$4:$Y$40,$AL$79)="","",INDEX('Final Calculation Sheet'!$Y$4:$Y$40,$AL$79)))</f>
        <v/>
      </c>
      <c r="AA79" s="131" t="str">
        <f>IF($AL$79="","",IF(INDEX('Final Calculation Sheet'!$Z$4:$Z$40,$AL$79)="","",INDEX('Final Calculation Sheet'!$Z$4:$Z$40,$AL$79)))</f>
        <v/>
      </c>
      <c r="AB79" s="131" t="str">
        <f>IF($AL$79="","",IF(INDEX('Final Calculation Sheet'!$AA$4:$AA$40,$AL$79)="","",INDEX('Final Calculation Sheet'!$AA$4:$AA$40,$AL$79)))</f>
        <v/>
      </c>
      <c r="AC79" s="131" t="str">
        <f>IF($AL$79="","",IF(INDEX('Final Calculation Sheet'!$AB$4:$AB$40,$AL$79)="","",INDEX('Final Calculation Sheet'!$AB$4:$AB$40,$AL$79)))</f>
        <v/>
      </c>
      <c r="AD79" s="131" t="str">
        <f>IF($AL$79="","",IF(INDEX('Final Calculation Sheet'!$AC$4:$AC$40,$AL$79)="","",INDEX('Final Calculation Sheet'!$AC$4:$AC$40,$AL$79)))</f>
        <v/>
      </c>
      <c r="AE79" s="131" t="str">
        <f>IF($AL$79="","",IF(INDEX('Final Calculation Sheet'!$AD$4:$AD$40,$AL$79)="","",INDEX('Final Calculation Sheet'!$AD$4:$AD$40,$AL$79)))</f>
        <v/>
      </c>
      <c r="AF79" s="131" t="str">
        <f>IF($AL$79="","",IF(INDEX('Final Calculation Sheet'!$AE$4:$AE$40,$AL$79)="","",INDEX('Final Calculation Sheet'!$AE$4:$AE$40,$AL$79)))</f>
        <v/>
      </c>
      <c r="AG79" s="135" t="str">
        <f>IF($AL$79="","",IF(INDEX('Final Calculation Sheet'!$AF$4:$AF$40,$AL$79)="","",INDEX('Final Calculation Sheet'!$AF$4:$AF$40,$AL$79)))</f>
        <v/>
      </c>
      <c r="AH79" s="131" t="str">
        <f>IF($AL$79="","",IF(INDEX('Final Calculation Sheet'!$AG$4:$AG$40,$AL$79)="","",INDEX('Final Calculation Sheet'!$AG$4:$AG$40,$AL$79)))</f>
        <v/>
      </c>
      <c r="AI79" s="136" t="str">
        <f>IF($AL$79="","",IF(INDEX('Final Calculation Sheet'!$AD$4:$AD$40,$AL$79)&lt;=5,"SETTLED","OUTSTANDING"))</f>
        <v/>
      </c>
      <c r="AL79" t="str">
        <f>IF(COUNTIF($B$4:$AI$4,"&lt;&gt;")=0,"",IFERROR(MATCH(20,$AK$6:$AK$42,0),""))</f>
        <v/>
      </c>
    </row>
    <row r="80">
      <c r="A80" s="118" t="str">
        <f>IF($AL$80="","",21)</f>
        <v/>
      </c>
      <c r="B80" s="119" t="str">
        <f>IF($AL$80="","",IF(INDEX('Final Calculation Sheet'!$F$4:$F$40,$AL$80)="","",INDEX('Final Calculation Sheet'!$F$4:$F$40,$AL$80)))</f>
        <v/>
      </c>
      <c r="C80" s="119" t="str">
        <f>IF($AL$80="","",IF(INDEX('Final Calculation Sheet'!$G$4:$G$40,$AL$80)="","",INDEX('Final Calculation Sheet'!$G$4:$G$40,$AL$80)))</f>
        <v/>
      </c>
      <c r="D80" s="121" t="str">
        <f>IF($AL$80="","",IF(INDEX('Final Calculation Sheet'!$B$4:$B$40,$AL$80)="","",INDEX('Final Calculation Sheet'!$B$4:$B$40,$AL$80)))</f>
        <v/>
      </c>
      <c r="E80" s="121" t="str">
        <f>IF($AL$80="","",IF(INDEX('Final Calculation Sheet'!$D$4:$D$40,$AL$80)="","",INDEX('Final Calculation Sheet'!$D$4:$D$40,$AL$80)))</f>
        <v/>
      </c>
      <c r="F80" s="121" t="str">
        <f>IF($AL$80="","",IF(INDEX('Final Calculation Sheet'!$A$4:$A$40,$AL$80)="","",INDEX('Final Calculation Sheet'!$A$4:$A$40,$AL$80)))</f>
        <v/>
      </c>
      <c r="G80" s="121" t="str">
        <f>IF($AL$80="","",IF(INDEX('Final Calculation Sheet'!$E$4:$E$40,$AL$80)="","",INDEX('Final Calculation Sheet'!$E$4:$E$40,$AL$80)))</f>
        <v/>
      </c>
      <c r="H80" s="122" t="str">
        <f>IF($AL$80="","",IF(INDEX('Final Calculation Sheet'!$C$4:$C$40,$AL$80)="","",INDEX('Final Calculation Sheet'!$C$4:$C$40,$AL$80)))</f>
        <v/>
      </c>
      <c r="I80" s="122" t="str">
        <f>IF($AL$80="","",IF(INDEX('Final Calculation Sheet'!$H$4:$H$40,$AL$80)="","",INDEX('Final Calculation Sheet'!$H$4:$H$40,$AL$80)))</f>
        <v/>
      </c>
      <c r="J80" s="122" t="str">
        <f>IF($AL$80="","",IF(INDEX('Final Calculation Sheet'!$I$4:$I$40,$AL$80)="","",INDEX('Final Calculation Sheet'!$I$4:$I$40,$AL$80)))</f>
        <v/>
      </c>
      <c r="K80" s="122" t="str">
        <f>IF($AL$80="","",IF(INDEX('Final Calculation Sheet'!$J$4:$J$40,$AL$80)="","",INDEX('Final Calculation Sheet'!$J$4:$J$40,$AL$80)))</f>
        <v/>
      </c>
      <c r="L80" s="122" t="str">
        <f>IF($AL$80="","",IF(INDEX('Final Calculation Sheet'!$K$4:$K$40,$AL$80)="","",INDEX('Final Calculation Sheet'!$K$4:$K$40,$AL$80)))</f>
        <v/>
      </c>
      <c r="M80" s="122" t="str">
        <f>IF($AL$80="","",IF(INDEX('Final Calculation Sheet'!$L$4:$L$40,$AL$80)="","",INDEX('Final Calculation Sheet'!$L$4:$L$40,$AL$80)))</f>
        <v/>
      </c>
      <c r="N80" s="122" t="str">
        <f>IF($AL$80="","",IF(INDEX('Final Calculation Sheet'!$M$4:$M$40,$AL$80)="","",INDEX('Final Calculation Sheet'!$M$4:$M$40,$AL$80)))</f>
        <v/>
      </c>
      <c r="O80" s="123" t="str">
        <f>IF($AL$80="","",IF(INDEX('Final Calculation Sheet'!$N$4:$N$40,$AL$80)="","",INDEX('Final Calculation Sheet'!$N$4:$N$40,$AL$80)))</f>
        <v/>
      </c>
      <c r="P80" s="122" t="str">
        <f>IF($AL$80="","",IF(INDEX('Final Calculation Sheet'!$O$4:$O$40,$AL$80)="","",INDEX('Final Calculation Sheet'!$O$4:$O$40,$AL$80)))</f>
        <v/>
      </c>
      <c r="Q80" s="122" t="str">
        <f>IF($AL$80="","",IF(INDEX('Final Calculation Sheet'!$P$4:$P$40,$AL$80)="","",INDEX('Final Calculation Sheet'!$P$4:$P$40,$AL$80)))</f>
        <v/>
      </c>
      <c r="R80" s="124" t="str">
        <f>IF($AL$80="","",IF(INDEX('Final Calculation Sheet'!$Q$4:$Q$40,$AL$80)="","",INDEX('Final Calculation Sheet'!$Q$4:$Q$40,$AL$80)))</f>
        <v/>
      </c>
      <c r="S80" s="122" t="str">
        <f>IF($AL$80="","",IF(INDEX('Final Calculation Sheet'!$R$4:$R$40,$AL$80)="","",INDEX('Final Calculation Sheet'!$R$4:$R$40,$AL$80)))</f>
        <v/>
      </c>
      <c r="T80" s="122" t="str">
        <f>IF($AL$80="","",IF(INDEX('Final Calculation Sheet'!$S$4:$S$40,$AL$80)="","",INDEX('Final Calculation Sheet'!$S$4:$S$40,$AL$80)))</f>
        <v/>
      </c>
      <c r="U80" s="122" t="str">
        <f>IF($AL$80="","",IF(INDEX('Final Calculation Sheet'!$T$4:$T$40,$AL$80)="","",INDEX('Final Calculation Sheet'!$T$4:$T$40,$AL$80)))</f>
        <v/>
      </c>
      <c r="V80" s="125" t="str">
        <f>IF($AL$80="","",IF(INDEX('Final Calculation Sheet'!$U$4:$U$40,$AL$80)="","",INDEX('Final Calculation Sheet'!$U$4:$U$40,$AL$80)))</f>
        <v/>
      </c>
      <c r="W80" s="122" t="str">
        <f>IF($AL$80="","",IF(INDEX('Final Calculation Sheet'!$V$4:$V$40,$AL$80)="","",INDEX('Final Calculation Sheet'!$V$4:$V$40,$AL$80)))</f>
        <v/>
      </c>
      <c r="X80" s="122" t="str">
        <f>IF($AL$80="","",IF(INDEX('Final Calculation Sheet'!$W$4:$W$40,$AL$80)="","",INDEX('Final Calculation Sheet'!$W$4:$W$40,$AL$80)))</f>
        <v/>
      </c>
      <c r="Y80" s="122" t="str">
        <f>IF($AL$80="","",IF(INDEX('Final Calculation Sheet'!$X$4:$X$40,$AL$80)="","",INDEX('Final Calculation Sheet'!$X$4:$X$40,$AL$80)))</f>
        <v/>
      </c>
      <c r="Z80" s="122" t="str">
        <f>IF($AL$80="","",IF(INDEX('Final Calculation Sheet'!$Y$4:$Y$40,$AL$80)="","",INDEX('Final Calculation Sheet'!$Y$4:$Y$40,$AL$80)))</f>
        <v/>
      </c>
      <c r="AA80" s="122" t="str">
        <f>IF($AL$80="","",IF(INDEX('Final Calculation Sheet'!$Z$4:$Z$40,$AL$80)="","",INDEX('Final Calculation Sheet'!$Z$4:$Z$40,$AL$80)))</f>
        <v/>
      </c>
      <c r="AB80" s="122" t="str">
        <f>IF($AL$80="","",IF(INDEX('Final Calculation Sheet'!$AA$4:$AA$40,$AL$80)="","",INDEX('Final Calculation Sheet'!$AA$4:$AA$40,$AL$80)))</f>
        <v/>
      </c>
      <c r="AC80" s="122" t="str">
        <f>IF($AL$80="","",IF(INDEX('Final Calculation Sheet'!$AB$4:$AB$40,$AL$80)="","",INDEX('Final Calculation Sheet'!$AB$4:$AB$40,$AL$80)))</f>
        <v/>
      </c>
      <c r="AD80" s="122" t="str">
        <f>IF($AL$80="","",IF(INDEX('Final Calculation Sheet'!$AC$4:$AC$40,$AL$80)="","",INDEX('Final Calculation Sheet'!$AC$4:$AC$40,$AL$80)))</f>
        <v/>
      </c>
      <c r="AE80" s="122" t="str">
        <f>IF($AL$80="","",IF(INDEX('Final Calculation Sheet'!$AD$4:$AD$40,$AL$80)="","",INDEX('Final Calculation Sheet'!$AD$4:$AD$40,$AL$80)))</f>
        <v/>
      </c>
      <c r="AF80" s="122" t="str">
        <f>IF($AL$80="","",IF(INDEX('Final Calculation Sheet'!$AE$4:$AE$40,$AL$80)="","",INDEX('Final Calculation Sheet'!$AE$4:$AE$40,$AL$80)))</f>
        <v/>
      </c>
      <c r="AG80" s="126" t="str">
        <f>IF($AL$80="","",IF(INDEX('Final Calculation Sheet'!$AF$4:$AF$40,$AL$80)="","",INDEX('Final Calculation Sheet'!$AF$4:$AF$40,$AL$80)))</f>
        <v/>
      </c>
      <c r="AH80" s="122" t="str">
        <f>IF($AL$80="","",IF(INDEX('Final Calculation Sheet'!$AG$4:$AG$40,$AL$80)="","",INDEX('Final Calculation Sheet'!$AG$4:$AG$40,$AL$80)))</f>
        <v/>
      </c>
      <c r="AI80" s="127" t="str">
        <f>IF($AL$80="","",IF(INDEX('Final Calculation Sheet'!$AD$4:$AD$40,$AL$80)&lt;=5,"SETTLED","OUTSTANDING"))</f>
        <v/>
      </c>
      <c r="AL80" t="str">
        <f>IF(COUNTIF($B$4:$AI$4,"&lt;&gt;")=0,"",IFERROR(MATCH(21,$AK$6:$AK$42,0),""))</f>
        <v/>
      </c>
    </row>
    <row r="81">
      <c r="A81" s="128" t="str">
        <f>IF($AL$81="","",22)</f>
        <v/>
      </c>
      <c r="B81" s="129" t="str">
        <f>IF($AL$81="","",IF(INDEX('Final Calculation Sheet'!$F$4:$F$40,$AL$81)="","",INDEX('Final Calculation Sheet'!$F$4:$F$40,$AL$81)))</f>
        <v/>
      </c>
      <c r="C81" s="129" t="str">
        <f>IF($AL$81="","",IF(INDEX('Final Calculation Sheet'!$G$4:$G$40,$AL$81)="","",INDEX('Final Calculation Sheet'!$G$4:$G$40,$AL$81)))</f>
        <v/>
      </c>
      <c r="D81" s="130" t="str">
        <f>IF($AL$81="","",IF(INDEX('Final Calculation Sheet'!$B$4:$B$40,$AL$81)="","",INDEX('Final Calculation Sheet'!$B$4:$B$40,$AL$81)))</f>
        <v/>
      </c>
      <c r="E81" s="130" t="str">
        <f>IF($AL$81="","",IF(INDEX('Final Calculation Sheet'!$D$4:$D$40,$AL$81)="","",INDEX('Final Calculation Sheet'!$D$4:$D$40,$AL$81)))</f>
        <v/>
      </c>
      <c r="F81" s="130" t="str">
        <f>IF($AL$81="","",IF(INDEX('Final Calculation Sheet'!$A$4:$A$40,$AL$81)="","",INDEX('Final Calculation Sheet'!$A$4:$A$40,$AL$81)))</f>
        <v/>
      </c>
      <c r="G81" s="130" t="str">
        <f>IF($AL$81="","",IF(INDEX('Final Calculation Sheet'!$E$4:$E$40,$AL$81)="","",INDEX('Final Calculation Sheet'!$E$4:$E$40,$AL$81)))</f>
        <v/>
      </c>
      <c r="H81" s="131" t="str">
        <f>IF($AL$81="","",IF(INDEX('Final Calculation Sheet'!$C$4:$C$40,$AL$81)="","",INDEX('Final Calculation Sheet'!$C$4:$C$40,$AL$81)))</f>
        <v/>
      </c>
      <c r="I81" s="131" t="str">
        <f>IF($AL$81="","",IF(INDEX('Final Calculation Sheet'!$H$4:$H$40,$AL$81)="","",INDEX('Final Calculation Sheet'!$H$4:$H$40,$AL$81)))</f>
        <v/>
      </c>
      <c r="J81" s="131" t="str">
        <f>IF($AL$81="","",IF(INDEX('Final Calculation Sheet'!$I$4:$I$40,$AL$81)="","",INDEX('Final Calculation Sheet'!$I$4:$I$40,$AL$81)))</f>
        <v/>
      </c>
      <c r="K81" s="131" t="str">
        <f>IF($AL$81="","",IF(INDEX('Final Calculation Sheet'!$J$4:$J$40,$AL$81)="","",INDEX('Final Calculation Sheet'!$J$4:$J$40,$AL$81)))</f>
        <v/>
      </c>
      <c r="L81" s="131" t="str">
        <f>IF($AL$81="","",IF(INDEX('Final Calculation Sheet'!$K$4:$K$40,$AL$81)="","",INDEX('Final Calculation Sheet'!$K$4:$K$40,$AL$81)))</f>
        <v/>
      </c>
      <c r="M81" s="131" t="str">
        <f>IF($AL$81="","",IF(INDEX('Final Calculation Sheet'!$L$4:$L$40,$AL$81)="","",INDEX('Final Calculation Sheet'!$L$4:$L$40,$AL$81)))</f>
        <v/>
      </c>
      <c r="N81" s="131" t="str">
        <f>IF($AL$81="","",IF(INDEX('Final Calculation Sheet'!$M$4:$M$40,$AL$81)="","",INDEX('Final Calculation Sheet'!$M$4:$M$40,$AL$81)))</f>
        <v/>
      </c>
      <c r="O81" s="132" t="str">
        <f>IF($AL$81="","",IF(INDEX('Final Calculation Sheet'!$N$4:$N$40,$AL$81)="","",INDEX('Final Calculation Sheet'!$N$4:$N$40,$AL$81)))</f>
        <v/>
      </c>
      <c r="P81" s="131" t="str">
        <f>IF($AL$81="","",IF(INDEX('Final Calculation Sheet'!$O$4:$O$40,$AL$81)="","",INDEX('Final Calculation Sheet'!$O$4:$O$40,$AL$81)))</f>
        <v/>
      </c>
      <c r="Q81" s="131" t="str">
        <f>IF($AL$81="","",IF(INDEX('Final Calculation Sheet'!$P$4:$P$40,$AL$81)="","",INDEX('Final Calculation Sheet'!$P$4:$P$40,$AL$81)))</f>
        <v/>
      </c>
      <c r="R81" s="133" t="str">
        <f>IF($AL$81="","",IF(INDEX('Final Calculation Sheet'!$Q$4:$Q$40,$AL$81)="","",INDEX('Final Calculation Sheet'!$Q$4:$Q$40,$AL$81)))</f>
        <v/>
      </c>
      <c r="S81" s="131" t="str">
        <f>IF($AL$81="","",IF(INDEX('Final Calculation Sheet'!$R$4:$R$40,$AL$81)="","",INDEX('Final Calculation Sheet'!$R$4:$R$40,$AL$81)))</f>
        <v/>
      </c>
      <c r="T81" s="131" t="str">
        <f>IF($AL$81="","",IF(INDEX('Final Calculation Sheet'!$S$4:$S$40,$AL$81)="","",INDEX('Final Calculation Sheet'!$S$4:$S$40,$AL$81)))</f>
        <v/>
      </c>
      <c r="U81" s="131" t="str">
        <f>IF($AL$81="","",IF(INDEX('Final Calculation Sheet'!$T$4:$T$40,$AL$81)="","",INDEX('Final Calculation Sheet'!$T$4:$T$40,$AL$81)))</f>
        <v/>
      </c>
      <c r="V81" s="134" t="str">
        <f>IF($AL$81="","",IF(INDEX('Final Calculation Sheet'!$U$4:$U$40,$AL$81)="","",INDEX('Final Calculation Sheet'!$U$4:$U$40,$AL$81)))</f>
        <v/>
      </c>
      <c r="W81" s="131" t="str">
        <f>IF($AL$81="","",IF(INDEX('Final Calculation Sheet'!$V$4:$V$40,$AL$81)="","",INDEX('Final Calculation Sheet'!$V$4:$V$40,$AL$81)))</f>
        <v/>
      </c>
      <c r="X81" s="131" t="str">
        <f>IF($AL$81="","",IF(INDEX('Final Calculation Sheet'!$W$4:$W$40,$AL$81)="","",INDEX('Final Calculation Sheet'!$W$4:$W$40,$AL$81)))</f>
        <v/>
      </c>
      <c r="Y81" s="131" t="str">
        <f>IF($AL$81="","",IF(INDEX('Final Calculation Sheet'!$X$4:$X$40,$AL$81)="","",INDEX('Final Calculation Sheet'!$X$4:$X$40,$AL$81)))</f>
        <v/>
      </c>
      <c r="Z81" s="131" t="str">
        <f>IF($AL$81="","",IF(INDEX('Final Calculation Sheet'!$Y$4:$Y$40,$AL$81)="","",INDEX('Final Calculation Sheet'!$Y$4:$Y$40,$AL$81)))</f>
        <v/>
      </c>
      <c r="AA81" s="131" t="str">
        <f>IF($AL$81="","",IF(INDEX('Final Calculation Sheet'!$Z$4:$Z$40,$AL$81)="","",INDEX('Final Calculation Sheet'!$Z$4:$Z$40,$AL$81)))</f>
        <v/>
      </c>
      <c r="AB81" s="131" t="str">
        <f>IF($AL$81="","",IF(INDEX('Final Calculation Sheet'!$AA$4:$AA$40,$AL$81)="","",INDEX('Final Calculation Sheet'!$AA$4:$AA$40,$AL$81)))</f>
        <v/>
      </c>
      <c r="AC81" s="131" t="str">
        <f>IF($AL$81="","",IF(INDEX('Final Calculation Sheet'!$AB$4:$AB$40,$AL$81)="","",INDEX('Final Calculation Sheet'!$AB$4:$AB$40,$AL$81)))</f>
        <v/>
      </c>
      <c r="AD81" s="131" t="str">
        <f>IF($AL$81="","",IF(INDEX('Final Calculation Sheet'!$AC$4:$AC$40,$AL$81)="","",INDEX('Final Calculation Sheet'!$AC$4:$AC$40,$AL$81)))</f>
        <v/>
      </c>
      <c r="AE81" s="131" t="str">
        <f>IF($AL$81="","",IF(INDEX('Final Calculation Sheet'!$AD$4:$AD$40,$AL$81)="","",INDEX('Final Calculation Sheet'!$AD$4:$AD$40,$AL$81)))</f>
        <v/>
      </c>
      <c r="AF81" s="131" t="str">
        <f>IF($AL$81="","",IF(INDEX('Final Calculation Sheet'!$AE$4:$AE$40,$AL$81)="","",INDEX('Final Calculation Sheet'!$AE$4:$AE$40,$AL$81)))</f>
        <v/>
      </c>
      <c r="AG81" s="135" t="str">
        <f>IF($AL$81="","",IF(INDEX('Final Calculation Sheet'!$AF$4:$AF$40,$AL$81)="","",INDEX('Final Calculation Sheet'!$AF$4:$AF$40,$AL$81)))</f>
        <v/>
      </c>
      <c r="AH81" s="131" t="str">
        <f>IF($AL$81="","",IF(INDEX('Final Calculation Sheet'!$AG$4:$AG$40,$AL$81)="","",INDEX('Final Calculation Sheet'!$AG$4:$AG$40,$AL$81)))</f>
        <v/>
      </c>
      <c r="AI81" s="136" t="str">
        <f>IF($AL$81="","",IF(INDEX('Final Calculation Sheet'!$AD$4:$AD$40,$AL$81)&lt;=5,"SETTLED","OUTSTANDING"))</f>
        <v/>
      </c>
      <c r="AL81" t="str">
        <f>IF(COUNTIF($B$4:$AI$4,"&lt;&gt;")=0,"",IFERROR(MATCH(22,$AK$6:$AK$42,0),""))</f>
        <v/>
      </c>
    </row>
    <row r="82">
      <c r="A82" s="118" t="str">
        <f>IF($AL$82="","",23)</f>
        <v/>
      </c>
      <c r="B82" s="119" t="str">
        <f>IF($AL$82="","",IF(INDEX('Final Calculation Sheet'!$F$4:$F$40,$AL$82)="","",INDEX('Final Calculation Sheet'!$F$4:$F$40,$AL$82)))</f>
        <v/>
      </c>
      <c r="C82" s="119" t="str">
        <f>IF($AL$82="","",IF(INDEX('Final Calculation Sheet'!$G$4:$G$40,$AL$82)="","",INDEX('Final Calculation Sheet'!$G$4:$G$40,$AL$82)))</f>
        <v/>
      </c>
      <c r="D82" s="121" t="str">
        <f>IF($AL$82="","",IF(INDEX('Final Calculation Sheet'!$B$4:$B$40,$AL$82)="","",INDEX('Final Calculation Sheet'!$B$4:$B$40,$AL$82)))</f>
        <v/>
      </c>
      <c r="E82" s="121" t="str">
        <f>IF($AL$82="","",IF(INDEX('Final Calculation Sheet'!$D$4:$D$40,$AL$82)="","",INDEX('Final Calculation Sheet'!$D$4:$D$40,$AL$82)))</f>
        <v/>
      </c>
      <c r="F82" s="121" t="str">
        <f>IF($AL$82="","",IF(INDEX('Final Calculation Sheet'!$A$4:$A$40,$AL$82)="","",INDEX('Final Calculation Sheet'!$A$4:$A$40,$AL$82)))</f>
        <v/>
      </c>
      <c r="G82" s="121" t="str">
        <f>IF($AL$82="","",IF(INDEX('Final Calculation Sheet'!$E$4:$E$40,$AL$82)="","",INDEX('Final Calculation Sheet'!$E$4:$E$40,$AL$82)))</f>
        <v/>
      </c>
      <c r="H82" s="122" t="str">
        <f>IF($AL$82="","",IF(INDEX('Final Calculation Sheet'!$C$4:$C$40,$AL$82)="","",INDEX('Final Calculation Sheet'!$C$4:$C$40,$AL$82)))</f>
        <v/>
      </c>
      <c r="I82" s="122" t="str">
        <f>IF($AL$82="","",IF(INDEX('Final Calculation Sheet'!$H$4:$H$40,$AL$82)="","",INDEX('Final Calculation Sheet'!$H$4:$H$40,$AL$82)))</f>
        <v/>
      </c>
      <c r="J82" s="122" t="str">
        <f>IF($AL$82="","",IF(INDEX('Final Calculation Sheet'!$I$4:$I$40,$AL$82)="","",INDEX('Final Calculation Sheet'!$I$4:$I$40,$AL$82)))</f>
        <v/>
      </c>
      <c r="K82" s="122" t="str">
        <f>IF($AL$82="","",IF(INDEX('Final Calculation Sheet'!$J$4:$J$40,$AL$82)="","",INDEX('Final Calculation Sheet'!$J$4:$J$40,$AL$82)))</f>
        <v/>
      </c>
      <c r="L82" s="122" t="str">
        <f>IF($AL$82="","",IF(INDEX('Final Calculation Sheet'!$K$4:$K$40,$AL$82)="","",INDEX('Final Calculation Sheet'!$K$4:$K$40,$AL$82)))</f>
        <v/>
      </c>
      <c r="M82" s="122" t="str">
        <f>IF($AL$82="","",IF(INDEX('Final Calculation Sheet'!$L$4:$L$40,$AL$82)="","",INDEX('Final Calculation Sheet'!$L$4:$L$40,$AL$82)))</f>
        <v/>
      </c>
      <c r="N82" s="122" t="str">
        <f>IF($AL$82="","",IF(INDEX('Final Calculation Sheet'!$M$4:$M$40,$AL$82)="","",INDEX('Final Calculation Sheet'!$M$4:$M$40,$AL$82)))</f>
        <v/>
      </c>
      <c r="O82" s="123" t="str">
        <f>IF($AL$82="","",IF(INDEX('Final Calculation Sheet'!$N$4:$N$40,$AL$82)="","",INDEX('Final Calculation Sheet'!$N$4:$N$40,$AL$82)))</f>
        <v/>
      </c>
      <c r="P82" s="122" t="str">
        <f>IF($AL$82="","",IF(INDEX('Final Calculation Sheet'!$O$4:$O$40,$AL$82)="","",INDEX('Final Calculation Sheet'!$O$4:$O$40,$AL$82)))</f>
        <v/>
      </c>
      <c r="Q82" s="122" t="str">
        <f>IF($AL$82="","",IF(INDEX('Final Calculation Sheet'!$P$4:$P$40,$AL$82)="","",INDEX('Final Calculation Sheet'!$P$4:$P$40,$AL$82)))</f>
        <v/>
      </c>
      <c r="R82" s="124" t="str">
        <f>IF($AL$82="","",IF(INDEX('Final Calculation Sheet'!$Q$4:$Q$40,$AL$82)="","",INDEX('Final Calculation Sheet'!$Q$4:$Q$40,$AL$82)))</f>
        <v/>
      </c>
      <c r="S82" s="122" t="str">
        <f>IF($AL$82="","",IF(INDEX('Final Calculation Sheet'!$R$4:$R$40,$AL$82)="","",INDEX('Final Calculation Sheet'!$R$4:$R$40,$AL$82)))</f>
        <v/>
      </c>
      <c r="T82" s="122" t="str">
        <f>IF($AL$82="","",IF(INDEX('Final Calculation Sheet'!$S$4:$S$40,$AL$82)="","",INDEX('Final Calculation Sheet'!$S$4:$S$40,$AL$82)))</f>
        <v/>
      </c>
      <c r="U82" s="122" t="str">
        <f>IF($AL$82="","",IF(INDEX('Final Calculation Sheet'!$T$4:$T$40,$AL$82)="","",INDEX('Final Calculation Sheet'!$T$4:$T$40,$AL$82)))</f>
        <v/>
      </c>
      <c r="V82" s="125" t="str">
        <f>IF($AL$82="","",IF(INDEX('Final Calculation Sheet'!$U$4:$U$40,$AL$82)="","",INDEX('Final Calculation Sheet'!$U$4:$U$40,$AL$82)))</f>
        <v/>
      </c>
      <c r="W82" s="122" t="str">
        <f>IF($AL$82="","",IF(INDEX('Final Calculation Sheet'!$V$4:$V$40,$AL$82)="","",INDEX('Final Calculation Sheet'!$V$4:$V$40,$AL$82)))</f>
        <v/>
      </c>
      <c r="X82" s="122" t="str">
        <f>IF($AL$82="","",IF(INDEX('Final Calculation Sheet'!$W$4:$W$40,$AL$82)="","",INDEX('Final Calculation Sheet'!$W$4:$W$40,$AL$82)))</f>
        <v/>
      </c>
      <c r="Y82" s="122" t="str">
        <f>IF($AL$82="","",IF(INDEX('Final Calculation Sheet'!$X$4:$X$40,$AL$82)="","",INDEX('Final Calculation Sheet'!$X$4:$X$40,$AL$82)))</f>
        <v/>
      </c>
      <c r="Z82" s="122" t="str">
        <f>IF($AL$82="","",IF(INDEX('Final Calculation Sheet'!$Y$4:$Y$40,$AL$82)="","",INDEX('Final Calculation Sheet'!$Y$4:$Y$40,$AL$82)))</f>
        <v/>
      </c>
      <c r="AA82" s="122" t="str">
        <f>IF($AL$82="","",IF(INDEX('Final Calculation Sheet'!$Z$4:$Z$40,$AL$82)="","",INDEX('Final Calculation Sheet'!$Z$4:$Z$40,$AL$82)))</f>
        <v/>
      </c>
      <c r="AB82" s="122" t="str">
        <f>IF($AL$82="","",IF(INDEX('Final Calculation Sheet'!$AA$4:$AA$40,$AL$82)="","",INDEX('Final Calculation Sheet'!$AA$4:$AA$40,$AL$82)))</f>
        <v/>
      </c>
      <c r="AC82" s="122" t="str">
        <f>IF($AL$82="","",IF(INDEX('Final Calculation Sheet'!$AB$4:$AB$40,$AL$82)="","",INDEX('Final Calculation Sheet'!$AB$4:$AB$40,$AL$82)))</f>
        <v/>
      </c>
      <c r="AD82" s="122" t="str">
        <f>IF($AL$82="","",IF(INDEX('Final Calculation Sheet'!$AC$4:$AC$40,$AL$82)="","",INDEX('Final Calculation Sheet'!$AC$4:$AC$40,$AL$82)))</f>
        <v/>
      </c>
      <c r="AE82" s="122" t="str">
        <f>IF($AL$82="","",IF(INDEX('Final Calculation Sheet'!$AD$4:$AD$40,$AL$82)="","",INDEX('Final Calculation Sheet'!$AD$4:$AD$40,$AL$82)))</f>
        <v/>
      </c>
      <c r="AF82" s="122" t="str">
        <f>IF($AL$82="","",IF(INDEX('Final Calculation Sheet'!$AE$4:$AE$40,$AL$82)="","",INDEX('Final Calculation Sheet'!$AE$4:$AE$40,$AL$82)))</f>
        <v/>
      </c>
      <c r="AG82" s="126" t="str">
        <f>IF($AL$82="","",IF(INDEX('Final Calculation Sheet'!$AF$4:$AF$40,$AL$82)="","",INDEX('Final Calculation Sheet'!$AF$4:$AF$40,$AL$82)))</f>
        <v/>
      </c>
      <c r="AH82" s="122" t="str">
        <f>IF($AL$82="","",IF(INDEX('Final Calculation Sheet'!$AG$4:$AG$40,$AL$82)="","",INDEX('Final Calculation Sheet'!$AG$4:$AG$40,$AL$82)))</f>
        <v/>
      </c>
      <c r="AI82" s="127" t="str">
        <f>IF($AL$82="","",IF(INDEX('Final Calculation Sheet'!$AD$4:$AD$40,$AL$82)&lt;=5,"SETTLED","OUTSTANDING"))</f>
        <v/>
      </c>
      <c r="AL82" t="str">
        <f>IF(COUNTIF($B$4:$AI$4,"&lt;&gt;")=0,"",IFERROR(MATCH(23,$AK$6:$AK$42,0),""))</f>
        <v/>
      </c>
    </row>
    <row r="83">
      <c r="A83" s="128" t="str">
        <f>IF($AL$83="","",24)</f>
        <v/>
      </c>
      <c r="B83" s="129" t="str">
        <f>IF($AL$83="","",IF(INDEX('Final Calculation Sheet'!$F$4:$F$40,$AL$83)="","",INDEX('Final Calculation Sheet'!$F$4:$F$40,$AL$83)))</f>
        <v/>
      </c>
      <c r="C83" s="129" t="str">
        <f>IF($AL$83="","",IF(INDEX('Final Calculation Sheet'!$G$4:$G$40,$AL$83)="","",INDEX('Final Calculation Sheet'!$G$4:$G$40,$AL$83)))</f>
        <v/>
      </c>
      <c r="D83" s="130" t="str">
        <f>IF($AL$83="","",IF(INDEX('Final Calculation Sheet'!$B$4:$B$40,$AL$83)="","",INDEX('Final Calculation Sheet'!$B$4:$B$40,$AL$83)))</f>
        <v/>
      </c>
      <c r="E83" s="130" t="str">
        <f>IF($AL$83="","",IF(INDEX('Final Calculation Sheet'!$D$4:$D$40,$AL$83)="","",INDEX('Final Calculation Sheet'!$D$4:$D$40,$AL$83)))</f>
        <v/>
      </c>
      <c r="F83" s="130" t="str">
        <f>IF($AL$83="","",IF(INDEX('Final Calculation Sheet'!$A$4:$A$40,$AL$83)="","",INDEX('Final Calculation Sheet'!$A$4:$A$40,$AL$83)))</f>
        <v/>
      </c>
      <c r="G83" s="130" t="str">
        <f>IF($AL$83="","",IF(INDEX('Final Calculation Sheet'!$E$4:$E$40,$AL$83)="","",INDEX('Final Calculation Sheet'!$E$4:$E$40,$AL$83)))</f>
        <v/>
      </c>
      <c r="H83" s="131" t="str">
        <f>IF($AL$83="","",IF(INDEX('Final Calculation Sheet'!$C$4:$C$40,$AL$83)="","",INDEX('Final Calculation Sheet'!$C$4:$C$40,$AL$83)))</f>
        <v/>
      </c>
      <c r="I83" s="131" t="str">
        <f>IF($AL$83="","",IF(INDEX('Final Calculation Sheet'!$H$4:$H$40,$AL$83)="","",INDEX('Final Calculation Sheet'!$H$4:$H$40,$AL$83)))</f>
        <v/>
      </c>
      <c r="J83" s="131" t="str">
        <f>IF($AL$83="","",IF(INDEX('Final Calculation Sheet'!$I$4:$I$40,$AL$83)="","",INDEX('Final Calculation Sheet'!$I$4:$I$40,$AL$83)))</f>
        <v/>
      </c>
      <c r="K83" s="131" t="str">
        <f>IF($AL$83="","",IF(INDEX('Final Calculation Sheet'!$J$4:$J$40,$AL$83)="","",INDEX('Final Calculation Sheet'!$J$4:$J$40,$AL$83)))</f>
        <v/>
      </c>
      <c r="L83" s="131" t="str">
        <f>IF($AL$83="","",IF(INDEX('Final Calculation Sheet'!$K$4:$K$40,$AL$83)="","",INDEX('Final Calculation Sheet'!$K$4:$K$40,$AL$83)))</f>
        <v/>
      </c>
      <c r="M83" s="131" t="str">
        <f>IF($AL$83="","",IF(INDEX('Final Calculation Sheet'!$L$4:$L$40,$AL$83)="","",INDEX('Final Calculation Sheet'!$L$4:$L$40,$AL$83)))</f>
        <v/>
      </c>
      <c r="N83" s="131" t="str">
        <f>IF($AL$83="","",IF(INDEX('Final Calculation Sheet'!$M$4:$M$40,$AL$83)="","",INDEX('Final Calculation Sheet'!$M$4:$M$40,$AL$83)))</f>
        <v/>
      </c>
      <c r="O83" s="132" t="str">
        <f>IF($AL$83="","",IF(INDEX('Final Calculation Sheet'!$N$4:$N$40,$AL$83)="","",INDEX('Final Calculation Sheet'!$N$4:$N$40,$AL$83)))</f>
        <v/>
      </c>
      <c r="P83" s="131" t="str">
        <f>IF($AL$83="","",IF(INDEX('Final Calculation Sheet'!$O$4:$O$40,$AL$83)="","",INDEX('Final Calculation Sheet'!$O$4:$O$40,$AL$83)))</f>
        <v/>
      </c>
      <c r="Q83" s="131" t="str">
        <f>IF($AL$83="","",IF(INDEX('Final Calculation Sheet'!$P$4:$P$40,$AL$83)="","",INDEX('Final Calculation Sheet'!$P$4:$P$40,$AL$83)))</f>
        <v/>
      </c>
      <c r="R83" s="133" t="str">
        <f>IF($AL$83="","",IF(INDEX('Final Calculation Sheet'!$Q$4:$Q$40,$AL$83)="","",INDEX('Final Calculation Sheet'!$Q$4:$Q$40,$AL$83)))</f>
        <v/>
      </c>
      <c r="S83" s="131" t="str">
        <f>IF($AL$83="","",IF(INDEX('Final Calculation Sheet'!$R$4:$R$40,$AL$83)="","",INDEX('Final Calculation Sheet'!$R$4:$R$40,$AL$83)))</f>
        <v/>
      </c>
      <c r="T83" s="131" t="str">
        <f>IF($AL$83="","",IF(INDEX('Final Calculation Sheet'!$S$4:$S$40,$AL$83)="","",INDEX('Final Calculation Sheet'!$S$4:$S$40,$AL$83)))</f>
        <v/>
      </c>
      <c r="U83" s="131" t="str">
        <f>IF($AL$83="","",IF(INDEX('Final Calculation Sheet'!$T$4:$T$40,$AL$83)="","",INDEX('Final Calculation Sheet'!$T$4:$T$40,$AL$83)))</f>
        <v/>
      </c>
      <c r="V83" s="134" t="str">
        <f>IF($AL$83="","",IF(INDEX('Final Calculation Sheet'!$U$4:$U$40,$AL$83)="","",INDEX('Final Calculation Sheet'!$U$4:$U$40,$AL$83)))</f>
        <v/>
      </c>
      <c r="W83" s="131" t="str">
        <f>IF($AL$83="","",IF(INDEX('Final Calculation Sheet'!$V$4:$V$40,$AL$83)="","",INDEX('Final Calculation Sheet'!$V$4:$V$40,$AL$83)))</f>
        <v/>
      </c>
      <c r="X83" s="131" t="str">
        <f>IF($AL$83="","",IF(INDEX('Final Calculation Sheet'!$W$4:$W$40,$AL$83)="","",INDEX('Final Calculation Sheet'!$W$4:$W$40,$AL$83)))</f>
        <v/>
      </c>
      <c r="Y83" s="131" t="str">
        <f>IF($AL$83="","",IF(INDEX('Final Calculation Sheet'!$X$4:$X$40,$AL$83)="","",INDEX('Final Calculation Sheet'!$X$4:$X$40,$AL$83)))</f>
        <v/>
      </c>
      <c r="Z83" s="131" t="str">
        <f>IF($AL$83="","",IF(INDEX('Final Calculation Sheet'!$Y$4:$Y$40,$AL$83)="","",INDEX('Final Calculation Sheet'!$Y$4:$Y$40,$AL$83)))</f>
        <v/>
      </c>
      <c r="AA83" s="131" t="str">
        <f>IF($AL$83="","",IF(INDEX('Final Calculation Sheet'!$Z$4:$Z$40,$AL$83)="","",INDEX('Final Calculation Sheet'!$Z$4:$Z$40,$AL$83)))</f>
        <v/>
      </c>
      <c r="AB83" s="131" t="str">
        <f>IF($AL$83="","",IF(INDEX('Final Calculation Sheet'!$AA$4:$AA$40,$AL$83)="","",INDEX('Final Calculation Sheet'!$AA$4:$AA$40,$AL$83)))</f>
        <v/>
      </c>
      <c r="AC83" s="131" t="str">
        <f>IF($AL$83="","",IF(INDEX('Final Calculation Sheet'!$AB$4:$AB$40,$AL$83)="","",INDEX('Final Calculation Sheet'!$AB$4:$AB$40,$AL$83)))</f>
        <v/>
      </c>
      <c r="AD83" s="131" t="str">
        <f>IF($AL$83="","",IF(INDEX('Final Calculation Sheet'!$AC$4:$AC$40,$AL$83)="","",INDEX('Final Calculation Sheet'!$AC$4:$AC$40,$AL$83)))</f>
        <v/>
      </c>
      <c r="AE83" s="131" t="str">
        <f>IF($AL$83="","",IF(INDEX('Final Calculation Sheet'!$AD$4:$AD$40,$AL$83)="","",INDEX('Final Calculation Sheet'!$AD$4:$AD$40,$AL$83)))</f>
        <v/>
      </c>
      <c r="AF83" s="131" t="str">
        <f>IF($AL$83="","",IF(INDEX('Final Calculation Sheet'!$AE$4:$AE$40,$AL$83)="","",INDEX('Final Calculation Sheet'!$AE$4:$AE$40,$AL$83)))</f>
        <v/>
      </c>
      <c r="AG83" s="135" t="str">
        <f>IF($AL$83="","",IF(INDEX('Final Calculation Sheet'!$AF$4:$AF$40,$AL$83)="","",INDEX('Final Calculation Sheet'!$AF$4:$AF$40,$AL$83)))</f>
        <v/>
      </c>
      <c r="AH83" s="131" t="str">
        <f>IF($AL$83="","",IF(INDEX('Final Calculation Sheet'!$AG$4:$AG$40,$AL$83)="","",INDEX('Final Calculation Sheet'!$AG$4:$AG$40,$AL$83)))</f>
        <v/>
      </c>
      <c r="AI83" s="136" t="str">
        <f>IF($AL$83="","",IF(INDEX('Final Calculation Sheet'!$AD$4:$AD$40,$AL$83)&lt;=5,"SETTLED","OUTSTANDING"))</f>
        <v/>
      </c>
      <c r="AL83" t="str">
        <f>IF(COUNTIF($B$4:$AI$4,"&lt;&gt;")=0,"",IFERROR(MATCH(24,$AK$6:$AK$42,0),""))</f>
        <v/>
      </c>
    </row>
    <row r="84">
      <c r="A84" s="118" t="str">
        <f>IF($AL$84="","",25)</f>
        <v/>
      </c>
      <c r="B84" s="119" t="str">
        <f>IF($AL$84="","",IF(INDEX('Final Calculation Sheet'!$F$4:$F$40,$AL$84)="","",INDEX('Final Calculation Sheet'!$F$4:$F$40,$AL$84)))</f>
        <v/>
      </c>
      <c r="C84" s="119" t="str">
        <f>IF($AL$84="","",IF(INDEX('Final Calculation Sheet'!$G$4:$G$40,$AL$84)="","",INDEX('Final Calculation Sheet'!$G$4:$G$40,$AL$84)))</f>
        <v/>
      </c>
      <c r="D84" s="121" t="str">
        <f>IF($AL$84="","",IF(INDEX('Final Calculation Sheet'!$B$4:$B$40,$AL$84)="","",INDEX('Final Calculation Sheet'!$B$4:$B$40,$AL$84)))</f>
        <v/>
      </c>
      <c r="E84" s="121" t="str">
        <f>IF($AL$84="","",IF(INDEX('Final Calculation Sheet'!$D$4:$D$40,$AL$84)="","",INDEX('Final Calculation Sheet'!$D$4:$D$40,$AL$84)))</f>
        <v/>
      </c>
      <c r="F84" s="121" t="str">
        <f>IF($AL$84="","",IF(INDEX('Final Calculation Sheet'!$A$4:$A$40,$AL$84)="","",INDEX('Final Calculation Sheet'!$A$4:$A$40,$AL$84)))</f>
        <v/>
      </c>
      <c r="G84" s="121" t="str">
        <f>IF($AL$84="","",IF(INDEX('Final Calculation Sheet'!$E$4:$E$40,$AL$84)="","",INDEX('Final Calculation Sheet'!$E$4:$E$40,$AL$84)))</f>
        <v/>
      </c>
      <c r="H84" s="122" t="str">
        <f>IF($AL$84="","",IF(INDEX('Final Calculation Sheet'!$C$4:$C$40,$AL$84)="","",INDEX('Final Calculation Sheet'!$C$4:$C$40,$AL$84)))</f>
        <v/>
      </c>
      <c r="I84" s="122" t="str">
        <f>IF($AL$84="","",IF(INDEX('Final Calculation Sheet'!$H$4:$H$40,$AL$84)="","",INDEX('Final Calculation Sheet'!$H$4:$H$40,$AL$84)))</f>
        <v/>
      </c>
      <c r="J84" s="122" t="str">
        <f>IF($AL$84="","",IF(INDEX('Final Calculation Sheet'!$I$4:$I$40,$AL$84)="","",INDEX('Final Calculation Sheet'!$I$4:$I$40,$AL$84)))</f>
        <v/>
      </c>
      <c r="K84" s="122" t="str">
        <f>IF($AL$84="","",IF(INDEX('Final Calculation Sheet'!$J$4:$J$40,$AL$84)="","",INDEX('Final Calculation Sheet'!$J$4:$J$40,$AL$84)))</f>
        <v/>
      </c>
      <c r="L84" s="122" t="str">
        <f>IF($AL$84="","",IF(INDEX('Final Calculation Sheet'!$K$4:$K$40,$AL$84)="","",INDEX('Final Calculation Sheet'!$K$4:$K$40,$AL$84)))</f>
        <v/>
      </c>
      <c r="M84" s="122" t="str">
        <f>IF($AL$84="","",IF(INDEX('Final Calculation Sheet'!$L$4:$L$40,$AL$84)="","",INDEX('Final Calculation Sheet'!$L$4:$L$40,$AL$84)))</f>
        <v/>
      </c>
      <c r="N84" s="122" t="str">
        <f>IF($AL$84="","",IF(INDEX('Final Calculation Sheet'!$M$4:$M$40,$AL$84)="","",INDEX('Final Calculation Sheet'!$M$4:$M$40,$AL$84)))</f>
        <v/>
      </c>
      <c r="O84" s="123" t="str">
        <f>IF($AL$84="","",IF(INDEX('Final Calculation Sheet'!$N$4:$N$40,$AL$84)="","",INDEX('Final Calculation Sheet'!$N$4:$N$40,$AL$84)))</f>
        <v/>
      </c>
      <c r="P84" s="122" t="str">
        <f>IF($AL$84="","",IF(INDEX('Final Calculation Sheet'!$O$4:$O$40,$AL$84)="","",INDEX('Final Calculation Sheet'!$O$4:$O$40,$AL$84)))</f>
        <v/>
      </c>
      <c r="Q84" s="122" t="str">
        <f>IF($AL$84="","",IF(INDEX('Final Calculation Sheet'!$P$4:$P$40,$AL$84)="","",INDEX('Final Calculation Sheet'!$P$4:$P$40,$AL$84)))</f>
        <v/>
      </c>
      <c r="R84" s="124" t="str">
        <f>IF($AL$84="","",IF(INDEX('Final Calculation Sheet'!$Q$4:$Q$40,$AL$84)="","",INDEX('Final Calculation Sheet'!$Q$4:$Q$40,$AL$84)))</f>
        <v/>
      </c>
      <c r="S84" s="122" t="str">
        <f>IF($AL$84="","",IF(INDEX('Final Calculation Sheet'!$R$4:$R$40,$AL$84)="","",INDEX('Final Calculation Sheet'!$R$4:$R$40,$AL$84)))</f>
        <v/>
      </c>
      <c r="T84" s="122" t="str">
        <f>IF($AL$84="","",IF(INDEX('Final Calculation Sheet'!$S$4:$S$40,$AL$84)="","",INDEX('Final Calculation Sheet'!$S$4:$S$40,$AL$84)))</f>
        <v/>
      </c>
      <c r="U84" s="122" t="str">
        <f>IF($AL$84="","",IF(INDEX('Final Calculation Sheet'!$T$4:$T$40,$AL$84)="","",INDEX('Final Calculation Sheet'!$T$4:$T$40,$AL$84)))</f>
        <v/>
      </c>
      <c r="V84" s="125" t="str">
        <f>IF($AL$84="","",IF(INDEX('Final Calculation Sheet'!$U$4:$U$40,$AL$84)="","",INDEX('Final Calculation Sheet'!$U$4:$U$40,$AL$84)))</f>
        <v/>
      </c>
      <c r="W84" s="122" t="str">
        <f>IF($AL$84="","",IF(INDEX('Final Calculation Sheet'!$V$4:$V$40,$AL$84)="","",INDEX('Final Calculation Sheet'!$V$4:$V$40,$AL$84)))</f>
        <v/>
      </c>
      <c r="X84" s="122" t="str">
        <f>IF($AL$84="","",IF(INDEX('Final Calculation Sheet'!$W$4:$W$40,$AL$84)="","",INDEX('Final Calculation Sheet'!$W$4:$W$40,$AL$84)))</f>
        <v/>
      </c>
      <c r="Y84" s="122" t="str">
        <f>IF($AL$84="","",IF(INDEX('Final Calculation Sheet'!$X$4:$X$40,$AL$84)="","",INDEX('Final Calculation Sheet'!$X$4:$X$40,$AL$84)))</f>
        <v/>
      </c>
      <c r="Z84" s="122" t="str">
        <f>IF($AL$84="","",IF(INDEX('Final Calculation Sheet'!$Y$4:$Y$40,$AL$84)="","",INDEX('Final Calculation Sheet'!$Y$4:$Y$40,$AL$84)))</f>
        <v/>
      </c>
      <c r="AA84" s="122" t="str">
        <f>IF($AL$84="","",IF(INDEX('Final Calculation Sheet'!$Z$4:$Z$40,$AL$84)="","",INDEX('Final Calculation Sheet'!$Z$4:$Z$40,$AL$84)))</f>
        <v/>
      </c>
      <c r="AB84" s="122" t="str">
        <f>IF($AL$84="","",IF(INDEX('Final Calculation Sheet'!$AA$4:$AA$40,$AL$84)="","",INDEX('Final Calculation Sheet'!$AA$4:$AA$40,$AL$84)))</f>
        <v/>
      </c>
      <c r="AC84" s="122" t="str">
        <f>IF($AL$84="","",IF(INDEX('Final Calculation Sheet'!$AB$4:$AB$40,$AL$84)="","",INDEX('Final Calculation Sheet'!$AB$4:$AB$40,$AL$84)))</f>
        <v/>
      </c>
      <c r="AD84" s="122" t="str">
        <f>IF($AL$84="","",IF(INDEX('Final Calculation Sheet'!$AC$4:$AC$40,$AL$84)="","",INDEX('Final Calculation Sheet'!$AC$4:$AC$40,$AL$84)))</f>
        <v/>
      </c>
      <c r="AE84" s="122" t="str">
        <f>IF($AL$84="","",IF(INDEX('Final Calculation Sheet'!$AD$4:$AD$40,$AL$84)="","",INDEX('Final Calculation Sheet'!$AD$4:$AD$40,$AL$84)))</f>
        <v/>
      </c>
      <c r="AF84" s="122" t="str">
        <f>IF($AL$84="","",IF(INDEX('Final Calculation Sheet'!$AE$4:$AE$40,$AL$84)="","",INDEX('Final Calculation Sheet'!$AE$4:$AE$40,$AL$84)))</f>
        <v/>
      </c>
      <c r="AG84" s="126" t="str">
        <f>IF($AL$84="","",IF(INDEX('Final Calculation Sheet'!$AF$4:$AF$40,$AL$84)="","",INDEX('Final Calculation Sheet'!$AF$4:$AF$40,$AL$84)))</f>
        <v/>
      </c>
      <c r="AH84" s="122" t="str">
        <f>IF($AL$84="","",IF(INDEX('Final Calculation Sheet'!$AG$4:$AG$40,$AL$84)="","",INDEX('Final Calculation Sheet'!$AG$4:$AG$40,$AL$84)))</f>
        <v/>
      </c>
      <c r="AI84" s="127" t="str">
        <f>IF($AL$84="","",IF(INDEX('Final Calculation Sheet'!$AD$4:$AD$40,$AL$84)&lt;=5,"SETTLED","OUTSTANDING"))</f>
        <v/>
      </c>
      <c r="AL84" t="str">
        <f>IF(COUNTIF($B$4:$AI$4,"&lt;&gt;")=0,"",IFERROR(MATCH(25,$AK$6:$AK$42,0),""))</f>
        <v/>
      </c>
    </row>
    <row r="85">
      <c r="A85" s="128" t="str">
        <f>IF($AL$85="","",26)</f>
        <v/>
      </c>
      <c r="B85" s="129" t="str">
        <f>IF($AL$85="","",IF(INDEX('Final Calculation Sheet'!$F$4:$F$40,$AL$85)="","",INDEX('Final Calculation Sheet'!$F$4:$F$40,$AL$85)))</f>
        <v/>
      </c>
      <c r="C85" s="129" t="str">
        <f>IF($AL$85="","",IF(INDEX('Final Calculation Sheet'!$G$4:$G$40,$AL$85)="","",INDEX('Final Calculation Sheet'!$G$4:$G$40,$AL$85)))</f>
        <v/>
      </c>
      <c r="D85" s="130" t="str">
        <f>IF($AL$85="","",IF(INDEX('Final Calculation Sheet'!$B$4:$B$40,$AL$85)="","",INDEX('Final Calculation Sheet'!$B$4:$B$40,$AL$85)))</f>
        <v/>
      </c>
      <c r="E85" s="130" t="str">
        <f>IF($AL$85="","",IF(INDEX('Final Calculation Sheet'!$D$4:$D$40,$AL$85)="","",INDEX('Final Calculation Sheet'!$D$4:$D$40,$AL$85)))</f>
        <v/>
      </c>
      <c r="F85" s="130" t="str">
        <f>IF($AL$85="","",IF(INDEX('Final Calculation Sheet'!$A$4:$A$40,$AL$85)="","",INDEX('Final Calculation Sheet'!$A$4:$A$40,$AL$85)))</f>
        <v/>
      </c>
      <c r="G85" s="130" t="str">
        <f>IF($AL$85="","",IF(INDEX('Final Calculation Sheet'!$E$4:$E$40,$AL$85)="","",INDEX('Final Calculation Sheet'!$E$4:$E$40,$AL$85)))</f>
        <v/>
      </c>
      <c r="H85" s="131" t="str">
        <f>IF($AL$85="","",IF(INDEX('Final Calculation Sheet'!$C$4:$C$40,$AL$85)="","",INDEX('Final Calculation Sheet'!$C$4:$C$40,$AL$85)))</f>
        <v/>
      </c>
      <c r="I85" s="131" t="str">
        <f>IF($AL$85="","",IF(INDEX('Final Calculation Sheet'!$H$4:$H$40,$AL$85)="","",INDEX('Final Calculation Sheet'!$H$4:$H$40,$AL$85)))</f>
        <v/>
      </c>
      <c r="J85" s="131" t="str">
        <f>IF($AL$85="","",IF(INDEX('Final Calculation Sheet'!$I$4:$I$40,$AL$85)="","",INDEX('Final Calculation Sheet'!$I$4:$I$40,$AL$85)))</f>
        <v/>
      </c>
      <c r="K85" s="131" t="str">
        <f>IF($AL$85="","",IF(INDEX('Final Calculation Sheet'!$J$4:$J$40,$AL$85)="","",INDEX('Final Calculation Sheet'!$J$4:$J$40,$AL$85)))</f>
        <v/>
      </c>
      <c r="L85" s="131" t="str">
        <f>IF($AL$85="","",IF(INDEX('Final Calculation Sheet'!$K$4:$K$40,$AL$85)="","",INDEX('Final Calculation Sheet'!$K$4:$K$40,$AL$85)))</f>
        <v/>
      </c>
      <c r="M85" s="131" t="str">
        <f>IF($AL$85="","",IF(INDEX('Final Calculation Sheet'!$L$4:$L$40,$AL$85)="","",INDEX('Final Calculation Sheet'!$L$4:$L$40,$AL$85)))</f>
        <v/>
      </c>
      <c r="N85" s="131" t="str">
        <f>IF($AL$85="","",IF(INDEX('Final Calculation Sheet'!$M$4:$M$40,$AL$85)="","",INDEX('Final Calculation Sheet'!$M$4:$M$40,$AL$85)))</f>
        <v/>
      </c>
      <c r="O85" s="132" t="str">
        <f>IF($AL$85="","",IF(INDEX('Final Calculation Sheet'!$N$4:$N$40,$AL$85)="","",INDEX('Final Calculation Sheet'!$N$4:$N$40,$AL$85)))</f>
        <v/>
      </c>
      <c r="P85" s="131" t="str">
        <f>IF($AL$85="","",IF(INDEX('Final Calculation Sheet'!$O$4:$O$40,$AL$85)="","",INDEX('Final Calculation Sheet'!$O$4:$O$40,$AL$85)))</f>
        <v/>
      </c>
      <c r="Q85" s="131" t="str">
        <f>IF($AL$85="","",IF(INDEX('Final Calculation Sheet'!$P$4:$P$40,$AL$85)="","",INDEX('Final Calculation Sheet'!$P$4:$P$40,$AL$85)))</f>
        <v/>
      </c>
      <c r="R85" s="133" t="str">
        <f>IF($AL$85="","",IF(INDEX('Final Calculation Sheet'!$Q$4:$Q$40,$AL$85)="","",INDEX('Final Calculation Sheet'!$Q$4:$Q$40,$AL$85)))</f>
        <v/>
      </c>
      <c r="S85" s="131" t="str">
        <f>IF($AL$85="","",IF(INDEX('Final Calculation Sheet'!$R$4:$R$40,$AL$85)="","",INDEX('Final Calculation Sheet'!$R$4:$R$40,$AL$85)))</f>
        <v/>
      </c>
      <c r="T85" s="131" t="str">
        <f>IF($AL$85="","",IF(INDEX('Final Calculation Sheet'!$S$4:$S$40,$AL$85)="","",INDEX('Final Calculation Sheet'!$S$4:$S$40,$AL$85)))</f>
        <v/>
      </c>
      <c r="U85" s="131" t="str">
        <f>IF($AL$85="","",IF(INDEX('Final Calculation Sheet'!$T$4:$T$40,$AL$85)="","",INDEX('Final Calculation Sheet'!$T$4:$T$40,$AL$85)))</f>
        <v/>
      </c>
      <c r="V85" s="134" t="str">
        <f>IF($AL$85="","",IF(INDEX('Final Calculation Sheet'!$U$4:$U$40,$AL$85)="","",INDEX('Final Calculation Sheet'!$U$4:$U$40,$AL$85)))</f>
        <v/>
      </c>
      <c r="W85" s="131" t="str">
        <f>IF($AL$85="","",IF(INDEX('Final Calculation Sheet'!$V$4:$V$40,$AL$85)="","",INDEX('Final Calculation Sheet'!$V$4:$V$40,$AL$85)))</f>
        <v/>
      </c>
      <c r="X85" s="131" t="str">
        <f>IF($AL$85="","",IF(INDEX('Final Calculation Sheet'!$W$4:$W$40,$AL$85)="","",INDEX('Final Calculation Sheet'!$W$4:$W$40,$AL$85)))</f>
        <v/>
      </c>
      <c r="Y85" s="131" t="str">
        <f>IF($AL$85="","",IF(INDEX('Final Calculation Sheet'!$X$4:$X$40,$AL$85)="","",INDEX('Final Calculation Sheet'!$X$4:$X$40,$AL$85)))</f>
        <v/>
      </c>
      <c r="Z85" s="131" t="str">
        <f>IF($AL$85="","",IF(INDEX('Final Calculation Sheet'!$Y$4:$Y$40,$AL$85)="","",INDEX('Final Calculation Sheet'!$Y$4:$Y$40,$AL$85)))</f>
        <v/>
      </c>
      <c r="AA85" s="131" t="str">
        <f>IF($AL$85="","",IF(INDEX('Final Calculation Sheet'!$Z$4:$Z$40,$AL$85)="","",INDEX('Final Calculation Sheet'!$Z$4:$Z$40,$AL$85)))</f>
        <v/>
      </c>
      <c r="AB85" s="131" t="str">
        <f>IF($AL$85="","",IF(INDEX('Final Calculation Sheet'!$AA$4:$AA$40,$AL$85)="","",INDEX('Final Calculation Sheet'!$AA$4:$AA$40,$AL$85)))</f>
        <v/>
      </c>
      <c r="AC85" s="131" t="str">
        <f>IF($AL$85="","",IF(INDEX('Final Calculation Sheet'!$AB$4:$AB$40,$AL$85)="","",INDEX('Final Calculation Sheet'!$AB$4:$AB$40,$AL$85)))</f>
        <v/>
      </c>
      <c r="AD85" s="131" t="str">
        <f>IF($AL$85="","",IF(INDEX('Final Calculation Sheet'!$AC$4:$AC$40,$AL$85)="","",INDEX('Final Calculation Sheet'!$AC$4:$AC$40,$AL$85)))</f>
        <v/>
      </c>
      <c r="AE85" s="131" t="str">
        <f>IF($AL$85="","",IF(INDEX('Final Calculation Sheet'!$AD$4:$AD$40,$AL$85)="","",INDEX('Final Calculation Sheet'!$AD$4:$AD$40,$AL$85)))</f>
        <v/>
      </c>
      <c r="AF85" s="131" t="str">
        <f>IF($AL$85="","",IF(INDEX('Final Calculation Sheet'!$AE$4:$AE$40,$AL$85)="","",INDEX('Final Calculation Sheet'!$AE$4:$AE$40,$AL$85)))</f>
        <v/>
      </c>
      <c r="AG85" s="135" t="str">
        <f>IF($AL$85="","",IF(INDEX('Final Calculation Sheet'!$AF$4:$AF$40,$AL$85)="","",INDEX('Final Calculation Sheet'!$AF$4:$AF$40,$AL$85)))</f>
        <v/>
      </c>
      <c r="AH85" s="131" t="str">
        <f>IF($AL$85="","",IF(INDEX('Final Calculation Sheet'!$AG$4:$AG$40,$AL$85)="","",INDEX('Final Calculation Sheet'!$AG$4:$AG$40,$AL$85)))</f>
        <v/>
      </c>
      <c r="AI85" s="136" t="str">
        <f>IF($AL$85="","",IF(INDEX('Final Calculation Sheet'!$AD$4:$AD$40,$AL$85)&lt;=5,"SETTLED","OUTSTANDING"))</f>
        <v/>
      </c>
      <c r="AL85" t="str">
        <f>IF(COUNTIF($B$4:$AI$4,"&lt;&gt;")=0,"",IFERROR(MATCH(26,$AK$6:$AK$42,0),""))</f>
        <v/>
      </c>
    </row>
    <row r="86">
      <c r="A86" s="118" t="str">
        <f>IF($AL$86="","",27)</f>
        <v/>
      </c>
      <c r="B86" s="119" t="str">
        <f>IF($AL$86="","",IF(INDEX('Final Calculation Sheet'!$F$4:$F$40,$AL$86)="","",INDEX('Final Calculation Sheet'!$F$4:$F$40,$AL$86)))</f>
        <v/>
      </c>
      <c r="C86" s="119" t="str">
        <f>IF($AL$86="","",IF(INDEX('Final Calculation Sheet'!$G$4:$G$40,$AL$86)="","",INDEX('Final Calculation Sheet'!$G$4:$G$40,$AL$86)))</f>
        <v/>
      </c>
      <c r="D86" s="121" t="str">
        <f>IF($AL$86="","",IF(INDEX('Final Calculation Sheet'!$B$4:$B$40,$AL$86)="","",INDEX('Final Calculation Sheet'!$B$4:$B$40,$AL$86)))</f>
        <v/>
      </c>
      <c r="E86" s="121" t="str">
        <f>IF($AL$86="","",IF(INDEX('Final Calculation Sheet'!$D$4:$D$40,$AL$86)="","",INDEX('Final Calculation Sheet'!$D$4:$D$40,$AL$86)))</f>
        <v/>
      </c>
      <c r="F86" s="121" t="str">
        <f>IF($AL$86="","",IF(INDEX('Final Calculation Sheet'!$A$4:$A$40,$AL$86)="","",INDEX('Final Calculation Sheet'!$A$4:$A$40,$AL$86)))</f>
        <v/>
      </c>
      <c r="G86" s="121" t="str">
        <f>IF($AL$86="","",IF(INDEX('Final Calculation Sheet'!$E$4:$E$40,$AL$86)="","",INDEX('Final Calculation Sheet'!$E$4:$E$40,$AL$86)))</f>
        <v/>
      </c>
      <c r="H86" s="122" t="str">
        <f>IF($AL$86="","",IF(INDEX('Final Calculation Sheet'!$C$4:$C$40,$AL$86)="","",INDEX('Final Calculation Sheet'!$C$4:$C$40,$AL$86)))</f>
        <v/>
      </c>
      <c r="I86" s="122" t="str">
        <f>IF($AL$86="","",IF(INDEX('Final Calculation Sheet'!$H$4:$H$40,$AL$86)="","",INDEX('Final Calculation Sheet'!$H$4:$H$40,$AL$86)))</f>
        <v/>
      </c>
      <c r="J86" s="122" t="str">
        <f>IF($AL$86="","",IF(INDEX('Final Calculation Sheet'!$I$4:$I$40,$AL$86)="","",INDEX('Final Calculation Sheet'!$I$4:$I$40,$AL$86)))</f>
        <v/>
      </c>
      <c r="K86" s="122" t="str">
        <f>IF($AL$86="","",IF(INDEX('Final Calculation Sheet'!$J$4:$J$40,$AL$86)="","",INDEX('Final Calculation Sheet'!$J$4:$J$40,$AL$86)))</f>
        <v/>
      </c>
      <c r="L86" s="122" t="str">
        <f>IF($AL$86="","",IF(INDEX('Final Calculation Sheet'!$K$4:$K$40,$AL$86)="","",INDEX('Final Calculation Sheet'!$K$4:$K$40,$AL$86)))</f>
        <v/>
      </c>
      <c r="M86" s="122" t="str">
        <f>IF($AL$86="","",IF(INDEX('Final Calculation Sheet'!$L$4:$L$40,$AL$86)="","",INDEX('Final Calculation Sheet'!$L$4:$L$40,$AL$86)))</f>
        <v/>
      </c>
      <c r="N86" s="122" t="str">
        <f>IF($AL$86="","",IF(INDEX('Final Calculation Sheet'!$M$4:$M$40,$AL$86)="","",INDEX('Final Calculation Sheet'!$M$4:$M$40,$AL$86)))</f>
        <v/>
      </c>
      <c r="O86" s="123" t="str">
        <f>IF($AL$86="","",IF(INDEX('Final Calculation Sheet'!$N$4:$N$40,$AL$86)="","",INDEX('Final Calculation Sheet'!$N$4:$N$40,$AL$86)))</f>
        <v/>
      </c>
      <c r="P86" s="122" t="str">
        <f>IF($AL$86="","",IF(INDEX('Final Calculation Sheet'!$O$4:$O$40,$AL$86)="","",INDEX('Final Calculation Sheet'!$O$4:$O$40,$AL$86)))</f>
        <v/>
      </c>
      <c r="Q86" s="122" t="str">
        <f>IF($AL$86="","",IF(INDEX('Final Calculation Sheet'!$P$4:$P$40,$AL$86)="","",INDEX('Final Calculation Sheet'!$P$4:$P$40,$AL$86)))</f>
        <v/>
      </c>
      <c r="R86" s="124" t="str">
        <f>IF($AL$86="","",IF(INDEX('Final Calculation Sheet'!$Q$4:$Q$40,$AL$86)="","",INDEX('Final Calculation Sheet'!$Q$4:$Q$40,$AL$86)))</f>
        <v/>
      </c>
      <c r="S86" s="122" t="str">
        <f>IF($AL$86="","",IF(INDEX('Final Calculation Sheet'!$R$4:$R$40,$AL$86)="","",INDEX('Final Calculation Sheet'!$R$4:$R$40,$AL$86)))</f>
        <v/>
      </c>
      <c r="T86" s="122" t="str">
        <f>IF($AL$86="","",IF(INDEX('Final Calculation Sheet'!$S$4:$S$40,$AL$86)="","",INDEX('Final Calculation Sheet'!$S$4:$S$40,$AL$86)))</f>
        <v/>
      </c>
      <c r="U86" s="122" t="str">
        <f>IF($AL$86="","",IF(INDEX('Final Calculation Sheet'!$T$4:$T$40,$AL$86)="","",INDEX('Final Calculation Sheet'!$T$4:$T$40,$AL$86)))</f>
        <v/>
      </c>
      <c r="V86" s="125" t="str">
        <f>IF($AL$86="","",IF(INDEX('Final Calculation Sheet'!$U$4:$U$40,$AL$86)="","",INDEX('Final Calculation Sheet'!$U$4:$U$40,$AL$86)))</f>
        <v/>
      </c>
      <c r="W86" s="122" t="str">
        <f>IF($AL$86="","",IF(INDEX('Final Calculation Sheet'!$V$4:$V$40,$AL$86)="","",INDEX('Final Calculation Sheet'!$V$4:$V$40,$AL$86)))</f>
        <v/>
      </c>
      <c r="X86" s="122" t="str">
        <f>IF($AL$86="","",IF(INDEX('Final Calculation Sheet'!$W$4:$W$40,$AL$86)="","",INDEX('Final Calculation Sheet'!$W$4:$W$40,$AL$86)))</f>
        <v/>
      </c>
      <c r="Y86" s="122" t="str">
        <f>IF($AL$86="","",IF(INDEX('Final Calculation Sheet'!$X$4:$X$40,$AL$86)="","",INDEX('Final Calculation Sheet'!$X$4:$X$40,$AL$86)))</f>
        <v/>
      </c>
      <c r="Z86" s="122" t="str">
        <f>IF($AL$86="","",IF(INDEX('Final Calculation Sheet'!$Y$4:$Y$40,$AL$86)="","",INDEX('Final Calculation Sheet'!$Y$4:$Y$40,$AL$86)))</f>
        <v/>
      </c>
      <c r="AA86" s="122" t="str">
        <f>IF($AL$86="","",IF(INDEX('Final Calculation Sheet'!$Z$4:$Z$40,$AL$86)="","",INDEX('Final Calculation Sheet'!$Z$4:$Z$40,$AL$86)))</f>
        <v/>
      </c>
      <c r="AB86" s="122" t="str">
        <f>IF($AL$86="","",IF(INDEX('Final Calculation Sheet'!$AA$4:$AA$40,$AL$86)="","",INDEX('Final Calculation Sheet'!$AA$4:$AA$40,$AL$86)))</f>
        <v/>
      </c>
      <c r="AC86" s="122" t="str">
        <f>IF($AL$86="","",IF(INDEX('Final Calculation Sheet'!$AB$4:$AB$40,$AL$86)="","",INDEX('Final Calculation Sheet'!$AB$4:$AB$40,$AL$86)))</f>
        <v/>
      </c>
      <c r="AD86" s="122" t="str">
        <f>IF($AL$86="","",IF(INDEX('Final Calculation Sheet'!$AC$4:$AC$40,$AL$86)="","",INDEX('Final Calculation Sheet'!$AC$4:$AC$40,$AL$86)))</f>
        <v/>
      </c>
      <c r="AE86" s="122" t="str">
        <f>IF($AL$86="","",IF(INDEX('Final Calculation Sheet'!$AD$4:$AD$40,$AL$86)="","",INDEX('Final Calculation Sheet'!$AD$4:$AD$40,$AL$86)))</f>
        <v/>
      </c>
      <c r="AF86" s="122" t="str">
        <f>IF($AL$86="","",IF(INDEX('Final Calculation Sheet'!$AE$4:$AE$40,$AL$86)="","",INDEX('Final Calculation Sheet'!$AE$4:$AE$40,$AL$86)))</f>
        <v/>
      </c>
      <c r="AG86" s="126" t="str">
        <f>IF($AL$86="","",IF(INDEX('Final Calculation Sheet'!$AF$4:$AF$40,$AL$86)="","",INDEX('Final Calculation Sheet'!$AF$4:$AF$40,$AL$86)))</f>
        <v/>
      </c>
      <c r="AH86" s="122" t="str">
        <f>IF($AL$86="","",IF(INDEX('Final Calculation Sheet'!$AG$4:$AG$40,$AL$86)="","",INDEX('Final Calculation Sheet'!$AG$4:$AG$40,$AL$86)))</f>
        <v/>
      </c>
      <c r="AI86" s="127" t="str">
        <f>IF($AL$86="","",IF(INDEX('Final Calculation Sheet'!$AD$4:$AD$40,$AL$86)&lt;=5,"SETTLED","OUTSTANDING"))</f>
        <v/>
      </c>
      <c r="AL86" t="str">
        <f>IF(COUNTIF($B$4:$AI$4,"&lt;&gt;")=0,"",IFERROR(MATCH(27,$AK$6:$AK$42,0),""))</f>
        <v/>
      </c>
    </row>
    <row r="87">
      <c r="A87" s="128" t="str">
        <f>IF($AL$87="","",28)</f>
        <v/>
      </c>
      <c r="B87" s="129" t="str">
        <f>IF($AL$87="","",IF(INDEX('Final Calculation Sheet'!$F$4:$F$40,$AL$87)="","",INDEX('Final Calculation Sheet'!$F$4:$F$40,$AL$87)))</f>
        <v/>
      </c>
      <c r="C87" s="129" t="str">
        <f>IF($AL$87="","",IF(INDEX('Final Calculation Sheet'!$G$4:$G$40,$AL$87)="","",INDEX('Final Calculation Sheet'!$G$4:$G$40,$AL$87)))</f>
        <v/>
      </c>
      <c r="D87" s="130" t="str">
        <f>IF($AL$87="","",IF(INDEX('Final Calculation Sheet'!$B$4:$B$40,$AL$87)="","",INDEX('Final Calculation Sheet'!$B$4:$B$40,$AL$87)))</f>
        <v/>
      </c>
      <c r="E87" s="130" t="str">
        <f>IF($AL$87="","",IF(INDEX('Final Calculation Sheet'!$D$4:$D$40,$AL$87)="","",INDEX('Final Calculation Sheet'!$D$4:$D$40,$AL$87)))</f>
        <v/>
      </c>
      <c r="F87" s="130" t="str">
        <f>IF($AL$87="","",IF(INDEX('Final Calculation Sheet'!$A$4:$A$40,$AL$87)="","",INDEX('Final Calculation Sheet'!$A$4:$A$40,$AL$87)))</f>
        <v/>
      </c>
      <c r="G87" s="130" t="str">
        <f>IF($AL$87="","",IF(INDEX('Final Calculation Sheet'!$E$4:$E$40,$AL$87)="","",INDEX('Final Calculation Sheet'!$E$4:$E$40,$AL$87)))</f>
        <v/>
      </c>
      <c r="H87" s="131" t="str">
        <f>IF($AL$87="","",IF(INDEX('Final Calculation Sheet'!$C$4:$C$40,$AL$87)="","",INDEX('Final Calculation Sheet'!$C$4:$C$40,$AL$87)))</f>
        <v/>
      </c>
      <c r="I87" s="131" t="str">
        <f>IF($AL$87="","",IF(INDEX('Final Calculation Sheet'!$H$4:$H$40,$AL$87)="","",INDEX('Final Calculation Sheet'!$H$4:$H$40,$AL$87)))</f>
        <v/>
      </c>
      <c r="J87" s="131" t="str">
        <f>IF($AL$87="","",IF(INDEX('Final Calculation Sheet'!$I$4:$I$40,$AL$87)="","",INDEX('Final Calculation Sheet'!$I$4:$I$40,$AL$87)))</f>
        <v/>
      </c>
      <c r="K87" s="131" t="str">
        <f>IF($AL$87="","",IF(INDEX('Final Calculation Sheet'!$J$4:$J$40,$AL$87)="","",INDEX('Final Calculation Sheet'!$J$4:$J$40,$AL$87)))</f>
        <v/>
      </c>
      <c r="L87" s="131" t="str">
        <f>IF($AL$87="","",IF(INDEX('Final Calculation Sheet'!$K$4:$K$40,$AL$87)="","",INDEX('Final Calculation Sheet'!$K$4:$K$40,$AL$87)))</f>
        <v/>
      </c>
      <c r="M87" s="131" t="str">
        <f>IF($AL$87="","",IF(INDEX('Final Calculation Sheet'!$L$4:$L$40,$AL$87)="","",INDEX('Final Calculation Sheet'!$L$4:$L$40,$AL$87)))</f>
        <v/>
      </c>
      <c r="N87" s="131" t="str">
        <f>IF($AL$87="","",IF(INDEX('Final Calculation Sheet'!$M$4:$M$40,$AL$87)="","",INDEX('Final Calculation Sheet'!$M$4:$M$40,$AL$87)))</f>
        <v/>
      </c>
      <c r="O87" s="132" t="str">
        <f>IF($AL$87="","",IF(INDEX('Final Calculation Sheet'!$N$4:$N$40,$AL$87)="","",INDEX('Final Calculation Sheet'!$N$4:$N$40,$AL$87)))</f>
        <v/>
      </c>
      <c r="P87" s="131" t="str">
        <f>IF($AL$87="","",IF(INDEX('Final Calculation Sheet'!$O$4:$O$40,$AL$87)="","",INDEX('Final Calculation Sheet'!$O$4:$O$40,$AL$87)))</f>
        <v/>
      </c>
      <c r="Q87" s="131" t="str">
        <f>IF($AL$87="","",IF(INDEX('Final Calculation Sheet'!$P$4:$P$40,$AL$87)="","",INDEX('Final Calculation Sheet'!$P$4:$P$40,$AL$87)))</f>
        <v/>
      </c>
      <c r="R87" s="133" t="str">
        <f>IF($AL$87="","",IF(INDEX('Final Calculation Sheet'!$Q$4:$Q$40,$AL$87)="","",INDEX('Final Calculation Sheet'!$Q$4:$Q$40,$AL$87)))</f>
        <v/>
      </c>
      <c r="S87" s="131" t="str">
        <f>IF($AL$87="","",IF(INDEX('Final Calculation Sheet'!$R$4:$R$40,$AL$87)="","",INDEX('Final Calculation Sheet'!$R$4:$R$40,$AL$87)))</f>
        <v/>
      </c>
      <c r="T87" s="131" t="str">
        <f>IF($AL$87="","",IF(INDEX('Final Calculation Sheet'!$S$4:$S$40,$AL$87)="","",INDEX('Final Calculation Sheet'!$S$4:$S$40,$AL$87)))</f>
        <v/>
      </c>
      <c r="U87" s="131" t="str">
        <f>IF($AL$87="","",IF(INDEX('Final Calculation Sheet'!$T$4:$T$40,$AL$87)="","",INDEX('Final Calculation Sheet'!$T$4:$T$40,$AL$87)))</f>
        <v/>
      </c>
      <c r="V87" s="134" t="str">
        <f>IF($AL$87="","",IF(INDEX('Final Calculation Sheet'!$U$4:$U$40,$AL$87)="","",INDEX('Final Calculation Sheet'!$U$4:$U$40,$AL$87)))</f>
        <v/>
      </c>
      <c r="W87" s="131" t="str">
        <f>IF($AL$87="","",IF(INDEX('Final Calculation Sheet'!$V$4:$V$40,$AL$87)="","",INDEX('Final Calculation Sheet'!$V$4:$V$40,$AL$87)))</f>
        <v/>
      </c>
      <c r="X87" s="131" t="str">
        <f>IF($AL$87="","",IF(INDEX('Final Calculation Sheet'!$W$4:$W$40,$AL$87)="","",INDEX('Final Calculation Sheet'!$W$4:$W$40,$AL$87)))</f>
        <v/>
      </c>
      <c r="Y87" s="131" t="str">
        <f>IF($AL$87="","",IF(INDEX('Final Calculation Sheet'!$X$4:$X$40,$AL$87)="","",INDEX('Final Calculation Sheet'!$X$4:$X$40,$AL$87)))</f>
        <v/>
      </c>
      <c r="Z87" s="131" t="str">
        <f>IF($AL$87="","",IF(INDEX('Final Calculation Sheet'!$Y$4:$Y$40,$AL$87)="","",INDEX('Final Calculation Sheet'!$Y$4:$Y$40,$AL$87)))</f>
        <v/>
      </c>
      <c r="AA87" s="131" t="str">
        <f>IF($AL$87="","",IF(INDEX('Final Calculation Sheet'!$Z$4:$Z$40,$AL$87)="","",INDEX('Final Calculation Sheet'!$Z$4:$Z$40,$AL$87)))</f>
        <v/>
      </c>
      <c r="AB87" s="131" t="str">
        <f>IF($AL$87="","",IF(INDEX('Final Calculation Sheet'!$AA$4:$AA$40,$AL$87)="","",INDEX('Final Calculation Sheet'!$AA$4:$AA$40,$AL$87)))</f>
        <v/>
      </c>
      <c r="AC87" s="131" t="str">
        <f>IF($AL$87="","",IF(INDEX('Final Calculation Sheet'!$AB$4:$AB$40,$AL$87)="","",INDEX('Final Calculation Sheet'!$AB$4:$AB$40,$AL$87)))</f>
        <v/>
      </c>
      <c r="AD87" s="131" t="str">
        <f>IF($AL$87="","",IF(INDEX('Final Calculation Sheet'!$AC$4:$AC$40,$AL$87)="","",INDEX('Final Calculation Sheet'!$AC$4:$AC$40,$AL$87)))</f>
        <v/>
      </c>
      <c r="AE87" s="131" t="str">
        <f>IF($AL$87="","",IF(INDEX('Final Calculation Sheet'!$AD$4:$AD$40,$AL$87)="","",INDEX('Final Calculation Sheet'!$AD$4:$AD$40,$AL$87)))</f>
        <v/>
      </c>
      <c r="AF87" s="131" t="str">
        <f>IF($AL$87="","",IF(INDEX('Final Calculation Sheet'!$AE$4:$AE$40,$AL$87)="","",INDEX('Final Calculation Sheet'!$AE$4:$AE$40,$AL$87)))</f>
        <v/>
      </c>
      <c r="AG87" s="135" t="str">
        <f>IF($AL$87="","",IF(INDEX('Final Calculation Sheet'!$AF$4:$AF$40,$AL$87)="","",INDEX('Final Calculation Sheet'!$AF$4:$AF$40,$AL$87)))</f>
        <v/>
      </c>
      <c r="AH87" s="131" t="str">
        <f>IF($AL$87="","",IF(INDEX('Final Calculation Sheet'!$AG$4:$AG$40,$AL$87)="","",INDEX('Final Calculation Sheet'!$AG$4:$AG$40,$AL$87)))</f>
        <v/>
      </c>
      <c r="AI87" s="136" t="str">
        <f>IF($AL$87="","",IF(INDEX('Final Calculation Sheet'!$AD$4:$AD$40,$AL$87)&lt;=5,"SETTLED","OUTSTANDING"))</f>
        <v/>
      </c>
      <c r="AL87" t="str">
        <f>IF(COUNTIF($B$4:$AI$4,"&lt;&gt;")=0,"",IFERROR(MATCH(28,$AK$6:$AK$42,0),""))</f>
        <v/>
      </c>
    </row>
    <row r="88">
      <c r="A88" s="118" t="str">
        <f>IF($AL$88="","",29)</f>
        <v/>
      </c>
      <c r="B88" s="119" t="str">
        <f>IF($AL$88="","",IF(INDEX('Final Calculation Sheet'!$F$4:$F$40,$AL$88)="","",INDEX('Final Calculation Sheet'!$F$4:$F$40,$AL$88)))</f>
        <v/>
      </c>
      <c r="C88" s="119" t="str">
        <f>IF($AL$88="","",IF(INDEX('Final Calculation Sheet'!$G$4:$G$40,$AL$88)="","",INDEX('Final Calculation Sheet'!$G$4:$G$40,$AL$88)))</f>
        <v/>
      </c>
      <c r="D88" s="121" t="str">
        <f>IF($AL$88="","",IF(INDEX('Final Calculation Sheet'!$B$4:$B$40,$AL$88)="","",INDEX('Final Calculation Sheet'!$B$4:$B$40,$AL$88)))</f>
        <v/>
      </c>
      <c r="E88" s="121" t="str">
        <f>IF($AL$88="","",IF(INDEX('Final Calculation Sheet'!$D$4:$D$40,$AL$88)="","",INDEX('Final Calculation Sheet'!$D$4:$D$40,$AL$88)))</f>
        <v/>
      </c>
      <c r="F88" s="121" t="str">
        <f>IF($AL$88="","",IF(INDEX('Final Calculation Sheet'!$A$4:$A$40,$AL$88)="","",INDEX('Final Calculation Sheet'!$A$4:$A$40,$AL$88)))</f>
        <v/>
      </c>
      <c r="G88" s="121" t="str">
        <f>IF($AL$88="","",IF(INDEX('Final Calculation Sheet'!$E$4:$E$40,$AL$88)="","",INDEX('Final Calculation Sheet'!$E$4:$E$40,$AL$88)))</f>
        <v/>
      </c>
      <c r="H88" s="122" t="str">
        <f>IF($AL$88="","",IF(INDEX('Final Calculation Sheet'!$C$4:$C$40,$AL$88)="","",INDEX('Final Calculation Sheet'!$C$4:$C$40,$AL$88)))</f>
        <v/>
      </c>
      <c r="I88" s="122" t="str">
        <f>IF($AL$88="","",IF(INDEX('Final Calculation Sheet'!$H$4:$H$40,$AL$88)="","",INDEX('Final Calculation Sheet'!$H$4:$H$40,$AL$88)))</f>
        <v/>
      </c>
      <c r="J88" s="122" t="str">
        <f>IF($AL$88="","",IF(INDEX('Final Calculation Sheet'!$I$4:$I$40,$AL$88)="","",INDEX('Final Calculation Sheet'!$I$4:$I$40,$AL$88)))</f>
        <v/>
      </c>
      <c r="K88" s="122" t="str">
        <f>IF($AL$88="","",IF(INDEX('Final Calculation Sheet'!$J$4:$J$40,$AL$88)="","",INDEX('Final Calculation Sheet'!$J$4:$J$40,$AL$88)))</f>
        <v/>
      </c>
      <c r="L88" s="122" t="str">
        <f>IF($AL$88="","",IF(INDEX('Final Calculation Sheet'!$K$4:$K$40,$AL$88)="","",INDEX('Final Calculation Sheet'!$K$4:$K$40,$AL$88)))</f>
        <v/>
      </c>
      <c r="M88" s="122" t="str">
        <f>IF($AL$88="","",IF(INDEX('Final Calculation Sheet'!$L$4:$L$40,$AL$88)="","",INDEX('Final Calculation Sheet'!$L$4:$L$40,$AL$88)))</f>
        <v/>
      </c>
      <c r="N88" s="122" t="str">
        <f>IF($AL$88="","",IF(INDEX('Final Calculation Sheet'!$M$4:$M$40,$AL$88)="","",INDEX('Final Calculation Sheet'!$M$4:$M$40,$AL$88)))</f>
        <v/>
      </c>
      <c r="O88" s="123" t="str">
        <f>IF($AL$88="","",IF(INDEX('Final Calculation Sheet'!$N$4:$N$40,$AL$88)="","",INDEX('Final Calculation Sheet'!$N$4:$N$40,$AL$88)))</f>
        <v/>
      </c>
      <c r="P88" s="122" t="str">
        <f>IF($AL$88="","",IF(INDEX('Final Calculation Sheet'!$O$4:$O$40,$AL$88)="","",INDEX('Final Calculation Sheet'!$O$4:$O$40,$AL$88)))</f>
        <v/>
      </c>
      <c r="Q88" s="122" t="str">
        <f>IF($AL$88="","",IF(INDEX('Final Calculation Sheet'!$P$4:$P$40,$AL$88)="","",INDEX('Final Calculation Sheet'!$P$4:$P$40,$AL$88)))</f>
        <v/>
      </c>
      <c r="R88" s="124" t="str">
        <f>IF($AL$88="","",IF(INDEX('Final Calculation Sheet'!$Q$4:$Q$40,$AL$88)="","",INDEX('Final Calculation Sheet'!$Q$4:$Q$40,$AL$88)))</f>
        <v/>
      </c>
      <c r="S88" s="122" t="str">
        <f>IF($AL$88="","",IF(INDEX('Final Calculation Sheet'!$R$4:$R$40,$AL$88)="","",INDEX('Final Calculation Sheet'!$R$4:$R$40,$AL$88)))</f>
        <v/>
      </c>
      <c r="T88" s="122" t="str">
        <f>IF($AL$88="","",IF(INDEX('Final Calculation Sheet'!$S$4:$S$40,$AL$88)="","",INDEX('Final Calculation Sheet'!$S$4:$S$40,$AL$88)))</f>
        <v/>
      </c>
      <c r="U88" s="122" t="str">
        <f>IF($AL$88="","",IF(INDEX('Final Calculation Sheet'!$T$4:$T$40,$AL$88)="","",INDEX('Final Calculation Sheet'!$T$4:$T$40,$AL$88)))</f>
        <v/>
      </c>
      <c r="V88" s="125" t="str">
        <f>IF($AL$88="","",IF(INDEX('Final Calculation Sheet'!$U$4:$U$40,$AL$88)="","",INDEX('Final Calculation Sheet'!$U$4:$U$40,$AL$88)))</f>
        <v/>
      </c>
      <c r="W88" s="122" t="str">
        <f>IF($AL$88="","",IF(INDEX('Final Calculation Sheet'!$V$4:$V$40,$AL$88)="","",INDEX('Final Calculation Sheet'!$V$4:$V$40,$AL$88)))</f>
        <v/>
      </c>
      <c r="X88" s="122" t="str">
        <f>IF($AL$88="","",IF(INDEX('Final Calculation Sheet'!$W$4:$W$40,$AL$88)="","",INDEX('Final Calculation Sheet'!$W$4:$W$40,$AL$88)))</f>
        <v/>
      </c>
      <c r="Y88" s="122" t="str">
        <f>IF($AL$88="","",IF(INDEX('Final Calculation Sheet'!$X$4:$X$40,$AL$88)="","",INDEX('Final Calculation Sheet'!$X$4:$X$40,$AL$88)))</f>
        <v/>
      </c>
      <c r="Z88" s="122" t="str">
        <f>IF($AL$88="","",IF(INDEX('Final Calculation Sheet'!$Y$4:$Y$40,$AL$88)="","",INDEX('Final Calculation Sheet'!$Y$4:$Y$40,$AL$88)))</f>
        <v/>
      </c>
      <c r="AA88" s="122" t="str">
        <f>IF($AL$88="","",IF(INDEX('Final Calculation Sheet'!$Z$4:$Z$40,$AL$88)="","",INDEX('Final Calculation Sheet'!$Z$4:$Z$40,$AL$88)))</f>
        <v/>
      </c>
      <c r="AB88" s="122" t="str">
        <f>IF($AL$88="","",IF(INDEX('Final Calculation Sheet'!$AA$4:$AA$40,$AL$88)="","",INDEX('Final Calculation Sheet'!$AA$4:$AA$40,$AL$88)))</f>
        <v/>
      </c>
      <c r="AC88" s="122" t="str">
        <f>IF($AL$88="","",IF(INDEX('Final Calculation Sheet'!$AB$4:$AB$40,$AL$88)="","",INDEX('Final Calculation Sheet'!$AB$4:$AB$40,$AL$88)))</f>
        <v/>
      </c>
      <c r="AD88" s="122" t="str">
        <f>IF($AL$88="","",IF(INDEX('Final Calculation Sheet'!$AC$4:$AC$40,$AL$88)="","",INDEX('Final Calculation Sheet'!$AC$4:$AC$40,$AL$88)))</f>
        <v/>
      </c>
      <c r="AE88" s="122" t="str">
        <f>IF($AL$88="","",IF(INDEX('Final Calculation Sheet'!$AD$4:$AD$40,$AL$88)="","",INDEX('Final Calculation Sheet'!$AD$4:$AD$40,$AL$88)))</f>
        <v/>
      </c>
      <c r="AF88" s="122" t="str">
        <f>IF($AL$88="","",IF(INDEX('Final Calculation Sheet'!$AE$4:$AE$40,$AL$88)="","",INDEX('Final Calculation Sheet'!$AE$4:$AE$40,$AL$88)))</f>
        <v/>
      </c>
      <c r="AG88" s="126" t="str">
        <f>IF($AL$88="","",IF(INDEX('Final Calculation Sheet'!$AF$4:$AF$40,$AL$88)="","",INDEX('Final Calculation Sheet'!$AF$4:$AF$40,$AL$88)))</f>
        <v/>
      </c>
      <c r="AH88" s="122" t="str">
        <f>IF($AL$88="","",IF(INDEX('Final Calculation Sheet'!$AG$4:$AG$40,$AL$88)="","",INDEX('Final Calculation Sheet'!$AG$4:$AG$40,$AL$88)))</f>
        <v/>
      </c>
      <c r="AI88" s="127" t="str">
        <f>IF($AL$88="","",IF(INDEX('Final Calculation Sheet'!$AD$4:$AD$40,$AL$88)&lt;=5,"SETTLED","OUTSTANDING"))</f>
        <v/>
      </c>
      <c r="AL88" t="str">
        <f>IF(COUNTIF($B$4:$AI$4,"&lt;&gt;")=0,"",IFERROR(MATCH(29,$AK$6:$AK$42,0),""))</f>
        <v/>
      </c>
    </row>
    <row r="89">
      <c r="A89" s="128" t="str">
        <f>IF($AL$89="","",30)</f>
        <v/>
      </c>
      <c r="B89" s="129" t="str">
        <f>IF($AL$89="","",IF(INDEX('Final Calculation Sheet'!$F$4:$F$40,$AL$89)="","",INDEX('Final Calculation Sheet'!$F$4:$F$40,$AL$89)))</f>
        <v/>
      </c>
      <c r="C89" s="129" t="str">
        <f>IF($AL$89="","",IF(INDEX('Final Calculation Sheet'!$G$4:$G$40,$AL$89)="","",INDEX('Final Calculation Sheet'!$G$4:$G$40,$AL$89)))</f>
        <v/>
      </c>
      <c r="D89" s="130" t="str">
        <f>IF($AL$89="","",IF(INDEX('Final Calculation Sheet'!$B$4:$B$40,$AL$89)="","",INDEX('Final Calculation Sheet'!$B$4:$B$40,$AL$89)))</f>
        <v/>
      </c>
      <c r="E89" s="130" t="str">
        <f>IF($AL$89="","",IF(INDEX('Final Calculation Sheet'!$D$4:$D$40,$AL$89)="","",INDEX('Final Calculation Sheet'!$D$4:$D$40,$AL$89)))</f>
        <v/>
      </c>
      <c r="F89" s="130" t="str">
        <f>IF($AL$89="","",IF(INDEX('Final Calculation Sheet'!$A$4:$A$40,$AL$89)="","",INDEX('Final Calculation Sheet'!$A$4:$A$40,$AL$89)))</f>
        <v/>
      </c>
      <c r="G89" s="130" t="str">
        <f>IF($AL$89="","",IF(INDEX('Final Calculation Sheet'!$E$4:$E$40,$AL$89)="","",INDEX('Final Calculation Sheet'!$E$4:$E$40,$AL$89)))</f>
        <v/>
      </c>
      <c r="H89" s="131" t="str">
        <f>IF($AL$89="","",IF(INDEX('Final Calculation Sheet'!$C$4:$C$40,$AL$89)="","",INDEX('Final Calculation Sheet'!$C$4:$C$40,$AL$89)))</f>
        <v/>
      </c>
      <c r="I89" s="131" t="str">
        <f>IF($AL$89="","",IF(INDEX('Final Calculation Sheet'!$H$4:$H$40,$AL$89)="","",INDEX('Final Calculation Sheet'!$H$4:$H$40,$AL$89)))</f>
        <v/>
      </c>
      <c r="J89" s="131" t="str">
        <f>IF($AL$89="","",IF(INDEX('Final Calculation Sheet'!$I$4:$I$40,$AL$89)="","",INDEX('Final Calculation Sheet'!$I$4:$I$40,$AL$89)))</f>
        <v/>
      </c>
      <c r="K89" s="131" t="str">
        <f>IF($AL$89="","",IF(INDEX('Final Calculation Sheet'!$J$4:$J$40,$AL$89)="","",INDEX('Final Calculation Sheet'!$J$4:$J$40,$AL$89)))</f>
        <v/>
      </c>
      <c r="L89" s="131" t="str">
        <f>IF($AL$89="","",IF(INDEX('Final Calculation Sheet'!$K$4:$K$40,$AL$89)="","",INDEX('Final Calculation Sheet'!$K$4:$K$40,$AL$89)))</f>
        <v/>
      </c>
      <c r="M89" s="131" t="str">
        <f>IF($AL$89="","",IF(INDEX('Final Calculation Sheet'!$L$4:$L$40,$AL$89)="","",INDEX('Final Calculation Sheet'!$L$4:$L$40,$AL$89)))</f>
        <v/>
      </c>
      <c r="N89" s="131" t="str">
        <f>IF($AL$89="","",IF(INDEX('Final Calculation Sheet'!$M$4:$M$40,$AL$89)="","",INDEX('Final Calculation Sheet'!$M$4:$M$40,$AL$89)))</f>
        <v/>
      </c>
      <c r="O89" s="132" t="str">
        <f>IF($AL$89="","",IF(INDEX('Final Calculation Sheet'!$N$4:$N$40,$AL$89)="","",INDEX('Final Calculation Sheet'!$N$4:$N$40,$AL$89)))</f>
        <v/>
      </c>
      <c r="P89" s="131" t="str">
        <f>IF($AL$89="","",IF(INDEX('Final Calculation Sheet'!$O$4:$O$40,$AL$89)="","",INDEX('Final Calculation Sheet'!$O$4:$O$40,$AL$89)))</f>
        <v/>
      </c>
      <c r="Q89" s="131" t="str">
        <f>IF($AL$89="","",IF(INDEX('Final Calculation Sheet'!$P$4:$P$40,$AL$89)="","",INDEX('Final Calculation Sheet'!$P$4:$P$40,$AL$89)))</f>
        <v/>
      </c>
      <c r="R89" s="133" t="str">
        <f>IF($AL$89="","",IF(INDEX('Final Calculation Sheet'!$Q$4:$Q$40,$AL$89)="","",INDEX('Final Calculation Sheet'!$Q$4:$Q$40,$AL$89)))</f>
        <v/>
      </c>
      <c r="S89" s="131" t="str">
        <f>IF($AL$89="","",IF(INDEX('Final Calculation Sheet'!$R$4:$R$40,$AL$89)="","",INDEX('Final Calculation Sheet'!$R$4:$R$40,$AL$89)))</f>
        <v/>
      </c>
      <c r="T89" s="131" t="str">
        <f>IF($AL$89="","",IF(INDEX('Final Calculation Sheet'!$S$4:$S$40,$AL$89)="","",INDEX('Final Calculation Sheet'!$S$4:$S$40,$AL$89)))</f>
        <v/>
      </c>
      <c r="U89" s="131" t="str">
        <f>IF($AL$89="","",IF(INDEX('Final Calculation Sheet'!$T$4:$T$40,$AL$89)="","",INDEX('Final Calculation Sheet'!$T$4:$T$40,$AL$89)))</f>
        <v/>
      </c>
      <c r="V89" s="134" t="str">
        <f>IF($AL$89="","",IF(INDEX('Final Calculation Sheet'!$U$4:$U$40,$AL$89)="","",INDEX('Final Calculation Sheet'!$U$4:$U$40,$AL$89)))</f>
        <v/>
      </c>
      <c r="W89" s="131" t="str">
        <f>IF($AL$89="","",IF(INDEX('Final Calculation Sheet'!$V$4:$V$40,$AL$89)="","",INDEX('Final Calculation Sheet'!$V$4:$V$40,$AL$89)))</f>
        <v/>
      </c>
      <c r="X89" s="131" t="str">
        <f>IF($AL$89="","",IF(INDEX('Final Calculation Sheet'!$W$4:$W$40,$AL$89)="","",INDEX('Final Calculation Sheet'!$W$4:$W$40,$AL$89)))</f>
        <v/>
      </c>
      <c r="Y89" s="131" t="str">
        <f>IF($AL$89="","",IF(INDEX('Final Calculation Sheet'!$X$4:$X$40,$AL$89)="","",INDEX('Final Calculation Sheet'!$X$4:$X$40,$AL$89)))</f>
        <v/>
      </c>
      <c r="Z89" s="131" t="str">
        <f>IF($AL$89="","",IF(INDEX('Final Calculation Sheet'!$Y$4:$Y$40,$AL$89)="","",INDEX('Final Calculation Sheet'!$Y$4:$Y$40,$AL$89)))</f>
        <v/>
      </c>
      <c r="AA89" s="131" t="str">
        <f>IF($AL$89="","",IF(INDEX('Final Calculation Sheet'!$Z$4:$Z$40,$AL$89)="","",INDEX('Final Calculation Sheet'!$Z$4:$Z$40,$AL$89)))</f>
        <v/>
      </c>
      <c r="AB89" s="131" t="str">
        <f>IF($AL$89="","",IF(INDEX('Final Calculation Sheet'!$AA$4:$AA$40,$AL$89)="","",INDEX('Final Calculation Sheet'!$AA$4:$AA$40,$AL$89)))</f>
        <v/>
      </c>
      <c r="AC89" s="131" t="str">
        <f>IF($AL$89="","",IF(INDEX('Final Calculation Sheet'!$AB$4:$AB$40,$AL$89)="","",INDEX('Final Calculation Sheet'!$AB$4:$AB$40,$AL$89)))</f>
        <v/>
      </c>
      <c r="AD89" s="131" t="str">
        <f>IF($AL$89="","",IF(INDEX('Final Calculation Sheet'!$AC$4:$AC$40,$AL$89)="","",INDEX('Final Calculation Sheet'!$AC$4:$AC$40,$AL$89)))</f>
        <v/>
      </c>
      <c r="AE89" s="131" t="str">
        <f>IF($AL$89="","",IF(INDEX('Final Calculation Sheet'!$AD$4:$AD$40,$AL$89)="","",INDEX('Final Calculation Sheet'!$AD$4:$AD$40,$AL$89)))</f>
        <v/>
      </c>
      <c r="AF89" s="131" t="str">
        <f>IF($AL$89="","",IF(INDEX('Final Calculation Sheet'!$AE$4:$AE$40,$AL$89)="","",INDEX('Final Calculation Sheet'!$AE$4:$AE$40,$AL$89)))</f>
        <v/>
      </c>
      <c r="AG89" s="135" t="str">
        <f>IF($AL$89="","",IF(INDEX('Final Calculation Sheet'!$AF$4:$AF$40,$AL$89)="","",INDEX('Final Calculation Sheet'!$AF$4:$AF$40,$AL$89)))</f>
        <v/>
      </c>
      <c r="AH89" s="131" t="str">
        <f>IF($AL$89="","",IF(INDEX('Final Calculation Sheet'!$AG$4:$AG$40,$AL$89)="","",INDEX('Final Calculation Sheet'!$AG$4:$AG$40,$AL$89)))</f>
        <v/>
      </c>
      <c r="AI89" s="136" t="str">
        <f>IF($AL$89="","",IF(INDEX('Final Calculation Sheet'!$AD$4:$AD$40,$AL$89)&lt;=5,"SETTLED","OUTSTANDING"))</f>
        <v/>
      </c>
      <c r="AL89" t="str">
        <f>IF(COUNTIF($B$4:$AI$4,"&lt;&gt;")=0,"",IFERROR(MATCH(30,$AK$6:$AK$42,0),""))</f>
        <v/>
      </c>
    </row>
    <row r="90">
      <c r="A90" s="118" t="str">
        <f>IF($AL$90="","",31)</f>
        <v/>
      </c>
      <c r="B90" s="119" t="str">
        <f>IF($AL$90="","",IF(INDEX('Final Calculation Sheet'!$F$4:$F$40,$AL$90)="","",INDEX('Final Calculation Sheet'!$F$4:$F$40,$AL$90)))</f>
        <v/>
      </c>
      <c r="C90" s="119" t="str">
        <f>IF($AL$90="","",IF(INDEX('Final Calculation Sheet'!$G$4:$G$40,$AL$90)="","",INDEX('Final Calculation Sheet'!$G$4:$G$40,$AL$90)))</f>
        <v/>
      </c>
      <c r="D90" s="121" t="str">
        <f>IF($AL$90="","",IF(INDEX('Final Calculation Sheet'!$B$4:$B$40,$AL$90)="","",INDEX('Final Calculation Sheet'!$B$4:$B$40,$AL$90)))</f>
        <v/>
      </c>
      <c r="E90" s="121" t="str">
        <f>IF($AL$90="","",IF(INDEX('Final Calculation Sheet'!$D$4:$D$40,$AL$90)="","",INDEX('Final Calculation Sheet'!$D$4:$D$40,$AL$90)))</f>
        <v/>
      </c>
      <c r="F90" s="121" t="str">
        <f>IF($AL$90="","",IF(INDEX('Final Calculation Sheet'!$A$4:$A$40,$AL$90)="","",INDEX('Final Calculation Sheet'!$A$4:$A$40,$AL$90)))</f>
        <v/>
      </c>
      <c r="G90" s="121" t="str">
        <f>IF($AL$90="","",IF(INDEX('Final Calculation Sheet'!$E$4:$E$40,$AL$90)="","",INDEX('Final Calculation Sheet'!$E$4:$E$40,$AL$90)))</f>
        <v/>
      </c>
      <c r="H90" s="122" t="str">
        <f>IF($AL$90="","",IF(INDEX('Final Calculation Sheet'!$C$4:$C$40,$AL$90)="","",INDEX('Final Calculation Sheet'!$C$4:$C$40,$AL$90)))</f>
        <v/>
      </c>
      <c r="I90" s="122" t="str">
        <f>IF($AL$90="","",IF(INDEX('Final Calculation Sheet'!$H$4:$H$40,$AL$90)="","",INDEX('Final Calculation Sheet'!$H$4:$H$40,$AL$90)))</f>
        <v/>
      </c>
      <c r="J90" s="122" t="str">
        <f>IF($AL$90="","",IF(INDEX('Final Calculation Sheet'!$I$4:$I$40,$AL$90)="","",INDEX('Final Calculation Sheet'!$I$4:$I$40,$AL$90)))</f>
        <v/>
      </c>
      <c r="K90" s="122" t="str">
        <f>IF($AL$90="","",IF(INDEX('Final Calculation Sheet'!$J$4:$J$40,$AL$90)="","",INDEX('Final Calculation Sheet'!$J$4:$J$40,$AL$90)))</f>
        <v/>
      </c>
      <c r="L90" s="122" t="str">
        <f>IF($AL$90="","",IF(INDEX('Final Calculation Sheet'!$K$4:$K$40,$AL$90)="","",INDEX('Final Calculation Sheet'!$K$4:$K$40,$AL$90)))</f>
        <v/>
      </c>
      <c r="M90" s="122" t="str">
        <f>IF($AL$90="","",IF(INDEX('Final Calculation Sheet'!$L$4:$L$40,$AL$90)="","",INDEX('Final Calculation Sheet'!$L$4:$L$40,$AL$90)))</f>
        <v/>
      </c>
      <c r="N90" s="122" t="str">
        <f>IF($AL$90="","",IF(INDEX('Final Calculation Sheet'!$M$4:$M$40,$AL$90)="","",INDEX('Final Calculation Sheet'!$M$4:$M$40,$AL$90)))</f>
        <v/>
      </c>
      <c r="O90" s="123" t="str">
        <f>IF($AL$90="","",IF(INDEX('Final Calculation Sheet'!$N$4:$N$40,$AL$90)="","",INDEX('Final Calculation Sheet'!$N$4:$N$40,$AL$90)))</f>
        <v/>
      </c>
      <c r="P90" s="122" t="str">
        <f>IF($AL$90="","",IF(INDEX('Final Calculation Sheet'!$O$4:$O$40,$AL$90)="","",INDEX('Final Calculation Sheet'!$O$4:$O$40,$AL$90)))</f>
        <v/>
      </c>
      <c r="Q90" s="122" t="str">
        <f>IF($AL$90="","",IF(INDEX('Final Calculation Sheet'!$P$4:$P$40,$AL$90)="","",INDEX('Final Calculation Sheet'!$P$4:$P$40,$AL$90)))</f>
        <v/>
      </c>
      <c r="R90" s="124" t="str">
        <f>IF($AL$90="","",IF(INDEX('Final Calculation Sheet'!$Q$4:$Q$40,$AL$90)="","",INDEX('Final Calculation Sheet'!$Q$4:$Q$40,$AL$90)))</f>
        <v/>
      </c>
      <c r="S90" s="122" t="str">
        <f>IF($AL$90="","",IF(INDEX('Final Calculation Sheet'!$R$4:$R$40,$AL$90)="","",INDEX('Final Calculation Sheet'!$R$4:$R$40,$AL$90)))</f>
        <v/>
      </c>
      <c r="T90" s="122" t="str">
        <f>IF($AL$90="","",IF(INDEX('Final Calculation Sheet'!$S$4:$S$40,$AL$90)="","",INDEX('Final Calculation Sheet'!$S$4:$S$40,$AL$90)))</f>
        <v/>
      </c>
      <c r="U90" s="122" t="str">
        <f>IF($AL$90="","",IF(INDEX('Final Calculation Sheet'!$T$4:$T$40,$AL$90)="","",INDEX('Final Calculation Sheet'!$T$4:$T$40,$AL$90)))</f>
        <v/>
      </c>
      <c r="V90" s="125" t="str">
        <f>IF($AL$90="","",IF(INDEX('Final Calculation Sheet'!$U$4:$U$40,$AL$90)="","",INDEX('Final Calculation Sheet'!$U$4:$U$40,$AL$90)))</f>
        <v/>
      </c>
      <c r="W90" s="122" t="str">
        <f>IF($AL$90="","",IF(INDEX('Final Calculation Sheet'!$V$4:$V$40,$AL$90)="","",INDEX('Final Calculation Sheet'!$V$4:$V$40,$AL$90)))</f>
        <v/>
      </c>
      <c r="X90" s="122" t="str">
        <f>IF($AL$90="","",IF(INDEX('Final Calculation Sheet'!$W$4:$W$40,$AL$90)="","",INDEX('Final Calculation Sheet'!$W$4:$W$40,$AL$90)))</f>
        <v/>
      </c>
      <c r="Y90" s="122" t="str">
        <f>IF($AL$90="","",IF(INDEX('Final Calculation Sheet'!$X$4:$X$40,$AL$90)="","",INDEX('Final Calculation Sheet'!$X$4:$X$40,$AL$90)))</f>
        <v/>
      </c>
      <c r="Z90" s="122" t="str">
        <f>IF($AL$90="","",IF(INDEX('Final Calculation Sheet'!$Y$4:$Y$40,$AL$90)="","",INDEX('Final Calculation Sheet'!$Y$4:$Y$40,$AL$90)))</f>
        <v/>
      </c>
      <c r="AA90" s="122" t="str">
        <f>IF($AL$90="","",IF(INDEX('Final Calculation Sheet'!$Z$4:$Z$40,$AL$90)="","",INDEX('Final Calculation Sheet'!$Z$4:$Z$40,$AL$90)))</f>
        <v/>
      </c>
      <c r="AB90" s="122" t="str">
        <f>IF($AL$90="","",IF(INDEX('Final Calculation Sheet'!$AA$4:$AA$40,$AL$90)="","",INDEX('Final Calculation Sheet'!$AA$4:$AA$40,$AL$90)))</f>
        <v/>
      </c>
      <c r="AC90" s="122" t="str">
        <f>IF($AL$90="","",IF(INDEX('Final Calculation Sheet'!$AB$4:$AB$40,$AL$90)="","",INDEX('Final Calculation Sheet'!$AB$4:$AB$40,$AL$90)))</f>
        <v/>
      </c>
      <c r="AD90" s="122" t="str">
        <f>IF($AL$90="","",IF(INDEX('Final Calculation Sheet'!$AC$4:$AC$40,$AL$90)="","",INDEX('Final Calculation Sheet'!$AC$4:$AC$40,$AL$90)))</f>
        <v/>
      </c>
      <c r="AE90" s="122" t="str">
        <f>IF($AL$90="","",IF(INDEX('Final Calculation Sheet'!$AD$4:$AD$40,$AL$90)="","",INDEX('Final Calculation Sheet'!$AD$4:$AD$40,$AL$90)))</f>
        <v/>
      </c>
      <c r="AF90" s="122" t="str">
        <f>IF($AL$90="","",IF(INDEX('Final Calculation Sheet'!$AE$4:$AE$40,$AL$90)="","",INDEX('Final Calculation Sheet'!$AE$4:$AE$40,$AL$90)))</f>
        <v/>
      </c>
      <c r="AG90" s="126" t="str">
        <f>IF($AL$90="","",IF(INDEX('Final Calculation Sheet'!$AF$4:$AF$40,$AL$90)="","",INDEX('Final Calculation Sheet'!$AF$4:$AF$40,$AL$90)))</f>
        <v/>
      </c>
      <c r="AH90" s="122" t="str">
        <f>IF($AL$90="","",IF(INDEX('Final Calculation Sheet'!$AG$4:$AG$40,$AL$90)="","",INDEX('Final Calculation Sheet'!$AG$4:$AG$40,$AL$90)))</f>
        <v/>
      </c>
      <c r="AI90" s="127" t="str">
        <f>IF($AL$90="","",IF(INDEX('Final Calculation Sheet'!$AD$4:$AD$40,$AL$90)&lt;=5,"SETTLED","OUTSTANDING"))</f>
        <v/>
      </c>
      <c r="AL90" t="str">
        <f>IF(COUNTIF($B$4:$AI$4,"&lt;&gt;")=0,"",IFERROR(MATCH(31,$AK$6:$AK$42,0),""))</f>
        <v/>
      </c>
    </row>
    <row r="91">
      <c r="A91" s="128" t="str">
        <f>IF($AL$91="","",32)</f>
        <v/>
      </c>
      <c r="B91" s="129" t="str">
        <f>IF($AL$91="","",IF(INDEX('Final Calculation Sheet'!$F$4:$F$40,$AL$91)="","",INDEX('Final Calculation Sheet'!$F$4:$F$40,$AL$91)))</f>
        <v/>
      </c>
      <c r="C91" s="129" t="str">
        <f>IF($AL$91="","",IF(INDEX('Final Calculation Sheet'!$G$4:$G$40,$AL$91)="","",INDEX('Final Calculation Sheet'!$G$4:$G$40,$AL$91)))</f>
        <v/>
      </c>
      <c r="D91" s="130" t="str">
        <f>IF($AL$91="","",IF(INDEX('Final Calculation Sheet'!$B$4:$B$40,$AL$91)="","",INDEX('Final Calculation Sheet'!$B$4:$B$40,$AL$91)))</f>
        <v/>
      </c>
      <c r="E91" s="130" t="str">
        <f>IF($AL$91="","",IF(INDEX('Final Calculation Sheet'!$D$4:$D$40,$AL$91)="","",INDEX('Final Calculation Sheet'!$D$4:$D$40,$AL$91)))</f>
        <v/>
      </c>
      <c r="F91" s="130" t="str">
        <f>IF($AL$91="","",IF(INDEX('Final Calculation Sheet'!$A$4:$A$40,$AL$91)="","",INDEX('Final Calculation Sheet'!$A$4:$A$40,$AL$91)))</f>
        <v/>
      </c>
      <c r="G91" s="130" t="str">
        <f>IF($AL$91="","",IF(INDEX('Final Calculation Sheet'!$E$4:$E$40,$AL$91)="","",INDEX('Final Calculation Sheet'!$E$4:$E$40,$AL$91)))</f>
        <v/>
      </c>
      <c r="H91" s="131" t="str">
        <f>IF($AL$91="","",IF(INDEX('Final Calculation Sheet'!$C$4:$C$40,$AL$91)="","",INDEX('Final Calculation Sheet'!$C$4:$C$40,$AL$91)))</f>
        <v/>
      </c>
      <c r="I91" s="131" t="str">
        <f>IF($AL$91="","",IF(INDEX('Final Calculation Sheet'!$H$4:$H$40,$AL$91)="","",INDEX('Final Calculation Sheet'!$H$4:$H$40,$AL$91)))</f>
        <v/>
      </c>
      <c r="J91" s="131" t="str">
        <f>IF($AL$91="","",IF(INDEX('Final Calculation Sheet'!$I$4:$I$40,$AL$91)="","",INDEX('Final Calculation Sheet'!$I$4:$I$40,$AL$91)))</f>
        <v/>
      </c>
      <c r="K91" s="131" t="str">
        <f>IF($AL$91="","",IF(INDEX('Final Calculation Sheet'!$J$4:$J$40,$AL$91)="","",INDEX('Final Calculation Sheet'!$J$4:$J$40,$AL$91)))</f>
        <v/>
      </c>
      <c r="L91" s="131" t="str">
        <f>IF($AL$91="","",IF(INDEX('Final Calculation Sheet'!$K$4:$K$40,$AL$91)="","",INDEX('Final Calculation Sheet'!$K$4:$K$40,$AL$91)))</f>
        <v/>
      </c>
      <c r="M91" s="131" t="str">
        <f>IF($AL$91="","",IF(INDEX('Final Calculation Sheet'!$L$4:$L$40,$AL$91)="","",INDEX('Final Calculation Sheet'!$L$4:$L$40,$AL$91)))</f>
        <v/>
      </c>
      <c r="N91" s="131" t="str">
        <f>IF($AL$91="","",IF(INDEX('Final Calculation Sheet'!$M$4:$M$40,$AL$91)="","",INDEX('Final Calculation Sheet'!$M$4:$M$40,$AL$91)))</f>
        <v/>
      </c>
      <c r="O91" s="132" t="str">
        <f>IF($AL$91="","",IF(INDEX('Final Calculation Sheet'!$N$4:$N$40,$AL$91)="","",INDEX('Final Calculation Sheet'!$N$4:$N$40,$AL$91)))</f>
        <v/>
      </c>
      <c r="P91" s="131" t="str">
        <f>IF($AL$91="","",IF(INDEX('Final Calculation Sheet'!$O$4:$O$40,$AL$91)="","",INDEX('Final Calculation Sheet'!$O$4:$O$40,$AL$91)))</f>
        <v/>
      </c>
      <c r="Q91" s="131" t="str">
        <f>IF($AL$91="","",IF(INDEX('Final Calculation Sheet'!$P$4:$P$40,$AL$91)="","",INDEX('Final Calculation Sheet'!$P$4:$P$40,$AL$91)))</f>
        <v/>
      </c>
      <c r="R91" s="133" t="str">
        <f>IF($AL$91="","",IF(INDEX('Final Calculation Sheet'!$Q$4:$Q$40,$AL$91)="","",INDEX('Final Calculation Sheet'!$Q$4:$Q$40,$AL$91)))</f>
        <v/>
      </c>
      <c r="S91" s="131" t="str">
        <f>IF($AL$91="","",IF(INDEX('Final Calculation Sheet'!$R$4:$R$40,$AL$91)="","",INDEX('Final Calculation Sheet'!$R$4:$R$40,$AL$91)))</f>
        <v/>
      </c>
      <c r="T91" s="131" t="str">
        <f>IF($AL$91="","",IF(INDEX('Final Calculation Sheet'!$S$4:$S$40,$AL$91)="","",INDEX('Final Calculation Sheet'!$S$4:$S$40,$AL$91)))</f>
        <v/>
      </c>
      <c r="U91" s="131" t="str">
        <f>IF($AL$91="","",IF(INDEX('Final Calculation Sheet'!$T$4:$T$40,$AL$91)="","",INDEX('Final Calculation Sheet'!$T$4:$T$40,$AL$91)))</f>
        <v/>
      </c>
      <c r="V91" s="134" t="str">
        <f>IF($AL$91="","",IF(INDEX('Final Calculation Sheet'!$U$4:$U$40,$AL$91)="","",INDEX('Final Calculation Sheet'!$U$4:$U$40,$AL$91)))</f>
        <v/>
      </c>
      <c r="W91" s="131" t="str">
        <f>IF($AL$91="","",IF(INDEX('Final Calculation Sheet'!$V$4:$V$40,$AL$91)="","",INDEX('Final Calculation Sheet'!$V$4:$V$40,$AL$91)))</f>
        <v/>
      </c>
      <c r="X91" s="131" t="str">
        <f>IF($AL$91="","",IF(INDEX('Final Calculation Sheet'!$W$4:$W$40,$AL$91)="","",INDEX('Final Calculation Sheet'!$W$4:$W$40,$AL$91)))</f>
        <v/>
      </c>
      <c r="Y91" s="131" t="str">
        <f>IF($AL$91="","",IF(INDEX('Final Calculation Sheet'!$X$4:$X$40,$AL$91)="","",INDEX('Final Calculation Sheet'!$X$4:$X$40,$AL$91)))</f>
        <v/>
      </c>
      <c r="Z91" s="131" t="str">
        <f>IF($AL$91="","",IF(INDEX('Final Calculation Sheet'!$Y$4:$Y$40,$AL$91)="","",INDEX('Final Calculation Sheet'!$Y$4:$Y$40,$AL$91)))</f>
        <v/>
      </c>
      <c r="AA91" s="131" t="str">
        <f>IF($AL$91="","",IF(INDEX('Final Calculation Sheet'!$Z$4:$Z$40,$AL$91)="","",INDEX('Final Calculation Sheet'!$Z$4:$Z$40,$AL$91)))</f>
        <v/>
      </c>
      <c r="AB91" s="131" t="str">
        <f>IF($AL$91="","",IF(INDEX('Final Calculation Sheet'!$AA$4:$AA$40,$AL$91)="","",INDEX('Final Calculation Sheet'!$AA$4:$AA$40,$AL$91)))</f>
        <v/>
      </c>
      <c r="AC91" s="131" t="str">
        <f>IF($AL$91="","",IF(INDEX('Final Calculation Sheet'!$AB$4:$AB$40,$AL$91)="","",INDEX('Final Calculation Sheet'!$AB$4:$AB$40,$AL$91)))</f>
        <v/>
      </c>
      <c r="AD91" s="131" t="str">
        <f>IF($AL$91="","",IF(INDEX('Final Calculation Sheet'!$AC$4:$AC$40,$AL$91)="","",INDEX('Final Calculation Sheet'!$AC$4:$AC$40,$AL$91)))</f>
        <v/>
      </c>
      <c r="AE91" s="131" t="str">
        <f>IF($AL$91="","",IF(INDEX('Final Calculation Sheet'!$AD$4:$AD$40,$AL$91)="","",INDEX('Final Calculation Sheet'!$AD$4:$AD$40,$AL$91)))</f>
        <v/>
      </c>
      <c r="AF91" s="131" t="str">
        <f>IF($AL$91="","",IF(INDEX('Final Calculation Sheet'!$AE$4:$AE$40,$AL$91)="","",INDEX('Final Calculation Sheet'!$AE$4:$AE$40,$AL$91)))</f>
        <v/>
      </c>
      <c r="AG91" s="135" t="str">
        <f>IF($AL$91="","",IF(INDEX('Final Calculation Sheet'!$AF$4:$AF$40,$AL$91)="","",INDEX('Final Calculation Sheet'!$AF$4:$AF$40,$AL$91)))</f>
        <v/>
      </c>
      <c r="AH91" s="131" t="str">
        <f>IF($AL$91="","",IF(INDEX('Final Calculation Sheet'!$AG$4:$AG$40,$AL$91)="","",INDEX('Final Calculation Sheet'!$AG$4:$AG$40,$AL$91)))</f>
        <v/>
      </c>
      <c r="AI91" s="136" t="str">
        <f>IF($AL$91="","",IF(INDEX('Final Calculation Sheet'!$AD$4:$AD$40,$AL$91)&lt;=5,"SETTLED","OUTSTANDING"))</f>
        <v/>
      </c>
      <c r="AL91" t="str">
        <f>IF(COUNTIF($B$4:$AI$4,"&lt;&gt;")=0,"",IFERROR(MATCH(32,$AK$6:$AK$42,0),""))</f>
        <v/>
      </c>
    </row>
    <row r="92">
      <c r="A92" s="118" t="str">
        <f>IF($AL$92="","",33)</f>
        <v/>
      </c>
      <c r="B92" s="119" t="str">
        <f>IF($AL$92="","",IF(INDEX('Final Calculation Sheet'!$F$4:$F$40,$AL$92)="","",INDEX('Final Calculation Sheet'!$F$4:$F$40,$AL$92)))</f>
        <v/>
      </c>
      <c r="C92" s="119" t="str">
        <f>IF($AL$92="","",IF(INDEX('Final Calculation Sheet'!$G$4:$G$40,$AL$92)="","",INDEX('Final Calculation Sheet'!$G$4:$G$40,$AL$92)))</f>
        <v/>
      </c>
      <c r="D92" s="121" t="str">
        <f>IF($AL$92="","",IF(INDEX('Final Calculation Sheet'!$B$4:$B$40,$AL$92)="","",INDEX('Final Calculation Sheet'!$B$4:$B$40,$AL$92)))</f>
        <v/>
      </c>
      <c r="E92" s="121" t="str">
        <f>IF($AL$92="","",IF(INDEX('Final Calculation Sheet'!$D$4:$D$40,$AL$92)="","",INDEX('Final Calculation Sheet'!$D$4:$D$40,$AL$92)))</f>
        <v/>
      </c>
      <c r="F92" s="121" t="str">
        <f>IF($AL$92="","",IF(INDEX('Final Calculation Sheet'!$A$4:$A$40,$AL$92)="","",INDEX('Final Calculation Sheet'!$A$4:$A$40,$AL$92)))</f>
        <v/>
      </c>
      <c r="G92" s="121" t="str">
        <f>IF($AL$92="","",IF(INDEX('Final Calculation Sheet'!$E$4:$E$40,$AL$92)="","",INDEX('Final Calculation Sheet'!$E$4:$E$40,$AL$92)))</f>
        <v/>
      </c>
      <c r="H92" s="122" t="str">
        <f>IF($AL$92="","",IF(INDEX('Final Calculation Sheet'!$C$4:$C$40,$AL$92)="","",INDEX('Final Calculation Sheet'!$C$4:$C$40,$AL$92)))</f>
        <v/>
      </c>
      <c r="I92" s="122" t="str">
        <f>IF($AL$92="","",IF(INDEX('Final Calculation Sheet'!$H$4:$H$40,$AL$92)="","",INDEX('Final Calculation Sheet'!$H$4:$H$40,$AL$92)))</f>
        <v/>
      </c>
      <c r="J92" s="122" t="str">
        <f>IF($AL$92="","",IF(INDEX('Final Calculation Sheet'!$I$4:$I$40,$AL$92)="","",INDEX('Final Calculation Sheet'!$I$4:$I$40,$AL$92)))</f>
        <v/>
      </c>
      <c r="K92" s="122" t="str">
        <f>IF($AL$92="","",IF(INDEX('Final Calculation Sheet'!$J$4:$J$40,$AL$92)="","",INDEX('Final Calculation Sheet'!$J$4:$J$40,$AL$92)))</f>
        <v/>
      </c>
      <c r="L92" s="122" t="str">
        <f>IF($AL$92="","",IF(INDEX('Final Calculation Sheet'!$K$4:$K$40,$AL$92)="","",INDEX('Final Calculation Sheet'!$K$4:$K$40,$AL$92)))</f>
        <v/>
      </c>
      <c r="M92" s="122" t="str">
        <f>IF($AL$92="","",IF(INDEX('Final Calculation Sheet'!$L$4:$L$40,$AL$92)="","",INDEX('Final Calculation Sheet'!$L$4:$L$40,$AL$92)))</f>
        <v/>
      </c>
      <c r="N92" s="122" t="str">
        <f>IF($AL$92="","",IF(INDEX('Final Calculation Sheet'!$M$4:$M$40,$AL$92)="","",INDEX('Final Calculation Sheet'!$M$4:$M$40,$AL$92)))</f>
        <v/>
      </c>
      <c r="O92" s="123" t="str">
        <f>IF($AL$92="","",IF(INDEX('Final Calculation Sheet'!$N$4:$N$40,$AL$92)="","",INDEX('Final Calculation Sheet'!$N$4:$N$40,$AL$92)))</f>
        <v/>
      </c>
      <c r="P92" s="122" t="str">
        <f>IF($AL$92="","",IF(INDEX('Final Calculation Sheet'!$O$4:$O$40,$AL$92)="","",INDEX('Final Calculation Sheet'!$O$4:$O$40,$AL$92)))</f>
        <v/>
      </c>
      <c r="Q92" s="122" t="str">
        <f>IF($AL$92="","",IF(INDEX('Final Calculation Sheet'!$P$4:$P$40,$AL$92)="","",INDEX('Final Calculation Sheet'!$P$4:$P$40,$AL$92)))</f>
        <v/>
      </c>
      <c r="R92" s="124" t="str">
        <f>IF($AL$92="","",IF(INDEX('Final Calculation Sheet'!$Q$4:$Q$40,$AL$92)="","",INDEX('Final Calculation Sheet'!$Q$4:$Q$40,$AL$92)))</f>
        <v/>
      </c>
      <c r="S92" s="122" t="str">
        <f>IF($AL$92="","",IF(INDEX('Final Calculation Sheet'!$R$4:$R$40,$AL$92)="","",INDEX('Final Calculation Sheet'!$R$4:$R$40,$AL$92)))</f>
        <v/>
      </c>
      <c r="T92" s="122" t="str">
        <f>IF($AL$92="","",IF(INDEX('Final Calculation Sheet'!$S$4:$S$40,$AL$92)="","",INDEX('Final Calculation Sheet'!$S$4:$S$40,$AL$92)))</f>
        <v/>
      </c>
      <c r="U92" s="122" t="str">
        <f>IF($AL$92="","",IF(INDEX('Final Calculation Sheet'!$T$4:$T$40,$AL$92)="","",INDEX('Final Calculation Sheet'!$T$4:$T$40,$AL$92)))</f>
        <v/>
      </c>
      <c r="V92" s="125" t="str">
        <f>IF($AL$92="","",IF(INDEX('Final Calculation Sheet'!$U$4:$U$40,$AL$92)="","",INDEX('Final Calculation Sheet'!$U$4:$U$40,$AL$92)))</f>
        <v/>
      </c>
      <c r="W92" s="122" t="str">
        <f>IF($AL$92="","",IF(INDEX('Final Calculation Sheet'!$V$4:$V$40,$AL$92)="","",INDEX('Final Calculation Sheet'!$V$4:$V$40,$AL$92)))</f>
        <v/>
      </c>
      <c r="X92" s="122" t="str">
        <f>IF($AL$92="","",IF(INDEX('Final Calculation Sheet'!$W$4:$W$40,$AL$92)="","",INDEX('Final Calculation Sheet'!$W$4:$W$40,$AL$92)))</f>
        <v/>
      </c>
      <c r="Y92" s="122" t="str">
        <f>IF($AL$92="","",IF(INDEX('Final Calculation Sheet'!$X$4:$X$40,$AL$92)="","",INDEX('Final Calculation Sheet'!$X$4:$X$40,$AL$92)))</f>
        <v/>
      </c>
      <c r="Z92" s="122" t="str">
        <f>IF($AL$92="","",IF(INDEX('Final Calculation Sheet'!$Y$4:$Y$40,$AL$92)="","",INDEX('Final Calculation Sheet'!$Y$4:$Y$40,$AL$92)))</f>
        <v/>
      </c>
      <c r="AA92" s="122" t="str">
        <f>IF($AL$92="","",IF(INDEX('Final Calculation Sheet'!$Z$4:$Z$40,$AL$92)="","",INDEX('Final Calculation Sheet'!$Z$4:$Z$40,$AL$92)))</f>
        <v/>
      </c>
      <c r="AB92" s="122" t="str">
        <f>IF($AL$92="","",IF(INDEX('Final Calculation Sheet'!$AA$4:$AA$40,$AL$92)="","",INDEX('Final Calculation Sheet'!$AA$4:$AA$40,$AL$92)))</f>
        <v/>
      </c>
      <c r="AC92" s="122" t="str">
        <f>IF($AL$92="","",IF(INDEX('Final Calculation Sheet'!$AB$4:$AB$40,$AL$92)="","",INDEX('Final Calculation Sheet'!$AB$4:$AB$40,$AL$92)))</f>
        <v/>
      </c>
      <c r="AD92" s="122" t="str">
        <f>IF($AL$92="","",IF(INDEX('Final Calculation Sheet'!$AC$4:$AC$40,$AL$92)="","",INDEX('Final Calculation Sheet'!$AC$4:$AC$40,$AL$92)))</f>
        <v/>
      </c>
      <c r="AE92" s="122" t="str">
        <f>IF($AL$92="","",IF(INDEX('Final Calculation Sheet'!$AD$4:$AD$40,$AL$92)="","",INDEX('Final Calculation Sheet'!$AD$4:$AD$40,$AL$92)))</f>
        <v/>
      </c>
      <c r="AF92" s="122" t="str">
        <f>IF($AL$92="","",IF(INDEX('Final Calculation Sheet'!$AE$4:$AE$40,$AL$92)="","",INDEX('Final Calculation Sheet'!$AE$4:$AE$40,$AL$92)))</f>
        <v/>
      </c>
      <c r="AG92" s="126" t="str">
        <f>IF($AL$92="","",IF(INDEX('Final Calculation Sheet'!$AF$4:$AF$40,$AL$92)="","",INDEX('Final Calculation Sheet'!$AF$4:$AF$40,$AL$92)))</f>
        <v/>
      </c>
      <c r="AH92" s="122" t="str">
        <f>IF($AL$92="","",IF(INDEX('Final Calculation Sheet'!$AG$4:$AG$40,$AL$92)="","",INDEX('Final Calculation Sheet'!$AG$4:$AG$40,$AL$92)))</f>
        <v/>
      </c>
      <c r="AI92" s="127" t="str">
        <f>IF($AL$92="","",IF(INDEX('Final Calculation Sheet'!$AD$4:$AD$40,$AL$92)&lt;=5,"SETTLED","OUTSTANDING"))</f>
        <v/>
      </c>
      <c r="AL92" t="str">
        <f>IF(COUNTIF($B$4:$AI$4,"&lt;&gt;")=0,"",IFERROR(MATCH(33,$AK$6:$AK$42,0),""))</f>
        <v/>
      </c>
    </row>
    <row r="93">
      <c r="A93" s="128" t="str">
        <f>IF($AL$93="","",34)</f>
        <v/>
      </c>
      <c r="B93" s="129" t="str">
        <f>IF($AL$93="","",IF(INDEX('Final Calculation Sheet'!$F$4:$F$40,$AL$93)="","",INDEX('Final Calculation Sheet'!$F$4:$F$40,$AL$93)))</f>
        <v/>
      </c>
      <c r="C93" s="129" t="str">
        <f>IF($AL$93="","",IF(INDEX('Final Calculation Sheet'!$G$4:$G$40,$AL$93)="","",INDEX('Final Calculation Sheet'!$G$4:$G$40,$AL$93)))</f>
        <v/>
      </c>
      <c r="D93" s="130" t="str">
        <f>IF($AL$93="","",IF(INDEX('Final Calculation Sheet'!$B$4:$B$40,$AL$93)="","",INDEX('Final Calculation Sheet'!$B$4:$B$40,$AL$93)))</f>
        <v/>
      </c>
      <c r="E93" s="130" t="str">
        <f>IF($AL$93="","",IF(INDEX('Final Calculation Sheet'!$D$4:$D$40,$AL$93)="","",INDEX('Final Calculation Sheet'!$D$4:$D$40,$AL$93)))</f>
        <v/>
      </c>
      <c r="F93" s="130" t="str">
        <f>IF($AL$93="","",IF(INDEX('Final Calculation Sheet'!$A$4:$A$40,$AL$93)="","",INDEX('Final Calculation Sheet'!$A$4:$A$40,$AL$93)))</f>
        <v/>
      </c>
      <c r="G93" s="130" t="str">
        <f>IF($AL$93="","",IF(INDEX('Final Calculation Sheet'!$E$4:$E$40,$AL$93)="","",INDEX('Final Calculation Sheet'!$E$4:$E$40,$AL$93)))</f>
        <v/>
      </c>
      <c r="H93" s="131" t="str">
        <f>IF($AL$93="","",IF(INDEX('Final Calculation Sheet'!$C$4:$C$40,$AL$93)="","",INDEX('Final Calculation Sheet'!$C$4:$C$40,$AL$93)))</f>
        <v/>
      </c>
      <c r="I93" s="131" t="str">
        <f>IF($AL$93="","",IF(INDEX('Final Calculation Sheet'!$H$4:$H$40,$AL$93)="","",INDEX('Final Calculation Sheet'!$H$4:$H$40,$AL$93)))</f>
        <v/>
      </c>
      <c r="J93" s="131" t="str">
        <f>IF($AL$93="","",IF(INDEX('Final Calculation Sheet'!$I$4:$I$40,$AL$93)="","",INDEX('Final Calculation Sheet'!$I$4:$I$40,$AL$93)))</f>
        <v/>
      </c>
      <c r="K93" s="131" t="str">
        <f>IF($AL$93="","",IF(INDEX('Final Calculation Sheet'!$J$4:$J$40,$AL$93)="","",INDEX('Final Calculation Sheet'!$J$4:$J$40,$AL$93)))</f>
        <v/>
      </c>
      <c r="L93" s="131" t="str">
        <f>IF($AL$93="","",IF(INDEX('Final Calculation Sheet'!$K$4:$K$40,$AL$93)="","",INDEX('Final Calculation Sheet'!$K$4:$K$40,$AL$93)))</f>
        <v/>
      </c>
      <c r="M93" s="131" t="str">
        <f>IF($AL$93="","",IF(INDEX('Final Calculation Sheet'!$L$4:$L$40,$AL$93)="","",INDEX('Final Calculation Sheet'!$L$4:$L$40,$AL$93)))</f>
        <v/>
      </c>
      <c r="N93" s="131" t="str">
        <f>IF($AL$93="","",IF(INDEX('Final Calculation Sheet'!$M$4:$M$40,$AL$93)="","",INDEX('Final Calculation Sheet'!$M$4:$M$40,$AL$93)))</f>
        <v/>
      </c>
      <c r="O93" s="132" t="str">
        <f>IF($AL$93="","",IF(INDEX('Final Calculation Sheet'!$N$4:$N$40,$AL$93)="","",INDEX('Final Calculation Sheet'!$N$4:$N$40,$AL$93)))</f>
        <v/>
      </c>
      <c r="P93" s="131" t="str">
        <f>IF($AL$93="","",IF(INDEX('Final Calculation Sheet'!$O$4:$O$40,$AL$93)="","",INDEX('Final Calculation Sheet'!$O$4:$O$40,$AL$93)))</f>
        <v/>
      </c>
      <c r="Q93" s="131" t="str">
        <f>IF($AL$93="","",IF(INDEX('Final Calculation Sheet'!$P$4:$P$40,$AL$93)="","",INDEX('Final Calculation Sheet'!$P$4:$P$40,$AL$93)))</f>
        <v/>
      </c>
      <c r="R93" s="133" t="str">
        <f>IF($AL$93="","",IF(INDEX('Final Calculation Sheet'!$Q$4:$Q$40,$AL$93)="","",INDEX('Final Calculation Sheet'!$Q$4:$Q$40,$AL$93)))</f>
        <v/>
      </c>
      <c r="S93" s="131" t="str">
        <f>IF($AL$93="","",IF(INDEX('Final Calculation Sheet'!$R$4:$R$40,$AL$93)="","",INDEX('Final Calculation Sheet'!$R$4:$R$40,$AL$93)))</f>
        <v/>
      </c>
      <c r="T93" s="131" t="str">
        <f>IF($AL$93="","",IF(INDEX('Final Calculation Sheet'!$S$4:$S$40,$AL$93)="","",INDEX('Final Calculation Sheet'!$S$4:$S$40,$AL$93)))</f>
        <v/>
      </c>
      <c r="U93" s="131" t="str">
        <f>IF($AL$93="","",IF(INDEX('Final Calculation Sheet'!$T$4:$T$40,$AL$93)="","",INDEX('Final Calculation Sheet'!$T$4:$T$40,$AL$93)))</f>
        <v/>
      </c>
      <c r="V93" s="134" t="str">
        <f>IF($AL$93="","",IF(INDEX('Final Calculation Sheet'!$U$4:$U$40,$AL$93)="","",INDEX('Final Calculation Sheet'!$U$4:$U$40,$AL$93)))</f>
        <v/>
      </c>
      <c r="W93" s="131" t="str">
        <f>IF($AL$93="","",IF(INDEX('Final Calculation Sheet'!$V$4:$V$40,$AL$93)="","",INDEX('Final Calculation Sheet'!$V$4:$V$40,$AL$93)))</f>
        <v/>
      </c>
      <c r="X93" s="131" t="str">
        <f>IF($AL$93="","",IF(INDEX('Final Calculation Sheet'!$W$4:$W$40,$AL$93)="","",INDEX('Final Calculation Sheet'!$W$4:$W$40,$AL$93)))</f>
        <v/>
      </c>
      <c r="Y93" s="131" t="str">
        <f>IF($AL$93="","",IF(INDEX('Final Calculation Sheet'!$X$4:$X$40,$AL$93)="","",INDEX('Final Calculation Sheet'!$X$4:$X$40,$AL$93)))</f>
        <v/>
      </c>
      <c r="Z93" s="131" t="str">
        <f>IF($AL$93="","",IF(INDEX('Final Calculation Sheet'!$Y$4:$Y$40,$AL$93)="","",INDEX('Final Calculation Sheet'!$Y$4:$Y$40,$AL$93)))</f>
        <v/>
      </c>
      <c r="AA93" s="131" t="str">
        <f>IF($AL$93="","",IF(INDEX('Final Calculation Sheet'!$Z$4:$Z$40,$AL$93)="","",INDEX('Final Calculation Sheet'!$Z$4:$Z$40,$AL$93)))</f>
        <v/>
      </c>
      <c r="AB93" s="131" t="str">
        <f>IF($AL$93="","",IF(INDEX('Final Calculation Sheet'!$AA$4:$AA$40,$AL$93)="","",INDEX('Final Calculation Sheet'!$AA$4:$AA$40,$AL$93)))</f>
        <v/>
      </c>
      <c r="AC93" s="131" t="str">
        <f>IF($AL$93="","",IF(INDEX('Final Calculation Sheet'!$AB$4:$AB$40,$AL$93)="","",INDEX('Final Calculation Sheet'!$AB$4:$AB$40,$AL$93)))</f>
        <v/>
      </c>
      <c r="AD93" s="131" t="str">
        <f>IF($AL$93="","",IF(INDEX('Final Calculation Sheet'!$AC$4:$AC$40,$AL$93)="","",INDEX('Final Calculation Sheet'!$AC$4:$AC$40,$AL$93)))</f>
        <v/>
      </c>
      <c r="AE93" s="131" t="str">
        <f>IF($AL$93="","",IF(INDEX('Final Calculation Sheet'!$AD$4:$AD$40,$AL$93)="","",INDEX('Final Calculation Sheet'!$AD$4:$AD$40,$AL$93)))</f>
        <v/>
      </c>
      <c r="AF93" s="131" t="str">
        <f>IF($AL$93="","",IF(INDEX('Final Calculation Sheet'!$AE$4:$AE$40,$AL$93)="","",INDEX('Final Calculation Sheet'!$AE$4:$AE$40,$AL$93)))</f>
        <v/>
      </c>
      <c r="AG93" s="135" t="str">
        <f>IF($AL$93="","",IF(INDEX('Final Calculation Sheet'!$AF$4:$AF$40,$AL$93)="","",INDEX('Final Calculation Sheet'!$AF$4:$AF$40,$AL$93)))</f>
        <v/>
      </c>
      <c r="AH93" s="131" t="str">
        <f>IF($AL$93="","",IF(INDEX('Final Calculation Sheet'!$AG$4:$AG$40,$AL$93)="","",INDEX('Final Calculation Sheet'!$AG$4:$AG$40,$AL$93)))</f>
        <v/>
      </c>
      <c r="AI93" s="136" t="str">
        <f>IF($AL$93="","",IF(INDEX('Final Calculation Sheet'!$AD$4:$AD$40,$AL$93)&lt;=5,"SETTLED","OUTSTANDING"))</f>
        <v/>
      </c>
      <c r="AL93" t="str">
        <f>IF(COUNTIF($B$4:$AI$4,"&lt;&gt;")=0,"",IFERROR(MATCH(34,$AK$6:$AK$42,0),""))</f>
        <v/>
      </c>
    </row>
    <row r="94">
      <c r="A94" s="118" t="str">
        <f>IF($AL$94="","",35)</f>
        <v/>
      </c>
      <c r="B94" s="119" t="str">
        <f>IF($AL$94="","",IF(INDEX('Final Calculation Sheet'!$F$4:$F$40,$AL$94)="","",INDEX('Final Calculation Sheet'!$F$4:$F$40,$AL$94)))</f>
        <v/>
      </c>
      <c r="C94" s="119" t="str">
        <f>IF($AL$94="","",IF(INDEX('Final Calculation Sheet'!$G$4:$G$40,$AL$94)="","",INDEX('Final Calculation Sheet'!$G$4:$G$40,$AL$94)))</f>
        <v/>
      </c>
      <c r="D94" s="121" t="str">
        <f>IF($AL$94="","",IF(INDEX('Final Calculation Sheet'!$B$4:$B$40,$AL$94)="","",INDEX('Final Calculation Sheet'!$B$4:$B$40,$AL$94)))</f>
        <v/>
      </c>
      <c r="E94" s="121" t="str">
        <f>IF($AL$94="","",IF(INDEX('Final Calculation Sheet'!$D$4:$D$40,$AL$94)="","",INDEX('Final Calculation Sheet'!$D$4:$D$40,$AL$94)))</f>
        <v/>
      </c>
      <c r="F94" s="121" t="str">
        <f>IF($AL$94="","",IF(INDEX('Final Calculation Sheet'!$A$4:$A$40,$AL$94)="","",INDEX('Final Calculation Sheet'!$A$4:$A$40,$AL$94)))</f>
        <v/>
      </c>
      <c r="G94" s="121" t="str">
        <f>IF($AL$94="","",IF(INDEX('Final Calculation Sheet'!$E$4:$E$40,$AL$94)="","",INDEX('Final Calculation Sheet'!$E$4:$E$40,$AL$94)))</f>
        <v/>
      </c>
      <c r="H94" s="122" t="str">
        <f>IF($AL$94="","",IF(INDEX('Final Calculation Sheet'!$C$4:$C$40,$AL$94)="","",INDEX('Final Calculation Sheet'!$C$4:$C$40,$AL$94)))</f>
        <v/>
      </c>
      <c r="I94" s="122" t="str">
        <f>IF($AL$94="","",IF(INDEX('Final Calculation Sheet'!$H$4:$H$40,$AL$94)="","",INDEX('Final Calculation Sheet'!$H$4:$H$40,$AL$94)))</f>
        <v/>
      </c>
      <c r="J94" s="122" t="str">
        <f>IF($AL$94="","",IF(INDEX('Final Calculation Sheet'!$I$4:$I$40,$AL$94)="","",INDEX('Final Calculation Sheet'!$I$4:$I$40,$AL$94)))</f>
        <v/>
      </c>
      <c r="K94" s="122" t="str">
        <f>IF($AL$94="","",IF(INDEX('Final Calculation Sheet'!$J$4:$J$40,$AL$94)="","",INDEX('Final Calculation Sheet'!$J$4:$J$40,$AL$94)))</f>
        <v/>
      </c>
      <c r="L94" s="122" t="str">
        <f>IF($AL$94="","",IF(INDEX('Final Calculation Sheet'!$K$4:$K$40,$AL$94)="","",INDEX('Final Calculation Sheet'!$K$4:$K$40,$AL$94)))</f>
        <v/>
      </c>
      <c r="M94" s="122" t="str">
        <f>IF($AL$94="","",IF(INDEX('Final Calculation Sheet'!$L$4:$L$40,$AL$94)="","",INDEX('Final Calculation Sheet'!$L$4:$L$40,$AL$94)))</f>
        <v/>
      </c>
      <c r="N94" s="122" t="str">
        <f>IF($AL$94="","",IF(INDEX('Final Calculation Sheet'!$M$4:$M$40,$AL$94)="","",INDEX('Final Calculation Sheet'!$M$4:$M$40,$AL$94)))</f>
        <v/>
      </c>
      <c r="O94" s="123" t="str">
        <f>IF($AL$94="","",IF(INDEX('Final Calculation Sheet'!$N$4:$N$40,$AL$94)="","",INDEX('Final Calculation Sheet'!$N$4:$N$40,$AL$94)))</f>
        <v/>
      </c>
      <c r="P94" s="122" t="str">
        <f>IF($AL$94="","",IF(INDEX('Final Calculation Sheet'!$O$4:$O$40,$AL$94)="","",INDEX('Final Calculation Sheet'!$O$4:$O$40,$AL$94)))</f>
        <v/>
      </c>
      <c r="Q94" s="122" t="str">
        <f>IF($AL$94="","",IF(INDEX('Final Calculation Sheet'!$P$4:$P$40,$AL$94)="","",INDEX('Final Calculation Sheet'!$P$4:$P$40,$AL$94)))</f>
        <v/>
      </c>
      <c r="R94" s="124" t="str">
        <f>IF($AL$94="","",IF(INDEX('Final Calculation Sheet'!$Q$4:$Q$40,$AL$94)="","",INDEX('Final Calculation Sheet'!$Q$4:$Q$40,$AL$94)))</f>
        <v/>
      </c>
      <c r="S94" s="122" t="str">
        <f>IF($AL$94="","",IF(INDEX('Final Calculation Sheet'!$R$4:$R$40,$AL$94)="","",INDEX('Final Calculation Sheet'!$R$4:$R$40,$AL$94)))</f>
        <v/>
      </c>
      <c r="T94" s="122" t="str">
        <f>IF($AL$94="","",IF(INDEX('Final Calculation Sheet'!$S$4:$S$40,$AL$94)="","",INDEX('Final Calculation Sheet'!$S$4:$S$40,$AL$94)))</f>
        <v/>
      </c>
      <c r="U94" s="122" t="str">
        <f>IF($AL$94="","",IF(INDEX('Final Calculation Sheet'!$T$4:$T$40,$AL$94)="","",INDEX('Final Calculation Sheet'!$T$4:$T$40,$AL$94)))</f>
        <v/>
      </c>
      <c r="V94" s="125" t="str">
        <f>IF($AL$94="","",IF(INDEX('Final Calculation Sheet'!$U$4:$U$40,$AL$94)="","",INDEX('Final Calculation Sheet'!$U$4:$U$40,$AL$94)))</f>
        <v/>
      </c>
      <c r="W94" s="122" t="str">
        <f>IF($AL$94="","",IF(INDEX('Final Calculation Sheet'!$V$4:$V$40,$AL$94)="","",INDEX('Final Calculation Sheet'!$V$4:$V$40,$AL$94)))</f>
        <v/>
      </c>
      <c r="X94" s="122" t="str">
        <f>IF($AL$94="","",IF(INDEX('Final Calculation Sheet'!$W$4:$W$40,$AL$94)="","",INDEX('Final Calculation Sheet'!$W$4:$W$40,$AL$94)))</f>
        <v/>
      </c>
      <c r="Y94" s="122" t="str">
        <f>IF($AL$94="","",IF(INDEX('Final Calculation Sheet'!$X$4:$X$40,$AL$94)="","",INDEX('Final Calculation Sheet'!$X$4:$X$40,$AL$94)))</f>
        <v/>
      </c>
      <c r="Z94" s="122" t="str">
        <f>IF($AL$94="","",IF(INDEX('Final Calculation Sheet'!$Y$4:$Y$40,$AL$94)="","",INDEX('Final Calculation Sheet'!$Y$4:$Y$40,$AL$94)))</f>
        <v/>
      </c>
      <c r="AA94" s="122" t="str">
        <f>IF($AL$94="","",IF(INDEX('Final Calculation Sheet'!$Z$4:$Z$40,$AL$94)="","",INDEX('Final Calculation Sheet'!$Z$4:$Z$40,$AL$94)))</f>
        <v/>
      </c>
      <c r="AB94" s="122" t="str">
        <f>IF($AL$94="","",IF(INDEX('Final Calculation Sheet'!$AA$4:$AA$40,$AL$94)="","",INDEX('Final Calculation Sheet'!$AA$4:$AA$40,$AL$94)))</f>
        <v/>
      </c>
      <c r="AC94" s="122" t="str">
        <f>IF($AL$94="","",IF(INDEX('Final Calculation Sheet'!$AB$4:$AB$40,$AL$94)="","",INDEX('Final Calculation Sheet'!$AB$4:$AB$40,$AL$94)))</f>
        <v/>
      </c>
      <c r="AD94" s="122" t="str">
        <f>IF($AL$94="","",IF(INDEX('Final Calculation Sheet'!$AC$4:$AC$40,$AL$94)="","",INDEX('Final Calculation Sheet'!$AC$4:$AC$40,$AL$94)))</f>
        <v/>
      </c>
      <c r="AE94" s="122" t="str">
        <f>IF($AL$94="","",IF(INDEX('Final Calculation Sheet'!$AD$4:$AD$40,$AL$94)="","",INDEX('Final Calculation Sheet'!$AD$4:$AD$40,$AL$94)))</f>
        <v/>
      </c>
      <c r="AF94" s="122" t="str">
        <f>IF($AL$94="","",IF(INDEX('Final Calculation Sheet'!$AE$4:$AE$40,$AL$94)="","",INDEX('Final Calculation Sheet'!$AE$4:$AE$40,$AL$94)))</f>
        <v/>
      </c>
      <c r="AG94" s="126" t="str">
        <f>IF($AL$94="","",IF(INDEX('Final Calculation Sheet'!$AF$4:$AF$40,$AL$94)="","",INDEX('Final Calculation Sheet'!$AF$4:$AF$40,$AL$94)))</f>
        <v/>
      </c>
      <c r="AH94" s="122" t="str">
        <f>IF($AL$94="","",IF(INDEX('Final Calculation Sheet'!$AG$4:$AG$40,$AL$94)="","",INDEX('Final Calculation Sheet'!$AG$4:$AG$40,$AL$94)))</f>
        <v/>
      </c>
      <c r="AI94" s="127" t="str">
        <f>IF($AL$94="","",IF(INDEX('Final Calculation Sheet'!$AD$4:$AD$40,$AL$94)&lt;=5,"SETTLED","OUTSTANDING"))</f>
        <v/>
      </c>
      <c r="AL94" t="str">
        <f>IF(COUNTIF($B$4:$AI$4,"&lt;&gt;")=0,"",IFERROR(MATCH(35,$AK$6:$AK$42,0),""))</f>
        <v/>
      </c>
    </row>
    <row r="95">
      <c r="A95" s="128" t="str">
        <f>IF($AL$95="","",36)</f>
        <v/>
      </c>
      <c r="B95" s="129" t="str">
        <f>IF($AL$95="","",IF(INDEX('Final Calculation Sheet'!$F$4:$F$40,$AL$95)="","",INDEX('Final Calculation Sheet'!$F$4:$F$40,$AL$95)))</f>
        <v/>
      </c>
      <c r="C95" s="129" t="str">
        <f>IF($AL$95="","",IF(INDEX('Final Calculation Sheet'!$G$4:$G$40,$AL$95)="","",INDEX('Final Calculation Sheet'!$G$4:$G$40,$AL$95)))</f>
        <v/>
      </c>
      <c r="D95" s="130" t="str">
        <f>IF($AL$95="","",IF(INDEX('Final Calculation Sheet'!$B$4:$B$40,$AL$95)="","",INDEX('Final Calculation Sheet'!$B$4:$B$40,$AL$95)))</f>
        <v/>
      </c>
      <c r="E95" s="130" t="str">
        <f>IF($AL$95="","",IF(INDEX('Final Calculation Sheet'!$D$4:$D$40,$AL$95)="","",INDEX('Final Calculation Sheet'!$D$4:$D$40,$AL$95)))</f>
        <v/>
      </c>
      <c r="F95" s="130" t="str">
        <f>IF($AL$95="","",IF(INDEX('Final Calculation Sheet'!$A$4:$A$40,$AL$95)="","",INDEX('Final Calculation Sheet'!$A$4:$A$40,$AL$95)))</f>
        <v/>
      </c>
      <c r="G95" s="130" t="str">
        <f>IF($AL$95="","",IF(INDEX('Final Calculation Sheet'!$E$4:$E$40,$AL$95)="","",INDEX('Final Calculation Sheet'!$E$4:$E$40,$AL$95)))</f>
        <v/>
      </c>
      <c r="H95" s="131" t="str">
        <f>IF($AL$95="","",IF(INDEX('Final Calculation Sheet'!$C$4:$C$40,$AL$95)="","",INDEX('Final Calculation Sheet'!$C$4:$C$40,$AL$95)))</f>
        <v/>
      </c>
      <c r="I95" s="131" t="str">
        <f>IF($AL$95="","",IF(INDEX('Final Calculation Sheet'!$H$4:$H$40,$AL$95)="","",INDEX('Final Calculation Sheet'!$H$4:$H$40,$AL$95)))</f>
        <v/>
      </c>
      <c r="J95" s="131" t="str">
        <f>IF($AL$95="","",IF(INDEX('Final Calculation Sheet'!$I$4:$I$40,$AL$95)="","",INDEX('Final Calculation Sheet'!$I$4:$I$40,$AL$95)))</f>
        <v/>
      </c>
      <c r="K95" s="131" t="str">
        <f>IF($AL$95="","",IF(INDEX('Final Calculation Sheet'!$J$4:$J$40,$AL$95)="","",INDEX('Final Calculation Sheet'!$J$4:$J$40,$AL$95)))</f>
        <v/>
      </c>
      <c r="L95" s="131" t="str">
        <f>IF($AL$95="","",IF(INDEX('Final Calculation Sheet'!$K$4:$K$40,$AL$95)="","",INDEX('Final Calculation Sheet'!$K$4:$K$40,$AL$95)))</f>
        <v/>
      </c>
      <c r="M95" s="131" t="str">
        <f>IF($AL$95="","",IF(INDEX('Final Calculation Sheet'!$L$4:$L$40,$AL$95)="","",INDEX('Final Calculation Sheet'!$L$4:$L$40,$AL$95)))</f>
        <v/>
      </c>
      <c r="N95" s="131" t="str">
        <f>IF($AL$95="","",IF(INDEX('Final Calculation Sheet'!$M$4:$M$40,$AL$95)="","",INDEX('Final Calculation Sheet'!$M$4:$M$40,$AL$95)))</f>
        <v/>
      </c>
      <c r="O95" s="132" t="str">
        <f>IF($AL$95="","",IF(INDEX('Final Calculation Sheet'!$N$4:$N$40,$AL$95)="","",INDEX('Final Calculation Sheet'!$N$4:$N$40,$AL$95)))</f>
        <v/>
      </c>
      <c r="P95" s="131" t="str">
        <f>IF($AL$95="","",IF(INDEX('Final Calculation Sheet'!$O$4:$O$40,$AL$95)="","",INDEX('Final Calculation Sheet'!$O$4:$O$40,$AL$95)))</f>
        <v/>
      </c>
      <c r="Q95" s="131" t="str">
        <f>IF($AL$95="","",IF(INDEX('Final Calculation Sheet'!$P$4:$P$40,$AL$95)="","",INDEX('Final Calculation Sheet'!$P$4:$P$40,$AL$95)))</f>
        <v/>
      </c>
      <c r="R95" s="133" t="str">
        <f>IF($AL$95="","",IF(INDEX('Final Calculation Sheet'!$Q$4:$Q$40,$AL$95)="","",INDEX('Final Calculation Sheet'!$Q$4:$Q$40,$AL$95)))</f>
        <v/>
      </c>
      <c r="S95" s="131" t="str">
        <f>IF($AL$95="","",IF(INDEX('Final Calculation Sheet'!$R$4:$R$40,$AL$95)="","",INDEX('Final Calculation Sheet'!$R$4:$R$40,$AL$95)))</f>
        <v/>
      </c>
      <c r="T95" s="131" t="str">
        <f>IF($AL$95="","",IF(INDEX('Final Calculation Sheet'!$S$4:$S$40,$AL$95)="","",INDEX('Final Calculation Sheet'!$S$4:$S$40,$AL$95)))</f>
        <v/>
      </c>
      <c r="U95" s="131" t="str">
        <f>IF($AL$95="","",IF(INDEX('Final Calculation Sheet'!$T$4:$T$40,$AL$95)="","",INDEX('Final Calculation Sheet'!$T$4:$T$40,$AL$95)))</f>
        <v/>
      </c>
      <c r="V95" s="134" t="str">
        <f>IF($AL$95="","",IF(INDEX('Final Calculation Sheet'!$U$4:$U$40,$AL$95)="","",INDEX('Final Calculation Sheet'!$U$4:$U$40,$AL$95)))</f>
        <v/>
      </c>
      <c r="W95" s="131" t="str">
        <f>IF($AL$95="","",IF(INDEX('Final Calculation Sheet'!$V$4:$V$40,$AL$95)="","",INDEX('Final Calculation Sheet'!$V$4:$V$40,$AL$95)))</f>
        <v/>
      </c>
      <c r="X95" s="131" t="str">
        <f>IF($AL$95="","",IF(INDEX('Final Calculation Sheet'!$W$4:$W$40,$AL$95)="","",INDEX('Final Calculation Sheet'!$W$4:$W$40,$AL$95)))</f>
        <v/>
      </c>
      <c r="Y95" s="131" t="str">
        <f>IF($AL$95="","",IF(INDEX('Final Calculation Sheet'!$X$4:$X$40,$AL$95)="","",INDEX('Final Calculation Sheet'!$X$4:$X$40,$AL$95)))</f>
        <v/>
      </c>
      <c r="Z95" s="131" t="str">
        <f>IF($AL$95="","",IF(INDEX('Final Calculation Sheet'!$Y$4:$Y$40,$AL$95)="","",INDEX('Final Calculation Sheet'!$Y$4:$Y$40,$AL$95)))</f>
        <v/>
      </c>
      <c r="AA95" s="131" t="str">
        <f>IF($AL$95="","",IF(INDEX('Final Calculation Sheet'!$Z$4:$Z$40,$AL$95)="","",INDEX('Final Calculation Sheet'!$Z$4:$Z$40,$AL$95)))</f>
        <v/>
      </c>
      <c r="AB95" s="131" t="str">
        <f>IF($AL$95="","",IF(INDEX('Final Calculation Sheet'!$AA$4:$AA$40,$AL$95)="","",INDEX('Final Calculation Sheet'!$AA$4:$AA$40,$AL$95)))</f>
        <v/>
      </c>
      <c r="AC95" s="131" t="str">
        <f>IF($AL$95="","",IF(INDEX('Final Calculation Sheet'!$AB$4:$AB$40,$AL$95)="","",INDEX('Final Calculation Sheet'!$AB$4:$AB$40,$AL$95)))</f>
        <v/>
      </c>
      <c r="AD95" s="131" t="str">
        <f>IF($AL$95="","",IF(INDEX('Final Calculation Sheet'!$AC$4:$AC$40,$AL$95)="","",INDEX('Final Calculation Sheet'!$AC$4:$AC$40,$AL$95)))</f>
        <v/>
      </c>
      <c r="AE95" s="131" t="str">
        <f>IF($AL$95="","",IF(INDEX('Final Calculation Sheet'!$AD$4:$AD$40,$AL$95)="","",INDEX('Final Calculation Sheet'!$AD$4:$AD$40,$AL$95)))</f>
        <v/>
      </c>
      <c r="AF95" s="131" t="str">
        <f>IF($AL$95="","",IF(INDEX('Final Calculation Sheet'!$AE$4:$AE$40,$AL$95)="","",INDEX('Final Calculation Sheet'!$AE$4:$AE$40,$AL$95)))</f>
        <v/>
      </c>
      <c r="AG95" s="135" t="str">
        <f>IF($AL$95="","",IF(INDEX('Final Calculation Sheet'!$AF$4:$AF$40,$AL$95)="","",INDEX('Final Calculation Sheet'!$AF$4:$AF$40,$AL$95)))</f>
        <v/>
      </c>
      <c r="AH95" s="131" t="str">
        <f>IF($AL$95="","",IF(INDEX('Final Calculation Sheet'!$AG$4:$AG$40,$AL$95)="","",INDEX('Final Calculation Sheet'!$AG$4:$AG$40,$AL$95)))</f>
        <v/>
      </c>
      <c r="AI95" s="136" t="str">
        <f>IF($AL$95="","",IF(INDEX('Final Calculation Sheet'!$AD$4:$AD$40,$AL$95)&lt;=5,"SETTLED","OUTSTANDING"))</f>
        <v/>
      </c>
      <c r="AL95" t="str">
        <f>IF(COUNTIF($B$4:$AI$4,"&lt;&gt;")=0,"",IFERROR(MATCH(36,$AK$6:$AK$42,0),""))</f>
        <v/>
      </c>
    </row>
    <row r="96">
      <c r="A96" s="118" t="str">
        <f>IF($AL$96="","",37)</f>
        <v/>
      </c>
      <c r="B96" s="119" t="str">
        <f>IF($AL$96="","",IF(INDEX('Final Calculation Sheet'!$F$4:$F$40,$AL$96)="","",INDEX('Final Calculation Sheet'!$F$4:$F$40,$AL$96)))</f>
        <v/>
      </c>
      <c r="C96" s="119" t="str">
        <f>IF($AL$96="","",IF(INDEX('Final Calculation Sheet'!$G$4:$G$40,$AL$96)="","",INDEX('Final Calculation Sheet'!$G$4:$G$40,$AL$96)))</f>
        <v/>
      </c>
      <c r="D96" s="121" t="str">
        <f>IF($AL$96="","",IF(INDEX('Final Calculation Sheet'!$B$4:$B$40,$AL$96)="","",INDEX('Final Calculation Sheet'!$B$4:$B$40,$AL$96)))</f>
        <v/>
      </c>
      <c r="E96" s="121" t="str">
        <f>IF($AL$96="","",IF(INDEX('Final Calculation Sheet'!$D$4:$D$40,$AL$96)="","",INDEX('Final Calculation Sheet'!$D$4:$D$40,$AL$96)))</f>
        <v/>
      </c>
      <c r="F96" s="121" t="str">
        <f>IF($AL$96="","",IF(INDEX('Final Calculation Sheet'!$A$4:$A$40,$AL$96)="","",INDEX('Final Calculation Sheet'!$A$4:$A$40,$AL$96)))</f>
        <v/>
      </c>
      <c r="G96" s="121" t="str">
        <f>IF($AL$96="","",IF(INDEX('Final Calculation Sheet'!$E$4:$E$40,$AL$96)="","",INDEX('Final Calculation Sheet'!$E$4:$E$40,$AL$96)))</f>
        <v/>
      </c>
      <c r="H96" s="122" t="str">
        <f>IF($AL$96="","",IF(INDEX('Final Calculation Sheet'!$C$4:$C$40,$AL$96)="","",INDEX('Final Calculation Sheet'!$C$4:$C$40,$AL$96)))</f>
        <v/>
      </c>
      <c r="I96" s="122" t="str">
        <f>IF($AL$96="","",IF(INDEX('Final Calculation Sheet'!$H$4:$H$40,$AL$96)="","",INDEX('Final Calculation Sheet'!$H$4:$H$40,$AL$96)))</f>
        <v/>
      </c>
      <c r="J96" s="122" t="str">
        <f>IF($AL$96="","",IF(INDEX('Final Calculation Sheet'!$I$4:$I$40,$AL$96)="","",INDEX('Final Calculation Sheet'!$I$4:$I$40,$AL$96)))</f>
        <v/>
      </c>
      <c r="K96" s="122" t="str">
        <f>IF($AL$96="","",IF(INDEX('Final Calculation Sheet'!$J$4:$J$40,$AL$96)="","",INDEX('Final Calculation Sheet'!$J$4:$J$40,$AL$96)))</f>
        <v/>
      </c>
      <c r="L96" s="122" t="str">
        <f>IF($AL$96="","",IF(INDEX('Final Calculation Sheet'!$K$4:$K$40,$AL$96)="","",INDEX('Final Calculation Sheet'!$K$4:$K$40,$AL$96)))</f>
        <v/>
      </c>
      <c r="M96" s="122" t="str">
        <f>IF($AL$96="","",IF(INDEX('Final Calculation Sheet'!$L$4:$L$40,$AL$96)="","",INDEX('Final Calculation Sheet'!$L$4:$L$40,$AL$96)))</f>
        <v/>
      </c>
      <c r="N96" s="122" t="str">
        <f>IF($AL$96="","",IF(INDEX('Final Calculation Sheet'!$M$4:$M$40,$AL$96)="","",INDEX('Final Calculation Sheet'!$M$4:$M$40,$AL$96)))</f>
        <v/>
      </c>
      <c r="O96" s="123" t="str">
        <f>IF($AL$96="","",IF(INDEX('Final Calculation Sheet'!$N$4:$N$40,$AL$96)="","",INDEX('Final Calculation Sheet'!$N$4:$N$40,$AL$96)))</f>
        <v/>
      </c>
      <c r="P96" s="122" t="str">
        <f>IF($AL$96="","",IF(INDEX('Final Calculation Sheet'!$O$4:$O$40,$AL$96)="","",INDEX('Final Calculation Sheet'!$O$4:$O$40,$AL$96)))</f>
        <v/>
      </c>
      <c r="Q96" s="122" t="str">
        <f>IF($AL$96="","",IF(INDEX('Final Calculation Sheet'!$P$4:$P$40,$AL$96)="","",INDEX('Final Calculation Sheet'!$P$4:$P$40,$AL$96)))</f>
        <v/>
      </c>
      <c r="R96" s="124" t="str">
        <f>IF($AL$96="","",IF(INDEX('Final Calculation Sheet'!$Q$4:$Q$40,$AL$96)="","",INDEX('Final Calculation Sheet'!$Q$4:$Q$40,$AL$96)))</f>
        <v/>
      </c>
      <c r="S96" s="122" t="str">
        <f>IF($AL$96="","",IF(INDEX('Final Calculation Sheet'!$R$4:$R$40,$AL$96)="","",INDEX('Final Calculation Sheet'!$R$4:$R$40,$AL$96)))</f>
        <v/>
      </c>
      <c r="T96" s="122" t="str">
        <f>IF($AL$96="","",IF(INDEX('Final Calculation Sheet'!$S$4:$S$40,$AL$96)="","",INDEX('Final Calculation Sheet'!$S$4:$S$40,$AL$96)))</f>
        <v/>
      </c>
      <c r="U96" s="122" t="str">
        <f>IF($AL$96="","",IF(INDEX('Final Calculation Sheet'!$T$4:$T$40,$AL$96)="","",INDEX('Final Calculation Sheet'!$T$4:$T$40,$AL$96)))</f>
        <v/>
      </c>
      <c r="V96" s="125" t="str">
        <f>IF($AL$96="","",IF(INDEX('Final Calculation Sheet'!$U$4:$U$40,$AL$96)="","",INDEX('Final Calculation Sheet'!$U$4:$U$40,$AL$96)))</f>
        <v/>
      </c>
      <c r="W96" s="122" t="str">
        <f>IF($AL$96="","",IF(INDEX('Final Calculation Sheet'!$V$4:$V$40,$AL$96)="","",INDEX('Final Calculation Sheet'!$V$4:$V$40,$AL$96)))</f>
        <v/>
      </c>
      <c r="X96" s="122" t="str">
        <f>IF($AL$96="","",IF(INDEX('Final Calculation Sheet'!$W$4:$W$40,$AL$96)="","",INDEX('Final Calculation Sheet'!$W$4:$W$40,$AL$96)))</f>
        <v/>
      </c>
      <c r="Y96" s="122" t="str">
        <f>IF($AL$96="","",IF(INDEX('Final Calculation Sheet'!$X$4:$X$40,$AL$96)="","",INDEX('Final Calculation Sheet'!$X$4:$X$40,$AL$96)))</f>
        <v/>
      </c>
      <c r="Z96" s="122" t="str">
        <f>IF($AL$96="","",IF(INDEX('Final Calculation Sheet'!$Y$4:$Y$40,$AL$96)="","",INDEX('Final Calculation Sheet'!$Y$4:$Y$40,$AL$96)))</f>
        <v/>
      </c>
      <c r="AA96" s="122" t="str">
        <f>IF($AL$96="","",IF(INDEX('Final Calculation Sheet'!$Z$4:$Z$40,$AL$96)="","",INDEX('Final Calculation Sheet'!$Z$4:$Z$40,$AL$96)))</f>
        <v/>
      </c>
      <c r="AB96" s="122" t="str">
        <f>IF($AL$96="","",IF(INDEX('Final Calculation Sheet'!$AA$4:$AA$40,$AL$96)="","",INDEX('Final Calculation Sheet'!$AA$4:$AA$40,$AL$96)))</f>
        <v/>
      </c>
      <c r="AC96" s="122" t="str">
        <f>IF($AL$96="","",IF(INDEX('Final Calculation Sheet'!$AB$4:$AB$40,$AL$96)="","",INDEX('Final Calculation Sheet'!$AB$4:$AB$40,$AL$96)))</f>
        <v/>
      </c>
      <c r="AD96" s="122" t="str">
        <f>IF($AL$96="","",IF(INDEX('Final Calculation Sheet'!$AC$4:$AC$40,$AL$96)="","",INDEX('Final Calculation Sheet'!$AC$4:$AC$40,$AL$96)))</f>
        <v/>
      </c>
      <c r="AE96" s="122" t="str">
        <f>IF($AL$96="","",IF(INDEX('Final Calculation Sheet'!$AD$4:$AD$40,$AL$96)="","",INDEX('Final Calculation Sheet'!$AD$4:$AD$40,$AL$96)))</f>
        <v/>
      </c>
      <c r="AF96" s="122" t="str">
        <f>IF($AL$96="","",IF(INDEX('Final Calculation Sheet'!$AE$4:$AE$40,$AL$96)="","",INDEX('Final Calculation Sheet'!$AE$4:$AE$40,$AL$96)))</f>
        <v/>
      </c>
      <c r="AG96" s="126" t="str">
        <f>IF($AL$96="","",IF(INDEX('Final Calculation Sheet'!$AF$4:$AF$40,$AL$96)="","",INDEX('Final Calculation Sheet'!$AF$4:$AF$40,$AL$96)))</f>
        <v/>
      </c>
      <c r="AH96" s="122" t="str">
        <f>IF($AL$96="","",IF(INDEX('Final Calculation Sheet'!$AG$4:$AG$40,$AL$96)="","",INDEX('Final Calculation Sheet'!$AG$4:$AG$40,$AL$96)))</f>
        <v/>
      </c>
      <c r="AI96" s="127" t="str">
        <f>IF($AL$96="","",IF(INDEX('Final Calculation Sheet'!$AD$4:$AD$40,$AL$96)&lt;=5,"SETTLED","OUTSTANDING"))</f>
        <v/>
      </c>
      <c r="AL96" t="str">
        <f>IF(COUNTIF($B$4:$AI$4,"&lt;&gt;")=0,"",IFERROR(MATCH(37,$AK$6:$AK$42,0),""))</f>
        <v/>
      </c>
    </row>
  </sheetData>
  <mergeCells count="2">
    <mergeCell ref="A2:AI2"/>
    <mergeCell ref="A1:AI1"/>
  </mergeCells>
  <conditionalFormatting sqref="AE6:AE57">
    <cfRule type="cellIs" priority="2" operator="greaterThan" dxfId="0">
      <formula>5</formula>
    </cfRule>
  </conditionalFormatting>
  <conditionalFormatting sqref="AI6:AI57">
    <cfRule type="cellIs" priority="3" operator="equal" dxfId="2">
      <formula>"SETTLED"</formula>
    </cfRule>
    <cfRule type="cellIs" priority="4" operator="equal" dxfId="0">
      <formula>"OUTSTANDING"</formula>
    </cfRule>
  </conditionalFormatting>
  <conditionalFormatting sqref="B6:B55">
    <cfRule type="expression" priority="5" dxfId="3">
      <formula>AND(ISNUMBER($A6),$B$4&lt;&gt;"",IF($B$4="(blank)",B6="",IF($B$4="(nonblank)",B6&lt;&gt;"",ISNUMBER(SEARCH($B$4,B6)))))</formula>
    </cfRule>
  </conditionalFormatting>
  <conditionalFormatting sqref="C6:C55">
    <cfRule type="expression" priority="6" dxfId="3">
      <formula>AND(ISNUMBER($A6),$C$4&lt;&gt;"",IF($C$4="(blank)",C6="",IF($C$4="(nonblank)",C6&lt;&gt;"",ISNUMBER(SEARCH($C$4,C6)))))</formula>
    </cfRule>
  </conditionalFormatting>
  <conditionalFormatting sqref="D6:D55">
    <cfRule type="expression" priority="7" dxfId="3">
      <formula>AND(ISNUMBER($A6),$D$4&lt;&gt;"",IF($D$4="(blank)",D6="",IF($D$4="(nonblank)",D6&lt;&gt;"",ISNUMBER(SEARCH($D$4,D6)))))</formula>
    </cfRule>
  </conditionalFormatting>
  <conditionalFormatting sqref="E6:E55">
    <cfRule type="expression" priority="8" dxfId="3">
      <formula>AND(ISNUMBER($A6),$E$4&lt;&gt;"",IF($E$4="(blank)",E6="",IF($E$4="(nonblank)",E6&lt;&gt;"",ISNUMBER(SEARCH($E$4,E6)))))</formula>
    </cfRule>
  </conditionalFormatting>
  <conditionalFormatting sqref="F6:F55">
    <cfRule type="expression" priority="9" dxfId="3">
      <formula>AND(ISNUMBER($A6),$F$4&lt;&gt;"",IF($F$4="(blank)",F6="",IF($F$4="(nonblank)",F6&lt;&gt;"",ISNUMBER(SEARCH($F$4,F6)))))</formula>
    </cfRule>
  </conditionalFormatting>
  <conditionalFormatting sqref="G6:G55">
    <cfRule type="expression" priority="10" dxfId="3">
      <formula>AND(ISNUMBER($A6),$G$4&lt;&gt;"",IF($G$4="(blank)",G6="",IF($G$4="(nonblank)",G6&lt;&gt;"",ISNUMBER(SEARCH($G$4,G6)))))</formula>
    </cfRule>
  </conditionalFormatting>
  <conditionalFormatting sqref="H6:H55">
    <cfRule type="expression" priority="11" dxfId="3">
      <formula>AND(ISNUMBER($A6),$H$4&lt;&gt;"",IF($H$4="(blank)",H6="",IF($H$4="(nonblank)",H6&lt;&gt;"",ISNUMBER(SEARCH($H$4,H6)))))</formula>
    </cfRule>
  </conditionalFormatting>
  <conditionalFormatting sqref="I6:I55">
    <cfRule type="expression" priority="12" dxfId="3">
      <formula>AND(ISNUMBER($A6),$I$4&lt;&gt;"",IF($I$4="(blank)",I6="",IF($I$4="(nonblank)",I6&lt;&gt;"",ISNUMBER(SEARCH($I$4,I6)))))</formula>
    </cfRule>
  </conditionalFormatting>
  <conditionalFormatting sqref="J6:J55">
    <cfRule type="expression" priority="13" dxfId="3">
      <formula>AND(ISNUMBER($A6),$J$4&lt;&gt;"",IF($J$4="(blank)",J6="",IF($J$4="(nonblank)",J6&lt;&gt;"",ISNUMBER(SEARCH($J$4,J6)))))</formula>
    </cfRule>
  </conditionalFormatting>
  <conditionalFormatting sqref="K6:K55">
    <cfRule type="expression" priority="14" dxfId="3">
      <formula>AND(ISNUMBER($A6),$K$4&lt;&gt;"",IF($K$4="(blank)",K6="",IF($K$4="(nonblank)",K6&lt;&gt;"",ISNUMBER(SEARCH($K$4,K6)))))</formula>
    </cfRule>
  </conditionalFormatting>
  <conditionalFormatting sqref="L6:L55">
    <cfRule type="expression" priority="15" dxfId="3">
      <formula>AND(ISNUMBER($A6),$L$4&lt;&gt;"",IF($L$4="(blank)",L6="",IF($L$4="(nonblank)",L6&lt;&gt;"",ISNUMBER(SEARCH($L$4,L6)))))</formula>
    </cfRule>
  </conditionalFormatting>
  <conditionalFormatting sqref="M6:M55">
    <cfRule type="expression" priority="16" dxfId="3">
      <formula>AND(ISNUMBER($A6),$M$4&lt;&gt;"",IF($M$4="(blank)",M6="",IF($M$4="(nonblank)",M6&lt;&gt;"",ISNUMBER(SEARCH($M$4,M6)))))</formula>
    </cfRule>
  </conditionalFormatting>
  <conditionalFormatting sqref="N6:N55">
    <cfRule type="expression" priority="17" dxfId="3">
      <formula>AND(ISNUMBER($A6),$N$4&lt;&gt;"",IF($N$4="(blank)",N6="",IF($N$4="(nonblank)",N6&lt;&gt;"",ISNUMBER(SEARCH($N$4,N6)))))</formula>
    </cfRule>
  </conditionalFormatting>
  <conditionalFormatting sqref="O6:O55">
    <cfRule type="expression" priority="18" dxfId="3">
      <formula>AND(ISNUMBER($A6),$O$4&lt;&gt;"",IF($O$4="(blank)",O6="",IF($O$4="(nonblank)",O6&lt;&gt;"",ISNUMBER(SEARCH($O$4,O6)))))</formula>
    </cfRule>
  </conditionalFormatting>
  <conditionalFormatting sqref="P6:P55">
    <cfRule type="expression" priority="19" dxfId="3">
      <formula>AND(ISNUMBER($A6),$P$4&lt;&gt;"",IF($P$4="(blank)",P6="",IF($P$4="(nonblank)",P6&lt;&gt;"",ISNUMBER(SEARCH($P$4,P6)))))</formula>
    </cfRule>
  </conditionalFormatting>
  <conditionalFormatting sqref="Q6:Q55">
    <cfRule type="expression" priority="20" dxfId="3">
      <formula>AND(ISNUMBER($A6),$Q$4&lt;&gt;"",IF($Q$4="(blank)",Q6="",IF($Q$4="(nonblank)",Q6&lt;&gt;"",ISNUMBER(SEARCH($Q$4,Q6)))))</formula>
    </cfRule>
  </conditionalFormatting>
  <conditionalFormatting sqref="R6:R55">
    <cfRule type="expression" priority="21" dxfId="3">
      <formula>AND(ISNUMBER($A6),$R$4&lt;&gt;"",IF($R$4="(blank)",R6="",IF($R$4="(nonblank)",R6&lt;&gt;"",ISNUMBER(SEARCH($R$4,R6)))))</formula>
    </cfRule>
  </conditionalFormatting>
  <conditionalFormatting sqref="S6:S55">
    <cfRule type="expression" priority="22" dxfId="3">
      <formula>AND(ISNUMBER($A6),$S$4&lt;&gt;"",IF($S$4="(blank)",S6="",IF($S$4="(nonblank)",S6&lt;&gt;"",ISNUMBER(SEARCH($S$4,S6)))))</formula>
    </cfRule>
  </conditionalFormatting>
  <conditionalFormatting sqref="T6:T55">
    <cfRule type="expression" priority="23" dxfId="3">
      <formula>AND(ISNUMBER($A6),$T$4&lt;&gt;"",IF($T$4="(blank)",T6="",IF($T$4="(nonblank)",T6&lt;&gt;"",ISNUMBER(SEARCH($T$4,T6)))))</formula>
    </cfRule>
  </conditionalFormatting>
  <conditionalFormatting sqref="U6:U55">
    <cfRule type="expression" priority="24" dxfId="3">
      <formula>AND(ISNUMBER($A6),$U$4&lt;&gt;"",IF($U$4="(blank)",U6="",IF($U$4="(nonblank)",U6&lt;&gt;"",ISNUMBER(SEARCH($U$4,U6)))))</formula>
    </cfRule>
  </conditionalFormatting>
  <conditionalFormatting sqref="V6:V55">
    <cfRule type="expression" priority="25" dxfId="3">
      <formula>AND(ISNUMBER($A6),$V$4&lt;&gt;"",IF($V$4="(blank)",V6="",IF($V$4="(nonblank)",V6&lt;&gt;"",ISNUMBER(SEARCH($V$4,V6)))))</formula>
    </cfRule>
  </conditionalFormatting>
  <conditionalFormatting sqref="W6:W55">
    <cfRule type="expression" priority="26" dxfId="3">
      <formula>AND(ISNUMBER($A6),$W$4&lt;&gt;"",IF($W$4="(blank)",W6="",IF($W$4="(nonblank)",W6&lt;&gt;"",ISNUMBER(SEARCH($W$4,W6)))))</formula>
    </cfRule>
  </conditionalFormatting>
  <conditionalFormatting sqref="X6:X55">
    <cfRule type="expression" priority="27" dxfId="3">
      <formula>AND(ISNUMBER($A6),$X$4&lt;&gt;"",IF($X$4="(blank)",X6="",IF($X$4="(nonblank)",X6&lt;&gt;"",ISNUMBER(SEARCH($X$4,X6)))))</formula>
    </cfRule>
  </conditionalFormatting>
  <conditionalFormatting sqref="Y6:Y55">
    <cfRule type="expression" priority="28" dxfId="3">
      <formula>AND(ISNUMBER($A6),$Y$4&lt;&gt;"",IF($Y$4="(blank)",Y6="",IF($Y$4="(nonblank)",Y6&lt;&gt;"",ISNUMBER(SEARCH($Y$4,Y6)))))</formula>
    </cfRule>
  </conditionalFormatting>
  <conditionalFormatting sqref="Z6:Z55">
    <cfRule type="expression" priority="29" dxfId="3">
      <formula>AND(ISNUMBER($A6),$Z$4&lt;&gt;"",IF($Z$4="(blank)",Z6="",IF($Z$4="(nonblank)",Z6&lt;&gt;"",ISNUMBER(SEARCH($Z$4,Z6)))))</formula>
    </cfRule>
  </conditionalFormatting>
  <conditionalFormatting sqref="AA6:AA55">
    <cfRule type="expression" priority="30" dxfId="3">
      <formula>AND(ISNUMBER($A6),$AA$4&lt;&gt;"",IF($AA$4="(blank)",AA6="",IF($AA$4="(nonblank)",AA6&lt;&gt;"",ISNUMBER(SEARCH($AA$4,AA6)))))</formula>
    </cfRule>
  </conditionalFormatting>
  <conditionalFormatting sqref="AB6:AB55">
    <cfRule type="expression" priority="31" dxfId="3">
      <formula>AND(ISNUMBER($A6),$AB$4&lt;&gt;"",IF($AB$4="(blank)",AB6="",IF($AB$4="(nonblank)",AB6&lt;&gt;"",ISNUMBER(SEARCH($AB$4,AB6)))))</formula>
    </cfRule>
  </conditionalFormatting>
  <conditionalFormatting sqref="AC6:AC55">
    <cfRule type="expression" priority="32" dxfId="3">
      <formula>AND(ISNUMBER($A6),$AC$4&lt;&gt;"",IF($AC$4="(blank)",AC6="",IF($AC$4="(nonblank)",AC6&lt;&gt;"",ISNUMBER(SEARCH($AC$4,AC6)))))</formula>
    </cfRule>
  </conditionalFormatting>
  <conditionalFormatting sqref="AD6:AD55">
    <cfRule type="expression" priority="33" dxfId="3">
      <formula>AND(ISNUMBER($A6),$AD$4&lt;&gt;"",IF($AD$4="(blank)",AD6="",IF($AD$4="(nonblank)",AD6&lt;&gt;"",ISNUMBER(SEARCH($AD$4,AD6)))))</formula>
    </cfRule>
  </conditionalFormatting>
  <conditionalFormatting sqref="AE6:AE55">
    <cfRule type="expression" priority="34" dxfId="3">
      <formula>AND(ISNUMBER($A6),$AE$4&lt;&gt;"",IF($AE$4="(blank)",AE6="",IF($AE$4="(nonblank)",AE6&lt;&gt;"",ISNUMBER(SEARCH($AE$4,AE6)))))</formula>
    </cfRule>
  </conditionalFormatting>
  <conditionalFormatting sqref="AF6:AF55">
    <cfRule type="expression" priority="35" dxfId="3">
      <formula>AND(ISNUMBER($A6),$AF$4&lt;&gt;"",IF($AF$4="(blank)",AF6="",IF($AF$4="(nonblank)",AF6&lt;&gt;"",ISNUMBER(SEARCH($AF$4,AF6)))))</formula>
    </cfRule>
  </conditionalFormatting>
  <conditionalFormatting sqref="AG6:AG55">
    <cfRule type="expression" priority="36" dxfId="3">
      <formula>AND(ISNUMBER($A6),$AG$4&lt;&gt;"",IF($AG$4="(blank)",AG6="",IF($AG$4="(nonblank)",AG6&lt;&gt;"",ISNUMBER(SEARCH($AG$4,AG6)))))</formula>
    </cfRule>
  </conditionalFormatting>
  <conditionalFormatting sqref="AH6:AH55">
    <cfRule type="expression" priority="37" dxfId="3">
      <formula>AND(ISNUMBER($A6),$AH$4&lt;&gt;"",IF($AH$4="(blank)",AH6="",IF($AH$4="(nonblank)",AH6&lt;&gt;"",ISNUMBER(SEARCH($AH$4,AH6)))))</formula>
    </cfRule>
  </conditionalFormatting>
  <conditionalFormatting sqref="AI6:AI55">
    <cfRule type="expression" priority="38" dxfId="3">
      <formula>AND(ISNUMBER($A6),$AI$4&lt;&gt;"",IF($AI$4="(blank)",AI6="",IF($AI$4="(nonblank)",AI6&lt;&gt;"",ISNUMBER(SEARCH($AI$4,AI6)))))</formula>
    </cfRule>
  </conditionalFormatting>
  <conditionalFormatting sqref="AI60:AI96">
    <cfRule type="cellIs" priority="39" operator="equal" dxfId="2">
      <formula>"SETTLED"</formula>
    </cfRule>
    <cfRule type="cellIs" priority="40" operator="equal" dxfId="0">
      <formula>"OUTSTANDING"</formula>
    </cfRule>
  </conditionalFormatting>
  <conditionalFormatting sqref="AE60:AE96">
    <cfRule type="cellIs" priority="41" operator="greaterThan" dxfId="0">
      <formula>5</formula>
    </cfRule>
  </conditionalFormatting>
  <dataValidations count="34">
    <dataValidation sqref="B4" showDropDown="0" showInputMessage="0" showErrorMessage="0" allowBlank="0" type="list">
      <formula1>SUGN_B</formula1>
      <formula2>0</formula2>
    </dataValidation>
    <dataValidation sqref="C4" showDropDown="0" showInputMessage="0" showErrorMessage="0" allowBlank="0" type="list">
      <formula1>SUGN_C</formula1>
      <formula2>0</formula2>
    </dataValidation>
    <dataValidation sqref="D4" showDropDown="0" showInputMessage="0" showErrorMessage="0" allowBlank="0" type="list">
      <formula1>SUGN_D</formula1>
      <formula2>0</formula2>
    </dataValidation>
    <dataValidation sqref="E4" showDropDown="0" showInputMessage="0" showErrorMessage="0" allowBlank="0" type="list">
      <formula1>SUGN_E</formula1>
      <formula2>0</formula2>
    </dataValidation>
    <dataValidation sqref="F4" showDropDown="0" showInputMessage="0" showErrorMessage="0" allowBlank="0" type="list">
      <formula1>SUGN_F</formula1>
      <formula2>0</formula2>
    </dataValidation>
    <dataValidation sqref="G4" showDropDown="0" showInputMessage="0" showErrorMessage="0" allowBlank="0" type="list">
      <formula1>SUGN_G</formula1>
      <formula2>0</formula2>
    </dataValidation>
    <dataValidation sqref="H4" showDropDown="0" showInputMessage="0" showErrorMessage="0" allowBlank="0" type="list">
      <formula1>SUGN_H</formula1>
      <formula2>0</formula2>
    </dataValidation>
    <dataValidation sqref="I4" showDropDown="0" showInputMessage="0" showErrorMessage="0" allowBlank="0" type="list">
      <formula1>SUGN_I</formula1>
      <formula2>0</formula2>
    </dataValidation>
    <dataValidation sqref="J4" showDropDown="0" showInputMessage="0" showErrorMessage="0" allowBlank="0" type="list">
      <formula1>SUGN_J</formula1>
      <formula2>0</formula2>
    </dataValidation>
    <dataValidation sqref="K4" showDropDown="0" showInputMessage="0" showErrorMessage="0" allowBlank="0" type="list">
      <formula1>SUGN_K</formula1>
      <formula2>0</formula2>
    </dataValidation>
    <dataValidation sqref="L4" showDropDown="0" showInputMessage="0" showErrorMessage="0" allowBlank="0" type="list">
      <formula1>SUGN_L</formula1>
      <formula2>0</formula2>
    </dataValidation>
    <dataValidation sqref="M4" showDropDown="0" showInputMessage="0" showErrorMessage="0" allowBlank="0" type="list">
      <formula1>SUGN_M</formula1>
      <formula2>0</formula2>
    </dataValidation>
    <dataValidation sqref="N4" showDropDown="0" showInputMessage="0" showErrorMessage="0" allowBlank="0" type="list">
      <formula1>SUGN_N</formula1>
      <formula2>0</formula2>
    </dataValidation>
    <dataValidation sqref="O4" showDropDown="0" showInputMessage="0" showErrorMessage="0" allowBlank="0" type="list">
      <formula1>SUGN_O</formula1>
      <formula2>0</formula2>
    </dataValidation>
    <dataValidation sqref="P4" showDropDown="0" showInputMessage="0" showErrorMessage="0" allowBlank="0" type="list">
      <formula1>SUGN_P</formula1>
      <formula2>0</formula2>
    </dataValidation>
    <dataValidation sqref="Q4" showDropDown="0" showInputMessage="0" showErrorMessage="0" allowBlank="0" type="list">
      <formula1>SUGN_Q</formula1>
      <formula2>0</formula2>
    </dataValidation>
    <dataValidation sqref="R4" showDropDown="0" showInputMessage="0" showErrorMessage="0" allowBlank="0" type="list">
      <formula1>SUGN_R</formula1>
      <formula2>0</formula2>
    </dataValidation>
    <dataValidation sqref="S4" showDropDown="0" showInputMessage="0" showErrorMessage="0" allowBlank="0" type="list">
      <formula1>SUGN_S</formula1>
      <formula2>0</formula2>
    </dataValidation>
    <dataValidation sqref="T4" showDropDown="0" showInputMessage="0" showErrorMessage="0" allowBlank="0" type="list">
      <formula1>SUGN_T</formula1>
      <formula2>0</formula2>
    </dataValidation>
    <dataValidation sqref="U4" showDropDown="0" showInputMessage="0" showErrorMessage="0" allowBlank="0" type="list">
      <formula1>SUGN_U</formula1>
      <formula2>0</formula2>
    </dataValidation>
    <dataValidation sqref="V4" showDropDown="0" showInputMessage="0" showErrorMessage="0" allowBlank="0" type="list">
      <formula1>SUGN_V</formula1>
      <formula2>0</formula2>
    </dataValidation>
    <dataValidation sqref="W4" showDropDown="0" showInputMessage="0" showErrorMessage="0" allowBlank="0" type="list">
      <formula1>SUGN_W</formula1>
      <formula2>0</formula2>
    </dataValidation>
    <dataValidation sqref="X4" showDropDown="0" showInputMessage="0" showErrorMessage="0" allowBlank="0" type="list">
      <formula1>SUGN_X</formula1>
      <formula2>0</formula2>
    </dataValidation>
    <dataValidation sqref="Y4" showDropDown="0" showInputMessage="0" showErrorMessage="0" allowBlank="0" type="list">
      <formula1>SUGN_Y</formula1>
      <formula2>0</formula2>
    </dataValidation>
    <dataValidation sqref="Z4" showDropDown="0" showInputMessage="0" showErrorMessage="0" allowBlank="0" type="list">
      <formula1>SUGN_Z</formula1>
      <formula2>0</formula2>
    </dataValidation>
    <dataValidation sqref="AA4" showDropDown="0" showInputMessage="0" showErrorMessage="0" allowBlank="0" type="list">
      <formula1>SUGN_AA</formula1>
      <formula2>0</formula2>
    </dataValidation>
    <dataValidation sqref="AB4" showDropDown="0" showInputMessage="0" showErrorMessage="0" allowBlank="0" type="list">
      <formula1>SUGN_AB</formula1>
      <formula2>0</formula2>
    </dataValidation>
    <dataValidation sqref="AC4" showDropDown="0" showInputMessage="0" showErrorMessage="0" allowBlank="0" type="list">
      <formula1>SUGN_AC</formula1>
      <formula2>0</formula2>
    </dataValidation>
    <dataValidation sqref="AD4" showDropDown="0" showInputMessage="0" showErrorMessage="0" allowBlank="0" type="list">
      <formula1>SUGN_AD</formula1>
      <formula2>0</formula2>
    </dataValidation>
    <dataValidation sqref="AE4" showDropDown="0" showInputMessage="0" showErrorMessage="0" allowBlank="0" type="list">
      <formula1>SUGN_AE</formula1>
      <formula2>0</formula2>
    </dataValidation>
    <dataValidation sqref="AF4" showDropDown="0" showInputMessage="0" showErrorMessage="0" allowBlank="0" type="list">
      <formula1>SUGN_AF</formula1>
      <formula2>0</formula2>
    </dataValidation>
    <dataValidation sqref="AG4" showDropDown="0" showInputMessage="0" showErrorMessage="0" allowBlank="0" type="list">
      <formula1>SUGN_AG</formula1>
      <formula2>0</formula2>
    </dataValidation>
    <dataValidation sqref="AH4" showDropDown="0" showInputMessage="0" showErrorMessage="0" allowBlank="0" type="list">
      <formula1>SUGN_AH</formula1>
      <formula2>0</formula2>
    </dataValidation>
    <dataValidation sqref="AI4" showDropDown="0" showInputMessage="0" showErrorMessage="0" allowBlank="0" type="list">
      <formula1>SUGN_AI</formula1>
      <formula2>0</formula2>
    </dataValidation>
  </dataValidations>
  <pageMargins left="0.75" right="0.75" top="1" bottom="1" header="0.511811023622047" footer="0.511811023622047"/>
  <pageSetup orientation="portrait" paperSize="9" horizontalDpi="300" verticalDpi="300"/>
</worksheet>
</file>

<file path=xl/worksheets/sheet4.xml><?xml version="1.0" encoding="utf-8"?>
<worksheet xmlns="http://schemas.openxmlformats.org/spreadsheetml/2006/main">
  <sheetPr codeName="Sheet4">
    <outlinePr summaryBelow="1" summaryRight="1"/>
    <pageSetUpPr/>
  </sheetPr>
  <dimension ref="A1:FX114"/>
  <sheetViews>
    <sheetView zoomScaleNormal="100" workbookViewId="0">
      <selection activeCell="A1" sqref="A1"/>
    </sheetView>
  </sheetViews>
  <sheetFormatPr baseColWidth="8" defaultColWidth="8.7109375" defaultRowHeight="15"/>
  <cols>
    <col width="30" customWidth="1" style="137" min="1" max="1"/>
    <col width="30" customWidth="1" style="137" min="5" max="6"/>
    <col width="30" customWidth="1" style="137" min="10" max="11"/>
    <col width="30" customWidth="1" style="137" min="15" max="16"/>
    <col width="30" customWidth="1" style="137" min="20" max="21"/>
    <col width="30" customWidth="1" style="137" min="25" max="26"/>
    <col width="30" customWidth="1" style="137" min="30" max="31"/>
    <col width="30" customWidth="1" style="137" min="35" max="36"/>
    <col width="30" customWidth="1" style="137" min="40" max="41"/>
    <col width="30" customWidth="1" style="137" min="45" max="46"/>
    <col width="30" customWidth="1" style="137" min="50" max="51"/>
    <col width="30" customWidth="1" style="137" min="55" max="56"/>
    <col width="30" customWidth="1" style="137" min="60" max="61"/>
    <col width="30" customWidth="1" style="137" min="65" max="66"/>
    <col width="30" customWidth="1" style="137" min="70" max="71"/>
    <col width="30" customWidth="1" style="137" min="75" max="76"/>
    <col width="30" customWidth="1" style="137" min="80" max="81"/>
    <col width="30" customWidth="1" style="137" min="85" max="86"/>
    <col width="30" customWidth="1" style="137" min="90" max="91"/>
    <col width="30" customWidth="1" style="137" min="95" max="96"/>
    <col width="30" customWidth="1" style="137" min="100" max="101"/>
    <col width="30" customWidth="1" style="137" min="105" max="106"/>
    <col width="30" customWidth="1" style="137" min="110" max="111"/>
    <col width="30" customWidth="1" style="137" min="115" max="116"/>
    <col width="30" customWidth="1" style="137" min="120" max="121"/>
    <col width="30" customWidth="1" style="137" min="125" max="126"/>
    <col width="30" customWidth="1" style="137" min="130" max="131"/>
    <col width="30" customWidth="1" style="137" min="135" max="136"/>
    <col width="30" customWidth="1" style="137" min="140" max="141"/>
    <col width="30" customWidth="1" style="137" min="145" max="146"/>
    <col width="30" customWidth="1" style="137" min="150" max="151"/>
    <col width="30" customWidth="1" style="137" min="155" max="156"/>
    <col width="30" customWidth="1" style="137" min="160" max="161"/>
    <col width="30" customWidth="1" style="137" min="165" max="166"/>
    <col width="30" customWidth="1" style="137" min="170" max="171"/>
    <col width="30" customWidth="1" style="137" min="175" max="176"/>
    <col width="30" customWidth="1" style="137" min="180" max="180"/>
  </cols>
  <sheetData>
    <row r="1">
      <c r="A1" t="inlineStr">
        <is>
          <t>Search-dropdown lists — live from Final Calculation Sheet, sorted ascending. Do not edit.</t>
        </is>
      </c>
    </row>
    <row r="3">
      <c r="A3" t="inlineStr">
        <is>
          <t>MAIN (B3): lot no + buyer + lot name</t>
        </is>
      </c>
      <c r="F3" t="inlineStr">
        <is>
          <t>A (#): 1..37</t>
        </is>
      </c>
      <c r="K3" t="inlineStr">
        <is>
          <t>B (Final F)</t>
        </is>
      </c>
      <c r="P3" t="inlineStr">
        <is>
          <t>C (Final G)</t>
        </is>
      </c>
      <c r="U3" t="inlineStr">
        <is>
          <t>D (Final B)</t>
        </is>
      </c>
      <c r="Z3" t="inlineStr">
        <is>
          <t>E (Final D)</t>
        </is>
      </c>
      <c r="AE3" t="inlineStr">
        <is>
          <t>F (Final A)</t>
        </is>
      </c>
      <c r="AJ3" t="inlineStr">
        <is>
          <t>G (Final E)</t>
        </is>
      </c>
      <c r="AO3" t="inlineStr">
        <is>
          <t>H (Final C)</t>
        </is>
      </c>
      <c r="AT3" t="inlineStr">
        <is>
          <t>I (Final H)</t>
        </is>
      </c>
      <c r="AY3" t="inlineStr">
        <is>
          <t>J (Final I)</t>
        </is>
      </c>
      <c r="BD3" t="inlineStr">
        <is>
          <t>K (Final J)</t>
        </is>
      </c>
      <c r="BI3" t="inlineStr">
        <is>
          <t>L (Final K)</t>
        </is>
      </c>
      <c r="BN3" t="inlineStr">
        <is>
          <t>M (Final L)</t>
        </is>
      </c>
      <c r="BS3" t="inlineStr">
        <is>
          <t>N (Final M)</t>
        </is>
      </c>
      <c r="BX3" t="inlineStr">
        <is>
          <t>O (Final N)</t>
        </is>
      </c>
      <c r="CC3" t="inlineStr">
        <is>
          <t>P (Final O)</t>
        </is>
      </c>
      <c r="CH3" t="inlineStr">
        <is>
          <t>Q (Final P)</t>
        </is>
      </c>
      <c r="CM3" t="inlineStr">
        <is>
          <t>R (Final Q)</t>
        </is>
      </c>
      <c r="CR3" t="inlineStr">
        <is>
          <t>S (Final R)</t>
        </is>
      </c>
      <c r="CW3" t="inlineStr">
        <is>
          <t>T (Final S)</t>
        </is>
      </c>
      <c r="DB3" t="inlineStr">
        <is>
          <t>U (Final T)</t>
        </is>
      </c>
      <c r="DG3" t="inlineStr">
        <is>
          <t>V (Final U)</t>
        </is>
      </c>
      <c r="DL3" t="inlineStr">
        <is>
          <t>W (Final V)</t>
        </is>
      </c>
      <c r="DQ3" t="inlineStr">
        <is>
          <t>X (Final W)</t>
        </is>
      </c>
      <c r="DV3" t="inlineStr">
        <is>
          <t>Y (Final X)</t>
        </is>
      </c>
      <c r="EA3" t="inlineStr">
        <is>
          <t>Z (Final Y)</t>
        </is>
      </c>
      <c r="EF3" t="inlineStr">
        <is>
          <t>AA (Final Z)</t>
        </is>
      </c>
      <c r="EK3" t="inlineStr">
        <is>
          <t>AB (Final AA)</t>
        </is>
      </c>
      <c r="EP3" t="inlineStr">
        <is>
          <t>AC (Final AB)</t>
        </is>
      </c>
      <c r="EU3" t="inlineStr">
        <is>
          <t>AD (Final AC)</t>
        </is>
      </c>
      <c r="EZ3" t="inlineStr">
        <is>
          <t>AE (Final AD)</t>
        </is>
      </c>
      <c r="FE3" t="inlineStr">
        <is>
          <t>AF (Final AE)</t>
        </is>
      </c>
      <c r="FJ3" t="inlineStr">
        <is>
          <t>AG (Final AF)</t>
        </is>
      </c>
      <c r="FO3" t="inlineStr">
        <is>
          <t>AH (Final AG)</t>
        </is>
      </c>
      <c r="FT3" t="inlineStr">
        <is>
          <t>AI (Payment Status)</t>
        </is>
      </c>
    </row>
    <row r="4">
      <c r="A4">
        <f>IF('Final Calculation Sheet'!$F$4="","",'Final Calculation Sheet'!$F$4)</f>
        <v>1763</v>
      </c>
      <c r="B4">
        <f>IF(A4="","",COUNTIFS(A$4:A$114,"&lt;"&amp;A4,A$4:A$114,"&lt;&gt;"&amp;"")+COUNTIF(A$4:A4,A4))</f>
        <v>1</v>
      </c>
      <c r="C4">
        <f>IF(ROW()-3&gt;COUNTIF(A$4:A$114,"&lt;&gt;"&amp;""),"",INDEX(A$4:A$114,MATCH(ROW()-3,B$4:B$114,0)))</f>
        <v>1763</v>
      </c>
      <c r="D4">
        <f>IF(AND(C4&lt;&gt;"",COUNTIF(C$4:C4,C4)=1),1,0)</f>
        <v>1</v>
      </c>
      <c r="E4" t="e">
        <f>IF(ROW()-3&gt;MAX(D$4:D$114),"",INDEX(C$4:C$114,MATCH(ROW()-3,D$4:D$114,0)))</f>
        <v>#N/A</v>
      </c>
      <c r="F4">
        <f>ROW()-3</f>
        <v>1</v>
      </c>
      <c r="G4">
        <f>IF(F4="","",COUNTIFS(F$4:F$40,"&lt;"&amp;F4,F$4:F$40,"&lt;&gt;"&amp;"")+COUNTIF(F$4:F4,F4))</f>
        <v>1</v>
      </c>
      <c r="H4">
        <f>IF(ROW()-3&gt;COUNTIF(F$4:F$40,"&lt;&gt;"&amp;""),"",INDEX(F$4:F$40,MATCH(ROW()-3,G$4:G$40,0)))</f>
        <v>1</v>
      </c>
      <c r="I4">
        <f>IF(AND(H4&lt;&gt;"",COUNTIF(H$4:H4,H4)=1),1,0)</f>
        <v>1</v>
      </c>
      <c r="J4">
        <f>IF(ROW()-3&gt;MAX(I$4:I$40),"",INDEX(H$4:H$40,MATCH(ROW()-3,I$4:I$40,0)))</f>
        <v>1</v>
      </c>
      <c r="K4">
        <f>IF('Final Calculation Sheet'!$F$4="","",'Final Calculation Sheet'!$F$4)</f>
        <v>1763</v>
      </c>
      <c r="L4">
        <f>IF(K4="","",COUNTIFS(K$4:K$40,"&lt;"&amp;K4,K$4:K$40,"&lt;&gt;"&amp;"")+COUNTIF(K$4:K4,K4))</f>
        <v>1</v>
      </c>
      <c r="M4">
        <f>IF(ROW()-3&gt;COUNTIF(K$4:K$40,"&lt;&gt;"&amp;""),"",INDEX(K$4:K$40,MATCH(ROW()-3,L$4:L$40,0)))</f>
        <v>1763</v>
      </c>
      <c r="N4">
        <f>IF(AND(M4&lt;&gt;"",COUNTIF(M$4:M4,M4)=1),1,0)</f>
        <v>1</v>
      </c>
      <c r="O4">
        <f>IF(ROW()-3&gt;MAX(N$4:N$40),"",INDEX(M$4:M$40,MATCH(ROW()-3,N$4:N$40,0)))</f>
        <v>1763</v>
      </c>
      <c r="P4" t="str">
        <f>IF('Final Calculation Sheet'!$G$4="","",'Final Calculation Sheet'!$G$4)</f>
        <v>AL HAMD TRADE CORPORATION</v>
      </c>
      <c r="Q4">
        <f>IF(P4="","",COUNTIFS(P$4:P$40,"&lt;"&amp;P4,P$4:P$40,"&lt;&gt;"&amp;"")+COUNTIF(P$4:P4,P4))</f>
        <v>1</v>
      </c>
      <c r="R4" t="str">
        <f>IF(ROW()-3&gt;COUNTIF(P$4:P$40,"&lt;&gt;"&amp;""),"",INDEX(P$4:P$40,MATCH(ROW()-3,Q$4:Q$40,0)))</f>
        <v>AL HAMD TRADE CORPORATION</v>
      </c>
      <c r="S4">
        <f>IF(AND(R4&lt;&gt;"",COUNTIF(R$4:R4,R4)=1),1,0)</f>
        <v>1</v>
      </c>
      <c r="T4" t="str">
        <f>IF(ROW()-3&gt;MAX(S$4:S$40),"",INDEX(R$4:R$40,MATCH(ROW()-3,S$4:S$40,0)))</f>
        <v>AL HAMD TRADE CORPORATION</v>
      </c>
      <c r="U4" t="str">
        <f>IF('Final Calculation Sheet'!$B$4="","",'Final Calculation Sheet'!$B$4)</f>
        <v>SCRAP COPPER OF T/F WINDING (Oil impregnated paper insulated T/F winding)</v>
      </c>
      <c r="V4">
        <f>IF(U4="","",COUNTIFS(U$4:U$40,"&lt;"&amp;U4,U$4:U$40,"&lt;&gt;"&amp;"")+COUNTIF(U$4:U4,U4))</f>
        <v>4</v>
      </c>
      <c r="W4" t="str">
        <f>IF(ROW()-3&gt;COUNTIF(U$4:U$40,"&lt;&gt;"&amp;""),"",INDEX(U$4:U$40,MATCH(ROW()-3,V$4:V$40,0)))</f>
        <v>Mix Scrap (Tower angles &amp; 0.2 ACSR Condutor pieces)</v>
      </c>
      <c r="X4">
        <f>IF(AND(W4&lt;&gt;"",COUNTIF(W$4:W4,W4)=1),1,0)</f>
        <v>1</v>
      </c>
      <c r="Y4" t="str">
        <f>IF(ROW()-3&gt;MAX(X$4:X$40),"",INDEX(W$4:W$40,MATCH(ROW()-3,X$4:X$40,0)))</f>
        <v>Mix Scrap (Tower angles &amp; 0.2 ACSR Condutor pieces)</v>
      </c>
      <c r="Z4">
        <f>IF('Final Calculation Sheet'!$D$4="","",'Final Calculation Sheet'!$D$4)</f>
        <v>21980</v>
      </c>
      <c r="AA4">
        <f>IF(Z4="","",COUNTIFS(Z$4:Z$40,"&lt;"&amp;Z4,Z$4:Z$40,"&lt;&gt;"&amp;"")+COUNTIF(Z$4:Z4,Z4))</f>
        <v>30</v>
      </c>
      <c r="AB4">
        <f>IF(ROW()-3&gt;COUNTIF(Z$4:Z$40,"&lt;&gt;"&amp;""),"",INDEX(Z$4:Z$40,MATCH(ROW()-3,AA$4:AA$40,0)))</f>
        <v>21977</v>
      </c>
      <c r="AC4">
        <f>IF(AND(AB4&lt;&gt;"",COUNTIF(AB$4:AB4,AB4)=1),1,0)</f>
        <v>1</v>
      </c>
      <c r="AD4">
        <f>IF(ROW()-3&gt;MAX(AC$4:AC$40),"",INDEX(AB$4:AB$40,MATCH(ROW()-3,AC$4:AC$40,0)))</f>
        <v>21977</v>
      </c>
      <c r="AE4">
        <f>IF('Final Calculation Sheet'!$A$4="","",'Final Calculation Sheet'!$A$4)</f>
        <v>669</v>
      </c>
      <c r="AF4">
        <f>IF(AE4="","",COUNTIFS(AE$4:AE$40,"&lt;"&amp;AE4,AE$4:AE$40,"&lt;&gt;"&amp;"")+COUNTIF(AE$4:AE4,AE4))</f>
        <v>32</v>
      </c>
      <c r="AG4">
        <f>IF(ROW()-3&gt;COUNTIF(AE$4:AE$40,"&lt;&gt;"&amp;""),"",INDEX(AE$4:AE$40,MATCH(ROW()-3,AF$4:AF$40,0)))</f>
        <v>1</v>
      </c>
      <c r="AH4">
        <f>IF(AND(AG4&lt;&gt;"",COUNTIF(AG$4:AG4,AG4)=1),1,0)</f>
        <v>1</v>
      </c>
      <c r="AI4">
        <f>IF(ROW()-3&gt;MAX(AH$4:AH$40),"",INDEX(AG$4:AG$40,MATCH(ROW()-3,AH$4:AH$40,0)))</f>
        <v>1</v>
      </c>
      <c r="AJ4" t="str">
        <f>IF('Final Calculation Sheet'!$E$4="","",'Final Calculation Sheet'!$E$4)</f>
        <v>KG</v>
      </c>
      <c r="AK4">
        <f>IF(AJ4="","",COUNTIFS(AJ$4:AJ$40,"&lt;"&amp;AJ4,AJ$4:AJ$40,"&lt;&gt;"&amp;"")+COUNTIF(AJ$4:AJ4,AJ4))</f>
        <v>1</v>
      </c>
      <c r="AL4" t="str">
        <f>IF(ROW()-3&gt;COUNTIF(AJ$4:AJ$40,"&lt;&gt;"&amp;""),"",INDEX(AJ$4:AJ$40,MATCH(ROW()-3,AK$4:AK$40,0)))</f>
        <v>KG</v>
      </c>
      <c r="AM4">
        <f>IF(AND(AL4&lt;&gt;"",COUNTIF(AL$4:AL4,AL4)=1),1,0)</f>
        <v>1</v>
      </c>
      <c r="AN4" t="str">
        <f>IF(ROW()-3&gt;MAX(AM$4:AM$40),"",INDEX(AL$4:AL$40,MATCH(ROW()-3,AM$4:AM$40,0)))</f>
        <v>KG</v>
      </c>
      <c r="AO4" s="55">
        <f>IF('Final Calculation Sheet'!$C$4="","",'Final Calculation Sheet'!$C$4)</f>
        <v>1181</v>
      </c>
      <c r="AP4">
        <f>IF(AO4="","",COUNTIFS(AO$4:AO$40,"&lt;"&amp;AO4,AO$4:AO$40,"&lt;&gt;"&amp;"")+COUNTIF(AO$4:AO4,AO4))</f>
        <v>15</v>
      </c>
      <c r="AQ4" s="55">
        <f>IF(ROW()-3&gt;COUNTIF(AO$4:AO$40,"&lt;&gt;"&amp;""),"",INDEX(AO$4:AO$40,MATCH(ROW()-3,AP$4:AP$40,0)))</f>
        <v>66</v>
      </c>
      <c r="AR4">
        <f>IF(AND(AQ4&lt;&gt;"",COUNTIF(AQ$4:AQ4,AQ4)=1),1,0)</f>
        <v>1</v>
      </c>
      <c r="AS4" s="55">
        <f>IF(ROW()-3&gt;MAX(AR$4:AR$40),"",INDEX(AQ$4:AQ$40,MATCH(ROW()-3,AR$4:AR$40,0)))</f>
        <v>66</v>
      </c>
      <c r="AT4" s="55">
        <f>IF('Final Calculation Sheet'!$H$4="","",'Final Calculation Sheet'!$H$4)</f>
        <v>790089</v>
      </c>
      <c r="AU4">
        <f>IF(AT4="","",COUNTIFS(AT$4:AT$40,"&lt;"&amp;AT4,AT$4:AT$40,"&lt;&gt;"&amp;"")+COUNTIF(AT$4:AT4,AT4))</f>
        <v>33</v>
      </c>
      <c r="AV4" s="55">
        <f>IF(ROW()-3&gt;COUNTIF(AT$4:AT$40,"&lt;&gt;"&amp;""),"",INDEX(AT$4:AT$40,MATCH(ROW()-3,AU$4:AU$40,0)))</f>
        <v>15400</v>
      </c>
      <c r="AW4">
        <f>IF(AND(AV4&lt;&gt;"",COUNTIF(AV$4:AV4,AV4)=1),1,0)</f>
        <v>1</v>
      </c>
      <c r="AX4" s="55">
        <f>IF(ROW()-3&gt;MAX(AW$4:AW$40),"",INDEX(AV$4:AV$40,MATCH(ROW()-3,AW$4:AW$40,0)))</f>
        <v>15400</v>
      </c>
      <c r="AY4" s="55">
        <f>IF('Final Calculation Sheet'!$I$4="","",'Final Calculation Sheet'!$I$4)</f>
        <v>142216</v>
      </c>
      <c r="AZ4">
        <f>IF(AY4="","",COUNTIFS(AY$4:AY$40,"&lt;"&amp;AY4,AY$4:AY$40,"&lt;&gt;"&amp;"")+COUNTIF(AY$4:AY4,AY4))</f>
        <v>33</v>
      </c>
      <c r="BA4" s="55">
        <f>IF(ROW()-3&gt;COUNTIF(AY$4:AY$40,"&lt;&gt;"&amp;""),"",INDEX(AY$4:AY$40,MATCH(ROW()-3,AZ$4:AZ$40,0)))</f>
        <v>2772</v>
      </c>
      <c r="BB4">
        <f>IF(AND(BA4&lt;&gt;"",COUNTIF(BA$4:BA4,BA4)=1),1,0)</f>
        <v>1</v>
      </c>
      <c r="BC4" s="55">
        <f>IF(ROW()-3&gt;MAX(BB$4:BB$40),"",INDEX(BA$4:BA$40,MATCH(ROW()-3,BB$4:BB$40,0)))</f>
        <v>2772</v>
      </c>
      <c r="BD4" s="55">
        <f>IF('Final Calculation Sheet'!$J$4="","",'Final Calculation Sheet'!$J$4)</f>
        <v>932305</v>
      </c>
      <c r="BE4">
        <f>IF(BD4="","",COUNTIFS(BD$4:BD$40,"&lt;"&amp;BD4,BD$4:BD$40,"&lt;&gt;"&amp;"")+COUNTIF(BD$4:BD4,BD4))</f>
        <v>33</v>
      </c>
      <c r="BF4" s="55">
        <f>IF(ROW()-3&gt;COUNTIF(BD$4:BD$40,"&lt;&gt;"&amp;""),"",INDEX(BD$4:BD$40,MATCH(ROW()-3,BE$4:BE$40,0)))</f>
        <v>18172</v>
      </c>
      <c r="BG4">
        <f>IF(AND(BF4&lt;&gt;"",COUNTIF(BF$4:BF4,BF4)=1),1,0)</f>
        <v>1</v>
      </c>
      <c r="BH4" s="55">
        <f>IF(ROW()-3&gt;MAX(BG$4:BG$40),"",INDEX(BF$4:BF$40,MATCH(ROW()-3,BG$4:BG$40,0)))</f>
        <v>18172</v>
      </c>
      <c r="BI4" s="55">
        <f>IF('Final Calculation Sheet'!$K$4="","",'Final Calculation Sheet'!$K$4)</f>
        <v>18646</v>
      </c>
      <c r="BJ4">
        <f>IF(BI4="","",COUNTIFS(BI$4:BI$40,"&lt;"&amp;BI4,BI$4:BI$40,"&lt;&gt;"&amp;"")+COUNTIF(BI$4:BI4,BI4))</f>
        <v>33</v>
      </c>
      <c r="BK4" s="55">
        <f>IF(ROW()-3&gt;COUNTIF(BI$4:BI$40,"&lt;&gt;"&amp;""),"",INDEX(BI$4:BI$40,MATCH(ROW()-3,BJ$4:BJ$40,0)))</f>
        <v>363</v>
      </c>
      <c r="BL4">
        <f>IF(AND(BK4&lt;&gt;"",COUNTIF(BK$4:BK4,BK4)=1),1,0)</f>
        <v>1</v>
      </c>
      <c r="BM4" s="55">
        <f>IF(ROW()-3&gt;MAX(BL$4:BL$40),"",INDEX(BK$4:BK$40,MATCH(ROW()-3,BL$4:BL$40,0)))</f>
        <v>363</v>
      </c>
      <c r="BN4" s="55">
        <f>IF('Final Calculation Sheet'!$L$4="","",'Final Calculation Sheet'!$L$4)</f>
        <v>790.08900000000006</v>
      </c>
      <c r="BO4">
        <f>IF(BN4="","",COUNTIFS(BN$4:BN$40,"&lt;"&amp;BN4,BN$4:BN$40,"&lt;&gt;"&amp;"")+COUNTIF(BN$4:BN4,BN4))</f>
        <v>33</v>
      </c>
      <c r="BP4" s="55">
        <f>IF(ROW()-3&gt;COUNTIF(BN$4:BN$40,"&lt;&gt;"&amp;""),"",INDEX(BN$4:BN$40,MATCH(ROW()-3,BO$4:BO$40,0)))</f>
        <v>15.4</v>
      </c>
      <c r="BQ4">
        <f>IF(AND(BP4&lt;&gt;"",COUNTIF(BP$4:BP4,BP4)=1),1,0)</f>
        <v>1</v>
      </c>
      <c r="BR4" s="55">
        <f>IF(ROW()-3&gt;MAX(BQ$4:BQ$40),"",INDEX(BP$4:BP$40,MATCH(ROW()-3,BQ$4:BQ$40,0)))</f>
        <v>15.4</v>
      </c>
      <c r="BS4" s="55">
        <f>IF('Final Calculation Sheet'!$M$4="","",'Final Calculation Sheet'!$M$4)</f>
        <v>20976.862949999999</v>
      </c>
      <c r="BT4">
        <f>IF(BS4="","",COUNTIFS(BS$4:BS$40,"&lt;"&amp;BS4,BS$4:BS$40,"&lt;&gt;"&amp;"")+COUNTIF(BS$4:BS4,BS4))</f>
        <v>33</v>
      </c>
      <c r="BU4" s="55">
        <f>IF(ROW()-3&gt;COUNTIF(BS$4:BS$40,"&lt;&gt;"&amp;""),"",INDEX(BS$4:BS$40,MATCH(ROW()-3,BT$4:BT$40,0)))</f>
        <v>408.87</v>
      </c>
      <c r="BV4">
        <f>IF(AND(BU4&lt;&gt;"",COUNTIF(BU$4:BU4,BU4)=1),1,0)</f>
        <v>1</v>
      </c>
      <c r="BW4" s="55">
        <f>IF(ROW()-3&gt;MAX(BV$4:BV$40),"",INDEX(BU$4:BU$40,MATCH(ROW()-3,BV$4:BV$40,0)))</f>
        <v>408.87</v>
      </c>
      <c r="BX4" s="138">
        <f>IF('Final Calculation Sheet'!$N$4="","",'Final Calculation Sheet'!$N$4)</f>
        <v>355.54005000000001</v>
      </c>
      <c r="BY4">
        <f>IF(BX4="","",COUNTIFS(BX$4:BX$40,"&lt;"&amp;BX4,BX$4:BX$40,"&lt;&gt;"&amp;"")+COUNTIF(BX$4:BX4,BX4))</f>
        <v>33</v>
      </c>
      <c r="BZ4" s="138">
        <f>IF(ROW()-3&gt;COUNTIF(BX$4:BX$40,"&lt;&gt;"&amp;""),"",INDEX(BX$4:BX$40,MATCH(ROW()-3,BY$4:BY$40,0)))</f>
        <v>6.93</v>
      </c>
      <c r="CA4">
        <f>IF(AND(BZ4&lt;&gt;"",COUNTIF(BZ$4:BZ4,BZ4)=1),1,0)</f>
        <v>1</v>
      </c>
      <c r="CB4" s="138">
        <f>IF(ROW()-3&gt;MAX(CA$4:CA$40),"",INDEX(BZ$4:BZ$40,MATCH(ROW()-3,CA$4:CA$40,0)))</f>
        <v>6.93</v>
      </c>
      <c r="CC4" s="55">
        <f>IF('Final Calculation Sheet'!$O$4="","",'Final Calculation Sheet'!$O$4)</f>
        <v>20621.322899999999</v>
      </c>
      <c r="CD4">
        <f>IF(CC4="","",COUNTIFS(CC$4:CC$40,"&lt;"&amp;CC4,CC$4:CC$40,"&lt;&gt;"&amp;"")+COUNTIF(CC$4:CC4,CC4))</f>
        <v>33</v>
      </c>
      <c r="CE4" s="55">
        <f>IF(ROW()-3&gt;COUNTIF(CC$4:CC$40,"&lt;&gt;"&amp;""),"",INDEX(CC$4:CC$40,MATCH(ROW()-3,CD$4:CD$40,0)))</f>
        <v>401.94</v>
      </c>
      <c r="CF4">
        <f>IF(AND(CE4&lt;&gt;"",COUNTIF(CE$4:CE4,CE4)=1),1,0)</f>
        <v>1</v>
      </c>
      <c r="CG4" s="55">
        <f>IF(ROW()-3&gt;MAX(CF$4:CF$40),"",INDEX(CE$4:CE$40,MATCH(ROW()-3,CF$4:CF$40,0)))</f>
        <v>401.94</v>
      </c>
      <c r="CH4" s="55">
        <f>IF('Final Calculation Sheet'!$P$4="","",'Final Calculation Sheet'!$P$4)</f>
        <v>21411</v>
      </c>
      <c r="CI4">
        <f>IF(CH4="","",COUNTIFS(CH$4:CH$40,"&lt;"&amp;CH4,CH$4:CH$40,"&lt;&gt;"&amp;"")+COUNTIF(CH$4:CH4,CH4))</f>
        <v>33</v>
      </c>
      <c r="CJ4" s="55">
        <f>IF(ROW()-3&gt;COUNTIF(CH$4:CH$40,"&lt;&gt;"&amp;""),"",INDEX(CH$4:CH$40,MATCH(ROW()-3,CI$4:CI$40,0)))</f>
        <v>417</v>
      </c>
      <c r="CK4">
        <f>IF(AND(CJ4&lt;&gt;"",COUNTIF(CJ$4:CJ4,CJ4)=1),1,0)</f>
        <v>1</v>
      </c>
      <c r="CL4" s="55">
        <f>IF(ROW()-3&gt;MAX(CK$4:CK$40),"",INDEX(CJ$4:CJ$40,MATCH(ROW()-3,CK$4:CK$40,0)))</f>
        <v>417</v>
      </c>
      <c r="CM4" s="139">
        <f>IF('Final Calculation Sheet'!$Q$4="","",'Final Calculation Sheet'!$Q$4)</f>
        <v>0.02</v>
      </c>
      <c r="CN4">
        <f>IF(CM4="","",COUNTIFS(CM$4:CM$40,"&lt;"&amp;CM4,CM$4:CM$40,"&lt;&gt;"&amp;"")+COUNTIF(CM$4:CM4,CM4))</f>
        <v>34</v>
      </c>
      <c r="CO4" s="139">
        <f>IF(ROW()-3&gt;COUNTIF(CM$4:CM$40,"&lt;&gt;"&amp;""),"",INDEX(CM$4:CM$40,MATCH(ROW()-3,CN$4:CN$40,0)))</f>
        <v>0</v>
      </c>
      <c r="CP4">
        <f>IF(AND(CO4&lt;&gt;"",COUNTIF(CO$4:CO4,CO4)=1),1,0)</f>
        <v>1</v>
      </c>
      <c r="CQ4" s="139">
        <f>IF(ROW()-3&gt;MAX(CP$4:CP$40),"",INDEX(CO$4:CO$40,MATCH(ROW()-3,CP$4:CP$40,0)))</f>
        <v>0</v>
      </c>
      <c r="CR4" s="55">
        <f>IF('Final Calculation Sheet'!$R$4="","",'Final Calculation Sheet'!$R$4)</f>
        <v>15802</v>
      </c>
      <c r="CS4">
        <f>IF(CR4="","",COUNTIFS(CR$4:CR$40,"&lt;"&amp;CR4,CR$4:CR$40,"&lt;&gt;"&amp;"")+COUNTIF(CR$4:CR4,CR4))</f>
        <v>35</v>
      </c>
      <c r="CT4" s="55">
        <f>IF(ROW()-3&gt;COUNTIF(CR$4:CR$40,"&lt;&gt;"&amp;""),"",INDEX(CR$4:CR$40,MATCH(ROW()-3,CS$4:CS$40,0)))</f>
        <v>0</v>
      </c>
      <c r="CU4">
        <f>IF(AND(CT4&lt;&gt;"",COUNTIF(CT$4:CT4,CT4)=1),1,0)</f>
        <v>1</v>
      </c>
      <c r="CV4" s="55">
        <f>IF(ROW()-3&gt;MAX(CU$4:CU$40),"",INDEX(CT$4:CT$40,MATCH(ROW()-3,CU$4:CU$40,0)))</f>
        <v>0</v>
      </c>
      <c r="CW4" s="55">
        <f>IF('Final Calculation Sheet'!$S$4="","",'Final Calculation Sheet'!$S$4)</f>
        <v>913738</v>
      </c>
      <c r="CX4">
        <f>IF(CW4="","",COUNTIFS(CW$4:CW$40,"&lt;"&amp;CW4,CW$4:CW$40,"&lt;&gt;"&amp;"")+COUNTIF(CW$4:CW4,CW4))</f>
        <v>33</v>
      </c>
      <c r="CY4" s="55">
        <f>IF(ROW()-3&gt;COUNTIF(CW$4:CW$40,"&lt;&gt;"&amp;""),"",INDEX(CW$4:CW$40,MATCH(ROW()-3,CX$4:CX$40,0)))</f>
        <v>18118</v>
      </c>
      <c r="CZ4">
        <f>IF(AND(CY4&lt;&gt;"",COUNTIF(CY$4:CY4,CY4)=1),1,0)</f>
        <v>1</v>
      </c>
      <c r="DA4" s="55">
        <f>IF(ROW()-3&gt;MAX(CZ$4:CZ$40),"",INDEX(CY$4:CY$40,MATCH(ROW()-3,CZ$4:CZ$40,0)))</f>
        <v>18118</v>
      </c>
      <c r="DB4" s="55">
        <f>IF('Final Calculation Sheet'!$T$4="","",'Final Calculation Sheet'!$T$4)</f>
        <v>197522</v>
      </c>
      <c r="DC4">
        <f>IF(DB4="","",COUNTIFS(DB$4:DB$40,"&lt;"&amp;DB4,DB$4:DB$40,"&lt;&gt;"&amp;"")+COUNTIF(DB$4:DB4,DB4))</f>
        <v>33</v>
      </c>
      <c r="DD4" s="55">
        <f>IF(ROW()-3&gt;COUNTIF(DB$4:DB$40,"&lt;&gt;"&amp;""),"",INDEX(DB$4:DB$40,MATCH(ROW()-3,DC$4:DC$40,0)))</f>
        <v>3850</v>
      </c>
      <c r="DE4">
        <f>IF(AND(DD4&lt;&gt;"",COUNTIF(DD$4:DD4,DD4)=1),1,0)</f>
        <v>1</v>
      </c>
      <c r="DF4" s="55">
        <f>IF(ROW()-3&gt;MAX(DE$4:DE$40),"",INDEX(DD$4:DD$40,MATCH(ROW()-3,DE$4:DE$40,0)))</f>
        <v>3850</v>
      </c>
      <c r="DG4" s="140">
        <f>IF('Final Calculation Sheet'!$U$4="","",'Final Calculation Sheet'!$U$4)</f>
        <v>197522</v>
      </c>
      <c r="DH4">
        <f>IF(DG4="","",COUNTIFS(DG$4:DG$40,"&lt;"&amp;DG4,DG$4:DG$40,"&lt;&gt;"&amp;"")+COUNTIF(DG$4:DG4,DG4))</f>
        <v>33</v>
      </c>
      <c r="DI4" s="140">
        <f>IF(ROW()-3&gt;COUNTIF(DG$4:DG$40,"&lt;&gt;"&amp;""),"",INDEX(DG$4:DG$40,MATCH(ROW()-3,DH$4:DH$40,0)))</f>
        <v>3850</v>
      </c>
      <c r="DJ4">
        <f>IF(AND(DI4&lt;&gt;"",COUNTIF(DI$4:DI4,DI4)=1),1,0)</f>
        <v>1</v>
      </c>
      <c r="DK4" s="140">
        <f>IF(ROW()-3&gt;MAX(DJ$4:DJ$40),"",INDEX(DI$4:DI$40,MATCH(ROW()-3,DJ$4:DJ$40,0)))</f>
        <v>3850</v>
      </c>
      <c r="DL4" t="str">
        <f>IF('Final Calculation Sheet'!$V$4="","",'Final Calculation Sheet'!$V$4)</f>
        <v>24.08.2026</v>
      </c>
      <c r="DM4">
        <f>IF(DL4="","",COUNTIFS(DL$4:DL$40,"&lt;"&amp;DL4,DL$4:DL$40,"&lt;&gt;"&amp;"")+COUNTIF(DL$4:DL4,DL4))</f>
        <v>37</v>
      </c>
      <c r="DN4" t="str">
        <f>IF(ROW()-3&gt;COUNTIF(DL$4:DL$40,"&lt;&gt;"&amp;""),"",INDEX(DL$4:DL$40,MATCH(ROW()-3,DM$4:DM$40,0)))</f>
        <v>10.08.2026</v>
      </c>
      <c r="DO4">
        <f>IF(AND(DN4&lt;&gt;"",COUNTIF(DN$4:DN4,DN4)=1),1,0)</f>
        <v>1</v>
      </c>
      <c r="DP4" t="str">
        <f>IF(ROW()-3&gt;MAX(DO$4:DO$40),"",INDEX(DN$4:DN$40,MATCH(ROW()-3,DO$4:DO$40,0)))</f>
        <v>10.08.2026</v>
      </c>
      <c r="DQ4" s="55">
        <f>IF('Final Calculation Sheet'!$W$4="","",'Final Calculation Sheet'!$W$4)</f>
        <v>716215</v>
      </c>
      <c r="DR4">
        <f>IF(DQ4="","",COUNTIFS(DQ$4:DQ$40,"&lt;"&amp;DQ4,DQ$4:DQ$40,"&lt;&gt;"&amp;"")+COUNTIF(DQ$4:DQ4,DQ4))</f>
        <v>33</v>
      </c>
      <c r="DS4" s="55">
        <f>IF(ROW()-3&gt;COUNTIF(DQ$4:DQ$40,"&lt;&gt;"&amp;""),"",INDEX(DQ$4:DQ$40,MATCH(ROW()-3,DR$4:DR$40,0)))</f>
        <v>14268</v>
      </c>
      <c r="DT4">
        <f>IF(AND(DS4&lt;&gt;"",COUNTIF(DS$4:DS4,DS4)=1),1,0)</f>
        <v>1</v>
      </c>
      <c r="DU4" s="55">
        <f>IF(ROW()-3&gt;MAX(DT$4:DT$40),"",INDEX(DS$4:DS$40,MATCH(ROW()-3,DT$4:DT$40,0)))</f>
        <v>14268</v>
      </c>
      <c r="DV4" s="55">
        <f>IF('Final Calculation Sheet'!$X$4="","",'Final Calculation Sheet'!$X$4)</f>
        <v>716216</v>
      </c>
      <c r="DW4">
        <f>IF(DV4="","",COUNTIFS(DV$4:DV$40,"&lt;"&amp;DV4,DV$4:DV$40,"&lt;&gt;"&amp;"")+COUNTIF(DV$4:DV4,DV4))</f>
        <v>30</v>
      </c>
      <c r="DX4" s="55">
        <f>IF(ROW()-3&gt;COUNTIF(DV$4:DV$40,"&lt;&gt;"&amp;""),"",INDEX(DV$4:DV$40,MATCH(ROW()-3,DW$4:DW$40,0)))</f>
        <v>14267</v>
      </c>
      <c r="DY4">
        <f>IF(AND(DX4&lt;&gt;"",COUNTIF(DX$4:DX4,DX4)=1),1,0)</f>
        <v>1</v>
      </c>
      <c r="DZ4" t="e">
        <f>IF(ROW()-3&gt;MAX(DY$4:DY$40),"",INDEX(DX$4:DX$40,MATCH(ROW()-3,DY$4:DY$40,0)))</f>
        <v>#N/A</v>
      </c>
      <c r="EA4" t="str">
        <f>IF('Final Calculation Sheet'!$Y$4="","",'Final Calculation Sheet'!$Y$4)</f>
        <v>18.08.2026</v>
      </c>
      <c r="EB4">
        <f>IF(EA4="","",COUNTIFS(EA$4:EA$40,"&lt;"&amp;EA4,EA$4:EA$40,"&lt;&gt;"&amp;"")+COUNTIF(EA$4:EA4,EA4))</f>
        <v>12</v>
      </c>
      <c r="EC4" s="55">
        <f>IF(ROW()-3&gt;COUNTIF(EA$4:EA$40,"&lt;&gt;"&amp;""),"",INDEX(EA$4:EA$40,MATCH(ROW()-3,EB$4:EB$40,0)))</f>
        <v>0</v>
      </c>
      <c r="ED4">
        <f>IF(AND(EC4&lt;&gt;"",COUNTIF(EC$4:EC4,EC4)=1),1,0)</f>
        <v>1</v>
      </c>
      <c r="EE4" t="e">
        <f>IF(ROW()-3&gt;MAX(ED$4:ED$40),"",INDEX(EC$4:EC$40,MATCH(ROW()-3,ED$4:ED$40,0)))</f>
        <v>#N/A</v>
      </c>
      <c r="EF4" s="55">
        <f>IF('Final Calculation Sheet'!$Z$4="","",'Final Calculation Sheet'!$Z$4)</f>
        <v>0</v>
      </c>
      <c r="EG4">
        <f>IF(EF4="","",COUNTIFS(EF$4:EF$40,"&lt;"&amp;EF4,EF$4:EF$40,"&lt;&gt;"&amp;"")+COUNTIF(EF$4:EF4,EF4))</f>
        <v>1</v>
      </c>
      <c r="EH4" s="55">
        <f>IF(ROW()-3&gt;COUNTIF(EF$4:EF$40,"&lt;&gt;"&amp;""),"",INDEX(EF$4:EF$40,MATCH(ROW()-3,EG$4:EG$40,0)))</f>
        <v>0</v>
      </c>
      <c r="EI4">
        <f>IF(AND(EH4&lt;&gt;"",COUNTIF(EH$4:EH4,EH4)=1),1,0)</f>
        <v>1</v>
      </c>
      <c r="EJ4" s="55">
        <f>IF(ROW()-3&gt;MAX(EI$4:EI$40),"",INDEX(EH$4:EH$40,MATCH(ROW()-3,EI$4:EI$40,0)))</f>
        <v>0</v>
      </c>
      <c r="EK4" t="str">
        <f>IF('Final Calculation Sheet'!$AA$4="","",'Final Calculation Sheet'!$AA$4)</f>
        <v/>
      </c>
      <c r="EL4" t="str">
        <f>IF(EK4="","",COUNTIFS(EK$4:EK$40,"&lt;"&amp;EK4,EK$4:EK$40,"&lt;&gt;"&amp;"")+COUNTIF(EK$4:EK4,EK4))</f>
        <v/>
      </c>
      <c r="EM4" s="55">
        <f>IF(ROW()-3&gt;COUNTIF(EK$4:EK$40,"&lt;&gt;"&amp;""),"",INDEX(EK$4:EK$40,MATCH(ROW()-3,EL$4:EL$40,0)))</f>
        <v>708</v>
      </c>
      <c r="EN4">
        <f>IF(AND(EM4&lt;&gt;"",COUNTIF(EM$4:EM4,EM4)=1),1,0)</f>
        <v>1</v>
      </c>
      <c r="EO4" t="e">
        <f>IF(ROW()-3&gt;MAX(EN$4:EN$40),"",INDEX(EM$4:EM$40,MATCH(ROW()-3,EN$4:EN$40,0)))</f>
        <v>#N/A</v>
      </c>
      <c r="EP4" t="str">
        <f>IF('Final Calculation Sheet'!$AB$4="","",'Final Calculation Sheet'!$AB$4)</f>
        <v/>
      </c>
      <c r="EQ4" t="str">
        <f>IF(EP4="","",COUNTIFS(EP$4:EP$40,"&lt;"&amp;EP4,EP$4:EP$40,"&lt;&gt;"&amp;"")+COUNTIF(EP$4:EP4,EP4))</f>
        <v/>
      </c>
      <c r="ER4" t="e">
        <f>IF(ROW()-3&gt;COUNTIF(EP$4:EP$40,"&lt;&gt;"&amp;""),"",INDEX(EP$4:EP$40,MATCH(ROW()-3,EQ$4:EQ$40,0)))</f>
        <v>#N/A</v>
      </c>
      <c r="ES4" t="e">
        <f>IF(AND(ER4&lt;&gt;"",COUNTIF(ER$4:ER4,ER4)=1),1,0)</f>
        <v>#N/A</v>
      </c>
      <c r="ET4" t="e">
        <f>IF(ROW()-3&gt;MAX(ES$4:ES$40),"",INDEX(ER$4:ER$40,MATCH(ROW()-3,ES$4:ES$40,0)))</f>
        <v>#N/A</v>
      </c>
      <c r="EU4" s="55">
        <f>IF('Final Calculation Sheet'!$AC$4="","",'Final Calculation Sheet'!$AC$4)</f>
        <v>913738</v>
      </c>
      <c r="EV4">
        <f>IF(EU4="","",COUNTIFS(EU$4:EU$40,"&lt;"&amp;EU4,EU$4:EU$40,"&lt;&gt;"&amp;"")+COUNTIF(EU$4:EU4,EU4))</f>
        <v>33</v>
      </c>
      <c r="EW4" s="55">
        <f>IF(ROW()-3&gt;COUNTIF(EU$4:EU$40,"&lt;&gt;"&amp;""),"",INDEX(EU$4:EU$40,MATCH(ROW()-3,EV$4:EV$40,0)))</f>
        <v>13500</v>
      </c>
      <c r="EX4">
        <f>IF(AND(EW4&lt;&gt;"",COUNTIF(EW$4:EW4,EW4)=1),1,0)</f>
        <v>1</v>
      </c>
      <c r="EY4" s="55">
        <f>IF(ROW()-3&gt;MAX(EX$4:EX$40),"",INDEX(EW$4:EW$40,MATCH(ROW()-3,EX$4:EX$40,0)))</f>
        <v>13500</v>
      </c>
      <c r="EZ4" s="55">
        <f>IF('Final Calculation Sheet'!$AD$4="","",'Final Calculation Sheet'!$AD$4)</f>
        <v>0</v>
      </c>
      <c r="FA4">
        <f>IF(EZ4="","",COUNTIFS(EZ$4:EZ$40,"&lt;"&amp;EZ4,EZ$4:EZ$40,"&lt;&gt;"&amp;"")+COUNTIF(EZ$4:EZ4,EZ4))</f>
        <v>8</v>
      </c>
      <c r="FB4" s="55">
        <f>IF(ROW()-3&gt;COUNTIF(EZ$4:EZ$40,"&lt;&gt;"&amp;""),"",INDEX(EZ$4:EZ$40,MATCH(ROW()-3,FA$4:FA$40,0)))</f>
        <v>-2832</v>
      </c>
      <c r="FC4">
        <f>IF(AND(FB4&lt;&gt;"",COUNTIF(FB$4:FB4,FB4)=1),1,0)</f>
        <v>1</v>
      </c>
      <c r="FD4" s="55" t="e">
        <f>IF(ROW()-3&gt;MAX(FC$4:FC$40),"",INDEX(FB$4:FB$40,MATCH(ROW()-3,FC$4:FC$40,0)))</f>
        <v>#N/A</v>
      </c>
      <c r="FE4" t="str">
        <f>IF('Final Calculation Sheet'!$AE$4="","",'Final Calculation Sheet'!$AE$4)</f>
        <v>DR2640100029</v>
      </c>
      <c r="FF4">
        <f>IF(FE4="","",COUNTIFS(FE$4:FE$40,"&lt;"&amp;FE4,FE$4:FE$40,"&lt;&gt;"&amp;"")+COUNTIF(FE$4:FE4,FE4))</f>
        <v>18</v>
      </c>
      <c r="FG4" t="e">
        <f>IF(ROW()-3&gt;COUNTIF(FE$4:FE$40,"&lt;&gt;"&amp;""),"",INDEX(FE$4:FE$40,MATCH(ROW()-3,FF$4:FF$40,0)))</f>
        <v>#N/A</v>
      </c>
      <c r="FH4" t="e">
        <f>IF(AND(FG4&lt;&gt;"",COUNTIF(FG$4:FG4,FG4)=1),1,0)</f>
        <v>#N/A</v>
      </c>
      <c r="FI4" t="e">
        <f>IF(ROW()-3&gt;MAX(FH$4:FH$40),"",INDEX(FG$4:FG$40,MATCH(ROW()-3,FH$4:FH$40,0)))</f>
        <v>#N/A</v>
      </c>
      <c r="FJ4" s="141">
        <f>IF('Final Calculation Sheet'!$AF$4="","",'Final Calculation Sheet'!$AF$4)</f>
        <v>1800003271</v>
      </c>
      <c r="FK4">
        <f>IF(FJ4="","",COUNTIFS(FJ$4:FJ$40,"&lt;"&amp;FJ4,FJ$4:FJ$40,"&lt;&gt;"&amp;"")+COUNTIF(FJ$4:FJ4,FJ4))</f>
        <v>13</v>
      </c>
      <c r="FL4" s="141">
        <f>IF(ROW()-3&gt;COUNTIF(FJ$4:FJ$40,"&lt;&gt;"&amp;""),"",INDEX(FJ$4:FJ$40,MATCH(ROW()-3,FK$4:FK$40,0)))</f>
        <v>1800003065</v>
      </c>
      <c r="FM4">
        <f>IF(AND(FL4&lt;&gt;"",COUNTIF(FL$4:FL4,FL4)=1),1,0)</f>
        <v>1</v>
      </c>
      <c r="FN4" t="e">
        <f>IF(ROW()-3&gt;MAX(FM$4:FM$40),"",INDEX(FL$4:FL$40,MATCH(ROW()-3,FM$4:FM$40,0)))</f>
        <v>#N/A</v>
      </c>
      <c r="FO4" t="str">
        <f>IF('Final Calculation Sheet'!$AG$4="","",'Final Calculation Sheet'!$AG$4)</f>
        <v>24.08.2026</v>
      </c>
      <c r="FP4">
        <f>IF(FO4="","",COUNTIFS(FO$4:FO$40,"&lt;"&amp;FO4,FO$4:FO$40,"&lt;&gt;"&amp;"")+COUNTIF(FO$4:FO4,FO4))</f>
        <v>17</v>
      </c>
      <c r="FQ4" t="e">
        <f>IF(ROW()-3&gt;COUNTIF(FO$4:FO$40,"&lt;&gt;"&amp;""),"",INDEX(FO$4:FO$40,MATCH(ROW()-3,FP$4:FP$40,0)))</f>
        <v>#N/A</v>
      </c>
      <c r="FR4" t="e">
        <f>IF(AND(FQ4&lt;&gt;"",COUNTIF(FQ$4:FQ4,FQ4)=1),1,0)</f>
        <v>#N/A</v>
      </c>
      <c r="FS4" t="e">
        <f>IF(ROW()-3&gt;MAX(FR$4:FR$40),"",INDEX(FQ$4:FQ$40,MATCH(ROW()-3,FR$4:FR$40,0)))</f>
        <v>#N/A</v>
      </c>
      <c r="FT4" t="inlineStr">
        <is>
          <t>SETTLED</t>
        </is>
      </c>
      <c r="FU4">
        <f>IF(FT4="","",COUNTIFS(FT$4:FT$40,"&lt;"&amp;FT4,FT$4:FT$40,"&lt;&gt;"&amp;"")+COUNTIF(FT$4:FT4,FT4))</f>
        <v>2</v>
      </c>
      <c r="FV4" t="str">
        <f>IF(ROW()-3&gt;COUNTIF(FT$4:FT$40,"&lt;&gt;"&amp;""),"",INDEX(FT$4:FT$40,MATCH(ROW()-3,FU$4:FU$40,0)))</f>
        <v>OUTSTANDING</v>
      </c>
      <c r="FW4">
        <f>IF(AND(FV4&lt;&gt;"",COUNTIF(FV$4:FV4,FV4)=1),1,0)</f>
        <v>1</v>
      </c>
      <c r="FX4" t="str">
        <f>IF(ROW()-3&gt;MAX(FW$4:FW$40),"",INDEX(FV$4:FV$40,MATCH(ROW()-3,FW$4:FW$40,0)))</f>
        <v>OUTSTANDING</v>
      </c>
    </row>
    <row r="5">
      <c r="A5">
        <f>IF('Final Calculation Sheet'!$F$5="","",'Final Calculation Sheet'!$F$5)</f>
        <v>1874</v>
      </c>
      <c r="B5">
        <f>IF(A5="","",COUNTIFS(A$4:A$114,"&lt;"&amp;A5,A$4:A$114,"&lt;&gt;"&amp;"")+COUNTIF(A$4:A5,A5))</f>
        <v>2</v>
      </c>
      <c r="C5">
        <f>IF(ROW()-3&gt;COUNTIF(A$4:A$114,"&lt;&gt;"&amp;""),"",INDEX(A$4:A$114,MATCH(ROW()-3,B$4:B$114,0)))</f>
        <v>1874</v>
      </c>
      <c r="D5">
        <f>D4+IF(AND(C5&lt;&gt;"",COUNTIF(C$4:C5,C5)=1),1,0)</f>
        <v>2</v>
      </c>
      <c r="E5" t="e">
        <f>IF(ROW()-3&gt;MAX(D$4:D$114),"",INDEX(C$4:C$114,MATCH(ROW()-3,D$4:D$114,0)))</f>
        <v>#N/A</v>
      </c>
      <c r="F5">
        <f>ROW()-3</f>
        <v>2</v>
      </c>
      <c r="G5">
        <f>IF(F5="","",COUNTIFS(F$4:F$40,"&lt;"&amp;F5,F$4:F$40,"&lt;&gt;"&amp;"")+COUNTIF(F$4:F5,F5))</f>
        <v>2</v>
      </c>
      <c r="H5">
        <f>IF(ROW()-3&gt;COUNTIF(F$4:F$40,"&lt;&gt;"&amp;""),"",INDEX(F$4:F$40,MATCH(ROW()-3,G$4:G$40,0)))</f>
        <v>2</v>
      </c>
      <c r="I5">
        <f>I4+IF(AND(H5&lt;&gt;"",COUNTIF(H$4:H5,H5)=1),1,0)</f>
        <v>2</v>
      </c>
      <c r="J5">
        <f>IF(ROW()-3&gt;MAX(I$4:I$40),"",INDEX(H$4:H$40,MATCH(ROW()-3,I$4:I$40,0)))</f>
        <v>2</v>
      </c>
      <c r="K5">
        <f>IF('Final Calculation Sheet'!$F$5="","",'Final Calculation Sheet'!$F$5)</f>
        <v>1874</v>
      </c>
      <c r="L5">
        <f>IF(K5="","",COUNTIFS(K$4:K$40,"&lt;"&amp;K5,K$4:K$40,"&lt;&gt;"&amp;"")+COUNTIF(K$4:K5,K5))</f>
        <v>2</v>
      </c>
      <c r="M5">
        <f>IF(ROW()-3&gt;COUNTIF(K$4:K$40,"&lt;&gt;"&amp;""),"",INDEX(K$4:K$40,MATCH(ROW()-3,L$4:L$40,0)))</f>
        <v>1874</v>
      </c>
      <c r="N5">
        <f>N4+IF(AND(M5&lt;&gt;"",COUNTIF(M$4:M5,M5)=1),1,0)</f>
        <v>2</v>
      </c>
      <c r="O5">
        <f>IF(ROW()-3&gt;MAX(N$4:N$40),"",INDEX(M$4:M$40,MATCH(ROW()-3,N$4:N$40,0)))</f>
        <v>1874</v>
      </c>
      <c r="P5" t="str">
        <f>IF('Final Calculation Sheet'!$G$5="","",'Final Calculation Sheet'!$G$5)</f>
        <v>NATIONAL ENTERPRISES</v>
      </c>
      <c r="Q5">
        <f>IF(P5="","",COUNTIFS(P$4:P$40,"&lt;"&amp;P5,P$4:P$40,"&lt;&gt;"&amp;"")+COUNTIF(P$4:P5,P5))</f>
        <v>7</v>
      </c>
      <c r="R5" t="str">
        <f>IF(ROW()-3&gt;COUNTIF(P$4:P$40,"&lt;&gt;"&amp;""),"",INDEX(P$4:P$40,MATCH(ROW()-3,Q$4:Q$40,0)))</f>
        <v>F R KHANS ENTERPRISES</v>
      </c>
      <c r="S5">
        <f>S4+IF(AND(R5&lt;&gt;"",COUNTIF(R$4:R5,R5)=1),1,0)</f>
        <v>2</v>
      </c>
      <c r="T5" t="str">
        <f>IF(ROW()-3&gt;MAX(S$4:S$40),"",INDEX(R$4:R$40,MATCH(ROW()-3,S$4:S$40,0)))</f>
        <v>F R KHANS ENTERPRISES</v>
      </c>
      <c r="U5" t="str">
        <f>IF('Final Calculation Sheet'!$B$5="","",'Final Calculation Sheet'!$B$5)</f>
        <v>Scrap of Empty oil drum</v>
      </c>
      <c r="V5">
        <f>IF(U5="","",COUNTIFS(U$4:U$40,"&lt;"&amp;U5,U$4:U$40,"&lt;&gt;"&amp;"")+COUNTIF(U$4:U5,U5))</f>
        <v>32</v>
      </c>
      <c r="W5" t="str">
        <f>IF(ROW()-3&gt;COUNTIF(U$4:U$40,"&lt;&gt;"&amp;""),"",INDEX(U$4:U$40,MATCH(ROW()-3,V$4:V$40,0)))</f>
        <v>SCRAP 80MM² AAAC EARTHWIRE</v>
      </c>
      <c r="X5">
        <f>X4+IF(AND(W5&lt;&gt;"",COUNTIF(W$4:W5,W5)=1),1,0)</f>
        <v>2</v>
      </c>
      <c r="Y5" t="str">
        <f>IF(ROW()-3&gt;MAX(X$4:X$40),"",INDEX(W$4:W$40,MATCH(ROW()-3,X$4:X$40,0)))</f>
        <v>SCRAP 80MM² AAAC EARTHWIRE</v>
      </c>
      <c r="Z5">
        <f>IF('Final Calculation Sheet'!$D$5="","",'Final Calculation Sheet'!$D$5)</f>
        <v>21977</v>
      </c>
      <c r="AA5">
        <f>IF(Z5="","",COUNTIFS(Z$4:Z$40,"&lt;"&amp;Z5,Z$4:Z$40,"&lt;&gt;"&amp;"")+COUNTIF(Z$4:Z5,Z5))</f>
        <v>1</v>
      </c>
      <c r="AB5">
        <f>IF(ROW()-3&gt;COUNTIF(Z$4:Z$40,"&lt;&gt;"&amp;""),"",INDEX(Z$4:Z$40,MATCH(ROW()-3,AA$4:AA$40,0)))</f>
        <v>21977</v>
      </c>
      <c r="AC5">
        <f>AC4+IF(AND(AB5&lt;&gt;"",COUNTIF(AB$4:AB5,AB5)=1),1,0)</f>
        <v>1</v>
      </c>
      <c r="AD5">
        <f>IF(ROW()-3&gt;MAX(AC$4:AC$40),"",INDEX(AB$4:AB$40,MATCH(ROW()-3,AC$4:AC$40,0)))</f>
        <v>21978</v>
      </c>
      <c r="AE5">
        <f>IF('Final Calculation Sheet'!$A$5="","",'Final Calculation Sheet'!$A$5)</f>
        <v>270</v>
      </c>
      <c r="AF5">
        <f>IF(AE5="","",COUNTIFS(AE$4:AE$40,"&lt;"&amp;AE5,AE$4:AE$40,"&lt;&gt;"&amp;"")+COUNTIF(AE$4:AE5,AE5))</f>
        <v>31</v>
      </c>
      <c r="AG5">
        <f>IF(ROW()-3&gt;COUNTIF(AE$4:AE$40,"&lt;&gt;"&amp;""),"",INDEX(AE$4:AE$40,MATCH(ROW()-3,AF$4:AF$40,0)))</f>
        <v>1</v>
      </c>
      <c r="AH5">
        <f>AH4+IF(AND(AG5&lt;&gt;"",COUNTIF(AG$4:AG5,AG5)=1),1,0)</f>
        <v>1</v>
      </c>
      <c r="AI5">
        <f>IF(ROW()-3&gt;MAX(AH$4:AH$40),"",INDEX(AG$4:AG$40,MATCH(ROW()-3,AH$4:AH$40,0)))</f>
        <v>2</v>
      </c>
      <c r="AJ5" t="str">
        <f>IF('Final Calculation Sheet'!$E$5="","",'Final Calculation Sheet'!$E$5)</f>
        <v>NO</v>
      </c>
      <c r="AK5">
        <f>IF(AJ5="","",COUNTIFS(AJ$4:AJ$40,"&lt;"&amp;AJ5,AJ$4:AJ$40,"&lt;&gt;"&amp;"")+COUNTIF(AJ$4:AJ5,AJ5))</f>
        <v>8</v>
      </c>
      <c r="AL5" t="str">
        <f>IF(ROW()-3&gt;COUNTIF(AJ$4:AJ$40,"&lt;&gt;"&amp;""),"",INDEX(AJ$4:AJ$40,MATCH(ROW()-3,AK$4:AK$40,0)))</f>
        <v>KG</v>
      </c>
      <c r="AM5">
        <f>AM4+IF(AND(AL5&lt;&gt;"",COUNTIF(AL$4:AL5,AL5)=1),1,0)</f>
        <v>1</v>
      </c>
      <c r="AN5" t="str">
        <f>IF(ROW()-3&gt;MAX(AM$4:AM$40),"",INDEX(AL$4:AL$40,MATCH(ROW()-3,AM$4:AM$40,0)))</f>
        <v>MT</v>
      </c>
      <c r="AO5" s="55">
        <f>IF('Final Calculation Sheet'!$C$5="","",'Final Calculation Sheet'!$C$5)</f>
        <v>580</v>
      </c>
      <c r="AP5">
        <f>IF(AO5="","",COUNTIFS(AO$4:AO$40,"&lt;"&amp;AO5,AO$4:AO$40,"&lt;&gt;"&amp;"")+COUNTIF(AO$4:AO5,AO5))</f>
        <v>9</v>
      </c>
      <c r="AQ5" s="55">
        <f>IF(ROW()-3&gt;COUNTIF(AO$4:AO$40,"&lt;&gt;"&amp;""),"",INDEX(AO$4:AO$40,MATCH(ROW()-3,AP$4:AP$40,0)))</f>
        <v>227</v>
      </c>
      <c r="AR5">
        <f>AR4+IF(AND(AQ5&lt;&gt;"",COUNTIF(AQ$4:AQ5,AQ5)=1),1,0)</f>
        <v>2</v>
      </c>
      <c r="AS5" s="55">
        <f>IF(ROW()-3&gt;MAX(AR$4:AR$40),"",INDEX(AQ$4:AQ$40,MATCH(ROW()-3,AR$4:AR$40,0)))</f>
        <v>227</v>
      </c>
      <c r="AT5" s="55">
        <f>IF('Final Calculation Sheet'!$H$5="","",'Final Calculation Sheet'!$H$5)</f>
        <v>156600</v>
      </c>
      <c r="AU5">
        <f>IF(AT5="","",COUNTIFS(AT$4:AT$40,"&lt;"&amp;AT5,AT$4:AT$40,"&lt;&gt;"&amp;"")+COUNTIF(AT$4:AT5,AT5))</f>
        <v>19</v>
      </c>
      <c r="AV5" s="55">
        <f>IF(ROW()-3&gt;COUNTIF(AT$4:AT$40,"&lt;&gt;"&amp;""),"",INDEX(AT$4:AT$40,MATCH(ROW()-3,AU$4:AU$40,0)))</f>
        <v>17500</v>
      </c>
      <c r="AW5">
        <f>AW4+IF(AND(AV5&lt;&gt;"",COUNTIF(AV$4:AV5,AV5)=1),1,0)</f>
        <v>2</v>
      </c>
      <c r="AX5" s="55">
        <f>IF(ROW()-3&gt;MAX(AW$4:AW$40),"",INDEX(AV$4:AV$40,MATCH(ROW()-3,AW$4:AW$40,0)))</f>
        <v>17500</v>
      </c>
      <c r="AY5" s="55">
        <f>IF('Final Calculation Sheet'!$I$5="","",'Final Calculation Sheet'!$I$5)</f>
        <v>28188</v>
      </c>
      <c r="AZ5">
        <f>IF(AY5="","",COUNTIFS(AY$4:AY$40,"&lt;"&amp;AY5,AY$4:AY$40,"&lt;&gt;"&amp;"")+COUNTIF(AY$4:AY5,AY5))</f>
        <v>19</v>
      </c>
      <c r="BA5" s="55">
        <f>IF(ROW()-3&gt;COUNTIF(AY$4:AY$40,"&lt;&gt;"&amp;""),"",INDEX(AY$4:AY$40,MATCH(ROW()-3,AZ$4:AZ$40,0)))</f>
        <v>3150</v>
      </c>
      <c r="BB5">
        <f>BB4+IF(AND(BA5&lt;&gt;"",COUNTIF(BA$4:BA5,BA5)=1),1,0)</f>
        <v>2</v>
      </c>
      <c r="BC5" s="55">
        <f>IF(ROW()-3&gt;MAX(BB$4:BB$40),"",INDEX(BA$4:BA$40,MATCH(ROW()-3,BB$4:BB$40,0)))</f>
        <v>3150</v>
      </c>
      <c r="BD5" s="55">
        <f>IF('Final Calculation Sheet'!$J$5="","",'Final Calculation Sheet'!$J$5)</f>
        <v>184788</v>
      </c>
      <c r="BE5">
        <f>IF(BD5="","",COUNTIFS(BD$4:BD$40,"&lt;"&amp;BD5,BD$4:BD$40,"&lt;&gt;"&amp;"")+COUNTIF(BD$4:BD5,BD5))</f>
        <v>19</v>
      </c>
      <c r="BF5" s="55">
        <f>IF(ROW()-3&gt;COUNTIF(BD$4:BD$40,"&lt;&gt;"&amp;""),"",INDEX(BD$4:BD$40,MATCH(ROW()-3,BE$4:BE$40,0)))</f>
        <v>20650</v>
      </c>
      <c r="BG5">
        <f>BG4+IF(AND(BF5&lt;&gt;"",COUNTIF(BF$4:BF5,BF5)=1),1,0)</f>
        <v>2</v>
      </c>
      <c r="BH5" s="55">
        <f>IF(ROW()-3&gt;MAX(BG$4:BG$40),"",INDEX(BF$4:BF$40,MATCH(ROW()-3,BG$4:BG$40,0)))</f>
        <v>20650</v>
      </c>
      <c r="BI5" s="55">
        <f>IF('Final Calculation Sheet'!$K$5="","",'Final Calculation Sheet'!$K$5)</f>
        <v>3696</v>
      </c>
      <c r="BJ5">
        <f>IF(BI5="","",COUNTIFS(BI$4:BI$40,"&lt;"&amp;BI5,BI$4:BI$40,"&lt;&gt;"&amp;"")+COUNTIF(BI$4:BI5,BI5))</f>
        <v>19</v>
      </c>
      <c r="BK5" s="55">
        <f>IF(ROW()-3&gt;COUNTIF(BI$4:BI$40,"&lt;&gt;"&amp;""),"",INDEX(BI$4:BI$40,MATCH(ROW()-3,BJ$4:BJ$40,0)))</f>
        <v>413</v>
      </c>
      <c r="BL5">
        <f>BL4+IF(AND(BK5&lt;&gt;"",COUNTIF(BK$4:BK5,BK5)=1),1,0)</f>
        <v>2</v>
      </c>
      <c r="BM5" s="55">
        <f>IF(ROW()-3&gt;MAX(BL$4:BL$40),"",INDEX(BK$4:BK$40,MATCH(ROW()-3,BL$4:BL$40,0)))</f>
        <v>413</v>
      </c>
      <c r="BN5" s="55">
        <f>IF('Final Calculation Sheet'!$L$5="","",'Final Calculation Sheet'!$L$5)</f>
        <v>156.6</v>
      </c>
      <c r="BO5">
        <f>IF(BN5="","",COUNTIFS(BN$4:BN$40,"&lt;"&amp;BN5,BN$4:BN$40,"&lt;&gt;"&amp;"")+COUNTIF(BN$4:BN5,BN5))</f>
        <v>19</v>
      </c>
      <c r="BP5" s="55">
        <f>IF(ROW()-3&gt;COUNTIF(BN$4:BN$40,"&lt;&gt;"&amp;""),"",INDEX(BN$4:BN$40,MATCH(ROW()-3,BO$4:BO$40,0)))</f>
        <v>17.5</v>
      </c>
      <c r="BQ5">
        <f>BQ4+IF(AND(BP5&lt;&gt;"",COUNTIF(BP$4:BP5,BP5)=1),1,0)</f>
        <v>2</v>
      </c>
      <c r="BR5" s="55">
        <f>IF(ROW()-3&gt;MAX(BQ$4:BQ$40),"",INDEX(BP$4:BP$40,MATCH(ROW()-3,BQ$4:BQ$40,0)))</f>
        <v>17.5</v>
      </c>
      <c r="BS5" s="55">
        <f>IF('Final Calculation Sheet'!$M$5="","",'Final Calculation Sheet'!$M$5)</f>
        <v>4157.7299999999996</v>
      </c>
      <c r="BT5">
        <f>IF(BS5="","",COUNTIFS(BS$4:BS$40,"&lt;"&amp;BS5,BS$4:BS$40,"&lt;&gt;"&amp;"")+COUNTIF(BS$4:BS5,BS5))</f>
        <v>19</v>
      </c>
      <c r="BU5" s="55">
        <f>IF(ROW()-3&gt;COUNTIF(BS$4:BS$40,"&lt;&gt;"&amp;""),"",INDEX(BS$4:BS$40,MATCH(ROW()-3,BT$4:BT$40,0)))</f>
        <v>464.625</v>
      </c>
      <c r="BV5">
        <f>BV4+IF(AND(BU5&lt;&gt;"",COUNTIF(BU$4:BU5,BU5)=1),1,0)</f>
        <v>2</v>
      </c>
      <c r="BW5" s="55">
        <f>IF(ROW()-3&gt;MAX(BV$4:BV$40),"",INDEX(BU$4:BU$40,MATCH(ROW()-3,BV$4:BV$40,0)))</f>
        <v>464.625</v>
      </c>
      <c r="BX5" s="138">
        <f>IF('Final Calculation Sheet'!$N$5="","",'Final Calculation Sheet'!$N$5)</f>
        <v>70.47</v>
      </c>
      <c r="BY5">
        <f>IF(BX5="","",COUNTIFS(BX$4:BX$40,"&lt;"&amp;BX5,BX$4:BX$40,"&lt;&gt;"&amp;"")+COUNTIF(BX$4:BX5,BX5))</f>
        <v>19</v>
      </c>
      <c r="BZ5" s="138">
        <f>IF(ROW()-3&gt;COUNTIF(BX$4:BX$40,"&lt;&gt;"&amp;""),"",INDEX(BX$4:BX$40,MATCH(ROW()-3,BY$4:BY$40,0)))</f>
        <v>7.875</v>
      </c>
      <c r="CA5">
        <f>CA4+IF(AND(BZ5&lt;&gt;"",COUNTIF(BZ$4:BZ5,BZ5)=1),1,0)</f>
        <v>2</v>
      </c>
      <c r="CB5" s="138">
        <f>IF(ROW()-3&gt;MAX(CA$4:CA$40),"",INDEX(BZ$4:BZ$40,MATCH(ROW()-3,CA$4:CA$40,0)))</f>
        <v>7.875</v>
      </c>
      <c r="CC5" s="55">
        <f>IF('Final Calculation Sheet'!$O$5="","",'Final Calculation Sheet'!$O$5)</f>
        <v>4087.2599999999998</v>
      </c>
      <c r="CD5">
        <f>IF(CC5="","",COUNTIFS(CC$4:CC$40,"&lt;"&amp;CC5,CC$4:CC$40,"&lt;&gt;"&amp;"")+COUNTIF(CC$4:CC5,CC5))</f>
        <v>19</v>
      </c>
      <c r="CE5" s="55">
        <f>IF(ROW()-3&gt;COUNTIF(CC$4:CC$40,"&lt;&gt;"&amp;""),"",INDEX(CC$4:CC$40,MATCH(ROW()-3,CD$4:CD$40,0)))</f>
        <v>456.75</v>
      </c>
      <c r="CF5">
        <f>CF4+IF(AND(CE5&lt;&gt;"",COUNTIF(CE$4:CE5,CE5)=1),1,0)</f>
        <v>2</v>
      </c>
      <c r="CG5" s="55">
        <f>IF(ROW()-3&gt;MAX(CF$4:CF$40),"",INDEX(CE$4:CE$40,MATCH(ROW()-3,CF$4:CF$40,0)))</f>
        <v>456.75</v>
      </c>
      <c r="CH5" s="55">
        <f>IF('Final Calculation Sheet'!$P$5="","",'Final Calculation Sheet'!$P$5)</f>
        <v>4244</v>
      </c>
      <c r="CI5">
        <f>IF(CH5="","",COUNTIFS(CH$4:CH$40,"&lt;"&amp;CH5,CH$4:CH$40,"&lt;&gt;"&amp;"")+COUNTIF(CH$4:CH5,CH5))</f>
        <v>19</v>
      </c>
      <c r="CJ5" s="55">
        <f>IF(ROW()-3&gt;COUNTIF(CH$4:CH$40,"&lt;&gt;"&amp;""),"",INDEX(CH$4:CH$40,MATCH(ROW()-3,CI$4:CI$40,0)))</f>
        <v>474</v>
      </c>
      <c r="CK5">
        <f>CK4+IF(AND(CJ5&lt;&gt;"",COUNTIF(CJ$4:CJ5,CJ5)=1),1,0)</f>
        <v>2</v>
      </c>
      <c r="CL5" s="55">
        <f>IF(ROW()-3&gt;MAX(CK$4:CK$40),"",INDEX(CJ$4:CJ$40,MATCH(ROW()-3,CK$4:CK$40,0)))</f>
        <v>474</v>
      </c>
      <c r="CM5" s="139">
        <f>IF('Final Calculation Sheet'!$Q$5="","",'Final Calculation Sheet'!$Q$5)</f>
        <v>0</v>
      </c>
      <c r="CN5">
        <f>IF(CM5="","",COUNTIFS(CM$4:CM$40,"&lt;"&amp;CM5,CM$4:CM$40,"&lt;&gt;"&amp;"")+COUNTIF(CM$4:CM5,CM5))</f>
        <v>1</v>
      </c>
      <c r="CO5" s="139">
        <f>IF(ROW()-3&gt;COUNTIF(CM$4:CM$40,"&lt;&gt;"&amp;""),"",INDEX(CM$4:CM$40,MATCH(ROW()-3,CN$4:CN$40,0)))</f>
        <v>0</v>
      </c>
      <c r="CP5">
        <f>CP4+IF(AND(CO5&lt;&gt;"",COUNTIF(CO$4:CO5,CO5)=1),1,0)</f>
        <v>1</v>
      </c>
      <c r="CQ5" s="139">
        <f>IF(ROW()-3&gt;MAX(CP$4:CP$40),"",INDEX(CO$4:CO$40,MATCH(ROW()-3,CP$4:CP$40,0)))</f>
        <v>0.02</v>
      </c>
      <c r="CR5" s="55">
        <f>IF('Final Calculation Sheet'!$R$5="","",'Final Calculation Sheet'!$R$5)</f>
        <v>0</v>
      </c>
      <c r="CS5">
        <f>IF(CR5="","",COUNTIFS(CR$4:CR$40,"&lt;"&amp;CR5,CR$4:CR$40,"&lt;&gt;"&amp;"")+COUNTIF(CR$4:CR5,CR5))</f>
        <v>1</v>
      </c>
      <c r="CT5" s="55">
        <f>IF(ROW()-3&gt;COUNTIF(CR$4:CR$40,"&lt;&gt;"&amp;""),"",INDEX(CR$4:CR$40,MATCH(ROW()-3,CS$4:CS$40,0)))</f>
        <v>0</v>
      </c>
      <c r="CU5">
        <f>CU4+IF(AND(CT5&lt;&gt;"",COUNTIF(CT$4:CT5,CT5)=1),1,0)</f>
        <v>1</v>
      </c>
      <c r="CV5" s="55">
        <f>IF(ROW()-3&gt;MAX(CU$4:CU$40),"",INDEX(CT$4:CT$40,MATCH(ROW()-3,CU$4:CU$40,0)))</f>
        <v>10988</v>
      </c>
      <c r="CW5" s="55">
        <f>IF('Final Calculation Sheet'!$S$5="","",'Final Calculation Sheet'!$S$5)</f>
        <v>184240</v>
      </c>
      <c r="CX5">
        <f>IF(CW5="","",COUNTIFS(CW$4:CW$40,"&lt;"&amp;CW5,CW$4:CW$40,"&lt;&gt;"&amp;"")+COUNTIF(CW$4:CW5,CW5))</f>
        <v>19</v>
      </c>
      <c r="CY5" s="55">
        <f>IF(ROW()-3&gt;COUNTIF(CW$4:CW$40,"&lt;&gt;"&amp;""),"",INDEX(CW$4:CW$40,MATCH(ROW()-3,CX$4:CX$40,0)))</f>
        <v>20589</v>
      </c>
      <c r="CZ5">
        <f>CZ4+IF(AND(CY5&lt;&gt;"",COUNTIF(CY$4:CY5,CY5)=1),1,0)</f>
        <v>2</v>
      </c>
      <c r="DA5" s="55">
        <f>IF(ROW()-3&gt;MAX(CZ$4:CZ$40),"",INDEX(CY$4:CY$40,MATCH(ROW()-3,CZ$4:CZ$40,0)))</f>
        <v>20589</v>
      </c>
      <c r="DB5" s="55">
        <f>IF('Final Calculation Sheet'!$T$5="","",'Final Calculation Sheet'!$T$5)</f>
        <v>39150</v>
      </c>
      <c r="DC5">
        <f>IF(DB5="","",COUNTIFS(DB$4:DB$40,"&lt;"&amp;DB5,DB$4:DB$40,"&lt;&gt;"&amp;"")+COUNTIF(DB$4:DB5,DB5))</f>
        <v>19</v>
      </c>
      <c r="DD5" s="55">
        <f>IF(ROW()-3&gt;COUNTIF(DB$4:DB$40,"&lt;&gt;"&amp;""),"",INDEX(DB$4:DB$40,MATCH(ROW()-3,DC$4:DC$40,0)))</f>
        <v>4375</v>
      </c>
      <c r="DE5">
        <f>DE4+IF(AND(DD5&lt;&gt;"",COUNTIF(DD$4:DD5,DD5)=1),1,0)</f>
        <v>2</v>
      </c>
      <c r="DF5" s="55">
        <f>IF(ROW()-3&gt;MAX(DE$4:DE$40),"",INDEX(DD$4:DD$40,MATCH(ROW()-3,DE$4:DE$40,0)))</f>
        <v>4375</v>
      </c>
      <c r="DG5" s="140">
        <f>IF('Final Calculation Sheet'!$U$5="","",'Final Calculation Sheet'!$U$5)</f>
        <v>39150</v>
      </c>
      <c r="DH5">
        <f>IF(DG5="","",COUNTIFS(DG$4:DG$40,"&lt;"&amp;DG5,DG$4:DG$40,"&lt;&gt;"&amp;"")+COUNTIF(DG$4:DG5,DG5))</f>
        <v>19</v>
      </c>
      <c r="DI5" s="140">
        <f>IF(ROW()-3&gt;COUNTIF(DG$4:DG$40,"&lt;&gt;"&amp;""),"",INDEX(DG$4:DG$40,MATCH(ROW()-3,DH$4:DH$40,0)))</f>
        <v>4375</v>
      </c>
      <c r="DJ5">
        <f>DJ4+IF(AND(DI5&lt;&gt;"",COUNTIF(DI$4:DI5,DI5)=1),1,0)</f>
        <v>2</v>
      </c>
      <c r="DK5" s="140">
        <f>IF(ROW()-3&gt;MAX(DJ$4:DJ$40),"",INDEX(DI$4:DI$40,MATCH(ROW()-3,DJ$4:DJ$40,0)))</f>
        <v>4375</v>
      </c>
      <c r="DL5" t="str">
        <f>IF('Final Calculation Sheet'!$V$5="","",'Final Calculation Sheet'!$V$5)</f>
        <v>13.08.2026</v>
      </c>
      <c r="DM5">
        <f>IF(DL5="","",COUNTIFS(DL$4:DL$40,"&lt;"&amp;DL5,DL$4:DL$40,"&lt;&gt;"&amp;"")+COUNTIF(DL$4:DL5,DL5))</f>
        <v>12</v>
      </c>
      <c r="DN5" t="str">
        <f>IF(ROW()-3&gt;COUNTIF(DL$4:DL$40,"&lt;&gt;"&amp;""),"",INDEX(DL$4:DL$40,MATCH(ROW()-3,DM$4:DM$40,0)))</f>
        <v>11.08.2026</v>
      </c>
      <c r="DO5">
        <f>DO4+IF(AND(DN5&lt;&gt;"",COUNTIF(DN$4:DN5,DN5)=1),1,0)</f>
        <v>2</v>
      </c>
      <c r="DP5" t="str">
        <f>IF(ROW()-3&gt;MAX(DO$4:DO$40),"",INDEX(DN$4:DN$40,MATCH(ROW()-3,DO$4:DO$40,0)))</f>
        <v>11.08.2026</v>
      </c>
      <c r="DQ5" s="55">
        <f>IF('Final Calculation Sheet'!$W$5="","",'Final Calculation Sheet'!$W$5)</f>
        <v>145090</v>
      </c>
      <c r="DR5">
        <f>IF(DQ5="","",COUNTIFS(DQ$4:DQ$40,"&lt;"&amp;DQ5,DQ$4:DQ$40,"&lt;&gt;"&amp;"")+COUNTIF(DQ$4:DQ5,DQ5))</f>
        <v>19</v>
      </c>
      <c r="DS5" s="55">
        <f>IF(ROW()-3&gt;COUNTIF(DQ$4:DQ$40,"&lt;&gt;"&amp;""),"",INDEX(DQ$4:DQ$40,MATCH(ROW()-3,DR$4:DR$40,0)))</f>
        <v>16214</v>
      </c>
      <c r="DT5">
        <f>DT4+IF(AND(DS5&lt;&gt;"",COUNTIF(DS$4:DS5,DS5)=1),1,0)</f>
        <v>2</v>
      </c>
      <c r="DU5" s="55">
        <f>IF(ROW()-3&gt;MAX(DT$4:DT$40),"",INDEX(DS$4:DS$40,MATCH(ROW()-3,DT$4:DT$40,0)))</f>
        <v>16214</v>
      </c>
      <c r="DV5" s="55">
        <f>IF('Final Calculation Sheet'!$X$5="","",'Final Calculation Sheet'!$X$5)</f>
        <v>145090</v>
      </c>
      <c r="DW5">
        <f>IF(DV5="","",COUNTIFS(DV$4:DV$40,"&lt;"&amp;DV5,DV$4:DV$40,"&lt;&gt;"&amp;"")+COUNTIF(DV$4:DV5,DV5))</f>
        <v>18</v>
      </c>
      <c r="DX5" s="55">
        <f>IF(ROW()-3&gt;COUNTIF(DV$4:DV$40,"&lt;&gt;"&amp;""),"",INDEX(DV$4:DV$40,MATCH(ROW()-3,DW$4:DW$40,0)))</f>
        <v>16214</v>
      </c>
      <c r="DY5">
        <f>DY4+IF(AND(DX5&lt;&gt;"",COUNTIF(DX$4:DX5,DX5)=1),1,0)</f>
        <v>2</v>
      </c>
      <c r="DZ5" t="e">
        <f>IF(ROW()-3&gt;MAX(DY$4:DY$40),"",INDEX(DX$4:DX$40,MATCH(ROW()-3,DY$4:DY$40,0)))</f>
        <v>#N/A</v>
      </c>
      <c r="EA5" t="str">
        <f>IF('Final Calculation Sheet'!$Y$5="","",'Final Calculation Sheet'!$Y$5)</f>
        <v>24.08.2026</v>
      </c>
      <c r="EB5">
        <f>IF(EA5="","",COUNTIFS(EA$4:EA$40,"&lt;"&amp;EA5,EA$4:EA$40,"&lt;&gt;"&amp;"")+COUNTIF(EA$4:EA5,EA5))</f>
        <v>21</v>
      </c>
      <c r="EC5" s="55">
        <f>IF(ROW()-3&gt;COUNTIF(EA$4:EA$40,"&lt;&gt;"&amp;""),"",INDEX(EA$4:EA$40,MATCH(ROW()-3,EB$4:EB$40,0)))</f>
        <v>0</v>
      </c>
      <c r="ED5">
        <f>ED4+IF(AND(EC5&lt;&gt;"",COUNTIF(EC$4:EC5,EC5)=1),1,0)</f>
        <v>1</v>
      </c>
      <c r="EE5" t="e">
        <f>IF(ROW()-3&gt;MAX(ED$4:ED$40),"",INDEX(EC$4:EC$40,MATCH(ROW()-3,ED$4:ED$40,0)))</f>
        <v>#N/A</v>
      </c>
      <c r="EF5" s="55">
        <f>IF('Final Calculation Sheet'!$Z$5="","",'Final Calculation Sheet'!$Z$5)</f>
        <v>0</v>
      </c>
      <c r="EG5">
        <f>IF(EF5="","",COUNTIFS(EF$4:EF$40,"&lt;"&amp;EF5,EF$4:EF$40,"&lt;&gt;"&amp;"")+COUNTIF(EF$4:EF5,EF5))</f>
        <v>2</v>
      </c>
      <c r="EH5" s="55">
        <f>IF(ROW()-3&gt;COUNTIF(EF$4:EF$40,"&lt;&gt;"&amp;""),"",INDEX(EF$4:EF$40,MATCH(ROW()-3,EG$4:EG$40,0)))</f>
        <v>0</v>
      </c>
      <c r="EI5">
        <f>EI4+IF(AND(EH5&lt;&gt;"",COUNTIF(EH$4:EH5,EH5)=1),1,0)</f>
        <v>1</v>
      </c>
      <c r="EJ5" s="55">
        <f>IF(ROW()-3&gt;MAX(EI$4:EI$40),"",INDEX(EH$4:EH$40,MATCH(ROW()-3,EI$4:EI$40,0)))</f>
        <v>708.28319999999997</v>
      </c>
      <c r="EK5" t="str">
        <f>IF('Final Calculation Sheet'!$AA$5="","",'Final Calculation Sheet'!$AA$5)</f>
        <v/>
      </c>
      <c r="EL5" t="str">
        <f>IF(EK5="","",COUNTIFS(EK$4:EK$40,"&lt;"&amp;EK5,EK$4:EK$40,"&lt;&gt;"&amp;"")+COUNTIF(EK$4:EK5,EK5))</f>
        <v/>
      </c>
      <c r="EM5" s="55">
        <f>IF(ROW()-3&gt;COUNTIF(EK$4:EK$40,"&lt;&gt;"&amp;""),"",INDEX(EK$4:EK$40,MATCH(ROW()-3,EL$4:EL$40,0)))</f>
        <v>2832</v>
      </c>
      <c r="EN5">
        <f>EN4+IF(AND(EM5&lt;&gt;"",COUNTIF(EM$4:EM5,EM5)=1),1,0)</f>
        <v>2</v>
      </c>
      <c r="EO5" t="e">
        <f>IF(ROW()-3&gt;MAX(EN$4:EN$40),"",INDEX(EM$4:EM$40,MATCH(ROW()-3,EN$4:EN$40,0)))</f>
        <v>#N/A</v>
      </c>
      <c r="EP5" t="str">
        <f>IF('Final Calculation Sheet'!$AB$5="","",'Final Calculation Sheet'!$AB$5)</f>
        <v/>
      </c>
      <c r="EQ5" t="str">
        <f>IF(EP5="","",COUNTIFS(EP$4:EP$40,"&lt;"&amp;EP5,EP$4:EP$40,"&lt;&gt;"&amp;"")+COUNTIF(EP$4:EP5,EP5))</f>
        <v/>
      </c>
      <c r="ER5" t="e">
        <f>IF(ROW()-3&gt;COUNTIF(EP$4:EP$40,"&lt;&gt;"&amp;""),"",INDEX(EP$4:EP$40,MATCH(ROW()-3,EQ$4:EQ$40,0)))</f>
        <v>#N/A</v>
      </c>
      <c r="ES5" t="e">
        <f>ES4+IF(AND(ER5&lt;&gt;"",COUNTIF(ER$4:ER5,ER5)=1),1,0)</f>
        <v>#N/A</v>
      </c>
      <c r="ET5" t="e">
        <f>IF(ROW()-3&gt;MAX(ES$4:ES$40),"",INDEX(ER$4:ER$40,MATCH(ROW()-3,ES$4:ES$40,0)))</f>
        <v>#N/A</v>
      </c>
      <c r="EU5" s="55">
        <f>IF('Final Calculation Sheet'!$AC$5="","",'Final Calculation Sheet'!$AC$5)</f>
        <v>184240</v>
      </c>
      <c r="EV5">
        <f>IF(EU5="","",COUNTIFS(EU$4:EU$40,"&lt;"&amp;EU5,EU$4:EU$40,"&lt;&gt;"&amp;"")+COUNTIF(EU$4:EU5,EU5))</f>
        <v>21</v>
      </c>
      <c r="EW5" s="55">
        <f>IF(ROW()-3&gt;COUNTIF(EU$4:EU$40,"&lt;&gt;"&amp;""),"",INDEX(EU$4:EU$40,MATCH(ROW()-3,EV$4:EV$40,0)))</f>
        <v>18117</v>
      </c>
      <c r="EX5">
        <f>EX4+IF(AND(EW5&lt;&gt;"",COUNTIF(EW$4:EW5,EW5)=1),1,0)</f>
        <v>2</v>
      </c>
      <c r="EY5" s="55">
        <f>IF(ROW()-3&gt;MAX(EX$4:EX$40),"",INDEX(EW$4:EW$40,MATCH(ROW()-3,EX$4:EX$40,0)))</f>
        <v>18117</v>
      </c>
      <c r="EZ5" s="55">
        <f>IF('Final Calculation Sheet'!$AD$5="","",'Final Calculation Sheet'!$AD$5)</f>
        <v>0</v>
      </c>
      <c r="FA5">
        <f>IF(EZ5="","",COUNTIFS(EZ$4:EZ$40,"&lt;"&amp;EZ5,EZ$4:EZ$40,"&lt;&gt;"&amp;"")+COUNTIF(EZ$4:EZ5,EZ5))</f>
        <v>9</v>
      </c>
      <c r="FB5" s="55">
        <f>IF(ROW()-3&gt;COUNTIF(EZ$4:EZ$40,"&lt;&gt;"&amp;""),"",INDEX(EZ$4:EZ$40,MATCH(ROW()-3,FA$4:FA$40,0)))</f>
        <v>-708</v>
      </c>
      <c r="FC5">
        <f>FC4+IF(AND(FB5&lt;&gt;"",COUNTIF(FB$4:FB5,FB5)=1),1,0)</f>
        <v>2</v>
      </c>
      <c r="FD5" s="55" t="e">
        <f>IF(ROW()-3&gt;MAX(FC$4:FC$40),"",INDEX(FB$4:FB$40,MATCH(ROW()-3,FC$4:FC$40,0)))</f>
        <v>#N/A</v>
      </c>
      <c r="FE5" t="str">
        <f>IF('Final Calculation Sheet'!$AE$5="","",'Final Calculation Sheet'!$AE$5)</f>
        <v>DR2640100030</v>
      </c>
      <c r="FF5">
        <f>IF(FE5="","",COUNTIFS(FE$4:FE$40,"&lt;"&amp;FE5,FE$4:FE$40,"&lt;&gt;"&amp;"")+COUNTIF(FE$4:FE5,FE5))</f>
        <v>19</v>
      </c>
      <c r="FG5" t="e">
        <f>IF(ROW()-3&gt;COUNTIF(FE$4:FE$40,"&lt;&gt;"&amp;""),"",INDEX(FE$4:FE$40,MATCH(ROW()-3,FF$4:FF$40,0)))</f>
        <v>#N/A</v>
      </c>
      <c r="FH5" t="e">
        <f>FH4+IF(AND(FG5&lt;&gt;"",COUNTIF(FG$4:FG5,FG5)=1),1,0)</f>
        <v>#N/A</v>
      </c>
      <c r="FI5" t="e">
        <f>IF(ROW()-3&gt;MAX(FH$4:FH$40),"",INDEX(FG$4:FG$40,MATCH(ROW()-3,FH$4:FH$40,0)))</f>
        <v>#N/A</v>
      </c>
      <c r="FJ5" s="141">
        <f>IF('Final Calculation Sheet'!$AF$5="","",'Final Calculation Sheet'!$AF$5)</f>
        <v>1800003302</v>
      </c>
      <c r="FK5">
        <f>IF(FJ5="","",COUNTIFS(FJ$4:FJ$40,"&lt;"&amp;FJ5,FJ$4:FJ$40,"&lt;&gt;"&amp;"")+COUNTIF(FJ$4:FJ5,FJ5))</f>
        <v>14</v>
      </c>
      <c r="FL5" s="141">
        <f>IF(ROW()-3&gt;COUNTIF(FJ$4:FJ$40,"&lt;&gt;"&amp;""),"",INDEX(FJ$4:FJ$40,MATCH(ROW()-3,FK$4:FK$40,0)))</f>
        <v>1800003156</v>
      </c>
      <c r="FM5">
        <f>FM4+IF(AND(FL5&lt;&gt;"",COUNTIF(FL$4:FL5,FL5)=1),1,0)</f>
        <v>2</v>
      </c>
      <c r="FN5" t="e">
        <f>IF(ROW()-3&gt;MAX(FM$4:FM$40),"",INDEX(FL$4:FL$40,MATCH(ROW()-3,FM$4:FM$40,0)))</f>
        <v>#N/A</v>
      </c>
      <c r="FO5" t="str">
        <f>IF('Final Calculation Sheet'!$AG$5="","",'Final Calculation Sheet'!$AG$5)</f>
        <v>27.08.2026</v>
      </c>
      <c r="FP5">
        <f>IF(FO5="","",COUNTIFS(FO$4:FO$40,"&lt;"&amp;FO5,FO$4:FO$40,"&lt;&gt;"&amp;"")+COUNTIF(FO$4:FO5,FO5))</f>
        <v>19</v>
      </c>
      <c r="FQ5" t="e">
        <f>IF(ROW()-3&gt;COUNTIF(FO$4:FO$40,"&lt;&gt;"&amp;""),"",INDEX(FO$4:FO$40,MATCH(ROW()-3,FP$4:FP$40,0)))</f>
        <v>#N/A</v>
      </c>
      <c r="FR5" t="e">
        <f>FR4+IF(AND(FQ5&lt;&gt;"",COUNTIF(FQ$4:FQ5,FQ5)=1),1,0)</f>
        <v>#N/A</v>
      </c>
      <c r="FS5" t="e">
        <f>IF(ROW()-3&gt;MAX(FR$4:FR$40),"",INDEX(FQ$4:FQ$40,MATCH(ROW()-3,FR$4:FR$40,0)))</f>
        <v>#N/A</v>
      </c>
      <c r="FT5" t="inlineStr">
        <is>
          <t>OUTSTANDING</t>
        </is>
      </c>
      <c r="FU5">
        <f>IF(FT5="","",COUNTIFS(FT$4:FT$40,"&lt;"&amp;FT5,FT$4:FT$40,"&lt;&gt;"&amp;"")+COUNTIF(FT$4:FT5,FT5))</f>
        <v>1</v>
      </c>
      <c r="FV5" t="str">
        <f>IF(ROW()-3&gt;COUNTIF(FT$4:FT$40,"&lt;&gt;"&amp;""),"",INDEX(FT$4:FT$40,MATCH(ROW()-3,FU$4:FU$40,0)))</f>
        <v>SETTLED</v>
      </c>
      <c r="FW5">
        <f>FW4+IF(AND(FV5&lt;&gt;"",COUNTIF(FV$4:FV5,FV5)=1),1,0)</f>
        <v>2</v>
      </c>
      <c r="FX5" t="str">
        <f>IF(ROW()-3&gt;MAX(FW$4:FW$40),"",INDEX(FV$4:FV$40,MATCH(ROW()-3,FW$4:FW$40,0)))</f>
        <v>SETTLED</v>
      </c>
    </row>
    <row r="6">
      <c r="A6">
        <f>IF('Final Calculation Sheet'!$F$6="","",'Final Calculation Sheet'!$F$6)</f>
        <v>1875</v>
      </c>
      <c r="B6">
        <f>IF(A6="","",COUNTIFS(A$4:A$114,"&lt;"&amp;A6,A$4:A$114,"&lt;&gt;"&amp;"")+COUNTIF(A$4:A6,A6))</f>
        <v>3</v>
      </c>
      <c r="C6">
        <f>IF(ROW()-3&gt;COUNTIF(A$4:A$114,"&lt;&gt;"&amp;""),"",INDEX(A$4:A$114,MATCH(ROW()-3,B$4:B$114,0)))</f>
        <v>1875</v>
      </c>
      <c r="D6">
        <f>D5+IF(AND(C6&lt;&gt;"",COUNTIF(C$4:C6,C6)=1),1,0)</f>
        <v>3</v>
      </c>
      <c r="E6" t="e">
        <f>IF(ROW()-3&gt;MAX(D$4:D$114),"",INDEX(C$4:C$114,MATCH(ROW()-3,D$4:D$114,0)))</f>
        <v>#N/A</v>
      </c>
      <c r="F6">
        <f>ROW()-3</f>
        <v>3</v>
      </c>
      <c r="G6">
        <f>IF(F6="","",COUNTIFS(F$4:F$40,"&lt;"&amp;F6,F$4:F$40,"&lt;&gt;"&amp;"")+COUNTIF(F$4:F6,F6))</f>
        <v>3</v>
      </c>
      <c r="H6">
        <f>IF(ROW()-3&gt;COUNTIF(F$4:F$40,"&lt;&gt;"&amp;""),"",INDEX(F$4:F$40,MATCH(ROW()-3,G$4:G$40,0)))</f>
        <v>3</v>
      </c>
      <c r="I6">
        <f>I5+IF(AND(H6&lt;&gt;"",COUNTIF(H$4:H6,H6)=1),1,0)</f>
        <v>3</v>
      </c>
      <c r="J6">
        <f>IF(ROW()-3&gt;MAX(I$4:I$40),"",INDEX(H$4:H$40,MATCH(ROW()-3,I$4:I$40,0)))</f>
        <v>3</v>
      </c>
      <c r="K6">
        <f>IF('Final Calculation Sheet'!$F$6="","",'Final Calculation Sheet'!$F$6)</f>
        <v>1875</v>
      </c>
      <c r="L6">
        <f>IF(K6="","",COUNTIFS(K$4:K$40,"&lt;"&amp;K6,K$4:K$40,"&lt;&gt;"&amp;"")+COUNTIF(K$4:K6,K6))</f>
        <v>3</v>
      </c>
      <c r="M6">
        <f>IF(ROW()-3&gt;COUNTIF(K$4:K$40,"&lt;&gt;"&amp;""),"",INDEX(K$4:K$40,MATCH(ROW()-3,L$4:L$40,0)))</f>
        <v>1875</v>
      </c>
      <c r="N6">
        <f>N5+IF(AND(M6&lt;&gt;"",COUNTIF(M$4:M6,M6)=1),1,0)</f>
        <v>3</v>
      </c>
      <c r="O6">
        <f>IF(ROW()-3&gt;MAX(N$4:N$40),"",INDEX(M$4:M$40,MATCH(ROW()-3,N$4:N$40,0)))</f>
        <v>1875</v>
      </c>
      <c r="P6" t="str">
        <f>IF('Final Calculation Sheet'!$G$6="","",'Final Calculation Sheet'!$G$6)</f>
        <v>F R KHANS ENTERPRISES</v>
      </c>
      <c r="Q6">
        <f>IF(P6="","",COUNTIFS(P$4:P$40,"&lt;"&amp;P6,P$4:P$40,"&lt;&gt;"&amp;"")+COUNTIF(P$4:P6,P6))</f>
        <v>2</v>
      </c>
      <c r="R6" t="str">
        <f>IF(ROW()-3&gt;COUNTIF(P$4:P$40,"&lt;&gt;"&amp;""),"",INDEX(P$4:P$40,MATCH(ROW()-3,Q$4:Q$40,0)))</f>
        <v>F R KHANS ENTERPRISES</v>
      </c>
      <c r="S6">
        <f>S5+IF(AND(R6&lt;&gt;"",COUNTIF(R$4:R6,R6)=1),1,0)</f>
        <v>2</v>
      </c>
      <c r="T6" t="str">
        <f>IF(ROW()-3&gt;MAX(S$4:S$40),"",INDEX(R$4:R$40,MATCH(ROW()-3,S$4:S$40,0)))</f>
        <v>HIND TRADERS</v>
      </c>
      <c r="U6" t="str">
        <f>IF('Final Calculation Sheet'!$B$6="","",'Final Calculation Sheet'!$B$6)</f>
        <v>Scrap of Copper of faulty AC compressor</v>
      </c>
      <c r="V6">
        <f>IF(U6="","",COUNTIFS(U$4:U$40,"&lt;"&amp;U6,U$4:U$40,"&lt;&gt;"&amp;"")+COUNTIF(U$4:U6,U6))</f>
        <v>25</v>
      </c>
      <c r="W6" t="str">
        <f>IF(ROW()-3&gt;COUNTIF(U$4:U$40,"&lt;&gt;"&amp;""),"",INDEX(U$4:U$40,MATCH(ROW()-3,V$4:V$40,0)))</f>
        <v>SCRAP ACSR CONDUCTORS (Conductor Pieces)</v>
      </c>
      <c r="X6">
        <f>X5+IF(AND(W6&lt;&gt;"",COUNTIF(W$4:W6,W6)=1),1,0)</f>
        <v>3</v>
      </c>
      <c r="Y6" t="str">
        <f>IF(ROW()-3&gt;MAX(X$4:X$40),"",INDEX(W$4:W$40,MATCH(ROW()-3,X$4:X$40,0)))</f>
        <v>SCRAP ACSR CONDUCTORS (Conductor Pieces)</v>
      </c>
      <c r="Z6">
        <f>IF('Final Calculation Sheet'!$D$6="","",'Final Calculation Sheet'!$D$6)</f>
        <v>21977</v>
      </c>
      <c r="AA6">
        <f>IF(Z6="","",COUNTIFS(Z$4:Z$40,"&lt;"&amp;Z6,Z$4:Z$40,"&lt;&gt;"&amp;"")+COUNTIF(Z$4:Z6,Z6))</f>
        <v>2</v>
      </c>
      <c r="AB6">
        <f>IF(ROW()-3&gt;COUNTIF(Z$4:Z$40,"&lt;&gt;"&amp;""),"",INDEX(Z$4:Z$40,MATCH(ROW()-3,AA$4:AA$40,0)))</f>
        <v>21977</v>
      </c>
      <c r="AC6">
        <f>AC5+IF(AND(AB6&lt;&gt;"",COUNTIF(AB$4:AB6,AB6)=1),1,0)</f>
        <v>1</v>
      </c>
      <c r="AD6">
        <f>IF(ROW()-3&gt;MAX(AC$4:AC$40),"",INDEX(AB$4:AB$40,MATCH(ROW()-3,AC$4:AC$40,0)))</f>
        <v>21979</v>
      </c>
      <c r="AE6">
        <f>IF('Final Calculation Sheet'!$A$6="","",'Final Calculation Sheet'!$A$6)</f>
        <v>28</v>
      </c>
      <c r="AF6">
        <f>IF(AE6="","",COUNTIFS(AE$4:AE$40,"&lt;"&amp;AE6,AE$4:AE$40,"&lt;&gt;"&amp;"")+COUNTIF(AE$4:AE6,AE6))</f>
        <v>24</v>
      </c>
      <c r="AG6">
        <f>IF(ROW()-3&gt;COUNTIF(AE$4:AE$40,"&lt;&gt;"&amp;""),"",INDEX(AE$4:AE$40,MATCH(ROW()-3,AF$4:AF$40,0)))</f>
        <v>1</v>
      </c>
      <c r="AH6">
        <f>AH5+IF(AND(AG6&lt;&gt;"",COUNTIF(AG$4:AG6,AG6)=1),1,0)</f>
        <v>1</v>
      </c>
      <c r="AI6">
        <f>IF(ROW()-3&gt;MAX(AH$4:AH$40),"",INDEX(AG$4:AG$40,MATCH(ROW()-3,AH$4:AH$40,0)))</f>
        <v>3</v>
      </c>
      <c r="AJ6" t="str">
        <f>IF('Final Calculation Sheet'!$E$6="","",'Final Calculation Sheet'!$E$6)</f>
        <v>KG</v>
      </c>
      <c r="AK6">
        <f>IF(AJ6="","",COUNTIFS(AJ$4:AJ$40,"&lt;"&amp;AJ6,AJ$4:AJ$40,"&lt;&gt;"&amp;"")+COUNTIF(AJ$4:AJ6,AJ6))</f>
        <v>2</v>
      </c>
      <c r="AL6" t="str">
        <f>IF(ROW()-3&gt;COUNTIF(AJ$4:AJ$40,"&lt;&gt;"&amp;""),"",INDEX(AJ$4:AJ$40,MATCH(ROW()-3,AK$4:AK$40,0)))</f>
        <v>KG</v>
      </c>
      <c r="AM6">
        <f>AM5+IF(AND(AL6&lt;&gt;"",COUNTIF(AL$4:AL6,AL6)=1),1,0)</f>
        <v>1</v>
      </c>
      <c r="AN6" t="str">
        <f>IF(ROW()-3&gt;MAX(AM$4:AM$40),"",INDEX(AL$4:AL$40,MATCH(ROW()-3,AM$4:AM$40,0)))</f>
        <v>NO</v>
      </c>
      <c r="AO6" s="55">
        <f>IF('Final Calculation Sheet'!$C$6="","",'Final Calculation Sheet'!$C$6)</f>
        <v>1456</v>
      </c>
      <c r="AP6">
        <f>IF(AO6="","",COUNTIFS(AO$4:AO$40,"&lt;"&amp;AO6,AO$4:AO$40,"&lt;&gt;"&amp;"")+COUNTIF(AO$4:AO6,AO6))</f>
        <v>16</v>
      </c>
      <c r="AQ6" s="55">
        <f>IF(ROW()-3&gt;COUNTIF(AO$4:AO$40,"&lt;&gt;"&amp;""),"",INDEX(AO$4:AO$40,MATCH(ROW()-3,AP$4:AP$40,0)))</f>
        <v>309</v>
      </c>
      <c r="AR6">
        <f>AR5+IF(AND(AQ6&lt;&gt;"",COUNTIF(AQ$4:AQ6,AQ6)=1),1,0)</f>
        <v>3</v>
      </c>
      <c r="AS6" s="55">
        <f>IF(ROW()-3&gt;MAX(AR$4:AR$40),"",INDEX(AQ$4:AQ$40,MATCH(ROW()-3,AR$4:AR$40,0)))</f>
        <v>309</v>
      </c>
      <c r="AT6" s="55">
        <f>IF('Final Calculation Sheet'!$H$6="","",'Final Calculation Sheet'!$H$6)</f>
        <v>40768</v>
      </c>
      <c r="AU6">
        <f>IF(AT6="","",COUNTIFS(AT$4:AT$40,"&lt;"&amp;AT6,AT$4:AT$40,"&lt;&gt;"&amp;"")+COUNTIF(AT$4:AT6,AT6))</f>
        <v>8</v>
      </c>
      <c r="AV6" s="55">
        <f>IF(ROW()-3&gt;COUNTIF(AT$4:AT$40,"&lt;&gt;"&amp;""),"",INDEX(AT$4:AT$40,MATCH(ROW()-3,AU$4:AU$40,0)))</f>
        <v>21060</v>
      </c>
      <c r="AW6">
        <f>AW5+IF(AND(AV6&lt;&gt;"",COUNTIF(AV$4:AV6,AV6)=1),1,0)</f>
        <v>3</v>
      </c>
      <c r="AX6" s="55">
        <f>IF(ROW()-3&gt;MAX(AW$4:AW$40),"",INDEX(AV$4:AV$40,MATCH(ROW()-3,AW$4:AW$40,0)))</f>
        <v>21060</v>
      </c>
      <c r="AY6" s="55">
        <f>IF('Final Calculation Sheet'!$I$6="","",'Final Calculation Sheet'!$I$6)</f>
        <v>7338</v>
      </c>
      <c r="AZ6">
        <f>IF(AY6="","",COUNTIFS(AY$4:AY$40,"&lt;"&amp;AY6,AY$4:AY$40,"&lt;&gt;"&amp;"")+COUNTIF(AY$4:AY6,AY6))</f>
        <v>8</v>
      </c>
      <c r="BA6" s="55">
        <f>IF(ROW()-3&gt;COUNTIF(AY$4:AY$40,"&lt;&gt;"&amp;""),"",INDEX(AY$4:AY$40,MATCH(ROW()-3,AZ$4:AZ$40,0)))</f>
        <v>3791</v>
      </c>
      <c r="BB6">
        <f>BB5+IF(AND(BA6&lt;&gt;"",COUNTIF(BA$4:BA6,BA6)=1),1,0)</f>
        <v>3</v>
      </c>
      <c r="BC6" s="55">
        <f>IF(ROW()-3&gt;MAX(BB$4:BB$40),"",INDEX(BA$4:BA$40,MATCH(ROW()-3,BB$4:BB$40,0)))</f>
        <v>3791</v>
      </c>
      <c r="BD6" s="55">
        <f>IF('Final Calculation Sheet'!$J$6="","",'Final Calculation Sheet'!$J$6)</f>
        <v>48106</v>
      </c>
      <c r="BE6">
        <f>IF(BD6="","",COUNTIFS(BD$4:BD$40,"&lt;"&amp;BD6,BD$4:BD$40,"&lt;&gt;"&amp;"")+COUNTIF(BD$4:BD6,BD6))</f>
        <v>8</v>
      </c>
      <c r="BF6" s="55">
        <f>IF(ROW()-3&gt;COUNTIF(BD$4:BD$40,"&lt;&gt;"&amp;""),"",INDEX(BD$4:BD$40,MATCH(ROW()-3,BE$4:BE$40,0)))</f>
        <v>24851</v>
      </c>
      <c r="BG6">
        <f>BG5+IF(AND(BF6&lt;&gt;"",COUNTIF(BF$4:BF6,BF6)=1),1,0)</f>
        <v>3</v>
      </c>
      <c r="BH6" s="55">
        <f>IF(ROW()-3&gt;MAX(BG$4:BG$40),"",INDEX(BF$4:BF$40,MATCH(ROW()-3,BG$4:BG$40,0)))</f>
        <v>24851</v>
      </c>
      <c r="BI6" s="55">
        <f>IF('Final Calculation Sheet'!$K$6="","",'Final Calculation Sheet'!$K$6)</f>
        <v>962</v>
      </c>
      <c r="BJ6">
        <f>IF(BI6="","",COUNTIFS(BI$4:BI$40,"&lt;"&amp;BI6,BI$4:BI$40,"&lt;&gt;"&amp;"")+COUNTIF(BI$4:BI6,BI6))</f>
        <v>8</v>
      </c>
      <c r="BK6" s="55">
        <f>IF(ROW()-3&gt;COUNTIF(BI$4:BI$40,"&lt;&gt;"&amp;""),"",INDEX(BI$4:BI$40,MATCH(ROW()-3,BJ$4:BJ$40,0)))</f>
        <v>497</v>
      </c>
      <c r="BL6">
        <f>BL5+IF(AND(BK6&lt;&gt;"",COUNTIF(BK$4:BK6,BK6)=1),1,0)</f>
        <v>3</v>
      </c>
      <c r="BM6" s="55">
        <f>IF(ROW()-3&gt;MAX(BL$4:BL$40),"",INDEX(BK$4:BK$40,MATCH(ROW()-3,BL$4:BL$40,0)))</f>
        <v>497</v>
      </c>
      <c r="BN6" s="55">
        <f>IF('Final Calculation Sheet'!$L$6="","",'Final Calculation Sheet'!$L$6)</f>
        <v>40.768000000000001</v>
      </c>
      <c r="BO6">
        <f>IF(BN6="","",COUNTIFS(BN$4:BN$40,"&lt;"&amp;BN6,BN$4:BN$40,"&lt;&gt;"&amp;"")+COUNTIF(BN$4:BN6,BN6))</f>
        <v>8</v>
      </c>
      <c r="BP6" s="55">
        <f>IF(ROW()-3&gt;COUNTIF(BN$4:BN$40,"&lt;&gt;"&amp;""),"",INDEX(BN$4:BN$40,MATCH(ROW()-3,BO$4:BO$40,0)))</f>
        <v>21.06</v>
      </c>
      <c r="BQ6">
        <f>BQ5+IF(AND(BP6&lt;&gt;"",COUNTIF(BP$4:BP6,BP6)=1),1,0)</f>
        <v>3</v>
      </c>
      <c r="BR6" s="55">
        <f>IF(ROW()-3&gt;MAX(BQ$4:BQ$40),"",INDEX(BP$4:BP$40,MATCH(ROW()-3,BQ$4:BQ$40,0)))</f>
        <v>21.06</v>
      </c>
      <c r="BS6" s="55">
        <f>IF('Final Calculation Sheet'!$M$6="","",'Final Calculation Sheet'!$M$6)</f>
        <v>1082.3904</v>
      </c>
      <c r="BT6">
        <f>IF(BS6="","",COUNTIFS(BS$4:BS$40,"&lt;"&amp;BS6,BS$4:BS$40,"&lt;&gt;"&amp;"")+COUNTIF(BS$4:BS6,BS6))</f>
        <v>8</v>
      </c>
      <c r="BU6" s="55">
        <f>IF(ROW()-3&gt;COUNTIF(BS$4:BS$40,"&lt;&gt;"&amp;""),"",INDEX(BS$4:BS$40,MATCH(ROW()-3,BT$4:BT$40,0)))</f>
        <v>559.14299999999992</v>
      </c>
      <c r="BV6">
        <f>BV5+IF(AND(BU6&lt;&gt;"",COUNTIF(BU$4:BU6,BU6)=1),1,0)</f>
        <v>3</v>
      </c>
      <c r="BW6" s="55">
        <f>IF(ROW()-3&gt;MAX(BV$4:BV$40),"",INDEX(BU$4:BU$40,MATCH(ROW()-3,BV$4:BV$40,0)))</f>
        <v>559.14299999999992</v>
      </c>
      <c r="BX6" s="138">
        <f>IF('Final Calculation Sheet'!$N$6="","",'Final Calculation Sheet'!$N$6)</f>
        <v>18.345600000000001</v>
      </c>
      <c r="BY6">
        <f>IF(BX6="","",COUNTIFS(BX$4:BX$40,"&lt;"&amp;BX6,BX$4:BX$40,"&lt;&gt;"&amp;"")+COUNTIF(BX$4:BX6,BX6))</f>
        <v>8</v>
      </c>
      <c r="BZ6" s="138">
        <f>IF(ROW()-3&gt;COUNTIF(BX$4:BX$40,"&lt;&gt;"&amp;""),"",INDEX(BX$4:BX$40,MATCH(ROW()-3,BY$4:BY$40,0)))</f>
        <v>9.4770000000000003</v>
      </c>
      <c r="CA6">
        <f>CA5+IF(AND(BZ6&lt;&gt;"",COUNTIF(BZ$4:BZ6,BZ6)=1),1,0)</f>
        <v>3</v>
      </c>
      <c r="CB6" s="138">
        <f>IF(ROW()-3&gt;MAX(CA$4:CA$40),"",INDEX(BZ$4:BZ$40,MATCH(ROW()-3,CA$4:CA$40,0)))</f>
        <v>9.4770000000000003</v>
      </c>
      <c r="CC6" s="55">
        <f>IF('Final Calculation Sheet'!$O$6="","",'Final Calculation Sheet'!$O$6)</f>
        <v>1064.0447999999999</v>
      </c>
      <c r="CD6">
        <f>IF(CC6="","",COUNTIFS(CC$4:CC$40,"&lt;"&amp;CC6,CC$4:CC$40,"&lt;&gt;"&amp;"")+COUNTIF(CC$4:CC6,CC6))</f>
        <v>8</v>
      </c>
      <c r="CE6" s="55">
        <f>IF(ROW()-3&gt;COUNTIF(CC$4:CC$40,"&lt;&gt;"&amp;""),"",INDEX(CC$4:CC$40,MATCH(ROW()-3,CD$4:CD$40,0)))</f>
        <v>549.66599999999994</v>
      </c>
      <c r="CF6">
        <f>CF5+IF(AND(CE6&lt;&gt;"",COUNTIF(CE$4:CE6,CE6)=1),1,0)</f>
        <v>3</v>
      </c>
      <c r="CG6" s="55">
        <f>IF(ROW()-3&gt;MAX(CF$4:CF$40),"",INDEX(CE$4:CE$40,MATCH(ROW()-3,CF$4:CF$40,0)))</f>
        <v>549.66599999999994</v>
      </c>
      <c r="CH6" s="55">
        <f>IF('Final Calculation Sheet'!$P$6="","",'Final Calculation Sheet'!$P$6)</f>
        <v>1105</v>
      </c>
      <c r="CI6">
        <f>IF(CH6="","",COUNTIFS(CH$4:CH$40,"&lt;"&amp;CH6,CH$4:CH$40,"&lt;&gt;"&amp;"")+COUNTIF(CH$4:CH6,CH6))</f>
        <v>8</v>
      </c>
      <c r="CJ6" s="55">
        <f>IF(ROW()-3&gt;COUNTIF(CH$4:CH$40,"&lt;&gt;"&amp;""),"",INDEX(CH$4:CH$40,MATCH(ROW()-3,CI$4:CI$40,0)))</f>
        <v>571</v>
      </c>
      <c r="CK6">
        <f>CK5+IF(AND(CJ6&lt;&gt;"",COUNTIF(CJ$4:CJ6,CJ6)=1),1,0)</f>
        <v>3</v>
      </c>
      <c r="CL6" s="55">
        <f>IF(ROW()-3&gt;MAX(CK$4:CK$40),"",INDEX(CJ$4:CJ$40,MATCH(ROW()-3,CK$4:CK$40,0)))</f>
        <v>571</v>
      </c>
      <c r="CM6" s="139">
        <f>IF('Final Calculation Sheet'!$Q$6="","",'Final Calculation Sheet'!$Q$6)</f>
        <v>0</v>
      </c>
      <c r="CN6">
        <f>IF(CM6="","",COUNTIFS(CM$4:CM$40,"&lt;"&amp;CM6,CM$4:CM$40,"&lt;&gt;"&amp;"")+COUNTIF(CM$4:CM6,CM6))</f>
        <v>2</v>
      </c>
      <c r="CO6" s="139">
        <f>IF(ROW()-3&gt;COUNTIF(CM$4:CM$40,"&lt;&gt;"&amp;""),"",INDEX(CM$4:CM$40,MATCH(ROW()-3,CN$4:CN$40,0)))</f>
        <v>0</v>
      </c>
      <c r="CP6">
        <f>CP5+IF(AND(CO6&lt;&gt;"",COUNTIF(CO$4:CO6,CO6)=1),1,0)</f>
        <v>1</v>
      </c>
      <c r="CQ6" t="str">
        <f>IF(ROW()-3&gt;MAX(CP$4:CP$40),"",INDEX(CO$4:CO$40,MATCH(ROW()-3,CP$4:CP$40,0)))</f>
        <v/>
      </c>
      <c r="CR6" s="55">
        <f>IF('Final Calculation Sheet'!$R$6="","",'Final Calculation Sheet'!$R$6)</f>
        <v>0</v>
      </c>
      <c r="CS6">
        <f>IF(CR6="","",COUNTIFS(CR$4:CR$40,"&lt;"&amp;CR6,CR$4:CR$40,"&lt;&gt;"&amp;"")+COUNTIF(CR$4:CR6,CR6))</f>
        <v>2</v>
      </c>
      <c r="CT6" s="55">
        <f>IF(ROW()-3&gt;COUNTIF(CR$4:CR$40,"&lt;&gt;"&amp;""),"",INDEX(CR$4:CR$40,MATCH(ROW()-3,CS$4:CS$40,0)))</f>
        <v>0</v>
      </c>
      <c r="CU6">
        <f>CU5+IF(AND(CT6&lt;&gt;"",COUNTIF(CT$4:CT6,CT6)=1),1,0)</f>
        <v>1</v>
      </c>
      <c r="CV6" s="55">
        <f>IF(ROW()-3&gt;MAX(CU$4:CU$40),"",INDEX(CT$4:CT$40,MATCH(ROW()-3,CU$4:CU$40,0)))</f>
        <v>15802</v>
      </c>
      <c r="CW6" s="55">
        <f>IF('Final Calculation Sheet'!$S$6="","",'Final Calculation Sheet'!$S$6)</f>
        <v>47964</v>
      </c>
      <c r="CX6">
        <f>IF(CW6="","",COUNTIFS(CW$4:CW$40,"&lt;"&amp;CW6,CW$4:CW$40,"&lt;&gt;"&amp;"")+COUNTIF(CW$4:CW6,CW6))</f>
        <v>8</v>
      </c>
      <c r="CY6" s="55">
        <f>IF(ROW()-3&gt;COUNTIF(CW$4:CW$40,"&lt;&gt;"&amp;""),"",INDEX(CW$4:CW$40,MATCH(ROW()-3,CX$4:CX$40,0)))</f>
        <v>24777</v>
      </c>
      <c r="CZ6">
        <f>CZ5+IF(AND(CY6&lt;&gt;"",COUNTIF(CY$4:CY6,CY6)=1),1,0)</f>
        <v>3</v>
      </c>
      <c r="DA6" s="55">
        <f>IF(ROW()-3&gt;MAX(CZ$4:CZ$40),"",INDEX(CY$4:CY$40,MATCH(ROW()-3,CZ$4:CZ$40,0)))</f>
        <v>24777</v>
      </c>
      <c r="DB6" s="55">
        <f>IF('Final Calculation Sheet'!$T$6="","",'Final Calculation Sheet'!$T$6)</f>
        <v>10192</v>
      </c>
      <c r="DC6">
        <f>IF(DB6="","",COUNTIFS(DB$4:DB$40,"&lt;"&amp;DB6,DB$4:DB$40,"&lt;&gt;"&amp;"")+COUNTIF(DB$4:DB6,DB6))</f>
        <v>8</v>
      </c>
      <c r="DD6" s="55">
        <f>IF(ROW()-3&gt;COUNTIF(DB$4:DB$40,"&lt;&gt;"&amp;""),"",INDEX(DB$4:DB$40,MATCH(ROW()-3,DC$4:DC$40,0)))</f>
        <v>5265</v>
      </c>
      <c r="DE6">
        <f>DE5+IF(AND(DD6&lt;&gt;"",COUNTIF(DD$4:DD6,DD6)=1),1,0)</f>
        <v>3</v>
      </c>
      <c r="DF6" s="55">
        <f>IF(ROW()-3&gt;MAX(DE$4:DE$40),"",INDEX(DD$4:DD$40,MATCH(ROW()-3,DE$4:DE$40,0)))</f>
        <v>5265</v>
      </c>
      <c r="DG6" s="140">
        <f>IF('Final Calculation Sheet'!$U$6="","",'Final Calculation Sheet'!$U$6)</f>
        <v>10192</v>
      </c>
      <c r="DH6">
        <f>IF(DG6="","",COUNTIFS(DG$4:DG$40,"&lt;"&amp;DG6,DG$4:DG$40,"&lt;&gt;"&amp;"")+COUNTIF(DG$4:DG6,DG6))</f>
        <v>8</v>
      </c>
      <c r="DI6" s="140">
        <f>IF(ROW()-3&gt;COUNTIF(DG$4:DG$40,"&lt;&gt;"&amp;""),"",INDEX(DG$4:DG$40,MATCH(ROW()-3,DH$4:DH$40,0)))</f>
        <v>5265</v>
      </c>
      <c r="DJ6">
        <f>DJ5+IF(AND(DI6&lt;&gt;"",COUNTIF(DI$4:DI6,DI6)=1),1,0)</f>
        <v>3</v>
      </c>
      <c r="DK6" s="140">
        <f>IF(ROW()-3&gt;MAX(DJ$4:DJ$40),"",INDEX(DI$4:DI$40,MATCH(ROW()-3,DJ$4:DJ$40,0)))</f>
        <v>5265</v>
      </c>
      <c r="DL6" t="str">
        <f>IF('Final Calculation Sheet'!$V$6="","",'Final Calculation Sheet'!$V$6)</f>
        <v>11.08.2026</v>
      </c>
      <c r="DM6">
        <f>IF(DL6="","",COUNTIFS(DL$4:DL$40,"&lt;"&amp;DL6,DL$4:DL$40,"&lt;&gt;"&amp;"")+COUNTIF(DL$4:DL6,DL6))</f>
        <v>2</v>
      </c>
      <c r="DN6" t="str">
        <f>IF(ROW()-3&gt;COUNTIF(DL$4:DL$40,"&lt;&gt;"&amp;""),"",INDEX(DL$4:DL$40,MATCH(ROW()-3,DM$4:DM$40,0)))</f>
        <v>11.08.2026</v>
      </c>
      <c r="DO6">
        <f>DO5+IF(AND(DN6&lt;&gt;"",COUNTIF(DN$4:DN6,DN6)=1),1,0)</f>
        <v>2</v>
      </c>
      <c r="DP6" t="str">
        <f>IF(ROW()-3&gt;MAX(DO$4:DO$40),"",INDEX(DN$4:DN$40,MATCH(ROW()-3,DO$4:DO$40,0)))</f>
        <v>13.08.2026</v>
      </c>
      <c r="DQ6" s="55">
        <f>IF('Final Calculation Sheet'!$W$6="","",'Final Calculation Sheet'!$W$6)</f>
        <v>37772</v>
      </c>
      <c r="DR6">
        <f>IF(DQ6="","",COUNTIFS(DQ$4:DQ$40,"&lt;"&amp;DQ6,DQ$4:DQ$40,"&lt;&gt;"&amp;"")+COUNTIF(DQ$4:DQ6,DQ6))</f>
        <v>8</v>
      </c>
      <c r="DS6" s="55">
        <f>IF(ROW()-3&gt;COUNTIF(DQ$4:DQ$40,"&lt;&gt;"&amp;""),"",INDEX(DQ$4:DQ$40,MATCH(ROW()-3,DR$4:DR$40,0)))</f>
        <v>19512</v>
      </c>
      <c r="DT6">
        <f>DT5+IF(AND(DS6&lt;&gt;"",COUNTIF(DS$4:DS6,DS6)=1),1,0)</f>
        <v>3</v>
      </c>
      <c r="DU6" s="55">
        <f>IF(ROW()-3&gt;MAX(DT$4:DT$40),"",INDEX(DS$4:DS$40,MATCH(ROW()-3,DT$4:DT$40,0)))</f>
        <v>19512</v>
      </c>
      <c r="DV6" s="55">
        <f>IF('Final Calculation Sheet'!$X$6="","",'Final Calculation Sheet'!$X$6)</f>
        <v>37772</v>
      </c>
      <c r="DW6">
        <f>IF(DV6="","",COUNTIFS(DV$4:DV$40,"&lt;"&amp;DV6,DV$4:DV$40,"&lt;&gt;"&amp;"")+COUNTIF(DV$4:DV6,DV6))</f>
        <v>8</v>
      </c>
      <c r="DX6" s="55">
        <f>IF(ROW()-3&gt;COUNTIF(DV$4:DV$40,"&lt;&gt;"&amp;""),"",INDEX(DV$4:DV$40,MATCH(ROW()-3,DW$4:DW$40,0)))</f>
        <v>19512</v>
      </c>
      <c r="DY6">
        <f>DY5+IF(AND(DX6&lt;&gt;"",COUNTIF(DX$4:DX6,DX6)=1),1,0)</f>
        <v>3</v>
      </c>
      <c r="DZ6" t="e">
        <f>IF(ROW()-3&gt;MAX(DY$4:DY$40),"",INDEX(DX$4:DX$40,MATCH(ROW()-3,DY$4:DY$40,0)))</f>
        <v>#N/A</v>
      </c>
      <c r="EA6" t="str">
        <f>IF('Final Calculation Sheet'!$Y$6="","",'Final Calculation Sheet'!$Y$6)</f>
        <v>20.08.2026</v>
      </c>
      <c r="EB6">
        <f>IF(EA6="","",COUNTIFS(EA$4:EA$40,"&lt;"&amp;EA6,EA$4:EA$40,"&lt;&gt;"&amp;"")+COUNTIF(EA$4:EA6,EA6))</f>
        <v>14</v>
      </c>
      <c r="EC6" t="str">
        <f>IF(ROW()-3&gt;COUNTIF(EA$4:EA$40,"&lt;&gt;"&amp;""),"",INDEX(EA$4:EA$40,MATCH(ROW()-3,EB$4:EB$40,0)))</f>
        <v>10.08.2026</v>
      </c>
      <c r="ED6">
        <f>ED5+IF(AND(EC6&lt;&gt;"",COUNTIF(EC$4:EC6,EC6)=1),1,0)</f>
        <v>2</v>
      </c>
      <c r="EE6" t="e">
        <f>IF(ROW()-3&gt;MAX(ED$4:ED$40),"",INDEX(EC$4:EC$40,MATCH(ROW()-3,ED$4:ED$40,0)))</f>
        <v>#N/A</v>
      </c>
      <c r="EF6" s="55">
        <f>IF('Final Calculation Sheet'!$Z$6="","",'Final Calculation Sheet'!$Z$6)</f>
        <v>0</v>
      </c>
      <c r="EG6">
        <f>IF(EF6="","",COUNTIFS(EF$4:EF$40,"&lt;"&amp;EF6,EF$4:EF$40,"&lt;&gt;"&amp;"")+COUNTIF(EF$4:EF6,EF6))</f>
        <v>3</v>
      </c>
      <c r="EH6" s="55">
        <f>IF(ROW()-3&gt;COUNTIF(EF$4:EF$40,"&lt;&gt;"&amp;""),"",INDEX(EF$4:EF$40,MATCH(ROW()-3,EG$4:EG$40,0)))</f>
        <v>0</v>
      </c>
      <c r="EI6">
        <f>EI5+IF(AND(EH6&lt;&gt;"",COUNTIF(EH$4:EH6,EH6)=1),1,0)</f>
        <v>1</v>
      </c>
      <c r="EJ6" s="55">
        <f>IF(ROW()-3&gt;MAX(EI$4:EI$40),"",INDEX(EH$4:EH$40,MATCH(ROW()-3,EI$4:EI$40,0)))</f>
        <v>1911.6</v>
      </c>
      <c r="EK6" t="str">
        <f>IF('Final Calculation Sheet'!$AA$6="","",'Final Calculation Sheet'!$AA$6)</f>
        <v/>
      </c>
      <c r="EL6" t="str">
        <f>IF(EK6="","",COUNTIFS(EK$4:EK$40,"&lt;"&amp;EK6,EK$4:EK$40,"&lt;&gt;"&amp;"")+COUNTIF(EK$4:EK6,EK6))</f>
        <v/>
      </c>
      <c r="EM6" t="e">
        <f>IF(ROW()-3&gt;COUNTIF(EK$4:EK$40,"&lt;&gt;"&amp;""),"",INDEX(EK$4:EK$40,MATCH(ROW()-3,EL$4:EL$40,0)))</f>
        <v>#N/A</v>
      </c>
      <c r="EN6" t="e">
        <f>EN5+IF(AND(EM6&lt;&gt;"",COUNTIF(EM$4:EM6,EM6)=1),1,0)</f>
        <v>#N/A</v>
      </c>
      <c r="EO6" t="e">
        <f>IF(ROW()-3&gt;MAX(EN$4:EN$40),"",INDEX(EM$4:EM$40,MATCH(ROW()-3,EN$4:EN$40,0)))</f>
        <v>#N/A</v>
      </c>
      <c r="EP6" t="str">
        <f>IF('Final Calculation Sheet'!$AB$6="","",'Final Calculation Sheet'!$AB$6)</f>
        <v/>
      </c>
      <c r="EQ6" t="str">
        <f>IF(EP6="","",COUNTIFS(EP$4:EP$40,"&lt;"&amp;EP6,EP$4:EP$40,"&lt;&gt;"&amp;"")+COUNTIF(EP$4:EP6,EP6))</f>
        <v/>
      </c>
      <c r="ER6" t="e">
        <f>IF(ROW()-3&gt;COUNTIF(EP$4:EP$40,"&lt;&gt;"&amp;""),"",INDEX(EP$4:EP$40,MATCH(ROW()-3,EQ$4:EQ$40,0)))</f>
        <v>#N/A</v>
      </c>
      <c r="ES6" t="e">
        <f>ES5+IF(AND(ER6&lt;&gt;"",COUNTIF(ER$4:ER6,ER6)=1),1,0)</f>
        <v>#N/A</v>
      </c>
      <c r="ET6" t="e">
        <f>IF(ROW()-3&gt;MAX(ES$4:ES$40),"",INDEX(ER$4:ER$40,MATCH(ROW()-3,ES$4:ES$40,0)))</f>
        <v>#N/A</v>
      </c>
      <c r="EU6" s="55">
        <f>IF('Final Calculation Sheet'!$AC$6="","",'Final Calculation Sheet'!$AC$6)</f>
        <v>47964</v>
      </c>
      <c r="EV6">
        <f>IF(EU6="","",COUNTIFS(EU$4:EU$40,"&lt;"&amp;EU6,EU$4:EU$40,"&lt;&gt;"&amp;"")+COUNTIF(EU$4:EU6,EU6))</f>
        <v>9</v>
      </c>
      <c r="EW6" s="55">
        <f>IF(ROW()-3&gt;COUNTIF(EU$4:EU$40,"&lt;&gt;"&amp;""),"",INDEX(EU$4:EU$40,MATCH(ROW()-3,EV$4:EV$40,0)))</f>
        <v>20589</v>
      </c>
      <c r="EX6">
        <f>EX5+IF(AND(EW6&lt;&gt;"",COUNTIF(EW$4:EW6,EW6)=1),1,0)</f>
        <v>3</v>
      </c>
      <c r="EY6" s="55">
        <f>IF(ROW()-3&gt;MAX(EX$4:EX$40),"",INDEX(EW$4:EW$40,MATCH(ROW()-3,EX$4:EX$40,0)))</f>
        <v>20589</v>
      </c>
      <c r="EZ6" s="55">
        <f>IF('Final Calculation Sheet'!$AD$6="","",'Final Calculation Sheet'!$AD$6)</f>
        <v>0</v>
      </c>
      <c r="FA6">
        <f>IF(EZ6="","",COUNTIFS(EZ$4:EZ$40,"&lt;"&amp;EZ6,EZ$4:EZ$40,"&lt;&gt;"&amp;"")+COUNTIF(EZ$4:EZ6,EZ6))</f>
        <v>10</v>
      </c>
      <c r="FB6" s="55">
        <f>IF(ROW()-3&gt;COUNTIF(EZ$4:EZ$40,"&lt;&gt;"&amp;""),"",INDEX(EZ$4:EZ$40,MATCH(ROW()-3,FA$4:FA$40,0)))</f>
        <v>-48</v>
      </c>
      <c r="FC6">
        <f>FC5+IF(AND(FB6&lt;&gt;"",COUNTIF(FB$4:FB6,FB6)=1),1,0)</f>
        <v>3</v>
      </c>
      <c r="FD6" s="55" t="e">
        <f>IF(ROW()-3&gt;MAX(FC$4:FC$40),"",INDEX(FB$4:FB$40,MATCH(ROW()-3,FC$4:FC$40,0)))</f>
        <v>#N/A</v>
      </c>
      <c r="FE6" t="str">
        <f>IF('Final Calculation Sheet'!$AE$6="","",'Final Calculation Sheet'!$AE$6)</f>
        <v>DR2640100047</v>
      </c>
      <c r="FF6">
        <f>IF(FE6="","",COUNTIFS(FE$4:FE$40,"&lt;"&amp;FE6,FE$4:FE$40,"&lt;&gt;"&amp;"")+COUNTIF(FE$4:FE6,FE6))</f>
        <v>36</v>
      </c>
      <c r="FG6" t="e">
        <f>IF(ROW()-3&gt;COUNTIF(FE$4:FE$40,"&lt;&gt;"&amp;""),"",INDEX(FE$4:FE$40,MATCH(ROW()-3,FF$4:FF$40,0)))</f>
        <v>#N/A</v>
      </c>
      <c r="FH6" t="e">
        <f>FH5+IF(AND(FG6&lt;&gt;"",COUNTIF(FG$4:FG6,FG6)=1),1,0)</f>
        <v>#N/A</v>
      </c>
      <c r="FI6" t="e">
        <f>IF(ROW()-3&gt;MAX(FH$4:FH$40),"",INDEX(FG$4:FG$40,MATCH(ROW()-3,FH$4:FH$40,0)))</f>
        <v>#N/A</v>
      </c>
      <c r="FJ6" s="141">
        <f>IF('Final Calculation Sheet'!$AF$6="","",'Final Calculation Sheet'!$AF$6)</f>
        <v>1800003346</v>
      </c>
      <c r="FK6">
        <f>IF(FJ6="","",COUNTIFS(FJ$4:FJ$40,"&lt;"&amp;FJ6,FJ$4:FJ$40,"&lt;&gt;"&amp;"")+COUNTIF(FJ$4:FJ6,FJ6))</f>
        <v>31</v>
      </c>
      <c r="FL6" s="141">
        <f>IF(ROW()-3&gt;COUNTIF(FJ$4:FJ$40,"&lt;&gt;"&amp;""),"",INDEX(FJ$4:FJ$40,MATCH(ROW()-3,FK$4:FK$40,0)))</f>
        <v>1800003157</v>
      </c>
      <c r="FM6">
        <f>FM5+IF(AND(FL6&lt;&gt;"",COUNTIF(FL$4:FL6,FL6)=1),1,0)</f>
        <v>3</v>
      </c>
      <c r="FN6" t="e">
        <f>IF(ROW()-3&gt;MAX(FM$4:FM$40),"",INDEX(FL$4:FL$40,MATCH(ROW()-3,FM$4:FM$40,0)))</f>
        <v>#N/A</v>
      </c>
      <c r="FO6" t="str">
        <f>IF('Final Calculation Sheet'!$AG$6="","",'Final Calculation Sheet'!$AG$6)</f>
        <v>27.08.2026</v>
      </c>
      <c r="FP6">
        <f>IF(FO6="","",COUNTIFS(FO$4:FO$40,"&lt;"&amp;FO6,FO$4:FO$40,"&lt;&gt;"&amp;"")+COUNTIF(FO$4:FO6,FO6))</f>
        <v>20</v>
      </c>
      <c r="FQ6" t="e">
        <f>IF(ROW()-3&gt;COUNTIF(FO$4:FO$40,"&lt;&gt;"&amp;""),"",INDEX(FO$4:FO$40,MATCH(ROW()-3,FP$4:FP$40,0)))</f>
        <v>#N/A</v>
      </c>
      <c r="FR6" t="e">
        <f>FR5+IF(AND(FQ6&lt;&gt;"",COUNTIF(FQ$4:FQ6,FQ6)=1),1,0)</f>
        <v>#N/A</v>
      </c>
      <c r="FS6" t="e">
        <f>IF(ROW()-3&gt;MAX(FR$4:FR$40),"",INDEX(FQ$4:FQ$40,MATCH(ROW()-3,FR$4:FR$40,0)))</f>
        <v>#N/A</v>
      </c>
      <c r="FU6" t="str">
        <f>IF(FT6="","",COUNTIFS(FT$4:FT$40,"&lt;"&amp;FT6,FT$4:FT$40,"&lt;&gt;"&amp;"")+COUNTIF(FT$4:FT6,FT6))</f>
        <v/>
      </c>
      <c r="FV6" t="str">
        <f>IF(ROW()-3&gt;COUNTIF(FT$4:FT$40,"&lt;&gt;"&amp;""),"",INDEX(FT$4:FT$40,MATCH(ROW()-3,FU$4:FU$40,0)))</f>
        <v/>
      </c>
      <c r="FW6">
        <f>FW5+IF(AND(FV6&lt;&gt;"",COUNTIF(FV$4:FV6,FV6)=1),1,0)</f>
        <v>2</v>
      </c>
      <c r="FX6" t="str">
        <f>IF(ROW()-3&gt;MAX(FW$4:FW$40),"",INDEX(FV$4:FV$40,MATCH(ROW()-3,FW$4:FW$40,0)))</f>
        <v/>
      </c>
    </row>
    <row r="7">
      <c r="A7">
        <f>IF('Final Calculation Sheet'!$F$7="","",'Final Calculation Sheet'!$F$7)</f>
        <v>1876</v>
      </c>
      <c r="B7">
        <f>IF(A7="","",COUNTIFS(A$4:A$114,"&lt;"&amp;A7,A$4:A$114,"&lt;&gt;"&amp;"")+COUNTIF(A$4:A7,A7))</f>
        <v>4</v>
      </c>
      <c r="C7">
        <f>IF(ROW()-3&gt;COUNTIF(A$4:A$114,"&lt;&gt;"&amp;""),"",INDEX(A$4:A$114,MATCH(ROW()-3,B$4:B$114,0)))</f>
        <v>1876</v>
      </c>
      <c r="D7">
        <f>D6+IF(AND(C7&lt;&gt;"",COUNTIF(C$4:C7,C7)=1),1,0)</f>
        <v>4</v>
      </c>
      <c r="E7" t="e">
        <f>IF(ROW()-3&gt;MAX(D$4:D$114),"",INDEX(C$4:C$114,MATCH(ROW()-3,D$4:D$114,0)))</f>
        <v>#N/A</v>
      </c>
      <c r="F7">
        <f>ROW()-3</f>
        <v>4</v>
      </c>
      <c r="G7">
        <f>IF(F7="","",COUNTIFS(F$4:F$40,"&lt;"&amp;F7,F$4:F$40,"&lt;&gt;"&amp;"")+COUNTIF(F$4:F7,F7))</f>
        <v>4</v>
      </c>
      <c r="H7">
        <f>IF(ROW()-3&gt;COUNTIF(F$4:F$40,"&lt;&gt;"&amp;""),"",INDEX(F$4:F$40,MATCH(ROW()-3,G$4:G$40,0)))</f>
        <v>4</v>
      </c>
      <c r="I7">
        <f>I6+IF(AND(H7&lt;&gt;"",COUNTIF(H$4:H7,H7)=1),1,0)</f>
        <v>4</v>
      </c>
      <c r="J7">
        <f>IF(ROW()-3&gt;MAX(I$4:I$40),"",INDEX(H$4:H$40,MATCH(ROW()-3,I$4:I$40,0)))</f>
        <v>4</v>
      </c>
      <c r="K7">
        <f>IF('Final Calculation Sheet'!$F$7="","",'Final Calculation Sheet'!$F$7)</f>
        <v>1876</v>
      </c>
      <c r="L7">
        <f>IF(K7="","",COUNTIFS(K$4:K$40,"&lt;"&amp;K7,K$4:K$40,"&lt;&gt;"&amp;"")+COUNTIF(K$4:K7,K7))</f>
        <v>4</v>
      </c>
      <c r="M7">
        <f>IF(ROW()-3&gt;COUNTIF(K$4:K$40,"&lt;&gt;"&amp;""),"",INDEX(K$4:K$40,MATCH(ROW()-3,L$4:L$40,0)))</f>
        <v>1876</v>
      </c>
      <c r="N7">
        <f>N6+IF(AND(M7&lt;&gt;"",COUNTIF(M$4:M7,M7)=1),1,0)</f>
        <v>4</v>
      </c>
      <c r="O7">
        <f>IF(ROW()-3&gt;MAX(N$4:N$40),"",INDEX(M$4:M$40,MATCH(ROW()-3,N$4:N$40,0)))</f>
        <v>1876</v>
      </c>
      <c r="P7" t="str">
        <f>IF('Final Calculation Sheet'!$G$7="","",'Final Calculation Sheet'!$G$7)</f>
        <v>F R KHANS ENTERPRISES</v>
      </c>
      <c r="Q7">
        <f>IF(P7="","",COUNTIFS(P$4:P$40,"&lt;"&amp;P7,P$4:P$40,"&lt;&gt;"&amp;"")+COUNTIF(P$4:P7,P7))</f>
        <v>3</v>
      </c>
      <c r="R7" t="str">
        <f>IF(ROW()-3&gt;COUNTIF(P$4:P$40,"&lt;&gt;"&amp;""),"",INDEX(P$4:P$40,MATCH(ROW()-3,Q$4:Q$40,0)))</f>
        <v>HIND TRADERS</v>
      </c>
      <c r="S7">
        <f>S6+IF(AND(R7&lt;&gt;"",COUNTIF(R$4:R7,R7)=1),1,0)</f>
        <v>3</v>
      </c>
      <c r="T7" t="str">
        <f>IF(ROW()-3&gt;MAX(S$4:S$40),"",INDEX(R$4:R$40,MATCH(ROW()-3,S$4:S$40,0)))</f>
        <v>KASHYAP TRADING CO</v>
      </c>
      <c r="U7" t="str">
        <f>IF('Final Calculation Sheet'!$B$7="","",'Final Calculation Sheet'!$B$7)</f>
        <v>Scrap of MS (extracted from equip cage and empty Sf6 gas cylinder)</v>
      </c>
      <c r="V7">
        <f>IF(U7="","",COUNTIFS(U$4:U$40,"&lt;"&amp;U7,U$4:U$40,"&lt;&gt;"&amp;"")+COUNTIF(U$4:U7,U7))</f>
        <v>35</v>
      </c>
      <c r="W7" t="str">
        <f>IF(ROW()-3&gt;COUNTIF(U$4:U$40,"&lt;&gt;"&amp;""),"",INDEX(U$4:U$40,MATCH(ROW()-3,V$4:V$40,0)))</f>
        <v>SCRAP COPPER OF T/F WINDING (Oil impregnated paper insulated T/F winding)</v>
      </c>
      <c r="X7">
        <f>X6+IF(AND(W7&lt;&gt;"",COUNTIF(W$4:W7,W7)=1),1,0)</f>
        <v>4</v>
      </c>
      <c r="Y7" t="str">
        <f>IF(ROW()-3&gt;MAX(X$4:X$40),"",INDEX(W$4:W$40,MATCH(ROW()-3,X$4:X$40,0)))</f>
        <v>SCRAP COPPER OF T/F WINDING (Oil impregnated paper insulated T/F winding)</v>
      </c>
      <c r="Z7">
        <f>IF('Final Calculation Sheet'!$D$7="","",'Final Calculation Sheet'!$D$7)</f>
        <v>21977</v>
      </c>
      <c r="AA7">
        <f>IF(Z7="","",COUNTIFS(Z$4:Z$40,"&lt;"&amp;Z7,Z$4:Z$40,"&lt;&gt;"&amp;"")+COUNTIF(Z$4:Z7,Z7))</f>
        <v>3</v>
      </c>
      <c r="AB7">
        <f>IF(ROW()-3&gt;COUNTIF(Z$4:Z$40,"&lt;&gt;"&amp;""),"",INDEX(Z$4:Z$40,MATCH(ROW()-3,AA$4:AA$40,0)))</f>
        <v>21977</v>
      </c>
      <c r="AC7">
        <f>AC6+IF(AND(AB7&lt;&gt;"",COUNTIF(AB$4:AB7,AB7)=1),1,0)</f>
        <v>1</v>
      </c>
      <c r="AD7">
        <f>IF(ROW()-3&gt;MAX(AC$4:AC$40),"",INDEX(AB$4:AB$40,MATCH(ROW()-3,AC$4:AC$40,0)))</f>
        <v>21980</v>
      </c>
      <c r="AE7">
        <f>IF('Final Calculation Sheet'!$A$7="","",'Final Calculation Sheet'!$A$7)</f>
        <v>3000</v>
      </c>
      <c r="AF7">
        <f>IF(AE7="","",COUNTIFS(AE$4:AE$40,"&lt;"&amp;AE7,AE$4:AE$40,"&lt;&gt;"&amp;"")+COUNTIF(AE$4:AE7,AE7))</f>
        <v>35</v>
      </c>
      <c r="AG7">
        <f>IF(ROW()-3&gt;COUNTIF(AE$4:AE$40,"&lt;&gt;"&amp;""),"",INDEX(AE$4:AE$40,MATCH(ROW()-3,AF$4:AF$40,0)))</f>
        <v>1</v>
      </c>
      <c r="AH7">
        <f>AH6+IF(AND(AG7&lt;&gt;"",COUNTIF(AG$4:AG7,AG7)=1),1,0)</f>
        <v>1</v>
      </c>
      <c r="AI7">
        <f>IF(ROW()-3&gt;MAX(AH$4:AH$40),"",INDEX(AG$4:AG$40,MATCH(ROW()-3,AH$4:AH$40,0)))</f>
        <v>4</v>
      </c>
      <c r="AJ7" t="str">
        <f>IF('Final Calculation Sheet'!$E$7="","",'Final Calculation Sheet'!$E$7)</f>
        <v>KG</v>
      </c>
      <c r="AK7">
        <f>IF(AJ7="","",COUNTIFS(AJ$4:AJ$40,"&lt;"&amp;AJ7,AJ$4:AJ$40,"&lt;&gt;"&amp;"")+COUNTIF(AJ$4:AJ7,AJ7))</f>
        <v>3</v>
      </c>
      <c r="AL7" t="str">
        <f>IF(ROW()-3&gt;COUNTIF(AJ$4:AJ$40,"&lt;&gt;"&amp;""),"",INDEX(AJ$4:AJ$40,MATCH(ROW()-3,AK$4:AK$40,0)))</f>
        <v>KG</v>
      </c>
      <c r="AM7">
        <f>AM6+IF(AND(AL7&lt;&gt;"",COUNTIF(AL$4:AL7,AL7)=1),1,0)</f>
        <v>1</v>
      </c>
      <c r="AN7" t="str">
        <f>IF(ROW()-3&gt;MAX(AM$4:AM$40),"",INDEX(AL$4:AL$40,MATCH(ROW()-3,AM$4:AM$40,0)))</f>
        <v/>
      </c>
      <c r="AO7" s="55">
        <f>IF('Final Calculation Sheet'!$C$7="","",'Final Calculation Sheet'!$C$7)</f>
        <v>66</v>
      </c>
      <c r="AP7">
        <f>IF(AO7="","",COUNTIFS(AO$4:AO$40,"&lt;"&amp;AO7,AO$4:AO$40,"&lt;&gt;"&amp;"")+COUNTIF(AO$4:AO7,AO7))</f>
        <v>1</v>
      </c>
      <c r="AQ7" s="55">
        <f>IF(ROW()-3&gt;COUNTIF(AO$4:AO$40,"&lt;&gt;"&amp;""),"",INDEX(AO$4:AO$40,MATCH(ROW()-3,AP$4:AP$40,0)))</f>
        <v>333</v>
      </c>
      <c r="AR7">
        <f>AR6+IF(AND(AQ7&lt;&gt;"",COUNTIF(AQ$4:AQ7,AQ7)=1),1,0)</f>
        <v>4</v>
      </c>
      <c r="AS7" s="55">
        <f>IF(ROW()-3&gt;MAX(AR$4:AR$40),"",INDEX(AQ$4:AQ$40,MATCH(ROW()-3,AR$4:AR$40,0)))</f>
        <v>333</v>
      </c>
      <c r="AT7" s="55">
        <f>IF('Final Calculation Sheet'!$H$7="","",'Final Calculation Sheet'!$H$7)</f>
        <v>198000</v>
      </c>
      <c r="AU7">
        <f>IF(AT7="","",COUNTIFS(AT$4:AT$40,"&lt;"&amp;AT7,AT$4:AT$40,"&lt;&gt;"&amp;"")+COUNTIF(AT$4:AT7,AT7))</f>
        <v>21</v>
      </c>
      <c r="AV7" s="55">
        <f>IF(ROW()-3&gt;COUNTIF(AT$4:AT$40,"&lt;&gt;"&amp;""),"",INDEX(AT$4:AT$40,MATCH(ROW()-3,AU$4:AU$40,0)))</f>
        <v>26550</v>
      </c>
      <c r="AW7">
        <f>AW6+IF(AND(AV7&lt;&gt;"",COUNTIF(AV$4:AV7,AV7)=1),1,0)</f>
        <v>4</v>
      </c>
      <c r="AX7" s="55">
        <f>IF(ROW()-3&gt;MAX(AW$4:AW$40),"",INDEX(AV$4:AV$40,MATCH(ROW()-3,AW$4:AW$40,0)))</f>
        <v>26550</v>
      </c>
      <c r="AY7" s="55">
        <f>IF('Final Calculation Sheet'!$I$7="","",'Final Calculation Sheet'!$I$7)</f>
        <v>35640</v>
      </c>
      <c r="AZ7">
        <f>IF(AY7="","",COUNTIFS(AY$4:AY$40,"&lt;"&amp;AY7,AY$4:AY$40,"&lt;&gt;"&amp;"")+COUNTIF(AY$4:AY7,AY7))</f>
        <v>21</v>
      </c>
      <c r="BA7" s="55">
        <f>IF(ROW()-3&gt;COUNTIF(AY$4:AY$40,"&lt;&gt;"&amp;""),"",INDEX(AY$4:AY$40,MATCH(ROW()-3,AZ$4:AZ$40,0)))</f>
        <v>4779</v>
      </c>
      <c r="BB7">
        <f>BB6+IF(AND(BA7&lt;&gt;"",COUNTIF(BA$4:BA7,BA7)=1),1,0)</f>
        <v>4</v>
      </c>
      <c r="BC7" s="55">
        <f>IF(ROW()-3&gt;MAX(BB$4:BB$40),"",INDEX(BA$4:BA$40,MATCH(ROW()-3,BB$4:BB$40,0)))</f>
        <v>4779</v>
      </c>
      <c r="BD7" s="55">
        <f>IF('Final Calculation Sheet'!$J$7="","",'Final Calculation Sheet'!$J$7)</f>
        <v>233640</v>
      </c>
      <c r="BE7">
        <f>IF(BD7="","",COUNTIFS(BD$4:BD$40,"&lt;"&amp;BD7,BD$4:BD$40,"&lt;&gt;"&amp;"")+COUNTIF(BD$4:BD7,BD7))</f>
        <v>21</v>
      </c>
      <c r="BF7" s="55">
        <f>IF(ROW()-3&gt;COUNTIF(BD$4:BD$40,"&lt;&gt;"&amp;""),"",INDEX(BD$4:BD$40,MATCH(ROW()-3,BE$4:BE$40,0)))</f>
        <v>31329</v>
      </c>
      <c r="BG7">
        <f>BG6+IF(AND(BF7&lt;&gt;"",COUNTIF(BF$4:BF7,BF7)=1),1,0)</f>
        <v>4</v>
      </c>
      <c r="BH7" s="55">
        <f>IF(ROW()-3&gt;MAX(BG$4:BG$40),"",INDEX(BF$4:BF$40,MATCH(ROW()-3,BG$4:BG$40,0)))</f>
        <v>31329</v>
      </c>
      <c r="BI7" s="55">
        <f>IF('Final Calculation Sheet'!$K$7="","",'Final Calculation Sheet'!$K$7)</f>
        <v>4673</v>
      </c>
      <c r="BJ7">
        <f>IF(BI7="","",COUNTIFS(BI$4:BI$40,"&lt;"&amp;BI7,BI$4:BI$40,"&lt;&gt;"&amp;"")+COUNTIF(BI$4:BI7,BI7))</f>
        <v>21</v>
      </c>
      <c r="BK7" s="55">
        <f>IF(ROW()-3&gt;COUNTIF(BI$4:BI$40,"&lt;&gt;"&amp;""),"",INDEX(BI$4:BI$40,MATCH(ROW()-3,BJ$4:BJ$40,0)))</f>
        <v>627</v>
      </c>
      <c r="BL7">
        <f>BL6+IF(AND(BK7&lt;&gt;"",COUNTIF(BK$4:BK7,BK7)=1),1,0)</f>
        <v>4</v>
      </c>
      <c r="BM7" s="55">
        <f>IF(ROW()-3&gt;MAX(BL$4:BL$40),"",INDEX(BK$4:BK$40,MATCH(ROW()-3,BL$4:BL$40,0)))</f>
        <v>627</v>
      </c>
      <c r="BN7" s="55">
        <f>IF('Final Calculation Sheet'!$L$7="","",'Final Calculation Sheet'!$L$7)</f>
        <v>198</v>
      </c>
      <c r="BO7">
        <f>IF(BN7="","",COUNTIFS(BN$4:BN$40,"&lt;"&amp;BN7,BN$4:BN$40,"&lt;&gt;"&amp;"")+COUNTIF(BN$4:BN7,BN7))</f>
        <v>21</v>
      </c>
      <c r="BP7" s="55">
        <f>IF(ROW()-3&gt;COUNTIF(BN$4:BN$40,"&lt;&gt;"&amp;""),"",INDEX(BN$4:BN$40,MATCH(ROW()-3,BO$4:BO$40,0)))</f>
        <v>26.55</v>
      </c>
      <c r="BQ7">
        <f>BQ6+IF(AND(BP7&lt;&gt;"",COUNTIF(BP$4:BP7,BP7)=1),1,0)</f>
        <v>4</v>
      </c>
      <c r="BR7" s="55">
        <f>IF(ROW()-3&gt;MAX(BQ$4:BQ$40),"",INDEX(BP$4:BP$40,MATCH(ROW()-3,BQ$4:BQ$40,0)))</f>
        <v>26.55</v>
      </c>
      <c r="BS7" s="55">
        <f>IF('Final Calculation Sheet'!$M$7="","",'Final Calculation Sheet'!$M$7)</f>
        <v>5256.9</v>
      </c>
      <c r="BT7">
        <f>IF(BS7="","",COUNTIFS(BS$4:BS$40,"&lt;"&amp;BS7,BS$4:BS$40,"&lt;&gt;"&amp;"")+COUNTIF(BS$4:BS7,BS7))</f>
        <v>21</v>
      </c>
      <c r="BU7" s="55">
        <f>IF(ROW()-3&gt;COUNTIF(BS$4:BS$40,"&lt;&gt;"&amp;""),"",INDEX(BS$4:BS$40,MATCH(ROW()-3,BT$4:BT$40,0)))</f>
        <v>704.90249999999992</v>
      </c>
      <c r="BV7">
        <f>BV6+IF(AND(BU7&lt;&gt;"",COUNTIF(BU$4:BU7,BU7)=1),1,0)</f>
        <v>4</v>
      </c>
      <c r="BW7" s="55">
        <f>IF(ROW()-3&gt;MAX(BV$4:BV$40),"",INDEX(BU$4:BU$40,MATCH(ROW()-3,BV$4:BV$40,0)))</f>
        <v>704.90249999999992</v>
      </c>
      <c r="BX7" s="138">
        <f>IF('Final Calculation Sheet'!$N$7="","",'Final Calculation Sheet'!$N$7)</f>
        <v>89.100000000000009</v>
      </c>
      <c r="BY7">
        <f>IF(BX7="","",COUNTIFS(BX$4:BX$40,"&lt;"&amp;BX7,BX$4:BX$40,"&lt;&gt;"&amp;"")+COUNTIF(BX$4:BX7,BX7))</f>
        <v>21</v>
      </c>
      <c r="BZ7" s="138">
        <f>IF(ROW()-3&gt;COUNTIF(BX$4:BX$40,"&lt;&gt;"&amp;""),"",INDEX(BX$4:BX$40,MATCH(ROW()-3,BY$4:BY$40,0)))</f>
        <v>11.9475</v>
      </c>
      <c r="CA7">
        <f>CA6+IF(AND(BZ7&lt;&gt;"",COUNTIF(BZ$4:BZ7,BZ7)=1),1,0)</f>
        <v>4</v>
      </c>
      <c r="CB7" s="138">
        <f>IF(ROW()-3&gt;MAX(CA$4:CA$40),"",INDEX(BZ$4:BZ$40,MATCH(ROW()-3,CA$4:CA$40,0)))</f>
        <v>11.9475</v>
      </c>
      <c r="CC7" s="55">
        <f>IF('Final Calculation Sheet'!$O$7="","",'Final Calculation Sheet'!$O$7)</f>
        <v>5167.7999999999993</v>
      </c>
      <c r="CD7">
        <f>IF(CC7="","",COUNTIFS(CC$4:CC$40,"&lt;"&amp;CC7,CC$4:CC$40,"&lt;&gt;"&amp;"")+COUNTIF(CC$4:CC7,CC7))</f>
        <v>21</v>
      </c>
      <c r="CE7" s="55">
        <f>IF(ROW()-3&gt;COUNTIF(CC$4:CC$40,"&lt;&gt;"&amp;""),"",INDEX(CC$4:CC$40,MATCH(ROW()-3,CD$4:CD$40,0)))</f>
        <v>692.95499999999993</v>
      </c>
      <c r="CF7">
        <f>CF6+IF(AND(CE7&lt;&gt;"",COUNTIF(CE$4:CE7,CE7)=1),1,0)</f>
        <v>4</v>
      </c>
      <c r="CG7" s="55">
        <f>IF(ROW()-3&gt;MAX(CF$4:CF$40),"",INDEX(CE$4:CE$40,MATCH(ROW()-3,CF$4:CF$40,0)))</f>
        <v>692.95499999999993</v>
      </c>
      <c r="CH7" s="55">
        <f>IF('Final Calculation Sheet'!$P$7="","",'Final Calculation Sheet'!$P$7)</f>
        <v>5366</v>
      </c>
      <c r="CI7">
        <f>IF(CH7="","",COUNTIFS(CH$4:CH$40,"&lt;"&amp;CH7,CH$4:CH$40,"&lt;&gt;"&amp;"")+COUNTIF(CH$4:CH7,CH7))</f>
        <v>21</v>
      </c>
      <c r="CJ7" s="55">
        <f>IF(ROW()-3&gt;COUNTIF(CH$4:CH$40,"&lt;&gt;"&amp;""),"",INDEX(CH$4:CH$40,MATCH(ROW()-3,CI$4:CI$40,0)))</f>
        <v>720</v>
      </c>
      <c r="CK7">
        <f>CK6+IF(AND(CJ7&lt;&gt;"",COUNTIF(CJ$4:CJ7,CJ7)=1),1,0)</f>
        <v>4</v>
      </c>
      <c r="CL7" s="55">
        <f>IF(ROW()-3&gt;MAX(CK$4:CK$40),"",INDEX(CJ$4:CJ$40,MATCH(ROW()-3,CK$4:CK$40,0)))</f>
        <v>720</v>
      </c>
      <c r="CM7" s="139">
        <f>IF('Final Calculation Sheet'!$Q$7="","",'Final Calculation Sheet'!$Q$7)</f>
        <v>0</v>
      </c>
      <c r="CN7">
        <f>IF(CM7="","",COUNTIFS(CM$4:CM$40,"&lt;"&amp;CM7,CM$4:CM$40,"&lt;&gt;"&amp;"")+COUNTIF(CM$4:CM7,CM7))</f>
        <v>3</v>
      </c>
      <c r="CO7" s="139">
        <f>IF(ROW()-3&gt;COUNTIF(CM$4:CM$40,"&lt;&gt;"&amp;""),"",INDEX(CM$4:CM$40,MATCH(ROW()-3,CN$4:CN$40,0)))</f>
        <v>0</v>
      </c>
      <c r="CP7">
        <f>CP6+IF(AND(CO7&lt;&gt;"",COUNTIF(CO$4:CO7,CO7)=1),1,0)</f>
        <v>1</v>
      </c>
      <c r="CQ7" t="str">
        <f>IF(ROW()-3&gt;MAX(CP$4:CP$40),"",INDEX(CO$4:CO$40,MATCH(ROW()-3,CP$4:CP$40,0)))</f>
        <v/>
      </c>
      <c r="CR7" s="55">
        <f>IF('Final Calculation Sheet'!$R$7="","",'Final Calculation Sheet'!$R$7)</f>
        <v>0</v>
      </c>
      <c r="CS7">
        <f>IF(CR7="","",COUNTIFS(CR$4:CR$40,"&lt;"&amp;CR7,CR$4:CR$40,"&lt;&gt;"&amp;"")+COUNTIF(CR$4:CR7,CR7))</f>
        <v>3</v>
      </c>
      <c r="CT7" s="55">
        <f>IF(ROW()-3&gt;COUNTIF(CR$4:CR$40,"&lt;&gt;"&amp;""),"",INDEX(CR$4:CR$40,MATCH(ROW()-3,CS$4:CS$40,0)))</f>
        <v>0</v>
      </c>
      <c r="CU7">
        <f>CU6+IF(AND(CT7&lt;&gt;"",COUNTIF(CT$4:CT7,CT7)=1),1,0)</f>
        <v>1</v>
      </c>
      <c r="CV7" s="55">
        <f>IF(ROW()-3&gt;MAX(CU$4:CU$40),"",INDEX(CT$4:CT$40,MATCH(ROW()-3,CU$4:CU$40,0)))</f>
        <v>23310</v>
      </c>
      <c r="CW7" s="55">
        <f>IF('Final Calculation Sheet'!$S$7="","",'Final Calculation Sheet'!$S$7)</f>
        <v>232947</v>
      </c>
      <c r="CX7">
        <f>IF(CW7="","",COUNTIFS(CW$4:CW$40,"&lt;"&amp;CW7,CW$4:CW$40,"&lt;&gt;"&amp;"")+COUNTIF(CW$4:CW7,CW7))</f>
        <v>21</v>
      </c>
      <c r="CY7" s="55">
        <f>IF(ROW()-3&gt;COUNTIF(CW$4:CW$40,"&lt;&gt;"&amp;""),"",INDEX(CW$4:CW$40,MATCH(ROW()-3,CX$4:CX$40,0)))</f>
        <v>31236</v>
      </c>
      <c r="CZ7">
        <f>CZ6+IF(AND(CY7&lt;&gt;"",COUNTIF(CY$4:CY7,CY7)=1),1,0)</f>
        <v>4</v>
      </c>
      <c r="DA7" s="55">
        <f>IF(ROW()-3&gt;MAX(CZ$4:CZ$40),"",INDEX(CY$4:CY$40,MATCH(ROW()-3,CZ$4:CZ$40,0)))</f>
        <v>31236</v>
      </c>
      <c r="DB7" s="55">
        <f>IF('Final Calculation Sheet'!$T$7="","",'Final Calculation Sheet'!$T$7)</f>
        <v>49500</v>
      </c>
      <c r="DC7">
        <f>IF(DB7="","",COUNTIFS(DB$4:DB$40,"&lt;"&amp;DB7,DB$4:DB$40,"&lt;&gt;"&amp;"")+COUNTIF(DB$4:DB7,DB7))</f>
        <v>21</v>
      </c>
      <c r="DD7" s="55">
        <f>IF(ROW()-3&gt;COUNTIF(DB$4:DB$40,"&lt;&gt;"&amp;""),"",INDEX(DB$4:DB$40,MATCH(ROW()-3,DC$4:DC$40,0)))</f>
        <v>6638</v>
      </c>
      <c r="DE7">
        <f>DE6+IF(AND(DD7&lt;&gt;"",COUNTIF(DD$4:DD7,DD7)=1),1,0)</f>
        <v>4</v>
      </c>
      <c r="DF7" s="55">
        <f>IF(ROW()-3&gt;MAX(DE$4:DE$40),"",INDEX(DD$4:DD$40,MATCH(ROW()-3,DE$4:DE$40,0)))</f>
        <v>6638</v>
      </c>
      <c r="DG7" s="140">
        <f>IF('Final Calculation Sheet'!$U$7="","",'Final Calculation Sheet'!$U$7)</f>
        <v>49500</v>
      </c>
      <c r="DH7">
        <f>IF(DG7="","",COUNTIFS(DG$4:DG$40,"&lt;"&amp;DG7,DG$4:DG$40,"&lt;&gt;"&amp;"")+COUNTIF(DG$4:DG7,DG7))</f>
        <v>21</v>
      </c>
      <c r="DI7" s="140">
        <f>IF(ROW()-3&gt;COUNTIF(DG$4:DG$40,"&lt;&gt;"&amp;""),"",INDEX(DG$4:DG$40,MATCH(ROW()-3,DH$4:DH$40,0)))</f>
        <v>6638</v>
      </c>
      <c r="DJ7">
        <f>DJ6+IF(AND(DI7&lt;&gt;"",COUNTIF(DI$4:DI7,DI7)=1),1,0)</f>
        <v>4</v>
      </c>
      <c r="DK7" s="140">
        <f>IF(ROW()-3&gt;MAX(DJ$4:DJ$40),"",INDEX(DI$4:DI$40,MATCH(ROW()-3,DJ$4:DJ$40,0)))</f>
        <v>6638</v>
      </c>
      <c r="DL7" t="str">
        <f>IF('Final Calculation Sheet'!$V$7="","",'Final Calculation Sheet'!$V$7)</f>
        <v>11.08.2026</v>
      </c>
      <c r="DM7">
        <f>IF(DL7="","",COUNTIFS(DL$4:DL$40,"&lt;"&amp;DL7,DL$4:DL$40,"&lt;&gt;"&amp;"")+COUNTIF(DL$4:DL7,DL7))</f>
        <v>3</v>
      </c>
      <c r="DN7" t="str">
        <f>IF(ROW()-3&gt;COUNTIF(DL$4:DL$40,"&lt;&gt;"&amp;""),"",INDEX(DL$4:DL$40,MATCH(ROW()-3,DM$4:DM$40,0)))</f>
        <v>11.08.2026</v>
      </c>
      <c r="DO7">
        <f>DO6+IF(AND(DN7&lt;&gt;"",COUNTIF(DN$4:DN7,DN7)=1),1,0)</f>
        <v>2</v>
      </c>
      <c r="DP7" t="str">
        <f>IF(ROW()-3&gt;MAX(DO$4:DO$40),"",INDEX(DN$4:DN$40,MATCH(ROW()-3,DO$4:DO$40,0)))</f>
        <v>14.08.2026</v>
      </c>
      <c r="DQ7" s="55">
        <f>IF('Final Calculation Sheet'!$W$7="","",'Final Calculation Sheet'!$W$7)</f>
        <v>183447</v>
      </c>
      <c r="DR7">
        <f>IF(DQ7="","",COUNTIFS(DQ$4:DQ$40,"&lt;"&amp;DQ7,DQ$4:DQ$40,"&lt;&gt;"&amp;"")+COUNTIF(DQ$4:DQ7,DQ7))</f>
        <v>21</v>
      </c>
      <c r="DS7" s="55">
        <f>IF(ROW()-3&gt;COUNTIF(DQ$4:DQ$40,"&lt;&gt;"&amp;""),"",INDEX(DQ$4:DQ$40,MATCH(ROW()-3,DR$4:DR$40,0)))</f>
        <v>24599</v>
      </c>
      <c r="DT7">
        <f>DT6+IF(AND(DS7&lt;&gt;"",COUNTIF(DS$4:DS7,DS7)=1),1,0)</f>
        <v>4</v>
      </c>
      <c r="DU7" s="55">
        <f>IF(ROW()-3&gt;MAX(DT$4:DT$40),"",INDEX(DS$4:DS$40,MATCH(ROW()-3,DT$4:DT$40,0)))</f>
        <v>24599</v>
      </c>
      <c r="DV7" s="55">
        <f>IF('Final Calculation Sheet'!$X$7="","",'Final Calculation Sheet'!$X$7)</f>
        <v>183446</v>
      </c>
      <c r="DW7">
        <f>IF(DV7="","",COUNTIFS(DV$4:DV$40,"&lt;"&amp;DV7,DV$4:DV$40,"&lt;&gt;"&amp;"")+COUNTIF(DV$4:DV7,DV7))</f>
        <v>20</v>
      </c>
      <c r="DX7" s="55">
        <f>IF(ROW()-3&gt;COUNTIF(DV$4:DV$40,"&lt;&gt;"&amp;""),"",INDEX(DV$4:DV$40,MATCH(ROW()-3,DW$4:DW$40,0)))</f>
        <v>24598</v>
      </c>
      <c r="DY7">
        <f>DY6+IF(AND(DX7&lt;&gt;"",COUNTIF(DX$4:DX7,DX7)=1),1,0)</f>
        <v>4</v>
      </c>
      <c r="DZ7" t="e">
        <f>IF(ROW()-3&gt;MAX(DY$4:DY$40),"",INDEX(DX$4:DX$40,MATCH(ROW()-3,DY$4:DY$40,0)))</f>
        <v>#N/A</v>
      </c>
      <c r="EA7" t="str">
        <f>IF('Final Calculation Sheet'!$Y$7="","",'Final Calculation Sheet'!$Y$7)</f>
        <v>20.08.2026</v>
      </c>
      <c r="EB7">
        <f>IF(EA7="","",COUNTIFS(EA$4:EA$40,"&lt;"&amp;EA7,EA$4:EA$40,"&lt;&gt;"&amp;"")+COUNTIF(EA$4:EA7,EA7))</f>
        <v>15</v>
      </c>
      <c r="EC7" t="str">
        <f>IF(ROW()-3&gt;COUNTIF(EA$4:EA$40,"&lt;&gt;"&amp;""),"",INDEX(EA$4:EA$40,MATCH(ROW()-3,EB$4:EB$40,0)))</f>
        <v>11.08.2026</v>
      </c>
      <c r="ED7">
        <f>ED6+IF(AND(EC7&lt;&gt;"",COUNTIF(EC$4:EC7,EC7)=1),1,0)</f>
        <v>3</v>
      </c>
      <c r="EE7" t="e">
        <f>IF(ROW()-3&gt;MAX(ED$4:ED$40),"",INDEX(EC$4:EC$40,MATCH(ROW()-3,ED$4:ED$40,0)))</f>
        <v>#N/A</v>
      </c>
      <c r="EF7" s="55">
        <f>IF('Final Calculation Sheet'!$Z$7="","",'Final Calculation Sheet'!$Z$7)</f>
        <v>0</v>
      </c>
      <c r="EG7">
        <f>IF(EF7="","",COUNTIFS(EF$4:EF$40,"&lt;"&amp;EF7,EF$4:EF$40,"&lt;&gt;"&amp;"")+COUNTIF(EF$4:EF7,EF7))</f>
        <v>4</v>
      </c>
      <c r="EH7" s="55">
        <f>IF(ROW()-3&gt;COUNTIF(EF$4:EF$40,"&lt;&gt;"&amp;""),"",INDEX(EF$4:EF$40,MATCH(ROW()-3,EG$4:EG$40,0)))</f>
        <v>0</v>
      </c>
      <c r="EI7">
        <f>EI6+IF(AND(EH7&lt;&gt;"",COUNTIF(EH$4:EH7,EH7)=1),1,0)</f>
        <v>1</v>
      </c>
      <c r="EJ7" s="55">
        <f>IF(ROW()-3&gt;MAX(EI$4:EI$40),"",INDEX(EH$4:EH$40,MATCH(ROW()-3,EI$4:EI$40,0)))</f>
        <v>2832.2123999999999</v>
      </c>
      <c r="EK7" t="str">
        <f>IF('Final Calculation Sheet'!$AA$7="","",'Final Calculation Sheet'!$AA$7)</f>
        <v/>
      </c>
      <c r="EL7" t="str">
        <f>IF(EK7="","",COUNTIFS(EK$4:EK$40,"&lt;"&amp;EK7,EK$4:EK$40,"&lt;&gt;"&amp;"")+COUNTIF(EK$4:EK7,EK7))</f>
        <v/>
      </c>
      <c r="EM7" t="e">
        <f>IF(ROW()-3&gt;COUNTIF(EK$4:EK$40,"&lt;&gt;"&amp;""),"",INDEX(EK$4:EK$40,MATCH(ROW()-3,EL$4:EL$40,0)))</f>
        <v>#N/A</v>
      </c>
      <c r="EN7" t="e">
        <f>EN6+IF(AND(EM7&lt;&gt;"",COUNTIF(EM$4:EM7,EM7)=1),1,0)</f>
        <v>#N/A</v>
      </c>
      <c r="EO7" t="e">
        <f>IF(ROW()-3&gt;MAX(EN$4:EN$40),"",INDEX(EM$4:EM$40,MATCH(ROW()-3,EN$4:EN$40,0)))</f>
        <v>#N/A</v>
      </c>
      <c r="EP7" t="str">
        <f>IF('Final Calculation Sheet'!$AB$7="","",'Final Calculation Sheet'!$AB$7)</f>
        <v/>
      </c>
      <c r="EQ7" t="str">
        <f>IF(EP7="","",COUNTIFS(EP$4:EP$40,"&lt;"&amp;EP7,EP$4:EP$40,"&lt;&gt;"&amp;"")+COUNTIF(EP$4:EP7,EP7))</f>
        <v/>
      </c>
      <c r="ER7" t="e">
        <f>IF(ROW()-3&gt;COUNTIF(EP$4:EP$40,"&lt;&gt;"&amp;""),"",INDEX(EP$4:EP$40,MATCH(ROW()-3,EQ$4:EQ$40,0)))</f>
        <v>#N/A</v>
      </c>
      <c r="ES7" t="e">
        <f>ES6+IF(AND(ER7&lt;&gt;"",COUNTIF(ER$4:ER7,ER7)=1),1,0)</f>
        <v>#N/A</v>
      </c>
      <c r="ET7" t="e">
        <f>IF(ROW()-3&gt;MAX(ES$4:ES$40),"",INDEX(ER$4:ER$40,MATCH(ROW()-3,ES$4:ES$40,0)))</f>
        <v>#N/A</v>
      </c>
      <c r="EU7" s="55">
        <f>IF('Final Calculation Sheet'!$AC$7="","",'Final Calculation Sheet'!$AC$7)</f>
        <v>232946</v>
      </c>
      <c r="EV7">
        <f>IF(EU7="","",COUNTIFS(EU$4:EU$40,"&lt;"&amp;EU7,EU$4:EU$40,"&lt;&gt;"&amp;"")+COUNTIF(EU$4:EU7,EU7))</f>
        <v>23</v>
      </c>
      <c r="EW7" s="55">
        <f>IF(ROW()-3&gt;COUNTIF(EU$4:EU$40,"&lt;&gt;"&amp;""),"",INDEX(EU$4:EU$40,MATCH(ROW()-3,EV$4:EV$40,0)))</f>
        <v>24777</v>
      </c>
      <c r="EX7">
        <f>EX6+IF(AND(EW7&lt;&gt;"",COUNTIF(EW$4:EW7,EW7)=1),1,0)</f>
        <v>4</v>
      </c>
      <c r="EY7" s="55">
        <f>IF(ROW()-3&gt;MAX(EX$4:EX$40),"",INDEX(EW$4:EW$40,MATCH(ROW()-3,EX$4:EX$40,0)))</f>
        <v>24777</v>
      </c>
      <c r="EZ7" s="55">
        <f>IF('Final Calculation Sheet'!$AD$7="","",'Final Calculation Sheet'!$AD$7)</f>
        <v>1</v>
      </c>
      <c r="FA7">
        <f>IF(EZ7="","",COUNTIFS(EZ$4:EZ$40,"&lt;"&amp;EZ7,EZ$4:EZ$40,"&lt;&gt;"&amp;"")+COUNTIF(EZ$4:EZ7,EZ7))</f>
        <v>29</v>
      </c>
      <c r="FB7" s="55" t="e">
        <f>IF(ROW()-3&gt;COUNTIF(EZ$4:EZ$40,"&lt;&gt;"&amp;""),"",INDEX(EZ$4:EZ$40,MATCH(ROW()-3,FA$4:FA$40,0)))</f>
        <v>#N/A</v>
      </c>
      <c r="FC7" t="e">
        <f>FC6+IF(AND(FB7&lt;&gt;"",COUNTIF(FB$4:FB7,FB7)=1),1,0)</f>
        <v>#N/A</v>
      </c>
      <c r="FD7" s="55" t="e">
        <f>IF(ROW()-3&gt;MAX(FC$4:FC$40),"",INDEX(FB$4:FB$40,MATCH(ROW()-3,FC$4:FC$40,0)))</f>
        <v>#N/A</v>
      </c>
      <c r="FE7" t="str">
        <f>IF('Final Calculation Sheet'!$AE$7="","",'Final Calculation Sheet'!$AE$7)</f>
        <v>DR2640100048</v>
      </c>
      <c r="FF7">
        <f>IF(FE7="","",COUNTIFS(FE$4:FE$40,"&lt;"&amp;FE7,FE$4:FE$40,"&lt;&gt;"&amp;"")+COUNTIF(FE$4:FE7,FE7))</f>
        <v>37</v>
      </c>
      <c r="FG7" t="e">
        <f>IF(ROW()-3&gt;COUNTIF(FE$4:FE$40,"&lt;&gt;"&amp;""),"",INDEX(FE$4:FE$40,MATCH(ROW()-3,FF$4:FF$40,0)))</f>
        <v>#N/A</v>
      </c>
      <c r="FH7" t="e">
        <f>FH6+IF(AND(FG7&lt;&gt;"",COUNTIF(FG$4:FG7,FG7)=1),1,0)</f>
        <v>#N/A</v>
      </c>
      <c r="FI7" t="e">
        <f>IF(ROW()-3&gt;MAX(FH$4:FH$40),"",INDEX(FG$4:FG$40,MATCH(ROW()-3,FH$4:FH$40,0)))</f>
        <v>#N/A</v>
      </c>
      <c r="FJ7" s="141">
        <f>IF('Final Calculation Sheet'!$AF$7="","",'Final Calculation Sheet'!$AF$7)</f>
        <v>1800003347</v>
      </c>
      <c r="FK7">
        <f>IF(FJ7="","",COUNTIFS(FJ$4:FJ$40,"&lt;"&amp;FJ7,FJ$4:FJ$40,"&lt;&gt;"&amp;"")+COUNTIF(FJ$4:FJ7,FJ7))</f>
        <v>32</v>
      </c>
      <c r="FL7" s="141">
        <f>IF(ROW()-3&gt;COUNTIF(FJ$4:FJ$40,"&lt;&gt;"&amp;""),"",INDEX(FJ$4:FJ$40,MATCH(ROW()-3,FK$4:FK$40,0)))</f>
        <v>1800003158</v>
      </c>
      <c r="FM7">
        <f>FM6+IF(AND(FL7&lt;&gt;"",COUNTIF(FL$4:FL7,FL7)=1),1,0)</f>
        <v>4</v>
      </c>
      <c r="FN7" t="e">
        <f>IF(ROW()-3&gt;MAX(FM$4:FM$40),"",INDEX(FL$4:FL$40,MATCH(ROW()-3,FM$4:FM$40,0)))</f>
        <v>#N/A</v>
      </c>
      <c r="FO7" t="str">
        <f>IF('Final Calculation Sheet'!$AG$7="","",'Final Calculation Sheet'!$AG$7)</f>
        <v>27.08.2026</v>
      </c>
      <c r="FP7">
        <f>IF(FO7="","",COUNTIFS(FO$4:FO$40,"&lt;"&amp;FO7,FO$4:FO$40,"&lt;&gt;"&amp;"")+COUNTIF(FO$4:FO7,FO7))</f>
        <v>21</v>
      </c>
      <c r="FQ7" t="e">
        <f>IF(ROW()-3&gt;COUNTIF(FO$4:FO$40,"&lt;&gt;"&amp;""),"",INDEX(FO$4:FO$40,MATCH(ROW()-3,FP$4:FP$40,0)))</f>
        <v>#N/A</v>
      </c>
      <c r="FR7" t="e">
        <f>FR6+IF(AND(FQ7&lt;&gt;"",COUNTIF(FQ$4:FQ7,FQ7)=1),1,0)</f>
        <v>#N/A</v>
      </c>
      <c r="FS7" t="e">
        <f>IF(ROW()-3&gt;MAX(FR$4:FR$40),"",INDEX(FQ$4:FQ$40,MATCH(ROW()-3,FR$4:FR$40,0)))</f>
        <v>#N/A</v>
      </c>
      <c r="FU7" t="str">
        <f>IF(FT7="","",COUNTIFS(FT$4:FT$40,"&lt;"&amp;FT7,FT$4:FT$40,"&lt;&gt;"&amp;"")+COUNTIF(FT$4:FT7,FT7))</f>
        <v/>
      </c>
      <c r="FV7" t="str">
        <f>IF(ROW()-3&gt;COUNTIF(FT$4:FT$40,"&lt;&gt;"&amp;""),"",INDEX(FT$4:FT$40,MATCH(ROW()-3,FU$4:FU$40,0)))</f>
        <v/>
      </c>
      <c r="FW7">
        <f>FW6+IF(AND(FV7&lt;&gt;"",COUNTIF(FV$4:FV7,FV7)=1),1,0)</f>
        <v>2</v>
      </c>
      <c r="FX7" t="str">
        <f>IF(ROW()-3&gt;MAX(FW$4:FW$40),"",INDEX(FV$4:FV$40,MATCH(ROW()-3,FW$4:FW$40,0)))</f>
        <v/>
      </c>
    </row>
    <row r="8">
      <c r="A8">
        <f>IF('Final Calculation Sheet'!$F$8="","",'Final Calculation Sheet'!$F$8)</f>
        <v>1923</v>
      </c>
      <c r="B8">
        <f>IF(A8="","",COUNTIFS(A$4:A$114,"&lt;"&amp;A8,A$4:A$114,"&lt;&gt;"&amp;"")+COUNTIF(A$4:A8,A8))</f>
        <v>5</v>
      </c>
      <c r="C8">
        <f>IF(ROW()-3&gt;COUNTIF(A$4:A$114,"&lt;&gt;"&amp;""),"",INDEX(A$4:A$114,MATCH(ROW()-3,B$4:B$114,0)))</f>
        <v>1923</v>
      </c>
      <c r="D8">
        <f>D7+IF(AND(C8&lt;&gt;"",COUNTIF(C$4:C8,C8)=1),1,0)</f>
        <v>5</v>
      </c>
      <c r="E8" t="e">
        <f>IF(ROW()-3&gt;MAX(D$4:D$114),"",INDEX(C$4:C$114,MATCH(ROW()-3,D$4:D$114,0)))</f>
        <v>#N/A</v>
      </c>
      <c r="F8">
        <f>ROW()-3</f>
        <v>5</v>
      </c>
      <c r="G8">
        <f>IF(F8="","",COUNTIFS(F$4:F$40,"&lt;"&amp;F8,F$4:F$40,"&lt;&gt;"&amp;"")+COUNTIF(F$4:F8,F8))</f>
        <v>5</v>
      </c>
      <c r="H8">
        <f>IF(ROW()-3&gt;COUNTIF(F$4:F$40,"&lt;&gt;"&amp;""),"",INDEX(F$4:F$40,MATCH(ROW()-3,G$4:G$40,0)))</f>
        <v>5</v>
      </c>
      <c r="I8">
        <f>I7+IF(AND(H8&lt;&gt;"",COUNTIF(H$4:H8,H8)=1),1,0)</f>
        <v>5</v>
      </c>
      <c r="J8">
        <f>IF(ROW()-3&gt;MAX(I$4:I$40),"",INDEX(H$4:H$40,MATCH(ROW()-3,I$4:I$40,0)))</f>
        <v>5</v>
      </c>
      <c r="K8">
        <f>IF('Final Calculation Sheet'!$F$8="","",'Final Calculation Sheet'!$F$8)</f>
        <v>1923</v>
      </c>
      <c r="L8">
        <f>IF(K8="","",COUNTIFS(K$4:K$40,"&lt;"&amp;K8,K$4:K$40,"&lt;&gt;"&amp;"")+COUNTIF(K$4:K8,K8))</f>
        <v>5</v>
      </c>
      <c r="M8">
        <f>IF(ROW()-3&gt;COUNTIF(K$4:K$40,"&lt;&gt;"&amp;""),"",INDEX(K$4:K$40,MATCH(ROW()-3,L$4:L$40,0)))</f>
        <v>1923</v>
      </c>
      <c r="N8">
        <f>N7+IF(AND(M8&lt;&gt;"",COUNTIF(M$4:M8,M8)=1),1,0)</f>
        <v>5</v>
      </c>
      <c r="O8">
        <f>IF(ROW()-3&gt;MAX(N$4:N$40),"",INDEX(M$4:M$40,MATCH(ROW()-3,N$4:N$40,0)))</f>
        <v>1923</v>
      </c>
      <c r="P8" t="str">
        <f>IF('Final Calculation Sheet'!$G$8="","",'Final Calculation Sheet'!$G$8)</f>
        <v>OMKAR STEELS</v>
      </c>
      <c r="Q8">
        <f>IF(P8="","",COUNTIFS(P$4:P$40,"&lt;"&amp;P8,P$4:P$40,"&lt;&gt;"&amp;"")+COUNTIF(P$4:P8,P8))</f>
        <v>21</v>
      </c>
      <c r="R8" t="str">
        <f>IF(ROW()-3&gt;COUNTIF(P$4:P$40,"&lt;&gt;"&amp;""),"",INDEX(P$4:P$40,MATCH(ROW()-3,Q$4:Q$40,0)))</f>
        <v>KASHYAP TRADING CO</v>
      </c>
      <c r="S8">
        <f>S7+IF(AND(R8&lt;&gt;"",COUNTIF(R$4:R8,R8)=1),1,0)</f>
        <v>4</v>
      </c>
      <c r="T8" t="str">
        <f>IF(ROW()-3&gt;MAX(S$4:S$40),"",INDEX(R$4:R$40,MATCH(ROW()-3,S$4:S$40,0)))</f>
        <v>M I SCRAP TRADERS</v>
      </c>
      <c r="U8" t="str">
        <f>IF('Final Calculation Sheet'!$B$8="","",'Final Calculation Sheet'!$B$8)</f>
        <v>SCRAP ACSR CONDUCTORS (Conductor Pieces)</v>
      </c>
      <c r="V8">
        <f>IF(U8="","",COUNTIFS(U$4:U$40,"&lt;"&amp;U8,U$4:U$40,"&lt;&gt;"&amp;"")+COUNTIF(U$4:U8,U8))</f>
        <v>3</v>
      </c>
      <c r="W8" t="str">
        <f>IF(ROW()-3&gt;COUNTIF(U$4:U$40,"&lt;&gt;"&amp;""),"",INDEX(U$4:U$40,MATCH(ROW()-3,V$4:V$40,0)))</f>
        <v>Scrap Empty Oil Drum/ Barrel</v>
      </c>
      <c r="X8">
        <f>X7+IF(AND(W8&lt;&gt;"",COUNTIF(W$4:W8,W8)=1),1,0)</f>
        <v>5</v>
      </c>
      <c r="Y8" t="str">
        <f>IF(ROW()-3&gt;MAX(X$4:X$40),"",INDEX(W$4:W$40,MATCH(ROW()-3,X$4:X$40,0)))</f>
        <v>Scrap Empty Oil Drum/ Barrel</v>
      </c>
      <c r="Z8">
        <f>IF('Final Calculation Sheet'!$D$8="","",'Final Calculation Sheet'!$D$8)</f>
        <v>21980</v>
      </c>
      <c r="AA8">
        <f>IF(Z8="","",COUNTIFS(Z$4:Z$40,"&lt;"&amp;Z8,Z$4:Z$40,"&lt;&gt;"&amp;"")+COUNTIF(Z$4:Z8,Z8))</f>
        <v>31</v>
      </c>
      <c r="AB8">
        <f>IF(ROW()-3&gt;COUNTIF(Z$4:Z$40,"&lt;&gt;"&amp;""),"",INDEX(Z$4:Z$40,MATCH(ROW()-3,AA$4:AA$40,0)))</f>
        <v>21977</v>
      </c>
      <c r="AC8">
        <f>AC7+IF(AND(AB8&lt;&gt;"",COUNTIF(AB$4:AB8,AB8)=1),1,0)</f>
        <v>1</v>
      </c>
      <c r="AD8" t="str">
        <f>IF(ROW()-3&gt;MAX(AC$4:AC$40),"",INDEX(AB$4:AB$40,MATCH(ROW()-3,AC$4:AC$40,0)))</f>
        <v/>
      </c>
      <c r="AE8">
        <f>IF('Final Calculation Sheet'!$A$8="","",'Final Calculation Sheet'!$A$8)</f>
        <v>7253</v>
      </c>
      <c r="AF8">
        <f>IF(AE8="","",COUNTIFS(AE$4:AE$40,"&lt;"&amp;AE8,AE$4:AE$40,"&lt;&gt;"&amp;"")+COUNTIF(AE$4:AE8,AE8))</f>
        <v>37</v>
      </c>
      <c r="AG8">
        <f>IF(ROW()-3&gt;COUNTIF(AE$4:AE$40,"&lt;&gt;"&amp;""),"",INDEX(AE$4:AE$40,MATCH(ROW()-3,AF$4:AF$40,0)))</f>
        <v>1</v>
      </c>
      <c r="AH8">
        <f>AH7+IF(AND(AG8&lt;&gt;"",COUNTIF(AG$4:AG8,AG8)=1),1,0)</f>
        <v>1</v>
      </c>
      <c r="AI8">
        <f>IF(ROW()-3&gt;MAX(AH$4:AH$40),"",INDEX(AG$4:AG$40,MATCH(ROW()-3,AH$4:AH$40,0)))</f>
        <v>5</v>
      </c>
      <c r="AJ8" t="str">
        <f>IF('Final Calculation Sheet'!$E$8="","",'Final Calculation Sheet'!$E$8)</f>
        <v>KG</v>
      </c>
      <c r="AK8">
        <f>IF(AJ8="","",COUNTIFS(AJ$4:AJ$40,"&lt;"&amp;AJ8,AJ$4:AJ$40,"&lt;&gt;"&amp;"")+COUNTIF(AJ$4:AJ8,AJ8))</f>
        <v>4</v>
      </c>
      <c r="AL8" t="str">
        <f>IF(ROW()-3&gt;COUNTIF(AJ$4:AJ$40,"&lt;&gt;"&amp;""),"",INDEX(AJ$4:AJ$40,MATCH(ROW()-3,AK$4:AK$40,0)))</f>
        <v>KG</v>
      </c>
      <c r="AM8">
        <f>AM7+IF(AND(AL8&lt;&gt;"",COUNTIF(AL$4:AL8,AL8)=1),1,0)</f>
        <v>1</v>
      </c>
      <c r="AN8" t="str">
        <f>IF(ROW()-3&gt;MAX(AM$4:AM$40),"",INDEX(AL$4:AL$40,MATCH(ROW()-3,AM$4:AM$40,0)))</f>
        <v/>
      </c>
      <c r="AO8" s="55">
        <f>IF('Final Calculation Sheet'!$C$8="","",'Final Calculation Sheet'!$C$8)</f>
        <v>227</v>
      </c>
      <c r="AP8">
        <f>IF(AO8="","",COUNTIFS(AO$4:AO$40,"&lt;"&amp;AO8,AO$4:AO$40,"&lt;&gt;"&amp;"")+COUNTIF(AO$4:AO8,AO8))</f>
        <v>2</v>
      </c>
      <c r="AQ8" s="55">
        <f>IF(ROW()-3&gt;COUNTIF(AO$4:AO$40,"&lt;&gt;"&amp;""),"",INDEX(AO$4:AO$40,MATCH(ROW()-3,AP$4:AP$40,0)))</f>
        <v>517</v>
      </c>
      <c r="AR8">
        <f>AR7+IF(AND(AQ8&lt;&gt;"",COUNTIF(AQ$4:AQ8,AQ8)=1),1,0)</f>
        <v>5</v>
      </c>
      <c r="AS8" s="55">
        <f>IF(ROW()-3&gt;MAX(AR$4:AR$40),"",INDEX(AQ$4:AQ$40,MATCH(ROW()-3,AR$4:AR$40,0)))</f>
        <v>517</v>
      </c>
      <c r="AT8" s="55">
        <f>IF('Final Calculation Sheet'!$H$8="","",'Final Calculation Sheet'!$H$8)</f>
        <v>1646431</v>
      </c>
      <c r="AU8">
        <f>IF(AT8="","",COUNTIFS(AT$4:AT$40,"&lt;"&amp;AT8,AT$4:AT$40,"&lt;&gt;"&amp;"")+COUNTIF(AT$4:AT8,AT8))</f>
        <v>35</v>
      </c>
      <c r="AV8" s="55">
        <f>IF(ROW()-3&gt;COUNTIF(AT$4:AT$40,"&lt;&gt;"&amp;""),"",INDEX(AT$4:AT$40,MATCH(ROW()-3,AU$4:AU$40,0)))</f>
        <v>28002</v>
      </c>
      <c r="AW8">
        <f>AW7+IF(AND(AV8&lt;&gt;"",COUNTIF(AV$4:AV8,AV8)=1),1,0)</f>
        <v>5</v>
      </c>
      <c r="AX8" s="55">
        <f>IF(ROW()-3&gt;MAX(AW$4:AW$40),"",INDEX(AV$4:AV$40,MATCH(ROW()-3,AW$4:AW$40,0)))</f>
        <v>28002</v>
      </c>
      <c r="AY8" s="55">
        <f>IF('Final Calculation Sheet'!$I$8="","",'Final Calculation Sheet'!$I$8)</f>
        <v>296358</v>
      </c>
      <c r="AZ8">
        <f>IF(AY8="","",COUNTIFS(AY$4:AY$40,"&lt;"&amp;AY8,AY$4:AY$40,"&lt;&gt;"&amp;"")+COUNTIF(AY$4:AY8,AY8))</f>
        <v>35</v>
      </c>
      <c r="BA8" s="55">
        <f>IF(ROW()-3&gt;COUNTIF(AY$4:AY$40,"&lt;&gt;"&amp;""),"",INDEX(AY$4:AY$40,MATCH(ROW()-3,AZ$4:AZ$40,0)))</f>
        <v>5040</v>
      </c>
      <c r="BB8">
        <f>BB7+IF(AND(BA8&lt;&gt;"",COUNTIF(BA$4:BA8,BA8)=1),1,0)</f>
        <v>5</v>
      </c>
      <c r="BC8" s="55">
        <f>IF(ROW()-3&gt;MAX(BB$4:BB$40),"",INDEX(BA$4:BA$40,MATCH(ROW()-3,BB$4:BB$40,0)))</f>
        <v>5040</v>
      </c>
      <c r="BD8" s="55">
        <f>IF('Final Calculation Sheet'!$J$8="","",'Final Calculation Sheet'!$J$8)</f>
        <v>1942789</v>
      </c>
      <c r="BE8">
        <f>IF(BD8="","",COUNTIFS(BD$4:BD$40,"&lt;"&amp;BD8,BD$4:BD$40,"&lt;&gt;"&amp;"")+COUNTIF(BD$4:BD8,BD8))</f>
        <v>35</v>
      </c>
      <c r="BF8" s="55">
        <f>IF(ROW()-3&gt;COUNTIF(BD$4:BD$40,"&lt;&gt;"&amp;""),"",INDEX(BD$4:BD$40,MATCH(ROW()-3,BE$4:BE$40,0)))</f>
        <v>33042</v>
      </c>
      <c r="BG8">
        <f>BG7+IF(AND(BF8&lt;&gt;"",COUNTIF(BF$4:BF8,BF8)=1),1,0)</f>
        <v>5</v>
      </c>
      <c r="BH8" s="55">
        <f>IF(ROW()-3&gt;MAX(BG$4:BG$40),"",INDEX(BF$4:BF$40,MATCH(ROW()-3,BG$4:BG$40,0)))</f>
        <v>33042</v>
      </c>
      <c r="BI8" s="55">
        <f>IF('Final Calculation Sheet'!$K$8="","",'Final Calculation Sheet'!$K$8)</f>
        <v>38856</v>
      </c>
      <c r="BJ8">
        <f>IF(BI8="","",COUNTIFS(BI$4:BI$40,"&lt;"&amp;BI8,BI$4:BI$40,"&lt;&gt;"&amp;"")+COUNTIF(BI$4:BI8,BI8))</f>
        <v>35</v>
      </c>
      <c r="BK8" s="55">
        <f>IF(ROW()-3&gt;COUNTIF(BI$4:BI$40,"&lt;&gt;"&amp;""),"",INDEX(BI$4:BI$40,MATCH(ROW()-3,BJ$4:BJ$40,0)))</f>
        <v>661</v>
      </c>
      <c r="BL8">
        <f>BL7+IF(AND(BK8&lt;&gt;"",COUNTIF(BK$4:BK8,BK8)=1),1,0)</f>
        <v>5</v>
      </c>
      <c r="BM8" s="55">
        <f>IF(ROW()-3&gt;MAX(BL$4:BL$40),"",INDEX(BK$4:BK$40,MATCH(ROW()-3,BL$4:BL$40,0)))</f>
        <v>661</v>
      </c>
      <c r="BN8" s="55">
        <f>IF('Final Calculation Sheet'!$L$8="","",'Final Calculation Sheet'!$L$8)</f>
        <v>1646.431</v>
      </c>
      <c r="BO8">
        <f>IF(BN8="","",COUNTIFS(BN$4:BN$40,"&lt;"&amp;BN8,BN$4:BN$40,"&lt;&gt;"&amp;"")+COUNTIF(BN$4:BN8,BN8))</f>
        <v>35</v>
      </c>
      <c r="BP8" s="55">
        <f>IF(ROW()-3&gt;COUNTIF(BN$4:BN$40,"&lt;&gt;"&amp;""),"",INDEX(BN$4:BN$40,MATCH(ROW()-3,BO$4:BO$40,0)))</f>
        <v>28.001999999999999</v>
      </c>
      <c r="BQ8">
        <f>BQ7+IF(AND(BP8&lt;&gt;"",COUNTIF(BP$4:BP8,BP8)=1),1,0)</f>
        <v>5</v>
      </c>
      <c r="BR8" s="55">
        <f>IF(ROW()-3&gt;MAX(BQ$4:BQ$40),"",INDEX(BP$4:BP$40,MATCH(ROW()-3,BQ$4:BQ$40,0)))</f>
        <v>28.001999999999999</v>
      </c>
      <c r="BS8" s="55">
        <f>IF('Final Calculation Sheet'!$M$8="","",'Final Calculation Sheet'!$M$8)</f>
        <v>43712.743049999997</v>
      </c>
      <c r="BT8">
        <f>IF(BS8="","",COUNTIFS(BS$4:BS$40,"&lt;"&amp;BS8,BS$4:BS$40,"&lt;&gt;"&amp;"")+COUNTIF(BS$4:BS8,BS8))</f>
        <v>35</v>
      </c>
      <c r="BU8" s="55">
        <f>IF(ROW()-3&gt;COUNTIF(BS$4:BS$40,"&lt;&gt;"&amp;""),"",INDEX(BS$4:BS$40,MATCH(ROW()-3,BT$4:BT$40,0)))</f>
        <v>743.45309999999995</v>
      </c>
      <c r="BV8">
        <f>BV7+IF(AND(BU8&lt;&gt;"",COUNTIF(BU$4:BU8,BU8)=1),1,0)</f>
        <v>5</v>
      </c>
      <c r="BW8" s="55">
        <f>IF(ROW()-3&gt;MAX(BV$4:BV$40),"",INDEX(BU$4:BU$40,MATCH(ROW()-3,BV$4:BV$40,0)))</f>
        <v>743.45309999999995</v>
      </c>
      <c r="BX8" s="138">
        <f>IF('Final Calculation Sheet'!$N$8="","",'Final Calculation Sheet'!$N$8)</f>
        <v>740.89395000000002</v>
      </c>
      <c r="BY8">
        <f>IF(BX8="","",COUNTIFS(BX$4:BX$40,"&lt;"&amp;BX8,BX$4:BX$40,"&lt;&gt;"&amp;"")+COUNTIF(BX$4:BX8,BX8))</f>
        <v>35</v>
      </c>
      <c r="BZ8" s="138">
        <f>IF(ROW()-3&gt;COUNTIF(BX$4:BX$40,"&lt;&gt;"&amp;""),"",INDEX(BX$4:BX$40,MATCH(ROW()-3,BY$4:BY$40,0)))</f>
        <v>12.600899999999999</v>
      </c>
      <c r="CA8">
        <f>CA7+IF(AND(BZ8&lt;&gt;"",COUNTIF(BZ$4:BZ8,BZ8)=1),1,0)</f>
        <v>5</v>
      </c>
      <c r="CB8" s="138">
        <f>IF(ROW()-3&gt;MAX(CA$4:CA$40),"",INDEX(BZ$4:BZ$40,MATCH(ROW()-3,CA$4:CA$40,0)))</f>
        <v>12.600899999999999</v>
      </c>
      <c r="CC8" s="55">
        <f>IF('Final Calculation Sheet'!$O$8="","",'Final Calculation Sheet'!$O$8)</f>
        <v>42971.849099999999</v>
      </c>
      <c r="CD8">
        <f>IF(CC8="","",COUNTIFS(CC$4:CC$40,"&lt;"&amp;CC8,CC$4:CC$40,"&lt;&gt;"&amp;"")+COUNTIF(CC$4:CC8,CC8))</f>
        <v>35</v>
      </c>
      <c r="CE8" s="55">
        <f>IF(ROW()-3&gt;COUNTIF(CC$4:CC$40,"&lt;&gt;"&amp;""),"",INDEX(CC$4:CC$40,MATCH(ROW()-3,CD$4:CD$40,0)))</f>
        <v>730.85219999999993</v>
      </c>
      <c r="CF8">
        <f>CF7+IF(AND(CE8&lt;&gt;"",COUNTIF(CE$4:CE8,CE8)=1),1,0)</f>
        <v>5</v>
      </c>
      <c r="CG8" s="55">
        <f>IF(ROW()-3&gt;MAX(CF$4:CF$40),"",INDEX(CE$4:CE$40,MATCH(ROW()-3,CF$4:CF$40,0)))</f>
        <v>730.85219999999993</v>
      </c>
      <c r="CH8" s="55">
        <f>IF('Final Calculation Sheet'!$P$8="","",'Final Calculation Sheet'!$P$8)</f>
        <v>44618</v>
      </c>
      <c r="CI8">
        <f>IF(CH8="","",COUNTIFS(CH$4:CH$40,"&lt;"&amp;CH8,CH$4:CH$40,"&lt;&gt;"&amp;"")+COUNTIF(CH$4:CH8,CH8))</f>
        <v>35</v>
      </c>
      <c r="CJ8" s="55">
        <f>IF(ROW()-3&gt;COUNTIF(CH$4:CH$40,"&lt;&gt;"&amp;""),"",INDEX(CH$4:CH$40,MATCH(ROW()-3,CI$4:CI$40,0)))</f>
        <v>759</v>
      </c>
      <c r="CK8">
        <f>CK7+IF(AND(CJ8&lt;&gt;"",COUNTIF(CJ$4:CJ8,CJ8)=1),1,0)</f>
        <v>5</v>
      </c>
      <c r="CL8" s="55">
        <f>IF(ROW()-3&gt;MAX(CK$4:CK$40),"",INDEX(CJ$4:CJ$40,MATCH(ROW()-3,CK$4:CK$40,0)))</f>
        <v>759</v>
      </c>
      <c r="CM8" s="139">
        <f>IF('Final Calculation Sheet'!$Q$8="","",'Final Calculation Sheet'!$Q$8)</f>
        <v>0.02</v>
      </c>
      <c r="CN8">
        <f>IF(CM8="","",COUNTIFS(CM$4:CM$40,"&lt;"&amp;CM8,CM$4:CM$40,"&lt;&gt;"&amp;"")+COUNTIF(CM$4:CM8,CM8))</f>
        <v>35</v>
      </c>
      <c r="CO8" s="139">
        <f>IF(ROW()-3&gt;COUNTIF(CM$4:CM$40,"&lt;&gt;"&amp;""),"",INDEX(CM$4:CM$40,MATCH(ROW()-3,CN$4:CN$40,0)))</f>
        <v>0</v>
      </c>
      <c r="CP8">
        <f>CP7+IF(AND(CO8&lt;&gt;"",COUNTIF(CO$4:CO8,CO8)=1),1,0)</f>
        <v>1</v>
      </c>
      <c r="CQ8" t="str">
        <f>IF(ROW()-3&gt;MAX(CP$4:CP$40),"",INDEX(CO$4:CO$40,MATCH(ROW()-3,CP$4:CP$40,0)))</f>
        <v/>
      </c>
      <c r="CR8" s="55">
        <f>IF('Final Calculation Sheet'!$R$8="","",'Final Calculation Sheet'!$R$8)</f>
        <v>32929</v>
      </c>
      <c r="CS8">
        <f>IF(CR8="","",COUNTIFS(CR$4:CR$40,"&lt;"&amp;CR8,CR$4:CR$40,"&lt;&gt;"&amp;"")+COUNTIF(CR$4:CR8,CR8))</f>
        <v>37</v>
      </c>
      <c r="CT8" s="55">
        <f>IF(ROW()-3&gt;COUNTIF(CR$4:CR$40,"&lt;&gt;"&amp;""),"",INDEX(CR$4:CR$40,MATCH(ROW()-3,CS$4:CS$40,0)))</f>
        <v>0</v>
      </c>
      <c r="CU8">
        <f>CU7+IF(AND(CT8&lt;&gt;"",COUNTIF(CT$4:CT8,CT8)=1),1,0)</f>
        <v>1</v>
      </c>
      <c r="CV8" s="55">
        <f>IF(ROW()-3&gt;MAX(CU$4:CU$40),"",INDEX(CT$4:CT$40,MATCH(ROW()-3,CU$4:CU$40,0)))</f>
        <v>32929</v>
      </c>
      <c r="CW8" s="55">
        <f>IF('Final Calculation Sheet'!$S$8="","",'Final Calculation Sheet'!$S$8)</f>
        <v>1904097</v>
      </c>
      <c r="CX8">
        <f>IF(CW8="","",COUNTIFS(CW$4:CW$40,"&lt;"&amp;CW8,CW$4:CW$40,"&lt;&gt;"&amp;"")+COUNTIF(CW$4:CW8,CW8))</f>
        <v>35</v>
      </c>
      <c r="CY8" s="55">
        <f>IF(ROW()-3&gt;COUNTIF(CW$4:CW$40,"&lt;&gt;"&amp;""),"",INDEX(CW$4:CW$40,MATCH(ROW()-3,CX$4:CX$40,0)))</f>
        <v>32944</v>
      </c>
      <c r="CZ8">
        <f>CZ7+IF(AND(CY8&lt;&gt;"",COUNTIF(CY$4:CY8,CY8)=1),1,0)</f>
        <v>5</v>
      </c>
      <c r="DA8" s="55">
        <f>IF(ROW()-3&gt;MAX(CZ$4:CZ$40),"",INDEX(CY$4:CY$40,MATCH(ROW()-3,CZ$4:CZ$40,0)))</f>
        <v>32944</v>
      </c>
      <c r="DB8" s="55">
        <f>IF('Final Calculation Sheet'!$T$8="","",'Final Calculation Sheet'!$T$8)</f>
        <v>411608</v>
      </c>
      <c r="DC8">
        <f>IF(DB8="","",COUNTIFS(DB$4:DB$40,"&lt;"&amp;DB8,DB$4:DB$40,"&lt;&gt;"&amp;"")+COUNTIF(DB$4:DB8,DB8))</f>
        <v>35</v>
      </c>
      <c r="DD8" s="55">
        <f>IF(ROW()-3&gt;COUNTIF(DB$4:DB$40,"&lt;&gt;"&amp;""),"",INDEX(DB$4:DB$40,MATCH(ROW()-3,DC$4:DC$40,0)))</f>
        <v>7001</v>
      </c>
      <c r="DE8">
        <f>DE7+IF(AND(DD8&lt;&gt;"",COUNTIF(DD$4:DD8,DD8)=1),1,0)</f>
        <v>5</v>
      </c>
      <c r="DF8" s="55">
        <f>IF(ROW()-3&gt;MAX(DE$4:DE$40),"",INDEX(DD$4:DD$40,MATCH(ROW()-3,DE$4:DE$40,0)))</f>
        <v>7001</v>
      </c>
      <c r="DG8" s="140">
        <f>IF('Final Calculation Sheet'!$U$8="","",'Final Calculation Sheet'!$U$8)</f>
        <v>411608</v>
      </c>
      <c r="DH8">
        <f>IF(DG8="","",COUNTIFS(DG$4:DG$40,"&lt;"&amp;DG8,DG$4:DG$40,"&lt;&gt;"&amp;"")+COUNTIF(DG$4:DG8,DG8))</f>
        <v>35</v>
      </c>
      <c r="DI8" s="140">
        <f>IF(ROW()-3&gt;COUNTIF(DG$4:DG$40,"&lt;&gt;"&amp;""),"",INDEX(DG$4:DG$40,MATCH(ROW()-3,DH$4:DH$40,0)))</f>
        <v>7001</v>
      </c>
      <c r="DJ8">
        <f>DJ7+IF(AND(DI8&lt;&gt;"",COUNTIF(DI$4:DI8,DI8)=1),1,0)</f>
        <v>5</v>
      </c>
      <c r="DK8" s="140">
        <f>IF(ROW()-3&gt;MAX(DJ$4:DJ$40),"",INDEX(DI$4:DI$40,MATCH(ROW()-3,DJ$4:DJ$40,0)))</f>
        <v>7001</v>
      </c>
      <c r="DL8" t="str">
        <f>IF('Final Calculation Sheet'!$V$8="","",'Final Calculation Sheet'!$V$8)</f>
        <v>14.08.2026</v>
      </c>
      <c r="DM8">
        <f>IF(DL8="","",COUNTIFS(DL$4:DL$40,"&lt;"&amp;DL8,DL$4:DL$40,"&lt;&gt;"&amp;"")+COUNTIF(DL$4:DL8,DL8))</f>
        <v>27</v>
      </c>
      <c r="DN8" t="str">
        <f>IF(ROW()-3&gt;COUNTIF(DL$4:DL$40,"&lt;&gt;"&amp;""),"",INDEX(DL$4:DL$40,MATCH(ROW()-3,DM$4:DM$40,0)))</f>
        <v>11.08.2026</v>
      </c>
      <c r="DO8">
        <f>DO7+IF(AND(DN8&lt;&gt;"",COUNTIF(DN$4:DN8,DN8)=1),1,0)</f>
        <v>2</v>
      </c>
      <c r="DP8" t="str">
        <f>IF(ROW()-3&gt;MAX(DO$4:DO$40),"",INDEX(DN$4:DN$40,MATCH(ROW()-3,DO$4:DO$40,0)))</f>
        <v>17.08.2026</v>
      </c>
      <c r="DQ8" s="55">
        <f>IF('Final Calculation Sheet'!$W$8="","",'Final Calculation Sheet'!$W$8)</f>
        <v>1492489</v>
      </c>
      <c r="DR8">
        <f>IF(DQ8="","",COUNTIFS(DQ$4:DQ$40,"&lt;"&amp;DQ8,DQ$4:DQ$40,"&lt;&gt;"&amp;"")+COUNTIF(DQ$4:DQ8,DQ8))</f>
        <v>35</v>
      </c>
      <c r="DS8" s="55">
        <f>IF(ROW()-3&gt;COUNTIF(DQ$4:DQ$40,"&lt;&gt;"&amp;""),"",INDEX(DQ$4:DQ$40,MATCH(ROW()-3,DR$4:DR$40,0)))</f>
        <v>25944</v>
      </c>
      <c r="DT8">
        <f>DT7+IF(AND(DS8&lt;&gt;"",COUNTIF(DS$4:DS8,DS8)=1),1,0)</f>
        <v>5</v>
      </c>
      <c r="DU8" s="55">
        <f>IF(ROW()-3&gt;MAX(DT$4:DT$40),"",INDEX(DS$4:DS$40,MATCH(ROW()-3,DT$4:DT$40,0)))</f>
        <v>25944</v>
      </c>
      <c r="DV8" s="55">
        <f>IF('Final Calculation Sheet'!$X$8="","",'Final Calculation Sheet'!$X$8)</f>
        <v>1492490</v>
      </c>
      <c r="DW8">
        <f>IF(DV8="","",COUNTIFS(DV$4:DV$40,"&lt;"&amp;DV8,DV$4:DV$40,"&lt;&gt;"&amp;"")+COUNTIF(DV$4:DV8,DV8))</f>
        <v>32</v>
      </c>
      <c r="DX8" s="55">
        <f>IF(ROW()-3&gt;COUNTIF(DV$4:DV$40,"&lt;&gt;"&amp;""),"",INDEX(DV$4:DV$40,MATCH(ROW()-3,DW$4:DW$40,0)))</f>
        <v>25943</v>
      </c>
      <c r="DY8">
        <f>DY7+IF(AND(DX8&lt;&gt;"",COUNTIF(DX$4:DX8,DX8)=1),1,0)</f>
        <v>5</v>
      </c>
      <c r="DZ8" t="e">
        <f>IF(ROW()-3&gt;MAX(DY$4:DY$40),"",INDEX(DX$4:DX$40,MATCH(ROW()-3,DY$4:DY$40,0)))</f>
        <v>#N/A</v>
      </c>
      <c r="EA8" t="str">
        <f>IF('Final Calculation Sheet'!$Y$8="","",'Final Calculation Sheet'!$Y$8)</f>
        <v>24.08.2026</v>
      </c>
      <c r="EB8">
        <f>IF(EA8="","",COUNTIFS(EA$4:EA$40,"&lt;"&amp;EA8,EA$4:EA$40,"&lt;&gt;"&amp;"")+COUNTIF(EA$4:EA8,EA8))</f>
        <v>22</v>
      </c>
      <c r="EC8" t="str">
        <f>IF(ROW()-3&gt;COUNTIF(EA$4:EA$40,"&lt;&gt;"&amp;""),"",INDEX(EA$4:EA$40,MATCH(ROW()-3,EB$4:EB$40,0)))</f>
        <v>11.08.2026</v>
      </c>
      <c r="ED8">
        <f>ED7+IF(AND(EC8&lt;&gt;"",COUNTIF(EC$4:EC8,EC8)=1),1,0)</f>
        <v>3</v>
      </c>
      <c r="EE8" t="e">
        <f>IF(ROW()-3&gt;MAX(ED$4:ED$40),"",INDEX(EC$4:EC$40,MATCH(ROW()-3,ED$4:ED$40,0)))</f>
        <v>#N/A</v>
      </c>
      <c r="EF8" s="55">
        <f>IF('Final Calculation Sheet'!$Z$8="","",'Final Calculation Sheet'!$Z$8)</f>
        <v>0</v>
      </c>
      <c r="EG8">
        <f>IF(EF8="","",COUNTIFS(EF$4:EF$40,"&lt;"&amp;EF8,EF$4:EF$40,"&lt;&gt;"&amp;"")+COUNTIF(EF$4:EF8,EF8))</f>
        <v>5</v>
      </c>
      <c r="EH8" s="55">
        <f>IF(ROW()-3&gt;COUNTIF(EF$4:EF$40,"&lt;&gt;"&amp;""),"",INDEX(EF$4:EF$40,MATCH(ROW()-3,EG$4:EG$40,0)))</f>
        <v>0</v>
      </c>
      <c r="EI8">
        <f>EI7+IF(AND(EH8&lt;&gt;"",COUNTIF(EH$4:EH8,EH8)=1),1,0)</f>
        <v>1</v>
      </c>
      <c r="EJ8" s="55">
        <f>IF(ROW()-3&gt;MAX(EI$4:EI$40),"",INDEX(EH$4:EH$40,MATCH(ROW()-3,EI$4:EI$40,0)))</f>
        <v>9558.2124000000003</v>
      </c>
      <c r="EK8" t="str">
        <f>IF('Final Calculation Sheet'!$AA$8="","",'Final Calculation Sheet'!$AA$8)</f>
        <v/>
      </c>
      <c r="EL8" t="str">
        <f>IF(EK8="","",COUNTIFS(EK$4:EK$40,"&lt;"&amp;EK8,EK$4:EK$40,"&lt;&gt;"&amp;"")+COUNTIF(EK$4:EK8,EK8))</f>
        <v/>
      </c>
      <c r="EM8" t="e">
        <f>IF(ROW()-3&gt;COUNTIF(EK$4:EK$40,"&lt;&gt;"&amp;""),"",INDEX(EK$4:EK$40,MATCH(ROW()-3,EL$4:EL$40,0)))</f>
        <v>#N/A</v>
      </c>
      <c r="EN8" t="e">
        <f>EN7+IF(AND(EM8&lt;&gt;"",COUNTIF(EM$4:EM8,EM8)=1),1,0)</f>
        <v>#N/A</v>
      </c>
      <c r="EO8" t="e">
        <f>IF(ROW()-3&gt;MAX(EN$4:EN$40),"",INDEX(EM$4:EM$40,MATCH(ROW()-3,EN$4:EN$40,0)))</f>
        <v>#N/A</v>
      </c>
      <c r="EP8" t="str">
        <f>IF('Final Calculation Sheet'!$AB$8="","",'Final Calculation Sheet'!$AB$8)</f>
        <v/>
      </c>
      <c r="EQ8" t="str">
        <f>IF(EP8="","",COUNTIFS(EP$4:EP$40,"&lt;"&amp;EP8,EP$4:EP$40,"&lt;&gt;"&amp;"")+COUNTIF(EP$4:EP8,EP8))</f>
        <v/>
      </c>
      <c r="ER8" t="e">
        <f>IF(ROW()-3&gt;COUNTIF(EP$4:EP$40,"&lt;&gt;"&amp;""),"",INDEX(EP$4:EP$40,MATCH(ROW()-3,EQ$4:EQ$40,0)))</f>
        <v>#N/A</v>
      </c>
      <c r="ES8" t="e">
        <f>ES7+IF(AND(ER8&lt;&gt;"",COUNTIF(ER$4:ER8,ER8)=1),1,0)</f>
        <v>#N/A</v>
      </c>
      <c r="ET8" t="e">
        <f>IF(ROW()-3&gt;MAX(ES$4:ES$40),"",INDEX(ER$4:ER$40,MATCH(ROW()-3,ES$4:ES$40,0)))</f>
        <v>#N/A</v>
      </c>
      <c r="EU8" s="55">
        <f>IF('Final Calculation Sheet'!$AC$8="","",'Final Calculation Sheet'!$AC$8)</f>
        <v>1904098</v>
      </c>
      <c r="EV8">
        <f>IF(EU8="","",COUNTIFS(EU$4:EU$40,"&lt;"&amp;EU8,EU$4:EU$40,"&lt;&gt;"&amp;"")+COUNTIF(EU$4:EU8,EU8))</f>
        <v>35</v>
      </c>
      <c r="EW8" s="55">
        <f>IF(ROW()-3&gt;COUNTIF(EU$4:EU$40,"&lt;&gt;"&amp;""),"",INDEX(EU$4:EU$40,MATCH(ROW()-3,EV$4:EV$40,0)))</f>
        <v>31236</v>
      </c>
      <c r="EX8">
        <f>EX7+IF(AND(EW8&lt;&gt;"",COUNTIF(EW$4:EW8,EW8)=1),1,0)</f>
        <v>5</v>
      </c>
      <c r="EY8" s="55">
        <f>IF(ROW()-3&gt;MAX(EX$4:EX$40),"",INDEX(EW$4:EW$40,MATCH(ROW()-3,EX$4:EX$40,0)))</f>
        <v>31236</v>
      </c>
      <c r="EZ8" s="55">
        <f>IF('Final Calculation Sheet'!$AD$8="","",'Final Calculation Sheet'!$AD$8)</f>
        <v>-1</v>
      </c>
      <c r="FA8">
        <f>IF(EZ8="","",COUNTIFS(EZ$4:EZ$40,"&lt;"&amp;EZ8,EZ$4:EZ$40,"&lt;&gt;"&amp;"")+COUNTIF(EZ$4:EZ8,EZ8))</f>
        <v>5</v>
      </c>
      <c r="FB8" s="55">
        <f>IF(ROW()-3&gt;COUNTIF(EZ$4:EZ$40,"&lt;&gt;"&amp;""),"",INDEX(EZ$4:EZ$40,MATCH(ROW()-3,FA$4:FA$40,0)))</f>
        <v>-1</v>
      </c>
      <c r="FC8" t="e">
        <f>FC7+IF(AND(FB8&lt;&gt;"",COUNTIF(FB$4:FB8,FB8)=1),1,0)</f>
        <v>#N/A</v>
      </c>
      <c r="FD8" s="55" t="e">
        <f>IF(ROW()-3&gt;MAX(FC$4:FC$40),"",INDEX(FB$4:FB$40,MATCH(ROW()-3,FC$4:FC$40,0)))</f>
        <v>#N/A</v>
      </c>
      <c r="FE8" t="str">
        <f>IF('Final Calculation Sheet'!$AE$8="","",'Final Calculation Sheet'!$AE$8)</f>
        <v>DR2640100045</v>
      </c>
      <c r="FF8">
        <f>IF(FE8="","",COUNTIFS(FE$4:FE$40,"&lt;"&amp;FE8,FE$4:FE$40,"&lt;&gt;"&amp;"")+COUNTIF(FE$4:FE8,FE8))</f>
        <v>34</v>
      </c>
      <c r="FG8" t="e">
        <f>IF(ROW()-3&gt;COUNTIF(FE$4:FE$40,"&lt;&gt;"&amp;""),"",INDEX(FE$4:FE$40,MATCH(ROW()-3,FF$4:FF$40,0)))</f>
        <v>#N/A</v>
      </c>
      <c r="FH8" t="e">
        <f>FH7+IF(AND(FG8&lt;&gt;"",COUNTIF(FG$4:FG8,FG8)=1),1,0)</f>
        <v>#N/A</v>
      </c>
      <c r="FI8" t="e">
        <f>IF(ROW()-3&gt;MAX(FH$4:FH$40),"",INDEX(FG$4:FG$40,MATCH(ROW()-3,FH$4:FH$40,0)))</f>
        <v>#N/A</v>
      </c>
      <c r="FJ8" s="141">
        <f>IF('Final Calculation Sheet'!$AF$8="","",'Final Calculation Sheet'!$AF$8)</f>
        <v>1800003315</v>
      </c>
      <c r="FK8">
        <f>IF(FJ8="","",COUNTIFS(FJ$4:FJ$40,"&lt;"&amp;FJ8,FJ$4:FJ$40,"&lt;&gt;"&amp;"")+COUNTIF(FJ$4:FJ8,FJ8))</f>
        <v>27</v>
      </c>
      <c r="FL8" s="141">
        <f>IF(ROW()-3&gt;COUNTIF(FJ$4:FJ$40,"&lt;&gt;"&amp;""),"",INDEX(FJ$4:FJ$40,MATCH(ROW()-3,FK$4:FK$40,0)))</f>
        <v>1800003160</v>
      </c>
      <c r="FM8">
        <f>FM7+IF(AND(FL8&lt;&gt;"",COUNTIF(FL$4:FL8,FL8)=1),1,0)</f>
        <v>5</v>
      </c>
      <c r="FN8" t="e">
        <f>IF(ROW()-3&gt;MAX(FM$4:FM$40),"",INDEX(FL$4:FL$40,MATCH(ROW()-3,FM$4:FM$40,0)))</f>
        <v>#N/A</v>
      </c>
      <c r="FO8" t="str">
        <f>IF('Final Calculation Sheet'!$AG$8="","",'Final Calculation Sheet'!$AG$8)</f>
        <v>27.08.2026</v>
      </c>
      <c r="FP8">
        <f>IF(FO8="","",COUNTIFS(FO$4:FO$40,"&lt;"&amp;FO8,FO$4:FO$40,"&lt;&gt;"&amp;"")+COUNTIF(FO$4:FO8,FO8))</f>
        <v>22</v>
      </c>
      <c r="FQ8" t="e">
        <f>IF(ROW()-3&gt;COUNTIF(FO$4:FO$40,"&lt;&gt;"&amp;""),"",INDEX(FO$4:FO$40,MATCH(ROW()-3,FP$4:FP$40,0)))</f>
        <v>#N/A</v>
      </c>
      <c r="FR8" t="e">
        <f>FR7+IF(AND(FQ8&lt;&gt;"",COUNTIF(FQ$4:FQ8,FQ8)=1),1,0)</f>
        <v>#N/A</v>
      </c>
      <c r="FS8" t="e">
        <f>IF(ROW()-3&gt;MAX(FR$4:FR$40),"",INDEX(FQ$4:FQ$40,MATCH(ROW()-3,FR$4:FR$40,0)))</f>
        <v>#N/A</v>
      </c>
      <c r="FU8" t="str">
        <f>IF(FT8="","",COUNTIFS(FT$4:FT$40,"&lt;"&amp;FT8,FT$4:FT$40,"&lt;&gt;"&amp;"")+COUNTIF(FT$4:FT8,FT8))</f>
        <v/>
      </c>
      <c r="FV8" t="str">
        <f>IF(ROW()-3&gt;COUNTIF(FT$4:FT$40,"&lt;&gt;"&amp;""),"",INDEX(FT$4:FT$40,MATCH(ROW()-3,FU$4:FU$40,0)))</f>
        <v/>
      </c>
      <c r="FW8">
        <f>FW7+IF(AND(FV8&lt;&gt;"",COUNTIF(FV$4:FV8,FV8)=1),1,0)</f>
        <v>2</v>
      </c>
      <c r="FX8" t="str">
        <f>IF(ROW()-3&gt;MAX(FW$4:FW$40),"",INDEX(FV$4:FV$40,MATCH(ROW()-3,FW$4:FW$40,0)))</f>
        <v/>
      </c>
    </row>
    <row r="9">
      <c r="A9">
        <f>IF('Final Calculation Sheet'!$F$9="","",'Final Calculation Sheet'!$F$9)</f>
        <v>1976</v>
      </c>
      <c r="B9">
        <f>IF(A9="","",COUNTIFS(A$4:A$114,"&lt;"&amp;A9,A$4:A$114,"&lt;&gt;"&amp;"")+COUNTIF(A$4:A9,A9))</f>
        <v>6</v>
      </c>
      <c r="C9">
        <f>IF(ROW()-3&gt;COUNTIF(A$4:A$114,"&lt;&gt;"&amp;""),"",INDEX(A$4:A$114,MATCH(ROW()-3,B$4:B$114,0)))</f>
        <v>1976</v>
      </c>
      <c r="D9">
        <f>D8+IF(AND(C9&lt;&gt;"",COUNTIF(C$4:C9,C9)=1),1,0)</f>
        <v>6</v>
      </c>
      <c r="E9" t="e">
        <f>IF(ROW()-3&gt;MAX(D$4:D$114),"",INDEX(C$4:C$114,MATCH(ROW()-3,D$4:D$114,0)))</f>
        <v>#N/A</v>
      </c>
      <c r="F9">
        <f>ROW()-3</f>
        <v>6</v>
      </c>
      <c r="G9">
        <f>IF(F9="","",COUNTIFS(F$4:F$40,"&lt;"&amp;F9,F$4:F$40,"&lt;&gt;"&amp;"")+COUNTIF(F$4:F9,F9))</f>
        <v>6</v>
      </c>
      <c r="H9">
        <f>IF(ROW()-3&gt;COUNTIF(F$4:F$40,"&lt;&gt;"&amp;""),"",INDEX(F$4:F$40,MATCH(ROW()-3,G$4:G$40,0)))</f>
        <v>6</v>
      </c>
      <c r="I9">
        <f>I8+IF(AND(H9&lt;&gt;"",COUNTIF(H$4:H9,H9)=1),1,0)</f>
        <v>6</v>
      </c>
      <c r="J9">
        <f>IF(ROW()-3&gt;MAX(I$4:I$40),"",INDEX(H$4:H$40,MATCH(ROW()-3,I$4:I$40,0)))</f>
        <v>6</v>
      </c>
      <c r="K9">
        <f>IF('Final Calculation Sheet'!$F$9="","",'Final Calculation Sheet'!$F$9)</f>
        <v>1976</v>
      </c>
      <c r="L9">
        <f>IF(K9="","",COUNTIFS(K$4:K$40,"&lt;"&amp;K9,K$4:K$40,"&lt;&gt;"&amp;"")+COUNTIF(K$4:K9,K9))</f>
        <v>6</v>
      </c>
      <c r="M9">
        <f>IF(ROW()-3&gt;COUNTIF(K$4:K$40,"&lt;&gt;"&amp;""),"",INDEX(K$4:K$40,MATCH(ROW()-3,L$4:L$40,0)))</f>
        <v>1976</v>
      </c>
      <c r="N9">
        <f>N8+IF(AND(M9&lt;&gt;"",COUNTIF(M$4:M9,M9)=1),1,0)</f>
        <v>6</v>
      </c>
      <c r="O9">
        <f>IF(ROW()-3&gt;MAX(N$4:N$40),"",INDEX(M$4:M$40,MATCH(ROW()-3,N$4:N$40,0)))</f>
        <v>1976</v>
      </c>
      <c r="P9" t="str">
        <f>IF('Final Calculation Sheet'!$G$9="","",'Final Calculation Sheet'!$G$9)</f>
        <v>SHAR JAHAN TRADERS</v>
      </c>
      <c r="Q9">
        <f>IF(P9="","",COUNTIFS(P$4:P$40,"&lt;"&amp;P9,P$4:P$40,"&lt;&gt;"&amp;"")+COUNTIF(P$4:P9,P9))</f>
        <v>26</v>
      </c>
      <c r="R9" t="str">
        <f>IF(ROW()-3&gt;COUNTIF(P$4:P$40,"&lt;&gt;"&amp;""),"",INDEX(P$4:P$40,MATCH(ROW()-3,Q$4:Q$40,0)))</f>
        <v>M I SCRAP TRADERS</v>
      </c>
      <c r="S9">
        <f>S8+IF(AND(R9&lt;&gt;"",COUNTIF(R$4:R9,R9)=1),1,0)</f>
        <v>5</v>
      </c>
      <c r="T9" t="str">
        <f>IF(ROW()-3&gt;MAX(S$4:S$40),"",INDEX(R$4:R$40,MATCH(ROW()-3,S$4:S$40,0)))</f>
        <v>NATIONAL ENTERPRISES</v>
      </c>
      <c r="U9" t="str">
        <f>IF('Final Calculation Sheet'!$B$9="","",'Final Calculation Sheet'!$B$9)</f>
        <v>Scrap Power Transformer</v>
      </c>
      <c r="V9">
        <f>IF(U9="","",COUNTIFS(U$4:U$40,"&lt;"&amp;U9,U$4:U$40,"&lt;&gt;"&amp;"")+COUNTIF(U$4:U9,U9))</f>
        <v>36</v>
      </c>
      <c r="W9" t="str">
        <f>IF(ROW()-3&gt;COUNTIF(U$4:U$40,"&lt;&gt;"&amp;""),"",INDEX(U$4:U$40,MATCH(ROW()-3,V$4:V$40,0)))</f>
        <v>Scrap of 132 KV CT</v>
      </c>
      <c r="X9">
        <f>X8+IF(AND(W9&lt;&gt;"",COUNTIF(W$4:W9,W9)=1),1,0)</f>
        <v>6</v>
      </c>
      <c r="Y9" t="str">
        <f>IF(ROW()-3&gt;MAX(X$4:X$40),"",INDEX(W$4:W$40,MATCH(ROW()-3,X$4:X$40,0)))</f>
        <v>Scrap of 132 KV CT</v>
      </c>
      <c r="Z9">
        <f>IF('Final Calculation Sheet'!$D$9="","",'Final Calculation Sheet'!$D$9)</f>
        <v>21977</v>
      </c>
      <c r="AA9">
        <f>IF(Z9="","",COUNTIFS(Z$4:Z$40,"&lt;"&amp;Z9,Z$4:Z$40,"&lt;&gt;"&amp;"")+COUNTIF(Z$4:Z9,Z9))</f>
        <v>4</v>
      </c>
      <c r="AB9">
        <f>IF(ROW()-3&gt;COUNTIF(Z$4:Z$40,"&lt;&gt;"&amp;""),"",INDEX(Z$4:Z$40,MATCH(ROW()-3,AA$4:AA$40,0)))</f>
        <v>21977</v>
      </c>
      <c r="AC9">
        <f>AC8+IF(AND(AB9&lt;&gt;"",COUNTIF(AB$4:AB9,AB9)=1),1,0)</f>
        <v>1</v>
      </c>
      <c r="AD9" t="str">
        <f>IF(ROW()-3&gt;MAX(AC$4:AC$40),"",INDEX(AB$4:AB$40,MATCH(ROW()-3,AC$4:AC$40,0)))</f>
        <v/>
      </c>
      <c r="AE9">
        <f>IF('Final Calculation Sheet'!$A$9="","",'Final Calculation Sheet'!$A$9)</f>
        <v>1</v>
      </c>
      <c r="AF9">
        <f>IF(AE9="","",COUNTIFS(AE$4:AE$40,"&lt;"&amp;AE9,AE$4:AE$40,"&lt;&gt;"&amp;"")+COUNTIF(AE$4:AE9,AE9))</f>
        <v>1</v>
      </c>
      <c r="AG9">
        <f>IF(ROW()-3&gt;COUNTIF(AE$4:AE$40,"&lt;&gt;"&amp;""),"",INDEX(AE$4:AE$40,MATCH(ROW()-3,AF$4:AF$40,0)))</f>
        <v>1</v>
      </c>
      <c r="AH9">
        <f>AH8+IF(AND(AG9&lt;&gt;"",COUNTIF(AG$4:AG9,AG9)=1),1,0)</f>
        <v>1</v>
      </c>
      <c r="AI9">
        <f>IF(ROW()-3&gt;MAX(AH$4:AH$40),"",INDEX(AG$4:AG$40,MATCH(ROW()-3,AH$4:AH$40,0)))</f>
        <v>8.1999999999999993</v>
      </c>
      <c r="AJ9" t="str">
        <f>IF('Final Calculation Sheet'!$E$9="","",'Final Calculation Sheet'!$E$9)</f>
        <v>NO</v>
      </c>
      <c r="AK9">
        <f>IF(AJ9="","",COUNTIFS(AJ$4:AJ$40,"&lt;"&amp;AJ9,AJ$4:AJ$40,"&lt;&gt;"&amp;"")+COUNTIF(AJ$4:AJ9,AJ9))</f>
        <v>9</v>
      </c>
      <c r="AL9" t="str">
        <f>IF(ROW()-3&gt;COUNTIF(AJ$4:AJ$40,"&lt;&gt;"&amp;""),"",INDEX(AJ$4:AJ$40,MATCH(ROW()-3,AK$4:AK$40,0)))</f>
        <v>KG</v>
      </c>
      <c r="AM9">
        <f>AM8+IF(AND(AL9&lt;&gt;"",COUNTIF(AL$4:AL9,AL9)=1),1,0)</f>
        <v>1</v>
      </c>
      <c r="AN9" t="str">
        <f>IF(ROW()-3&gt;MAX(AM$4:AM$40),"",INDEX(AL$4:AL$40,MATCH(ROW()-3,AM$4:AM$40,0)))</f>
        <v/>
      </c>
      <c r="AO9" s="55">
        <f>IF('Final Calculation Sheet'!$C$9="","",'Final Calculation Sheet'!$C$9)</f>
        <v>2787314</v>
      </c>
      <c r="AP9">
        <f>IF(AO9="","",COUNTIFS(AO$4:AO$40,"&lt;"&amp;AO9,AO$4:AO$40,"&lt;&gt;"&amp;"")+COUNTIF(AO$4:AO9,AO9))</f>
        <v>36</v>
      </c>
      <c r="AQ9" s="55">
        <f>IF(ROW()-3&gt;COUNTIF(AO$4:AO$40,"&lt;&gt;"&amp;""),"",INDEX(AO$4:AO$40,MATCH(ROW()-3,AP$4:AP$40,0)))</f>
        <v>531</v>
      </c>
      <c r="AR9">
        <f>AR8+IF(AND(AQ9&lt;&gt;"",COUNTIF(AQ$4:AQ9,AQ9)=1),1,0)</f>
        <v>6</v>
      </c>
      <c r="AS9" s="55">
        <f>IF(ROW()-3&gt;MAX(AR$4:AR$40),"",INDEX(AQ$4:AQ$40,MATCH(ROW()-3,AR$4:AR$40,0)))</f>
        <v>531</v>
      </c>
      <c r="AT9" s="55">
        <f>IF('Final Calculation Sheet'!$H$9="","",'Final Calculation Sheet'!$H$9)</f>
        <v>2787314</v>
      </c>
      <c r="AU9">
        <f>IF(AT9="","",COUNTIFS(AT$4:AT$40,"&lt;"&amp;AT9,AT$4:AT$40,"&lt;&gt;"&amp;"")+COUNTIF(AT$4:AT9,AT9))</f>
        <v>36</v>
      </c>
      <c r="AV9" s="55">
        <f>IF(ROW()-3&gt;COUNTIF(AT$4:AT$40,"&lt;&gt;"&amp;""),"",INDEX(AT$4:AT$40,MATCH(ROW()-3,AU$4:AU$40,0)))</f>
        <v>29502</v>
      </c>
      <c r="AW9">
        <f>AW8+IF(AND(AV9&lt;&gt;"",COUNTIF(AV$4:AV9,AV9)=1),1,0)</f>
        <v>6</v>
      </c>
      <c r="AX9" s="55">
        <f>IF(ROW()-3&gt;MAX(AW$4:AW$40),"",INDEX(AV$4:AV$40,MATCH(ROW()-3,AW$4:AW$40,0)))</f>
        <v>29502</v>
      </c>
      <c r="AY9" s="55">
        <f>IF('Final Calculation Sheet'!$I$9="","",'Final Calculation Sheet'!$I$9)</f>
        <v>501717</v>
      </c>
      <c r="AZ9">
        <f>IF(AY9="","",COUNTIFS(AY$4:AY$40,"&lt;"&amp;AY9,AY$4:AY$40,"&lt;&gt;"&amp;"")+COUNTIF(AY$4:AY9,AY9))</f>
        <v>36</v>
      </c>
      <c r="BA9" s="55">
        <f>IF(ROW()-3&gt;COUNTIF(AY$4:AY$40,"&lt;&gt;"&amp;""),"",INDEX(AY$4:AY$40,MATCH(ROW()-3,AZ$4:AZ$40,0)))</f>
        <v>5310</v>
      </c>
      <c r="BB9">
        <f>BB8+IF(AND(BA9&lt;&gt;"",COUNTIF(BA$4:BA9,BA9)=1),1,0)</f>
        <v>6</v>
      </c>
      <c r="BC9" s="55">
        <f>IF(ROW()-3&gt;MAX(BB$4:BB$40),"",INDEX(BA$4:BA$40,MATCH(ROW()-3,BB$4:BB$40,0)))</f>
        <v>5310</v>
      </c>
      <c r="BD9" s="55">
        <f>IF('Final Calculation Sheet'!$J$9="","",'Final Calculation Sheet'!$J$9)</f>
        <v>3289031</v>
      </c>
      <c r="BE9">
        <f>IF(BD9="","",COUNTIFS(BD$4:BD$40,"&lt;"&amp;BD9,BD$4:BD$40,"&lt;&gt;"&amp;"")+COUNTIF(BD$4:BD9,BD9))</f>
        <v>36</v>
      </c>
      <c r="BF9" s="55">
        <f>IF(ROW()-3&gt;COUNTIF(BD$4:BD$40,"&lt;&gt;"&amp;""),"",INDEX(BD$4:BD$40,MATCH(ROW()-3,BE$4:BE$40,0)))</f>
        <v>34812</v>
      </c>
      <c r="BG9">
        <f>BG8+IF(AND(BF9&lt;&gt;"",COUNTIF(BF$4:BF9,BF9)=1),1,0)</f>
        <v>6</v>
      </c>
      <c r="BH9" s="55">
        <f>IF(ROW()-3&gt;MAX(BG$4:BG$40),"",INDEX(BF$4:BF$40,MATCH(ROW()-3,BG$4:BG$40,0)))</f>
        <v>34812</v>
      </c>
      <c r="BI9" s="55">
        <f>IF('Final Calculation Sheet'!$K$9="","",'Final Calculation Sheet'!$K$9)</f>
        <v>65781</v>
      </c>
      <c r="BJ9">
        <f>IF(BI9="","",COUNTIFS(BI$4:BI$40,"&lt;"&amp;BI9,BI$4:BI$40,"&lt;&gt;"&amp;"")+COUNTIF(BI$4:BI9,BI9))</f>
        <v>36</v>
      </c>
      <c r="BK9" s="55">
        <f>IF(ROW()-3&gt;COUNTIF(BI$4:BI$40,"&lt;&gt;"&amp;""),"",INDEX(BI$4:BI$40,MATCH(ROW()-3,BJ$4:BJ$40,0)))</f>
        <v>696</v>
      </c>
      <c r="BL9">
        <f>BL8+IF(AND(BK9&lt;&gt;"",COUNTIF(BK$4:BK9,BK9)=1),1,0)</f>
        <v>6</v>
      </c>
      <c r="BM9" s="55">
        <f>IF(ROW()-3&gt;MAX(BL$4:BL$40),"",INDEX(BK$4:BK$40,MATCH(ROW()-3,BL$4:BL$40,0)))</f>
        <v>696</v>
      </c>
      <c r="BN9" s="55">
        <f>IF('Final Calculation Sheet'!$L$9="","",'Final Calculation Sheet'!$L$9)</f>
        <v>2787.3139999999999</v>
      </c>
      <c r="BO9">
        <f>IF(BN9="","",COUNTIFS(BN$4:BN$40,"&lt;"&amp;BN9,BN$4:BN$40,"&lt;&gt;"&amp;"")+COUNTIF(BN$4:BN9,BN9))</f>
        <v>36</v>
      </c>
      <c r="BP9" s="55">
        <f>IF(ROW()-3&gt;COUNTIF(BN$4:BN$40,"&lt;&gt;"&amp;""),"",INDEX(BN$4:BN$40,MATCH(ROW()-3,BO$4:BO$40,0)))</f>
        <v>29.501999999999999</v>
      </c>
      <c r="BQ9">
        <f>BQ8+IF(AND(BP9&lt;&gt;"",COUNTIF(BP$4:BP9,BP9)=1),1,0)</f>
        <v>6</v>
      </c>
      <c r="BR9" s="55">
        <f>IF(ROW()-3&gt;MAX(BQ$4:BQ$40),"",INDEX(BP$4:BP$40,MATCH(ROW()-3,BQ$4:BQ$40,0)))</f>
        <v>29.501999999999999</v>
      </c>
      <c r="BS9" s="55">
        <f>IF('Final Calculation Sheet'!$M$9="","",'Final Calculation Sheet'!$M$9)</f>
        <v>74003.186699999991</v>
      </c>
      <c r="BT9">
        <f>IF(BS9="","",COUNTIFS(BS$4:BS$40,"&lt;"&amp;BS9,BS$4:BS$40,"&lt;&gt;"&amp;"")+COUNTIF(BS$4:BS9,BS9))</f>
        <v>36</v>
      </c>
      <c r="BU9" s="55">
        <f>IF(ROW()-3&gt;COUNTIF(BS$4:BS$40,"&lt;&gt;"&amp;""),"",INDEX(BS$4:BS$40,MATCH(ROW()-3,BT$4:BT$40,0)))</f>
        <v>783.27809999999988</v>
      </c>
      <c r="BV9">
        <f>BV8+IF(AND(BU9&lt;&gt;"",COUNTIF(BU$4:BU9,BU9)=1),1,0)</f>
        <v>6</v>
      </c>
      <c r="BW9" s="55">
        <f>IF(ROW()-3&gt;MAX(BV$4:BV$40),"",INDEX(BU$4:BU$40,MATCH(ROW()-3,BV$4:BV$40,0)))</f>
        <v>783.27809999999988</v>
      </c>
      <c r="BX9" s="138">
        <f>IF('Final Calculation Sheet'!$N$9="","",'Final Calculation Sheet'!$N$9)</f>
        <v>1254.2912999999999</v>
      </c>
      <c r="BY9">
        <f>IF(BX9="","",COUNTIFS(BX$4:BX$40,"&lt;"&amp;BX9,BX$4:BX$40,"&lt;&gt;"&amp;"")+COUNTIF(BX$4:BX9,BX9))</f>
        <v>36</v>
      </c>
      <c r="BZ9" s="138">
        <f>IF(ROW()-3&gt;COUNTIF(BX$4:BX$40,"&lt;&gt;"&amp;""),"",INDEX(BX$4:BX$40,MATCH(ROW()-3,BY$4:BY$40,0)))</f>
        <v>13.2759</v>
      </c>
      <c r="CA9">
        <f>CA8+IF(AND(BZ9&lt;&gt;"",COUNTIF(BZ$4:BZ9,BZ9)=1),1,0)</f>
        <v>6</v>
      </c>
      <c r="CB9" s="138">
        <f>IF(ROW()-3&gt;MAX(CA$4:CA$40),"",INDEX(BZ$4:BZ$40,MATCH(ROW()-3,CA$4:CA$40,0)))</f>
        <v>13.2759</v>
      </c>
      <c r="CC9" s="55">
        <f>IF('Final Calculation Sheet'!$O$9="","",'Final Calculation Sheet'!$O$9)</f>
        <v>72748.895399999994</v>
      </c>
      <c r="CD9">
        <f>IF(CC9="","",COUNTIFS(CC$4:CC$40,"&lt;"&amp;CC9,CC$4:CC$40,"&lt;&gt;"&amp;"")+COUNTIF(CC$4:CC9,CC9))</f>
        <v>36</v>
      </c>
      <c r="CE9" s="55">
        <f>IF(ROW()-3&gt;COUNTIF(CC$4:CC$40,"&lt;&gt;"&amp;""),"",INDEX(CC$4:CC$40,MATCH(ROW()-3,CD$4:CD$40,0)))</f>
        <v>770.0021999999999</v>
      </c>
      <c r="CF9">
        <f>CF8+IF(AND(CE9&lt;&gt;"",COUNTIF(CE$4:CE9,CE9)=1),1,0)</f>
        <v>6</v>
      </c>
      <c r="CG9" s="55">
        <f>IF(ROW()-3&gt;MAX(CF$4:CF$40),"",INDEX(CE$4:CE$40,MATCH(ROW()-3,CF$4:CF$40,0)))</f>
        <v>770.0021999999999</v>
      </c>
      <c r="CH9" s="55">
        <f>IF('Final Calculation Sheet'!$P$9="","",'Final Calculation Sheet'!$P$9)</f>
        <v>75536</v>
      </c>
      <c r="CI9">
        <f>IF(CH9="","",COUNTIFS(CH$4:CH$40,"&lt;"&amp;CH9,CH$4:CH$40,"&lt;&gt;"&amp;"")+COUNTIF(CH$4:CH9,CH9))</f>
        <v>36</v>
      </c>
      <c r="CJ9" s="55">
        <f>IF(ROW()-3&gt;COUNTIF(CH$4:CH$40,"&lt;&gt;"&amp;""),"",INDEX(CH$4:CH$40,MATCH(ROW()-3,CI$4:CI$40,0)))</f>
        <v>800</v>
      </c>
      <c r="CK9">
        <f>CK8+IF(AND(CJ9&lt;&gt;"",COUNTIF(CJ$4:CJ9,CJ9)=1),1,0)</f>
        <v>6</v>
      </c>
      <c r="CL9" s="55">
        <f>IF(ROW()-3&gt;MAX(CK$4:CK$40),"",INDEX(CJ$4:CJ$40,MATCH(ROW()-3,CK$4:CK$40,0)))</f>
        <v>800</v>
      </c>
      <c r="CM9" s="139">
        <f>IF('Final Calculation Sheet'!$Q$9="","",'Final Calculation Sheet'!$Q$9)</f>
        <v>0</v>
      </c>
      <c r="CN9">
        <f>IF(CM9="","",COUNTIFS(CM$4:CM$40,"&lt;"&amp;CM9,CM$4:CM$40,"&lt;&gt;"&amp;"")+COUNTIF(CM$4:CM9,CM9))</f>
        <v>4</v>
      </c>
      <c r="CO9" s="139">
        <f>IF(ROW()-3&gt;COUNTIF(CM$4:CM$40,"&lt;&gt;"&amp;""),"",INDEX(CM$4:CM$40,MATCH(ROW()-3,CN$4:CN$40,0)))</f>
        <v>0</v>
      </c>
      <c r="CP9">
        <f>CP8+IF(AND(CO9&lt;&gt;"",COUNTIF(CO$4:CO9,CO9)=1),1,0)</f>
        <v>1</v>
      </c>
      <c r="CQ9" t="str">
        <f>IF(ROW()-3&gt;MAX(CP$4:CP$40),"",INDEX(CO$4:CO$40,MATCH(ROW()-3,CP$4:CP$40,0)))</f>
        <v/>
      </c>
      <c r="CR9" s="55">
        <f>IF('Final Calculation Sheet'!$R$9="","",'Final Calculation Sheet'!$R$9)</f>
        <v>0</v>
      </c>
      <c r="CS9">
        <f>IF(CR9="","",COUNTIFS(CR$4:CR$40,"&lt;"&amp;CR9,CR$4:CR$40,"&lt;&gt;"&amp;"")+COUNTIF(CR$4:CR9,CR9))</f>
        <v>4</v>
      </c>
      <c r="CT9" s="55">
        <f>IF(ROW()-3&gt;COUNTIF(CR$4:CR$40,"&lt;&gt;"&amp;""),"",INDEX(CR$4:CR$40,MATCH(ROW()-3,CS$4:CS$40,0)))</f>
        <v>0</v>
      </c>
      <c r="CU9">
        <f>CU8+IF(AND(CT9&lt;&gt;"",COUNTIF(CT$4:CT9,CT9)=1),1,0)</f>
        <v>1</v>
      </c>
      <c r="CV9" t="str">
        <f>IF(ROW()-3&gt;MAX(CU$4:CU$40),"",INDEX(CT$4:CT$40,MATCH(ROW()-3,CU$4:CU$40,0)))</f>
        <v/>
      </c>
      <c r="CW9" s="55">
        <f>IF('Final Calculation Sheet'!$S$9="","",'Final Calculation Sheet'!$S$9)</f>
        <v>3279275</v>
      </c>
      <c r="CX9">
        <f>IF(CW9="","",COUNTIFS(CW$4:CW$40,"&lt;"&amp;CW9,CW$4:CW$40,"&lt;&gt;"&amp;"")+COUNTIF(CW$4:CW9,CW9))</f>
        <v>36</v>
      </c>
      <c r="CY9" s="55">
        <f>IF(ROW()-3&gt;COUNTIF(CW$4:CW$40,"&lt;&gt;"&amp;""),"",INDEX(CW$4:CW$40,MATCH(ROW()-3,CX$4:CX$40,0)))</f>
        <v>34709</v>
      </c>
      <c r="CZ9">
        <f>CZ8+IF(AND(CY9&lt;&gt;"",COUNTIF(CY$4:CY9,CY9)=1),1,0)</f>
        <v>6</v>
      </c>
      <c r="DA9" s="55">
        <f>IF(ROW()-3&gt;MAX(CZ$4:CZ$40),"",INDEX(CY$4:CY$40,MATCH(ROW()-3,CZ$4:CZ$40,0)))</f>
        <v>34709</v>
      </c>
      <c r="DB9" s="55">
        <f>IF('Final Calculation Sheet'!$T$9="","",'Final Calculation Sheet'!$T$9)</f>
        <v>696829</v>
      </c>
      <c r="DC9">
        <f>IF(DB9="","",COUNTIFS(DB$4:DB$40,"&lt;"&amp;DB9,DB$4:DB$40,"&lt;&gt;"&amp;"")+COUNTIF(DB$4:DB9,DB9))</f>
        <v>36</v>
      </c>
      <c r="DD9" s="55">
        <f>IF(ROW()-3&gt;COUNTIF(DB$4:DB$40,"&lt;&gt;"&amp;""),"",INDEX(DB$4:DB$40,MATCH(ROW()-3,DC$4:DC$40,0)))</f>
        <v>7376</v>
      </c>
      <c r="DE9">
        <f>DE8+IF(AND(DD9&lt;&gt;"",COUNTIF(DD$4:DD9,DD9)=1),1,0)</f>
        <v>6</v>
      </c>
      <c r="DF9" s="55">
        <f>IF(ROW()-3&gt;MAX(DE$4:DE$40),"",INDEX(DD$4:DD$40,MATCH(ROW()-3,DE$4:DE$40,0)))</f>
        <v>7376</v>
      </c>
      <c r="DG9" s="140">
        <f>IF('Final Calculation Sheet'!$U$9="","",'Final Calculation Sheet'!$U$9)</f>
        <v>696829</v>
      </c>
      <c r="DH9">
        <f>IF(DG9="","",COUNTIFS(DG$4:DG$40,"&lt;"&amp;DG9,DG$4:DG$40,"&lt;&gt;"&amp;"")+COUNTIF(DG$4:DG9,DG9))</f>
        <v>36</v>
      </c>
      <c r="DI9" s="140">
        <f>IF(ROW()-3&gt;COUNTIF(DG$4:DG$40,"&lt;&gt;"&amp;""),"",INDEX(DG$4:DG$40,MATCH(ROW()-3,DH$4:DH$40,0)))</f>
        <v>7376</v>
      </c>
      <c r="DJ9">
        <f>DJ8+IF(AND(DI9&lt;&gt;"",COUNTIF(DI$4:DI9,DI9)=1),1,0)</f>
        <v>6</v>
      </c>
      <c r="DK9" s="140">
        <f>IF(ROW()-3&gt;MAX(DJ$4:DJ$40),"",INDEX(DI$4:DI$40,MATCH(ROW()-3,DJ$4:DJ$40,0)))</f>
        <v>7376</v>
      </c>
      <c r="DL9" t="str">
        <f>IF('Final Calculation Sheet'!$V$9="","",'Final Calculation Sheet'!$V$9)</f>
        <v>13.08.2026</v>
      </c>
      <c r="DM9">
        <f>IF(DL9="","",COUNTIFS(DL$4:DL$40,"&lt;"&amp;DL9,DL$4:DL$40,"&lt;&gt;"&amp;"")+COUNTIF(DL$4:DL9,DL9))</f>
        <v>13</v>
      </c>
      <c r="DN9" t="str">
        <f>IF(ROW()-3&gt;COUNTIF(DL$4:DL$40,"&lt;&gt;"&amp;""),"",INDEX(DL$4:DL$40,MATCH(ROW()-3,DM$4:DM$40,0)))</f>
        <v>11.08.2026</v>
      </c>
      <c r="DO9">
        <f>DO8+IF(AND(DN9&lt;&gt;"",COUNTIF(DN$4:DN9,DN9)=1),1,0)</f>
        <v>2</v>
      </c>
      <c r="DP9" t="str">
        <f>IF(ROW()-3&gt;MAX(DO$4:DO$40),"",INDEX(DN$4:DN$40,MATCH(ROW()-3,DO$4:DO$40,0)))</f>
        <v>24.08.2026</v>
      </c>
      <c r="DQ9" s="55">
        <f>IF('Final Calculation Sheet'!$W$9="","",'Final Calculation Sheet'!$W$9)</f>
        <v>2582446</v>
      </c>
      <c r="DR9">
        <f>IF(DQ9="","",COUNTIFS(DQ$4:DQ$40,"&lt;"&amp;DQ9,DQ$4:DQ$40,"&lt;&gt;"&amp;"")+COUNTIF(DQ$4:DQ9,DQ9))</f>
        <v>36</v>
      </c>
      <c r="DS9" s="55">
        <f>IF(ROW()-3&gt;COUNTIF(DQ$4:DQ$40,"&lt;&gt;"&amp;""),"",INDEX(DQ$4:DQ$40,MATCH(ROW()-3,DR$4:DR$40,0)))</f>
        <v>27334</v>
      </c>
      <c r="DT9">
        <f>DT8+IF(AND(DS9&lt;&gt;"",COUNTIF(DS$4:DS9,DS9)=1),1,0)</f>
        <v>6</v>
      </c>
      <c r="DU9" s="55">
        <f>IF(ROW()-3&gt;MAX(DT$4:DT$40),"",INDEX(DS$4:DS$40,MATCH(ROW()-3,DT$4:DT$40,0)))</f>
        <v>27334</v>
      </c>
      <c r="DV9" s="55">
        <f>IF('Final Calculation Sheet'!$X$9="","",'Final Calculation Sheet'!$X$9)</f>
        <v>2582447.0942916102</v>
      </c>
      <c r="DW9">
        <f>IF(DV9="","",COUNTIFS(DV$4:DV$40,"&lt;"&amp;DV9,DV$4:DV$40,"&lt;&gt;"&amp;"")+COUNTIF(DV$4:DV9,DV9))</f>
        <v>33</v>
      </c>
      <c r="DX9" s="55">
        <f>IF(ROW()-3&gt;COUNTIF(DV$4:DV$40,"&lt;&gt;"&amp;""),"",INDEX(DV$4:DV$40,MATCH(ROW()-3,DW$4:DW$40,0)))</f>
        <v>27332</v>
      </c>
      <c r="DY9">
        <f>DY8+IF(AND(DX9&lt;&gt;"",COUNTIF(DX$4:DX9,DX9)=1),1,0)</f>
        <v>6</v>
      </c>
      <c r="DZ9" t="e">
        <f>IF(ROW()-3&gt;MAX(DY$4:DY$40),"",INDEX(DX$4:DX$40,MATCH(ROW()-3,DY$4:DY$40,0)))</f>
        <v>#N/A</v>
      </c>
      <c r="EA9" t="str">
        <f>IF('Final Calculation Sheet'!$Y$9="","",'Final Calculation Sheet'!$Y$9)</f>
        <v>13.08.2026</v>
      </c>
      <c r="EB9">
        <f>IF(EA9="","",COUNTIFS(EA$4:EA$40,"&lt;"&amp;EA9,EA$4:EA$40,"&lt;&gt;"&amp;"")+COUNTIF(EA$4:EA9,EA9))</f>
        <v>9</v>
      </c>
      <c r="EC9" t="str">
        <f>IF(ROW()-3&gt;COUNTIF(EA$4:EA$40,"&lt;&gt;"&amp;""),"",INDEX(EA$4:EA$40,MATCH(ROW()-3,EB$4:EB$40,0)))</f>
        <v>11.08.2026</v>
      </c>
      <c r="ED9">
        <f>ED8+IF(AND(EC9&lt;&gt;"",COUNTIF(EC$4:EC9,EC9)=1),1,0)</f>
        <v>3</v>
      </c>
      <c r="EE9" t="e">
        <f>IF(ROW()-3&gt;MAX(ED$4:ED$40),"",INDEX(EC$4:EC$40,MATCH(ROW()-3,ED$4:ED$40,0)))</f>
        <v>#N/A</v>
      </c>
      <c r="EF9" s="55">
        <f>IF('Final Calculation Sheet'!$Z$9="","",'Final Calculation Sheet'!$Z$9)</f>
        <v>0</v>
      </c>
      <c r="EG9">
        <f>IF(EF9="","",COUNTIFS(EF$4:EF$40,"&lt;"&amp;EF9,EF$4:EF$40,"&lt;&gt;"&amp;"")+COUNTIF(EF$4:EF9,EF9))</f>
        <v>6</v>
      </c>
      <c r="EH9" s="55">
        <f>IF(ROW()-3&gt;COUNTIF(EF$4:EF$40,"&lt;&gt;"&amp;""),"",INDEX(EF$4:EF$40,MATCH(ROW()-3,EG$4:EG$40,0)))</f>
        <v>0</v>
      </c>
      <c r="EI9">
        <f>EI8+IF(AND(EH9&lt;&gt;"",COUNTIF(EH$4:EH9,EH9)=1),1,0)</f>
        <v>1</v>
      </c>
      <c r="EJ9" s="55">
        <f>IF(ROW()-3&gt;MAX(EI$4:EI$40),"",INDEX(EH$4:EH$40,MATCH(ROW()-3,EI$4:EI$40,0)))</f>
        <v>19448.760000000002</v>
      </c>
      <c r="EK9" t="str">
        <f>IF('Final Calculation Sheet'!$AA$9="","",'Final Calculation Sheet'!$AA$9)</f>
        <v/>
      </c>
      <c r="EL9" t="str">
        <f>IF(EK9="","",COUNTIFS(EK$4:EK$40,"&lt;"&amp;EK9,EK$4:EK$40,"&lt;&gt;"&amp;"")+COUNTIF(EK$4:EK9,EK9))</f>
        <v/>
      </c>
      <c r="EM9" t="e">
        <f>IF(ROW()-3&gt;COUNTIF(EK$4:EK$40,"&lt;&gt;"&amp;""),"",INDEX(EK$4:EK$40,MATCH(ROW()-3,EL$4:EL$40,0)))</f>
        <v>#N/A</v>
      </c>
      <c r="EN9" t="e">
        <f>EN8+IF(AND(EM9&lt;&gt;"",COUNTIF(EM$4:EM9,EM9)=1),1,0)</f>
        <v>#N/A</v>
      </c>
      <c r="EO9" t="e">
        <f>IF(ROW()-3&gt;MAX(EN$4:EN$40),"",INDEX(EM$4:EM$40,MATCH(ROW()-3,EN$4:EN$40,0)))</f>
        <v>#N/A</v>
      </c>
      <c r="EP9" t="str">
        <f>IF('Final Calculation Sheet'!$AB$9="","",'Final Calculation Sheet'!$AB$9)</f>
        <v/>
      </c>
      <c r="EQ9" t="str">
        <f>IF(EP9="","",COUNTIFS(EP$4:EP$40,"&lt;"&amp;EP9,EP$4:EP$40,"&lt;&gt;"&amp;"")+COUNTIF(EP$4:EP9,EP9))</f>
        <v/>
      </c>
      <c r="ER9" t="e">
        <f>IF(ROW()-3&gt;COUNTIF(EP$4:EP$40,"&lt;&gt;"&amp;""),"",INDEX(EP$4:EP$40,MATCH(ROW()-3,EQ$4:EQ$40,0)))</f>
        <v>#N/A</v>
      </c>
      <c r="ES9" t="e">
        <f>ES8+IF(AND(ER9&lt;&gt;"",COUNTIF(ER$4:ER9,ER9)=1),1,0)</f>
        <v>#N/A</v>
      </c>
      <c r="ET9" t="e">
        <f>IF(ROW()-3&gt;MAX(ES$4:ES$40),"",INDEX(ER$4:ER$40,MATCH(ROW()-3,ES$4:ES$40,0)))</f>
        <v>#N/A</v>
      </c>
      <c r="EU9" s="55">
        <f>IF('Final Calculation Sheet'!$AC$9="","",'Final Calculation Sheet'!$AC$9)</f>
        <v>3279276.0942916102</v>
      </c>
      <c r="EV9">
        <f>IF(EU9="","",COUNTIFS(EU$4:EU$40,"&lt;"&amp;EU9,EU$4:EU$40,"&lt;&gt;"&amp;"")+COUNTIF(EU$4:EU9,EU9))</f>
        <v>36</v>
      </c>
      <c r="EW9" s="55">
        <f>IF(ROW()-3&gt;COUNTIF(EU$4:EU$40,"&lt;&gt;"&amp;""),"",INDEX(EU$4:EU$40,MATCH(ROW()-3,EV$4:EV$40,0)))</f>
        <v>32944</v>
      </c>
      <c r="EX9">
        <f>EX8+IF(AND(EW9&lt;&gt;"",COUNTIF(EW$4:EW9,EW9)=1),1,0)</f>
        <v>6</v>
      </c>
      <c r="EY9" s="55">
        <f>IF(ROW()-3&gt;MAX(EX$4:EX$40),"",INDEX(EW$4:EW$40,MATCH(ROW()-3,EX$4:EX$40,0)))</f>
        <v>32944</v>
      </c>
      <c r="EZ9" s="55">
        <f>IF('Final Calculation Sheet'!$AD$9="","",'Final Calculation Sheet'!$AD$9)</f>
        <v>-1.0942916101776063</v>
      </c>
      <c r="FA9">
        <f>IF(EZ9="","",COUNTIFS(EZ$4:EZ$40,"&lt;"&amp;EZ9,EZ$4:EZ$40,"&lt;&gt;"&amp;"")+COUNTIF(EZ$4:EZ9,EZ9))</f>
        <v>5</v>
      </c>
      <c r="FB9" s="55">
        <f>IF(ROW()-3&gt;COUNTIF(EZ$4:EZ$40,"&lt;&gt;"&amp;""),"",INDEX(EZ$4:EZ$40,MATCH(ROW()-3,FA$4:FA$40,0)))</f>
        <v>-1</v>
      </c>
      <c r="FC9" t="e">
        <f>FC8+IF(AND(FB9&lt;&gt;"",COUNTIF(FB$4:FB9,FB9)=1),1,0)</f>
        <v>#N/A</v>
      </c>
      <c r="FD9" s="55" t="e">
        <f>IF(ROW()-3&gt;MAX(FC$4:FC$40),"",INDEX(FB$4:FB$40,MATCH(ROW()-3,FC$4:FC$40,0)))</f>
        <v>#N/A</v>
      </c>
      <c r="FE9" t="str">
        <f>IF('Final Calculation Sheet'!$AE$9="","",'Final Calculation Sheet'!$AE$9)</f>
        <v>DR2640100023</v>
      </c>
      <c r="FF9">
        <f>IF(FE9="","",COUNTIFS(FE$4:FE$40,"&lt;"&amp;FE9,FE$4:FE$40,"&lt;&gt;"&amp;"")+COUNTIF(FE$4:FE9,FE9))</f>
        <v>12</v>
      </c>
      <c r="FG9" t="str">
        <f>IF(ROW()-3&gt;COUNTIF(FE$4:FE$40,"&lt;&gt;"&amp;""),"",INDEX(FE$4:FE$40,MATCH(ROW()-3,FF$4:FF$40,0)))</f>
        <v>DR2640100017</v>
      </c>
      <c r="FH9" t="e">
        <f>FH8+IF(AND(FG9&lt;&gt;"",COUNTIF(FG$4:FG9,FG9)=1),1,0)</f>
        <v>#N/A</v>
      </c>
      <c r="FI9" t="e">
        <f>IF(ROW()-3&gt;MAX(FH$4:FH$40),"",INDEX(FG$4:FG$40,MATCH(ROW()-3,FH$4:FH$40,0)))</f>
        <v>#N/A</v>
      </c>
      <c r="FJ9" s="141">
        <f>IF('Final Calculation Sheet'!$AF$9="","",'Final Calculation Sheet'!$AF$9)</f>
        <v>1800003194</v>
      </c>
      <c r="FK9">
        <f>IF(FJ9="","",COUNTIFS(FJ$4:FJ$40,"&lt;"&amp;FJ9,FJ$4:FJ$40,"&lt;&gt;"&amp;"")+COUNTIF(FJ$4:FJ9,FJ9))</f>
        <v>7</v>
      </c>
      <c r="FL9" s="141">
        <f>IF(ROW()-3&gt;COUNTIF(FJ$4:FJ$40,"&lt;&gt;"&amp;""),"",INDEX(FJ$4:FJ$40,MATCH(ROW()-3,FK$4:FK$40,0)))</f>
        <v>1800003161</v>
      </c>
      <c r="FM9">
        <f>FM8+IF(AND(FL9&lt;&gt;"",COUNTIF(FL$4:FL9,FL9)=1),1,0)</f>
        <v>6</v>
      </c>
      <c r="FN9" t="e">
        <f>IF(ROW()-3&gt;MAX(FM$4:FM$40),"",INDEX(FL$4:FL$40,MATCH(ROW()-3,FM$4:FM$40,0)))</f>
        <v>#N/A</v>
      </c>
      <c r="FO9" t="str">
        <f>IF('Final Calculation Sheet'!$AG$9="","",'Final Calculation Sheet'!$AG$9)</f>
        <v>17.08.2026</v>
      </c>
      <c r="FP9">
        <f>IF(FO9="","",COUNTIFS(FO$4:FO$40,"&lt;"&amp;FO9,FO$4:FO$40,"&lt;&gt;"&amp;"")+COUNTIF(FO$4:FO9,FO9))</f>
        <v>12</v>
      </c>
      <c r="FQ9" t="str">
        <f>IF(ROW()-3&gt;COUNTIF(FO$4:FO$40,"&lt;&gt;"&amp;""),"",INDEX(FO$4:FO$40,MATCH(ROW()-3,FP$4:FP$40,0)))</f>
        <v>12.08.2026</v>
      </c>
      <c r="FR9" t="e">
        <f>FR8+IF(AND(FQ9&lt;&gt;"",COUNTIF(FQ$4:FQ9,FQ9)=1),1,0)</f>
        <v>#N/A</v>
      </c>
      <c r="FS9" t="e">
        <f>IF(ROW()-3&gt;MAX(FR$4:FR$40),"",INDEX(FQ$4:FQ$40,MATCH(ROW()-3,FR$4:FR$40,0)))</f>
        <v>#N/A</v>
      </c>
      <c r="FU9" t="str">
        <f>IF(FT9="","",COUNTIFS(FT$4:FT$40,"&lt;"&amp;FT9,FT$4:FT$40,"&lt;&gt;"&amp;"")+COUNTIF(FT$4:FT9,FT9))</f>
        <v/>
      </c>
      <c r="FV9" t="str">
        <f>IF(ROW()-3&gt;COUNTIF(FT$4:FT$40,"&lt;&gt;"&amp;""),"",INDEX(FT$4:FT$40,MATCH(ROW()-3,FU$4:FU$40,0)))</f>
        <v/>
      </c>
      <c r="FW9">
        <f>FW8+IF(AND(FV9&lt;&gt;"",COUNTIF(FV$4:FV9,FV9)=1),1,0)</f>
        <v>2</v>
      </c>
      <c r="FX9" t="str">
        <f>IF(ROW()-3&gt;MAX(FW$4:FW$40),"",INDEX(FV$4:FV$40,MATCH(ROW()-3,FW$4:FW$40,0)))</f>
        <v/>
      </c>
    </row>
    <row r="10">
      <c r="A10">
        <f>IF('Final Calculation Sheet'!$F$10="","",'Final Calculation Sheet'!$F$10)</f>
        <v>2002</v>
      </c>
      <c r="B10">
        <f>IF(A10="","",COUNTIFS(A$4:A$114,"&lt;"&amp;A10,A$4:A$114,"&lt;&gt;"&amp;"")+COUNTIF(A$4:A10,A10))</f>
        <v>7</v>
      </c>
      <c r="C10">
        <f>IF(ROW()-3&gt;COUNTIF(A$4:A$114,"&lt;&gt;"&amp;""),"",INDEX(A$4:A$114,MATCH(ROW()-3,B$4:B$114,0)))</f>
        <v>2002</v>
      </c>
      <c r="D10">
        <f>D9+IF(AND(C10&lt;&gt;"",COUNTIF(C$4:C10,C10)=1),1,0)</f>
        <v>7</v>
      </c>
      <c r="E10" t="e">
        <f>IF(ROW()-3&gt;MAX(D$4:D$114),"",INDEX(C$4:C$114,MATCH(ROW()-3,D$4:D$114,0)))</f>
        <v>#N/A</v>
      </c>
      <c r="F10">
        <f>ROW()-3</f>
        <v>7</v>
      </c>
      <c r="G10">
        <f>IF(F10="","",COUNTIFS(F$4:F$40,"&lt;"&amp;F10,F$4:F$40,"&lt;&gt;"&amp;"")+COUNTIF(F$4:F10,F10))</f>
        <v>7</v>
      </c>
      <c r="H10">
        <f>IF(ROW()-3&gt;COUNTIF(F$4:F$40,"&lt;&gt;"&amp;""),"",INDEX(F$4:F$40,MATCH(ROW()-3,G$4:G$40,0)))</f>
        <v>7</v>
      </c>
      <c r="I10">
        <f>I9+IF(AND(H10&lt;&gt;"",COUNTIF(H$4:H10,H10)=1),1,0)</f>
        <v>7</v>
      </c>
      <c r="J10">
        <f>IF(ROW()-3&gt;MAX(I$4:I$40),"",INDEX(H$4:H$40,MATCH(ROW()-3,I$4:I$40,0)))</f>
        <v>7</v>
      </c>
      <c r="K10">
        <f>IF('Final Calculation Sheet'!$F$10="","",'Final Calculation Sheet'!$F$10)</f>
        <v>2002</v>
      </c>
      <c r="L10">
        <f>IF(K10="","",COUNTIFS(K$4:K$40,"&lt;"&amp;K10,K$4:K$40,"&lt;&gt;"&amp;"")+COUNTIF(K$4:K10,K10))</f>
        <v>7</v>
      </c>
      <c r="M10">
        <f>IF(ROW()-3&gt;COUNTIF(K$4:K$40,"&lt;&gt;"&amp;""),"",INDEX(K$4:K$40,MATCH(ROW()-3,L$4:L$40,0)))</f>
        <v>2002</v>
      </c>
      <c r="N10">
        <f>N9+IF(AND(M10&lt;&gt;"",COUNTIF(M$4:M10,M10)=1),1,0)</f>
        <v>7</v>
      </c>
      <c r="O10">
        <f>IF(ROW()-3&gt;MAX(N$4:N$40),"",INDEX(M$4:M$40,MATCH(ROW()-3,N$4:N$40,0)))</f>
        <v>2002</v>
      </c>
      <c r="P10" t="str">
        <f>IF('Final Calculation Sheet'!$G$10="","",'Final Calculation Sheet'!$G$10)</f>
        <v>NATIONAL ENTERPRISES</v>
      </c>
      <c r="Q10">
        <f>IF(P10="","",COUNTIFS(P$4:P$40,"&lt;"&amp;P10,P$4:P$40,"&lt;&gt;"&amp;"")+COUNTIF(P$4:P10,P10))</f>
        <v>8</v>
      </c>
      <c r="R10" t="str">
        <f>IF(ROW()-3&gt;COUNTIF(P$4:P$40,"&lt;&gt;"&amp;""),"",INDEX(P$4:P$40,MATCH(ROW()-3,Q$4:Q$40,0)))</f>
        <v>NATIONAL ENTERPRISES</v>
      </c>
      <c r="S10">
        <f>S9+IF(AND(R10&lt;&gt;"",COUNTIF(R$4:R10,R10)=1),1,0)</f>
        <v>6</v>
      </c>
      <c r="T10" t="str">
        <f>IF(ROW()-3&gt;MAX(S$4:S$40),"",INDEX(R$4:R$40,MATCH(ROW()-3,S$4:S$40,0)))</f>
        <v>NATIONAL SCRAP AND BUILDING MATERIAL SUPPLIER</v>
      </c>
      <c r="U10" t="str">
        <f>IF('Final Calculation Sheet'!$B$10="","",'Final Calculation Sheet'!$B$10)</f>
        <v>Scrap of 132 KV CT</v>
      </c>
      <c r="V10">
        <f>IF(U10="","",COUNTIFS(U$4:U$40,"&lt;"&amp;U10,U$4:U$40,"&lt;&gt;"&amp;"")+COUNTIF(U$4:U10,U10))</f>
        <v>6</v>
      </c>
      <c r="W10" t="str">
        <f>IF(ROW()-3&gt;COUNTIF(U$4:U$40,"&lt;&gt;"&amp;""),"",INDEX(U$4:U$40,MATCH(ROW()-3,V$4:V$40,0)))</f>
        <v>Scrap of 132 KV CT</v>
      </c>
      <c r="X10">
        <f>X9+IF(AND(W10&lt;&gt;"",COUNTIF(W$4:W10,W10)=1),1,0)</f>
        <v>6</v>
      </c>
      <c r="Y10" t="str">
        <f>IF(ROW()-3&gt;MAX(X$4:X$40),"",INDEX(W$4:W$40,MATCH(ROW()-3,X$4:X$40,0)))</f>
        <v>Scrap of 132 KV Wave Trap</v>
      </c>
      <c r="Z10">
        <f>IF('Final Calculation Sheet'!$D$10="","",'Final Calculation Sheet'!$D$10)</f>
        <v>21977</v>
      </c>
      <c r="AA10">
        <f>IF(Z10="","",COUNTIFS(Z$4:Z$40,"&lt;"&amp;Z10,Z$4:Z$40,"&lt;&gt;"&amp;"")+COUNTIF(Z$4:Z10,Z10))</f>
        <v>5</v>
      </c>
      <c r="AB10">
        <f>IF(ROW()-3&gt;COUNTIF(Z$4:Z$40,"&lt;&gt;"&amp;""),"",INDEX(Z$4:Z$40,MATCH(ROW()-3,AA$4:AA$40,0)))</f>
        <v>21977</v>
      </c>
      <c r="AC10">
        <f>AC9+IF(AND(AB10&lt;&gt;"",COUNTIF(AB$4:AB10,AB10)=1),1,0)</f>
        <v>1</v>
      </c>
      <c r="AD10" t="str">
        <f>IF(ROW()-3&gt;MAX(AC$4:AC$40),"",INDEX(AB$4:AB$40,MATCH(ROW()-3,AC$4:AC$40,0)))</f>
        <v/>
      </c>
      <c r="AE10">
        <f>IF('Final Calculation Sheet'!$A$10="","",'Final Calculation Sheet'!$A$10)</f>
        <v>4</v>
      </c>
      <c r="AF10">
        <f>IF(AE10="","",COUNTIFS(AE$4:AE$40,"&lt;"&amp;AE10,AE$4:AE$40,"&lt;&gt;"&amp;"")+COUNTIF(AE$4:AE10,AE10))</f>
        <v>19</v>
      </c>
      <c r="AG10">
        <f>IF(ROW()-3&gt;COUNTIF(AE$4:AE$40,"&lt;&gt;"&amp;""),"",INDEX(AE$4:AE$40,MATCH(ROW()-3,AF$4:AF$40,0)))</f>
        <v>1</v>
      </c>
      <c r="AH10">
        <f>AH9+IF(AND(AG10&lt;&gt;"",COUNTIF(AG$4:AG10,AG10)=1),1,0)</f>
        <v>1</v>
      </c>
      <c r="AI10">
        <f>IF(ROW()-3&gt;MAX(AH$4:AH$40),"",INDEX(AG$4:AG$40,MATCH(ROW()-3,AH$4:AH$40,0)))</f>
        <v>22</v>
      </c>
      <c r="AJ10" t="str">
        <f>IF('Final Calculation Sheet'!$E$10="","",'Final Calculation Sheet'!$E$10)</f>
        <v>NO</v>
      </c>
      <c r="AK10">
        <f>IF(AJ10="","",COUNTIFS(AJ$4:AJ$40,"&lt;"&amp;AJ10,AJ$4:AJ$40,"&lt;&gt;"&amp;"")+COUNTIF(AJ$4:AJ10,AJ10))</f>
        <v>10</v>
      </c>
      <c r="AL10" t="str">
        <f>IF(ROW()-3&gt;COUNTIF(AJ$4:AJ$40,"&lt;&gt;"&amp;""),"",INDEX(AJ$4:AJ$40,MATCH(ROW()-3,AK$4:AK$40,0)))</f>
        <v>MT</v>
      </c>
      <c r="AM10">
        <f>AM9+IF(AND(AL10&lt;&gt;"",COUNTIF(AL$4:AL10,AL10)=1),1,0)</f>
        <v>2</v>
      </c>
      <c r="AN10" t="str">
        <f>IF(ROW()-3&gt;MAX(AM$4:AM$40),"",INDEX(AL$4:AL$40,MATCH(ROW()-3,AM$4:AM$40,0)))</f>
        <v/>
      </c>
      <c r="AO10" s="55">
        <f>IF('Final Calculation Sheet'!$C$10="","",'Final Calculation Sheet'!$C$10)</f>
        <v>51511</v>
      </c>
      <c r="AP10">
        <f>IF(AO10="","",COUNTIFS(AO$4:AO$40,"&lt;"&amp;AO10,AO$4:AO$40,"&lt;&gt;"&amp;"")+COUNTIF(AO$4:AO10,AO10))</f>
        <v>23</v>
      </c>
      <c r="AQ10" s="55">
        <f>IF(ROW()-3&gt;COUNTIF(AO$4:AO$40,"&lt;&gt;"&amp;""),"",INDEX(AO$4:AO$40,MATCH(ROW()-3,AP$4:AP$40,0)))</f>
        <v>543</v>
      </c>
      <c r="AR10">
        <f>AR9+IF(AND(AQ10&lt;&gt;"",COUNTIF(AQ$4:AQ10,AQ10)=1),1,0)</f>
        <v>7</v>
      </c>
      <c r="AS10" s="55">
        <f>IF(ROW()-3&gt;MAX(AR$4:AR$40),"",INDEX(AQ$4:AQ$40,MATCH(ROW()-3,AR$4:AR$40,0)))</f>
        <v>543</v>
      </c>
      <c r="AT10" s="55">
        <f>IF('Final Calculation Sheet'!$H$10="","",'Final Calculation Sheet'!$H$10)</f>
        <v>206044</v>
      </c>
      <c r="AU10">
        <f>IF(AT10="","",COUNTIFS(AT$4:AT$40,"&lt;"&amp;AT10,AT$4:AT$40,"&lt;&gt;"&amp;"")+COUNTIF(AT$4:AT10,AT10))</f>
        <v>22</v>
      </c>
      <c r="AV10" s="55">
        <f>IF(ROW()-3&gt;COUNTIF(AT$4:AT$40,"&lt;&gt;"&amp;""),"",INDEX(AT$4:AT$40,MATCH(ROW()-3,AU$4:AU$40,0)))</f>
        <v>30012</v>
      </c>
      <c r="AW10">
        <f>AW9+IF(AND(AV10&lt;&gt;"",COUNTIF(AV$4:AV10,AV10)=1),1,0)</f>
        <v>7</v>
      </c>
      <c r="AX10" s="55">
        <f>IF(ROW()-3&gt;MAX(AW$4:AW$40),"",INDEX(AV$4:AV$40,MATCH(ROW()-3,AW$4:AW$40,0)))</f>
        <v>30012</v>
      </c>
      <c r="AY10" s="55">
        <f>IF('Final Calculation Sheet'!$I$10="","",'Final Calculation Sheet'!$I$10)</f>
        <v>37088</v>
      </c>
      <c r="AZ10">
        <f>IF(AY10="","",COUNTIFS(AY$4:AY$40,"&lt;"&amp;AY10,AY$4:AY$40,"&lt;&gt;"&amp;"")+COUNTIF(AY$4:AY10,AY10))</f>
        <v>22</v>
      </c>
      <c r="BA10" s="55">
        <f>IF(ROW()-3&gt;COUNTIF(AY$4:AY$40,"&lt;&gt;"&amp;""),"",INDEX(AY$4:AY$40,MATCH(ROW()-3,AZ$4:AZ$40,0)))</f>
        <v>5402</v>
      </c>
      <c r="BB10">
        <f>BB9+IF(AND(BA10&lt;&gt;"",COUNTIF(BA$4:BA10,BA10)=1),1,0)</f>
        <v>7</v>
      </c>
      <c r="BC10" s="55">
        <f>IF(ROW()-3&gt;MAX(BB$4:BB$40),"",INDEX(BA$4:BA$40,MATCH(ROW()-3,BB$4:BB$40,0)))</f>
        <v>5402</v>
      </c>
      <c r="BD10" s="55">
        <f>IF('Final Calculation Sheet'!$J$10="","",'Final Calculation Sheet'!$J$10)</f>
        <v>243132</v>
      </c>
      <c r="BE10">
        <f>IF(BD10="","",COUNTIFS(BD$4:BD$40,"&lt;"&amp;BD10,BD$4:BD$40,"&lt;&gt;"&amp;"")+COUNTIF(BD$4:BD10,BD10))</f>
        <v>22</v>
      </c>
      <c r="BF10" s="55">
        <f>IF(ROW()-3&gt;COUNTIF(BD$4:BD$40,"&lt;&gt;"&amp;""),"",INDEX(BD$4:BD$40,MATCH(ROW()-3,BE$4:BE$40,0)))</f>
        <v>35414</v>
      </c>
      <c r="BG10">
        <f>BG9+IF(AND(BF10&lt;&gt;"",COUNTIF(BF$4:BF10,BF10)=1),1,0)</f>
        <v>7</v>
      </c>
      <c r="BH10" s="55">
        <f>IF(ROW()-3&gt;MAX(BG$4:BG$40),"",INDEX(BF$4:BF$40,MATCH(ROW()-3,BG$4:BG$40,0)))</f>
        <v>35414</v>
      </c>
      <c r="BI10" s="55">
        <f>IF('Final Calculation Sheet'!$K$10="","",'Final Calculation Sheet'!$K$10)</f>
        <v>4863</v>
      </c>
      <c r="BJ10">
        <f>IF(BI10="","",COUNTIFS(BI$4:BI$40,"&lt;"&amp;BI10,BI$4:BI$40,"&lt;&gt;"&amp;"")+COUNTIF(BI$4:BI10,BI10))</f>
        <v>22</v>
      </c>
      <c r="BK10" s="55">
        <f>IF(ROW()-3&gt;COUNTIF(BI$4:BI$40,"&lt;&gt;"&amp;""),"",INDEX(BI$4:BI$40,MATCH(ROW()-3,BJ$4:BJ$40,0)))</f>
        <v>708</v>
      </c>
      <c r="BL10">
        <f>BL9+IF(AND(BK10&lt;&gt;"",COUNTIF(BK$4:BK10,BK10)=1),1,0)</f>
        <v>7</v>
      </c>
      <c r="BM10" s="55">
        <f>IF(ROW()-3&gt;MAX(BL$4:BL$40),"",INDEX(BK$4:BK$40,MATCH(ROW()-3,BL$4:BL$40,0)))</f>
        <v>708</v>
      </c>
      <c r="BN10" s="55">
        <f>IF('Final Calculation Sheet'!$L$10="","",'Final Calculation Sheet'!$L$10)</f>
        <v>206.04400000000001</v>
      </c>
      <c r="BO10">
        <f>IF(BN10="","",COUNTIFS(BN$4:BN$40,"&lt;"&amp;BN10,BN$4:BN$40,"&lt;&gt;"&amp;"")+COUNTIF(BN$4:BN10,BN10))</f>
        <v>22</v>
      </c>
      <c r="BP10" s="55">
        <f>IF(ROW()-3&gt;COUNTIF(BN$4:BN$40,"&lt;&gt;"&amp;""),"",INDEX(BN$4:BN$40,MATCH(ROW()-3,BO$4:BO$40,0)))</f>
        <v>30.012</v>
      </c>
      <c r="BQ10">
        <f>BQ9+IF(AND(BP10&lt;&gt;"",COUNTIF(BP$4:BP10,BP10)=1),1,0)</f>
        <v>7</v>
      </c>
      <c r="BR10" s="55">
        <f>IF(ROW()-3&gt;MAX(BQ$4:BQ$40),"",INDEX(BP$4:BP$40,MATCH(ROW()-3,BQ$4:BQ$40,0)))</f>
        <v>30.012</v>
      </c>
      <c r="BS10" s="55">
        <f>IF('Final Calculation Sheet'!$M$10="","",'Final Calculation Sheet'!$M$10)</f>
        <v>5470.4681999999993</v>
      </c>
      <c r="BT10">
        <f>IF(BS10="","",COUNTIFS(BS$4:BS$40,"&lt;"&amp;BS10,BS$4:BS$40,"&lt;&gt;"&amp;"")+COUNTIF(BS$4:BS10,BS10))</f>
        <v>22</v>
      </c>
      <c r="BU10" s="55">
        <f>IF(ROW()-3&gt;COUNTIF(BS$4:BS$40,"&lt;&gt;"&amp;""),"",INDEX(BS$4:BS$40,MATCH(ROW()-3,BT$4:BT$40,0)))</f>
        <v>796.81859999999995</v>
      </c>
      <c r="BV10">
        <f>BV9+IF(AND(BU10&lt;&gt;"",COUNTIF(BU$4:BU10,BU10)=1),1,0)</f>
        <v>7</v>
      </c>
      <c r="BW10" s="55">
        <f>IF(ROW()-3&gt;MAX(BV$4:BV$40),"",INDEX(BU$4:BU$40,MATCH(ROW()-3,BV$4:BV$40,0)))</f>
        <v>796.81859999999995</v>
      </c>
      <c r="BX10" s="138">
        <f>IF('Final Calculation Sheet'!$N$10="","",'Final Calculation Sheet'!$N$10)</f>
        <v>92.719799999999992</v>
      </c>
      <c r="BY10">
        <f>IF(BX10="","",COUNTIFS(BX$4:BX$40,"&lt;"&amp;BX10,BX$4:BX$40,"&lt;&gt;"&amp;"")+COUNTIF(BX$4:BX10,BX10))</f>
        <v>22</v>
      </c>
      <c r="BZ10" s="138">
        <f>IF(ROW()-3&gt;COUNTIF(BX$4:BX$40,"&lt;&gt;"&amp;""),"",INDEX(BX$4:BX$40,MATCH(ROW()-3,BY$4:BY$40,0)))</f>
        <v>13.5054</v>
      </c>
      <c r="CA10">
        <f>CA9+IF(AND(BZ10&lt;&gt;"",COUNTIF(BZ$4:BZ10,BZ10)=1),1,0)</f>
        <v>7</v>
      </c>
      <c r="CB10" s="138">
        <f>IF(ROW()-3&gt;MAX(CA$4:CA$40),"",INDEX(BZ$4:BZ$40,MATCH(ROW()-3,CA$4:CA$40,0)))</f>
        <v>13.5054</v>
      </c>
      <c r="CC10" s="55">
        <f>IF('Final Calculation Sheet'!$O$10="","",'Final Calculation Sheet'!$O$10)</f>
        <v>5377.7483999999995</v>
      </c>
      <c r="CD10">
        <f>IF(CC10="","",COUNTIFS(CC$4:CC$40,"&lt;"&amp;CC10,CC$4:CC$40,"&lt;&gt;"&amp;"")+COUNTIF(CC$4:CC10,CC10))</f>
        <v>22</v>
      </c>
      <c r="CE10" s="55">
        <f>IF(ROW()-3&gt;COUNTIF(CC$4:CC$40,"&lt;&gt;"&amp;""),"",INDEX(CC$4:CC$40,MATCH(ROW()-3,CD$4:CD$40,0)))</f>
        <v>783.31319999999994</v>
      </c>
      <c r="CF10">
        <f>CF9+IF(AND(CE10&lt;&gt;"",COUNTIF(CE$4:CE10,CE10)=1),1,0)</f>
        <v>7</v>
      </c>
      <c r="CG10" s="55">
        <f>IF(ROW()-3&gt;MAX(CF$4:CF$40),"",INDEX(CE$4:CE$40,MATCH(ROW()-3,CF$4:CF$40,0)))</f>
        <v>783.31319999999994</v>
      </c>
      <c r="CH10" s="55">
        <f>IF('Final Calculation Sheet'!$P$10="","",'Final Calculation Sheet'!$P$10)</f>
        <v>5584</v>
      </c>
      <c r="CI10">
        <f>IF(CH10="","",COUNTIFS(CH$4:CH$40,"&lt;"&amp;CH10,CH$4:CH$40,"&lt;&gt;"&amp;"")+COUNTIF(CH$4:CH10,CH10))</f>
        <v>22</v>
      </c>
      <c r="CJ10" s="55">
        <f>IF(ROW()-3&gt;COUNTIF(CH$4:CH$40,"&lt;&gt;"&amp;""),"",INDEX(CH$4:CH$40,MATCH(ROW()-3,CI$4:CI$40,0)))</f>
        <v>813</v>
      </c>
      <c r="CK10">
        <f>CK9+IF(AND(CJ10&lt;&gt;"",COUNTIF(CJ$4:CJ10,CJ10)=1),1,0)</f>
        <v>7</v>
      </c>
      <c r="CL10" s="55">
        <f>IF(ROW()-3&gt;MAX(CK$4:CK$40),"",INDEX(CJ$4:CJ$40,MATCH(ROW()-3,CK$4:CK$40,0)))</f>
        <v>813</v>
      </c>
      <c r="CM10" s="139">
        <f>IF('Final Calculation Sheet'!$Q$10="","",'Final Calculation Sheet'!$Q$10)</f>
        <v>0</v>
      </c>
      <c r="CN10">
        <f>IF(CM10="","",COUNTIFS(CM$4:CM$40,"&lt;"&amp;CM10,CM$4:CM$40,"&lt;&gt;"&amp;"")+COUNTIF(CM$4:CM10,CM10))</f>
        <v>5</v>
      </c>
      <c r="CO10" s="139">
        <f>IF(ROW()-3&gt;COUNTIF(CM$4:CM$40,"&lt;&gt;"&amp;""),"",INDEX(CM$4:CM$40,MATCH(ROW()-3,CN$4:CN$40,0)))</f>
        <v>0</v>
      </c>
      <c r="CP10">
        <f>CP9+IF(AND(CO10&lt;&gt;"",COUNTIF(CO$4:CO10,CO10)=1),1,0)</f>
        <v>1</v>
      </c>
      <c r="CQ10" t="str">
        <f>IF(ROW()-3&gt;MAX(CP$4:CP$40),"",INDEX(CO$4:CO$40,MATCH(ROW()-3,CP$4:CP$40,0)))</f>
        <v/>
      </c>
      <c r="CR10" s="55">
        <f>IF('Final Calculation Sheet'!$R$10="","",'Final Calculation Sheet'!$R$10)</f>
        <v>0</v>
      </c>
      <c r="CS10">
        <f>IF(CR10="","",COUNTIFS(CR$4:CR$40,"&lt;"&amp;CR10,CR$4:CR$40,"&lt;&gt;"&amp;"")+COUNTIF(CR$4:CR10,CR10))</f>
        <v>5</v>
      </c>
      <c r="CT10" s="55">
        <f>IF(ROW()-3&gt;COUNTIF(CR$4:CR$40,"&lt;&gt;"&amp;""),"",INDEX(CR$4:CR$40,MATCH(ROW()-3,CS$4:CS$40,0)))</f>
        <v>0</v>
      </c>
      <c r="CU10">
        <f>CU9+IF(AND(CT10&lt;&gt;"",COUNTIF(CT$4:CT10,CT10)=1),1,0)</f>
        <v>1</v>
      </c>
      <c r="CV10" t="str">
        <f>IF(ROW()-3&gt;MAX(CU$4:CU$40),"",INDEX(CT$4:CT$40,MATCH(ROW()-3,CU$4:CU$40,0)))</f>
        <v/>
      </c>
      <c r="CW10" s="55">
        <f>IF('Final Calculation Sheet'!$S$10="","",'Final Calculation Sheet'!$S$10)</f>
        <v>242411</v>
      </c>
      <c r="CX10">
        <f>IF(CW10="","",COUNTIFS(CW$4:CW$40,"&lt;"&amp;CW10,CW$4:CW$40,"&lt;&gt;"&amp;"")+COUNTIF(CW$4:CW10,CW10))</f>
        <v>22</v>
      </c>
      <c r="CY10" s="55">
        <f>IF(ROW()-3&gt;COUNTIF(CW$4:CW$40,"&lt;&gt;"&amp;""),"",INDEX(CW$4:CW$40,MATCH(ROW()-3,CX$4:CX$40,0)))</f>
        <v>35309</v>
      </c>
      <c r="CZ10">
        <f>CZ9+IF(AND(CY10&lt;&gt;"",COUNTIF(CY$4:CY10,CY10)=1),1,0)</f>
        <v>7</v>
      </c>
      <c r="DA10" s="55">
        <f>IF(ROW()-3&gt;MAX(CZ$4:CZ$40),"",INDEX(CY$4:CY$40,MATCH(ROW()-3,CZ$4:CZ$40,0)))</f>
        <v>35309</v>
      </c>
      <c r="DB10" s="55">
        <f>IF('Final Calculation Sheet'!$T$10="","",'Final Calculation Sheet'!$T$10)</f>
        <v>51511</v>
      </c>
      <c r="DC10">
        <f>IF(DB10="","",COUNTIFS(DB$4:DB$40,"&lt;"&amp;DB10,DB$4:DB$40,"&lt;&gt;"&amp;"")+COUNTIF(DB$4:DB10,DB10))</f>
        <v>22</v>
      </c>
      <c r="DD10" s="55">
        <f>IF(ROW()-3&gt;COUNTIF(DB$4:DB$40,"&lt;&gt;"&amp;""),"",INDEX(DB$4:DB$40,MATCH(ROW()-3,DC$4:DC$40,0)))</f>
        <v>7503</v>
      </c>
      <c r="DE10">
        <f>DE9+IF(AND(DD10&lt;&gt;"",COUNTIF(DD$4:DD10,DD10)=1),1,0)</f>
        <v>7</v>
      </c>
      <c r="DF10" s="55">
        <f>IF(ROW()-3&gt;MAX(DE$4:DE$40),"",INDEX(DD$4:DD$40,MATCH(ROW()-3,DE$4:DE$40,0)))</f>
        <v>7503</v>
      </c>
      <c r="DG10" s="140">
        <f>IF('Final Calculation Sheet'!$U$10="","",'Final Calculation Sheet'!$U$10)</f>
        <v>51511</v>
      </c>
      <c r="DH10">
        <f>IF(DG10="","",COUNTIFS(DG$4:DG$40,"&lt;"&amp;DG10,DG$4:DG$40,"&lt;&gt;"&amp;"")+COUNTIF(DG$4:DG10,DG10))</f>
        <v>22</v>
      </c>
      <c r="DI10" s="140">
        <f>IF(ROW()-3&gt;COUNTIF(DG$4:DG$40,"&lt;&gt;"&amp;""),"",INDEX(DG$4:DG$40,MATCH(ROW()-3,DH$4:DH$40,0)))</f>
        <v>7503</v>
      </c>
      <c r="DJ10">
        <f>DJ9+IF(AND(DI10&lt;&gt;"",COUNTIF(DI$4:DI10,DI10)=1),1,0)</f>
        <v>7</v>
      </c>
      <c r="DK10" s="140">
        <f>IF(ROW()-3&gt;MAX(DJ$4:DJ$40),"",INDEX(DI$4:DI$40,MATCH(ROW()-3,DJ$4:DJ$40,0)))</f>
        <v>7503</v>
      </c>
      <c r="DL10" t="str">
        <f>IF('Final Calculation Sheet'!$V$10="","",'Final Calculation Sheet'!$V$10)</f>
        <v>13.08.2026</v>
      </c>
      <c r="DM10">
        <f>IF(DL10="","",COUNTIFS(DL$4:DL$40,"&lt;"&amp;DL10,DL$4:DL$40,"&lt;&gt;"&amp;"")+COUNTIF(DL$4:DL10,DL10))</f>
        <v>14</v>
      </c>
      <c r="DN10" t="str">
        <f>IF(ROW()-3&gt;COUNTIF(DL$4:DL$40,"&lt;&gt;"&amp;""),"",INDEX(DL$4:DL$40,MATCH(ROW()-3,DM$4:DM$40,0)))</f>
        <v>11.08.2026</v>
      </c>
      <c r="DO10">
        <f>DO9+IF(AND(DN10&lt;&gt;"",COUNTIF(DN$4:DN10,DN10)=1),1,0)</f>
        <v>2</v>
      </c>
      <c r="DP10" t="str">
        <f>IF(ROW()-3&gt;MAX(DO$4:DO$40),"",INDEX(DN$4:DN$40,MATCH(ROW()-3,DO$4:DO$40,0)))</f>
        <v/>
      </c>
      <c r="DQ10" s="55">
        <f>IF('Final Calculation Sheet'!$W$10="","",'Final Calculation Sheet'!$W$10)</f>
        <v>190900</v>
      </c>
      <c r="DR10">
        <f>IF(DQ10="","",COUNTIFS(DQ$4:DQ$40,"&lt;"&amp;DQ10,DQ$4:DQ$40,"&lt;&gt;"&amp;"")+COUNTIF(DQ$4:DQ10,DQ10))</f>
        <v>22</v>
      </c>
      <c r="DS10" s="55">
        <f>IF(ROW()-3&gt;COUNTIF(DQ$4:DQ$40,"&lt;&gt;"&amp;""),"",INDEX(DQ$4:DQ$40,MATCH(ROW()-3,DR$4:DR$40,0)))</f>
        <v>27806</v>
      </c>
      <c r="DT10">
        <f>DT9+IF(AND(DS10&lt;&gt;"",COUNTIF(DS$4:DS10,DS10)=1),1,0)</f>
        <v>7</v>
      </c>
      <c r="DU10" s="55">
        <f>IF(ROW()-3&gt;MAX(DT$4:DT$40),"",INDEX(DS$4:DS$40,MATCH(ROW()-3,DT$4:DT$40,0)))</f>
        <v>27806</v>
      </c>
      <c r="DV10" s="55">
        <f>IF('Final Calculation Sheet'!$X$10="","",'Final Calculation Sheet'!$X$10)</f>
        <v>190900</v>
      </c>
      <c r="DW10">
        <f>IF(DV10="","",COUNTIFS(DV$4:DV$40,"&lt;"&amp;DV10,DV$4:DV$40,"&lt;&gt;"&amp;"")+COUNTIF(DV$4:DV10,DV10))</f>
        <v>21</v>
      </c>
      <c r="DX10" s="55">
        <f>IF(ROW()-3&gt;COUNTIF(DV$4:DV$40,"&lt;&gt;"&amp;""),"",INDEX(DV$4:DV$40,MATCH(ROW()-3,DW$4:DW$40,0)))</f>
        <v>27806</v>
      </c>
      <c r="DY10">
        <f>DY9+IF(AND(DX10&lt;&gt;"",COUNTIF(DX$4:DX10,DX10)=1),1,0)</f>
        <v>7</v>
      </c>
      <c r="DZ10" t="e">
        <f>IF(ROW()-3&gt;MAX(DY$4:DY$40),"",INDEX(DX$4:DX$40,MATCH(ROW()-3,DY$4:DY$40,0)))</f>
        <v>#N/A</v>
      </c>
      <c r="EA10" t="str">
        <f>IF('Final Calculation Sheet'!$Y$10="","",'Final Calculation Sheet'!$Y$10)</f>
        <v>24.08.2026</v>
      </c>
      <c r="EB10">
        <f>IF(EA10="","",COUNTIFS(EA$4:EA$40,"&lt;"&amp;EA10,EA$4:EA$40,"&lt;&gt;"&amp;"")+COUNTIF(EA$4:EA10,EA10))</f>
        <v>23</v>
      </c>
      <c r="EC10" t="str">
        <f>IF(ROW()-3&gt;COUNTIF(EA$4:EA$40,"&lt;&gt;"&amp;""),"",INDEX(EA$4:EA$40,MATCH(ROW()-3,EB$4:EB$40,0)))</f>
        <v>11.08.2026</v>
      </c>
      <c r="ED10">
        <f>ED9+IF(AND(EC10&lt;&gt;"",COUNTIF(EC$4:EC10,EC10)=1),1,0)</f>
        <v>3</v>
      </c>
      <c r="EE10" t="e">
        <f>IF(ROW()-3&gt;MAX(ED$4:ED$40),"",INDEX(EC$4:EC$40,MATCH(ROW()-3,ED$4:ED$40,0)))</f>
        <v>#N/A</v>
      </c>
      <c r="EF10" s="55">
        <f>IF('Final Calculation Sheet'!$Z$10="","",'Final Calculation Sheet'!$Z$10)</f>
        <v>0</v>
      </c>
      <c r="EG10">
        <f>IF(EF10="","",COUNTIFS(EF$4:EF$40,"&lt;"&amp;EF10,EF$4:EF$40,"&lt;&gt;"&amp;"")+COUNTIF(EF$4:EF10,EF10))</f>
        <v>7</v>
      </c>
      <c r="EH10" s="55">
        <f>IF(ROW()-3&gt;COUNTIF(EF$4:EF$40,"&lt;&gt;"&amp;""),"",INDEX(EF$4:EF$40,MATCH(ROW()-3,EG$4:EG$40,0)))</f>
        <v>0</v>
      </c>
      <c r="EI10">
        <f>EI9+IF(AND(EH10&lt;&gt;"",COUNTIF(EH$4:EH10,EH10)=1),1,0)</f>
        <v>1</v>
      </c>
      <c r="EJ10" t="str">
        <f>IF(ROW()-3&gt;MAX(EI$4:EI$40),"",INDEX(EH$4:EH$40,MATCH(ROW()-3,EI$4:EI$40,0)))</f>
        <v/>
      </c>
      <c r="EK10" t="str">
        <f>IF('Final Calculation Sheet'!$AA$10="","",'Final Calculation Sheet'!$AA$10)</f>
        <v/>
      </c>
      <c r="EL10" t="str">
        <f>IF(EK10="","",COUNTIFS(EK$4:EK$40,"&lt;"&amp;EK10,EK$4:EK$40,"&lt;&gt;"&amp;"")+COUNTIF(EK$4:EK10,EK10))</f>
        <v/>
      </c>
      <c r="EM10" t="e">
        <f>IF(ROW()-3&gt;COUNTIF(EK$4:EK$40,"&lt;&gt;"&amp;""),"",INDEX(EK$4:EK$40,MATCH(ROW()-3,EL$4:EL$40,0)))</f>
        <v>#N/A</v>
      </c>
      <c r="EN10" t="e">
        <f>EN9+IF(AND(EM10&lt;&gt;"",COUNTIF(EM$4:EM10,EM10)=1),1,0)</f>
        <v>#N/A</v>
      </c>
      <c r="EO10" t="e">
        <f>IF(ROW()-3&gt;MAX(EN$4:EN$40),"",INDEX(EM$4:EM$40,MATCH(ROW()-3,EN$4:EN$40,0)))</f>
        <v>#N/A</v>
      </c>
      <c r="EP10" t="str">
        <f>IF('Final Calculation Sheet'!$AB$10="","",'Final Calculation Sheet'!$AB$10)</f>
        <v/>
      </c>
      <c r="EQ10" t="str">
        <f>IF(EP10="","",COUNTIFS(EP$4:EP$40,"&lt;"&amp;EP10,EP$4:EP$40,"&lt;&gt;"&amp;"")+COUNTIF(EP$4:EP10,EP10))</f>
        <v/>
      </c>
      <c r="ER10" t="e">
        <f>IF(ROW()-3&gt;COUNTIF(EP$4:EP$40,"&lt;&gt;"&amp;""),"",INDEX(EP$4:EP$40,MATCH(ROW()-3,EQ$4:EQ$40,0)))</f>
        <v>#N/A</v>
      </c>
      <c r="ES10" t="e">
        <f>ES9+IF(AND(ER10&lt;&gt;"",COUNTIF(ER$4:ER10,ER10)=1),1,0)</f>
        <v>#N/A</v>
      </c>
      <c r="ET10" t="e">
        <f>IF(ROW()-3&gt;MAX(ES$4:ES$40),"",INDEX(ER$4:ER$40,MATCH(ROW()-3,ES$4:ES$40,0)))</f>
        <v>#N/A</v>
      </c>
      <c r="EU10" s="55">
        <f>IF('Final Calculation Sheet'!$AC$10="","",'Final Calculation Sheet'!$AC$10)</f>
        <v>242411</v>
      </c>
      <c r="EV10">
        <f>IF(EU10="","",COUNTIFS(EU$4:EU$40,"&lt;"&amp;EU10,EU$4:EU$40,"&lt;&gt;"&amp;"")+COUNTIF(EU$4:EU10,EU10))</f>
        <v>24</v>
      </c>
      <c r="EW10" s="55">
        <f>IF(ROW()-3&gt;COUNTIF(EU$4:EU$40,"&lt;&gt;"&amp;""),"",INDEX(EU$4:EU$40,MATCH(ROW()-3,EV$4:EV$40,0)))</f>
        <v>34708</v>
      </c>
      <c r="EX10">
        <f>EX9+IF(AND(EW10&lt;&gt;"",COUNTIF(EW$4:EW10,EW10)=1),1,0)</f>
        <v>7</v>
      </c>
      <c r="EY10" s="55">
        <f>IF(ROW()-3&gt;MAX(EX$4:EX$40),"",INDEX(EW$4:EW$40,MATCH(ROW()-3,EX$4:EX$40,0)))</f>
        <v>34708</v>
      </c>
      <c r="EZ10" s="55">
        <f>IF('Final Calculation Sheet'!$AD$10="","",'Final Calculation Sheet'!$AD$10)</f>
        <v>0</v>
      </c>
      <c r="FA10">
        <f>IF(EZ10="","",COUNTIFS(EZ$4:EZ$40,"&lt;"&amp;EZ10,EZ$4:EZ$40,"&lt;&gt;"&amp;"")+COUNTIF(EZ$4:EZ10,EZ10))</f>
        <v>11</v>
      </c>
      <c r="FB10" s="55">
        <f>IF(ROW()-3&gt;COUNTIF(EZ$4:EZ$40,"&lt;&gt;"&amp;""),"",INDEX(EZ$4:EZ$40,MATCH(ROW()-3,FA$4:FA$40,0)))</f>
        <v>-0.90570838935673237</v>
      </c>
      <c r="FC10" t="e">
        <f>FC9+IF(AND(FB10&lt;&gt;"",COUNTIF(FB$4:FB10,FB10)=1),1,0)</f>
        <v>#N/A</v>
      </c>
      <c r="FD10" s="55" t="e">
        <f>IF(ROW()-3&gt;MAX(FC$4:FC$40),"",INDEX(FB$4:FB$40,MATCH(ROW()-3,FC$4:FC$40,0)))</f>
        <v>#N/A</v>
      </c>
      <c r="FE10" t="str">
        <f>IF('Final Calculation Sheet'!$AE$10="","",'Final Calculation Sheet'!$AE$10)</f>
        <v>DR2640100031</v>
      </c>
      <c r="FF10">
        <f>IF(FE10="","",COUNTIFS(FE$4:FE$40,"&lt;"&amp;FE10,FE$4:FE$40,"&lt;&gt;"&amp;"")+COUNTIF(FE$4:FE10,FE10))</f>
        <v>20</v>
      </c>
      <c r="FG10" t="str">
        <f>IF(ROW()-3&gt;COUNTIF(FE$4:FE$40,"&lt;&gt;"&amp;""),"",INDEX(FE$4:FE$40,MATCH(ROW()-3,FF$4:FF$40,0)))</f>
        <v>DR2640100018</v>
      </c>
      <c r="FH10" t="e">
        <f>FH9+IF(AND(FG10&lt;&gt;"",COUNTIF(FG$4:FG10,FG10)=1),1,0)</f>
        <v>#N/A</v>
      </c>
      <c r="FI10" t="e">
        <f>IF(ROW()-3&gt;MAX(FH$4:FH$40),"",INDEX(FG$4:FG$40,MATCH(ROW()-3,FH$4:FH$40,0)))</f>
        <v>#N/A</v>
      </c>
      <c r="FJ10" s="141">
        <f>IF('Final Calculation Sheet'!$AF$10="","",'Final Calculation Sheet'!$AF$10)</f>
        <v>1800003303</v>
      </c>
      <c r="FK10">
        <f>IF(FJ10="","",COUNTIFS(FJ$4:FJ$40,"&lt;"&amp;FJ10,FJ$4:FJ$40,"&lt;&gt;"&amp;"")+COUNTIF(FJ$4:FJ10,FJ10))</f>
        <v>15</v>
      </c>
      <c r="FL10" s="141">
        <f>IF(ROW()-3&gt;COUNTIF(FJ$4:FJ$40,"&lt;&gt;"&amp;""),"",INDEX(FJ$4:FJ$40,MATCH(ROW()-3,FK$4:FK$40,0)))</f>
        <v>1800003194</v>
      </c>
      <c r="FM10">
        <f>FM9+IF(AND(FL10&lt;&gt;"",COUNTIF(FL$4:FL10,FL10)=1),1,0)</f>
        <v>7</v>
      </c>
      <c r="FN10" t="e">
        <f>IF(ROW()-3&gt;MAX(FM$4:FM$40),"",INDEX(FL$4:FL$40,MATCH(ROW()-3,FM$4:FM$40,0)))</f>
        <v>#N/A</v>
      </c>
      <c r="FO10" t="str">
        <f>IF('Final Calculation Sheet'!$AG$10="","",'Final Calculation Sheet'!$AG$10)</f>
        <v>27.08.2026</v>
      </c>
      <c r="FP10">
        <f>IF(FO10="","",COUNTIFS(FO$4:FO$40,"&lt;"&amp;FO10,FO$4:FO$40,"&lt;&gt;"&amp;"")+COUNTIF(FO$4:FO10,FO10))</f>
        <v>23</v>
      </c>
      <c r="FQ10" t="str">
        <f>IF(ROW()-3&gt;COUNTIF(FO$4:FO$40,"&lt;&gt;"&amp;""),"",INDEX(FO$4:FO$40,MATCH(ROW()-3,FP$4:FP$40,0)))</f>
        <v>14.08.2026</v>
      </c>
      <c r="FR10" t="e">
        <f>FR9+IF(AND(FQ10&lt;&gt;"",COUNTIF(FQ$4:FQ10,FQ10)=1),1,0)</f>
        <v>#N/A</v>
      </c>
      <c r="FS10" t="e">
        <f>IF(ROW()-3&gt;MAX(FR$4:FR$40),"",INDEX(FQ$4:FQ$40,MATCH(ROW()-3,FR$4:FR$40,0)))</f>
        <v>#N/A</v>
      </c>
      <c r="FU10" t="str">
        <f>IF(FT10="","",COUNTIFS(FT$4:FT$40,"&lt;"&amp;FT10,FT$4:FT$40,"&lt;&gt;"&amp;"")+COUNTIF(FT$4:FT10,FT10))</f>
        <v/>
      </c>
      <c r="FV10" t="str">
        <f>IF(ROW()-3&gt;COUNTIF(FT$4:FT$40,"&lt;&gt;"&amp;""),"",INDEX(FT$4:FT$40,MATCH(ROW()-3,FU$4:FU$40,0)))</f>
        <v/>
      </c>
      <c r="FW10">
        <f>FW9+IF(AND(FV10&lt;&gt;"",COUNTIF(FV$4:FV10,FV10)=1),1,0)</f>
        <v>2</v>
      </c>
      <c r="FX10" t="str">
        <f>IF(ROW()-3&gt;MAX(FW$4:FW$40),"",INDEX(FV$4:FV$40,MATCH(ROW()-3,FW$4:FW$40,0)))</f>
        <v/>
      </c>
    </row>
    <row r="11">
      <c r="A11">
        <f>IF('Final Calculation Sheet'!$F$11="","",'Final Calculation Sheet'!$F$11)</f>
        <v>2003</v>
      </c>
      <c r="B11">
        <f>IF(A11="","",COUNTIFS(A$4:A$114,"&lt;"&amp;A11,A$4:A$114,"&lt;&gt;"&amp;"")+COUNTIF(A$4:A11,A11))</f>
        <v>8</v>
      </c>
      <c r="C11">
        <f>IF(ROW()-3&gt;COUNTIF(A$4:A$114,"&lt;&gt;"&amp;""),"",INDEX(A$4:A$114,MATCH(ROW()-3,B$4:B$114,0)))</f>
        <v>2003</v>
      </c>
      <c r="D11">
        <f>D10+IF(AND(C11&lt;&gt;"",COUNTIF(C$4:C11,C11)=1),1,0)</f>
        <v>8</v>
      </c>
      <c r="E11" t="e">
        <f>IF(ROW()-3&gt;MAX(D$4:D$114),"",INDEX(C$4:C$114,MATCH(ROW()-3,D$4:D$114,0)))</f>
        <v>#N/A</v>
      </c>
      <c r="F11">
        <f>ROW()-3</f>
        <v>8</v>
      </c>
      <c r="G11">
        <f>IF(F11="","",COUNTIFS(F$4:F$40,"&lt;"&amp;F11,F$4:F$40,"&lt;&gt;"&amp;"")+COUNTIF(F$4:F11,F11))</f>
        <v>8</v>
      </c>
      <c r="H11">
        <f>IF(ROW()-3&gt;COUNTIF(F$4:F$40,"&lt;&gt;"&amp;""),"",INDEX(F$4:F$40,MATCH(ROW()-3,G$4:G$40,0)))</f>
        <v>8</v>
      </c>
      <c r="I11">
        <f>I10+IF(AND(H11&lt;&gt;"",COUNTIF(H$4:H11,H11)=1),1,0)</f>
        <v>8</v>
      </c>
      <c r="J11">
        <f>IF(ROW()-3&gt;MAX(I$4:I$40),"",INDEX(H$4:H$40,MATCH(ROW()-3,I$4:I$40,0)))</f>
        <v>8</v>
      </c>
      <c r="K11">
        <f>IF('Final Calculation Sheet'!$F$11="","",'Final Calculation Sheet'!$F$11)</f>
        <v>2003</v>
      </c>
      <c r="L11">
        <f>IF(K11="","",COUNTIFS(K$4:K$40,"&lt;"&amp;K11,K$4:K$40,"&lt;&gt;"&amp;"")+COUNTIF(K$4:K11,K11))</f>
        <v>8</v>
      </c>
      <c r="M11">
        <f>IF(ROW()-3&gt;COUNTIF(K$4:K$40,"&lt;&gt;"&amp;""),"",INDEX(K$4:K$40,MATCH(ROW()-3,L$4:L$40,0)))</f>
        <v>2003</v>
      </c>
      <c r="N11">
        <f>N10+IF(AND(M11&lt;&gt;"",COUNTIF(M$4:M11,M11)=1),1,0)</f>
        <v>8</v>
      </c>
      <c r="O11">
        <f>IF(ROW()-3&gt;MAX(N$4:N$40),"",INDEX(M$4:M$40,MATCH(ROW()-3,N$4:N$40,0)))</f>
        <v>2003</v>
      </c>
      <c r="P11" t="str">
        <f>IF('Final Calculation Sheet'!$G$11="","",'Final Calculation Sheet'!$G$11)</f>
        <v>NATIONAL ENTERPRISES</v>
      </c>
      <c r="Q11">
        <f>IF(P11="","",COUNTIFS(P$4:P$40,"&lt;"&amp;P11,P$4:P$40,"&lt;&gt;"&amp;"")+COUNTIF(P$4:P11,P11))</f>
        <v>9</v>
      </c>
      <c r="R11" t="str">
        <f>IF(ROW()-3&gt;COUNTIF(P$4:P$40,"&lt;&gt;"&amp;""),"",INDEX(P$4:P$40,MATCH(ROW()-3,Q$4:Q$40,0)))</f>
        <v>NATIONAL ENTERPRISES</v>
      </c>
      <c r="S11">
        <f>S10+IF(AND(R11&lt;&gt;"",COUNTIF(R$4:R11,R11)=1),1,0)</f>
        <v>6</v>
      </c>
      <c r="T11" t="str">
        <f>IF(ROW()-3&gt;MAX(S$4:S$40),"",INDEX(R$4:R$40,MATCH(ROW()-3,S$4:S$40,0)))</f>
        <v>OMKAR STEELS</v>
      </c>
      <c r="U11" t="str">
        <f>IF('Final Calculation Sheet'!$B$11="","",'Final Calculation Sheet'!$B$11)</f>
        <v>Scrap of 145 KV CB</v>
      </c>
      <c r="V11">
        <f>IF(U11="","",COUNTIFS(U$4:U$40,"&lt;"&amp;U11,U$4:U$40,"&lt;&gt;"&amp;"")+COUNTIF(U$4:U11,U11))</f>
        <v>14</v>
      </c>
      <c r="W11" t="str">
        <f>IF(ROW()-3&gt;COUNTIF(U$4:U$40,"&lt;&gt;"&amp;""),"",INDEX(U$4:U$40,MATCH(ROW()-3,V$4:V$40,0)))</f>
        <v>Scrap of 132 KV CT</v>
      </c>
      <c r="X11">
        <f>X10+IF(AND(W11&lt;&gt;"",COUNTIF(W$4:W11,W11)=1),1,0)</f>
        <v>6</v>
      </c>
      <c r="Y11" t="str">
        <f>IF(ROW()-3&gt;MAX(X$4:X$40),"",INDEX(W$4:W$40,MATCH(ROW()-3,X$4:X$40,0)))</f>
        <v>Scrap of 145 KV CB</v>
      </c>
      <c r="Z11">
        <f>IF('Final Calculation Sheet'!$D$11="","",'Final Calculation Sheet'!$D$11)</f>
        <v>21977</v>
      </c>
      <c r="AA11">
        <f>IF(Z11="","",COUNTIFS(Z$4:Z$40,"&lt;"&amp;Z11,Z$4:Z$40,"&lt;&gt;"&amp;"")+COUNTIF(Z$4:Z11,Z11))</f>
        <v>6</v>
      </c>
      <c r="AB11">
        <f>IF(ROW()-3&gt;COUNTIF(Z$4:Z$40,"&lt;&gt;"&amp;""),"",INDEX(Z$4:Z$40,MATCH(ROW()-3,AA$4:AA$40,0)))</f>
        <v>21977</v>
      </c>
      <c r="AC11">
        <f>AC10+IF(AND(AB11&lt;&gt;"",COUNTIF(AB$4:AB11,AB11)=1),1,0)</f>
        <v>1</v>
      </c>
      <c r="AD11" t="str">
        <f>IF(ROW()-3&gt;MAX(AC$4:AC$40),"",INDEX(AB$4:AB$40,MATCH(ROW()-3,AC$4:AC$40,0)))</f>
        <v/>
      </c>
      <c r="AE11">
        <f>IF('Final Calculation Sheet'!$A$11="","",'Final Calculation Sheet'!$A$11)</f>
        <v>1</v>
      </c>
      <c r="AF11">
        <f>IF(AE11="","",COUNTIFS(AE$4:AE$40,"&lt;"&amp;AE11,AE$4:AE$40,"&lt;&gt;"&amp;"")+COUNTIF(AE$4:AE11,AE11))</f>
        <v>2</v>
      </c>
      <c r="AG11">
        <f>IF(ROW()-3&gt;COUNTIF(AE$4:AE$40,"&lt;&gt;"&amp;""),"",INDEX(AE$4:AE$40,MATCH(ROW()-3,AF$4:AF$40,0)))</f>
        <v>1</v>
      </c>
      <c r="AH11">
        <f>AH10+IF(AND(AG11&lt;&gt;"",COUNTIF(AG$4:AG11,AG11)=1),1,0)</f>
        <v>1</v>
      </c>
      <c r="AI11">
        <f>IF(ROW()-3&gt;MAX(AH$4:AH$40),"",INDEX(AG$4:AG$40,MATCH(ROW()-3,AH$4:AH$40,0)))</f>
        <v>25</v>
      </c>
      <c r="AJ11" t="str">
        <f>IF('Final Calculation Sheet'!$E$11="","",'Final Calculation Sheet'!$E$11)</f>
        <v>NO</v>
      </c>
      <c r="AK11">
        <f>IF(AJ11="","",COUNTIFS(AJ$4:AJ$40,"&lt;"&amp;AJ11,AJ$4:AJ$40,"&lt;&gt;"&amp;"")+COUNTIF(AJ$4:AJ11,AJ11))</f>
        <v>11</v>
      </c>
      <c r="AL11" t="str">
        <f>IF(ROW()-3&gt;COUNTIF(AJ$4:AJ$40,"&lt;&gt;"&amp;""),"",INDEX(AJ$4:AJ$40,MATCH(ROW()-3,AK$4:AK$40,0)))</f>
        <v>NO</v>
      </c>
      <c r="AM11">
        <f>AM10+IF(AND(AL11&lt;&gt;"",COUNTIF(AL$4:AL11,AL11)=1),1,0)</f>
        <v>3</v>
      </c>
      <c r="AN11" t="str">
        <f>IF(ROW()-3&gt;MAX(AM$4:AM$40),"",INDEX(AL$4:AL$40,MATCH(ROW()-3,AM$4:AM$40,0)))</f>
        <v/>
      </c>
      <c r="AO11" s="55">
        <f>IF('Final Calculation Sheet'!$C$11="","",'Final Calculation Sheet'!$C$11)</f>
        <v>65007</v>
      </c>
      <c r="AP11">
        <f>IF(AO11="","",COUNTIFS(AO$4:AO$40,"&lt;"&amp;AO11,AO$4:AO$40,"&lt;&gt;"&amp;"")+COUNTIF(AO$4:AO11,AO11))</f>
        <v>25</v>
      </c>
      <c r="AQ11" s="55">
        <f>IF(ROW()-3&gt;COUNTIF(AO$4:AO$40,"&lt;&gt;"&amp;""),"",INDEX(AO$4:AO$40,MATCH(ROW()-3,AP$4:AP$40,0)))</f>
        <v>571</v>
      </c>
      <c r="AR11">
        <f>AR10+IF(AND(AQ11&lt;&gt;"",COUNTIF(AQ$4:AQ11,AQ11)=1),1,0)</f>
        <v>8</v>
      </c>
      <c r="AS11" s="55">
        <f>IF(ROW()-3&gt;MAX(AR$4:AR$40),"",INDEX(AQ$4:AQ$40,MATCH(ROW()-3,AR$4:AR$40,0)))</f>
        <v>571</v>
      </c>
      <c r="AT11" s="55">
        <f>IF('Final Calculation Sheet'!$H$11="","",'Final Calculation Sheet'!$H$11)</f>
        <v>65007</v>
      </c>
      <c r="AU11">
        <f>IF(AT11="","",COUNTIFS(AT$4:AT$40,"&lt;"&amp;AT11,AT$4:AT$40,"&lt;&gt;"&amp;"")+COUNTIF(AT$4:AT11,AT11))</f>
        <v>12</v>
      </c>
      <c r="AV11" s="55">
        <f>IF(ROW()-3&gt;COUNTIF(AT$4:AT$40,"&lt;&gt;"&amp;""),"",INDEX(AT$4:AT$40,MATCH(ROW()-3,AU$4:AU$40,0)))</f>
        <v>40768</v>
      </c>
      <c r="AW11">
        <f>AW10+IF(AND(AV11&lt;&gt;"",COUNTIF(AV$4:AV11,AV11)=1),1,0)</f>
        <v>8</v>
      </c>
      <c r="AX11" s="55">
        <f>IF(ROW()-3&gt;MAX(AW$4:AW$40),"",INDEX(AV$4:AV$40,MATCH(ROW()-3,AW$4:AW$40,0)))</f>
        <v>40768</v>
      </c>
      <c r="AY11" s="55">
        <f>IF('Final Calculation Sheet'!$I$11="","",'Final Calculation Sheet'!$I$11)</f>
        <v>11701</v>
      </c>
      <c r="AZ11">
        <f>IF(AY11="","",COUNTIFS(AY$4:AY$40,"&lt;"&amp;AY11,AY$4:AY$40,"&lt;&gt;"&amp;"")+COUNTIF(AY$4:AY11,AY11))</f>
        <v>12</v>
      </c>
      <c r="BA11" s="55">
        <f>IF(ROW()-3&gt;COUNTIF(AY$4:AY$40,"&lt;&gt;"&amp;""),"",INDEX(AY$4:AY$40,MATCH(ROW()-3,AZ$4:AZ$40,0)))</f>
        <v>7338</v>
      </c>
      <c r="BB11">
        <f>BB10+IF(AND(BA11&lt;&gt;"",COUNTIF(BA$4:BA11,BA11)=1),1,0)</f>
        <v>8</v>
      </c>
      <c r="BC11" s="55">
        <f>IF(ROW()-3&gt;MAX(BB$4:BB$40),"",INDEX(BA$4:BA$40,MATCH(ROW()-3,BB$4:BB$40,0)))</f>
        <v>7338</v>
      </c>
      <c r="BD11" s="55">
        <f>IF('Final Calculation Sheet'!$J$11="","",'Final Calculation Sheet'!$J$11)</f>
        <v>76708</v>
      </c>
      <c r="BE11">
        <f>IF(BD11="","",COUNTIFS(BD$4:BD$40,"&lt;"&amp;BD11,BD$4:BD$40,"&lt;&gt;"&amp;"")+COUNTIF(BD$4:BD11,BD11))</f>
        <v>12</v>
      </c>
      <c r="BF11" s="55">
        <f>IF(ROW()-3&gt;COUNTIF(BD$4:BD$40,"&lt;&gt;"&amp;""),"",INDEX(BD$4:BD$40,MATCH(ROW()-3,BE$4:BE$40,0)))</f>
        <v>48106</v>
      </c>
      <c r="BG11">
        <f>BG10+IF(AND(BF11&lt;&gt;"",COUNTIF(BF$4:BF11,BF11)=1),1,0)</f>
        <v>8</v>
      </c>
      <c r="BH11" s="55">
        <f>IF(ROW()-3&gt;MAX(BG$4:BG$40),"",INDEX(BF$4:BF$40,MATCH(ROW()-3,BG$4:BG$40,0)))</f>
        <v>48106</v>
      </c>
      <c r="BI11" s="55">
        <f>IF('Final Calculation Sheet'!$K$11="","",'Final Calculation Sheet'!$K$11)</f>
        <v>1534</v>
      </c>
      <c r="BJ11">
        <f>IF(BI11="","",COUNTIFS(BI$4:BI$40,"&lt;"&amp;BI11,BI$4:BI$40,"&lt;&gt;"&amp;"")+COUNTIF(BI$4:BI11,BI11))</f>
        <v>12</v>
      </c>
      <c r="BK11" s="55">
        <f>IF(ROW()-3&gt;COUNTIF(BI$4:BI$40,"&lt;&gt;"&amp;""),"",INDEX(BI$4:BI$40,MATCH(ROW()-3,BJ$4:BJ$40,0)))</f>
        <v>962</v>
      </c>
      <c r="BL11">
        <f>BL10+IF(AND(BK11&lt;&gt;"",COUNTIF(BK$4:BK11,BK11)=1),1,0)</f>
        <v>8</v>
      </c>
      <c r="BM11" s="55">
        <f>IF(ROW()-3&gt;MAX(BL$4:BL$40),"",INDEX(BK$4:BK$40,MATCH(ROW()-3,BL$4:BL$40,0)))</f>
        <v>962</v>
      </c>
      <c r="BN11" s="55">
        <f>IF('Final Calculation Sheet'!$L$11="","",'Final Calculation Sheet'!$L$11)</f>
        <v>65.007000000000005</v>
      </c>
      <c r="BO11">
        <f>IF(BN11="","",COUNTIFS(BN$4:BN$40,"&lt;"&amp;BN11,BN$4:BN$40,"&lt;&gt;"&amp;"")+COUNTIF(BN$4:BN11,BN11))</f>
        <v>12</v>
      </c>
      <c r="BP11" s="55">
        <f>IF(ROW()-3&gt;COUNTIF(BN$4:BN$40,"&lt;&gt;"&amp;""),"",INDEX(BN$4:BN$40,MATCH(ROW()-3,BO$4:BO$40,0)))</f>
        <v>40.768000000000001</v>
      </c>
      <c r="BQ11">
        <f>BQ10+IF(AND(BP11&lt;&gt;"",COUNTIF(BP$4:BP11,BP11)=1),1,0)</f>
        <v>8</v>
      </c>
      <c r="BR11" s="55">
        <f>IF(ROW()-3&gt;MAX(BQ$4:BQ$40),"",INDEX(BP$4:BP$40,MATCH(ROW()-3,BQ$4:BQ$40,0)))</f>
        <v>40.768000000000001</v>
      </c>
      <c r="BS11" s="55">
        <f>IF('Final Calculation Sheet'!$M$11="","",'Final Calculation Sheet'!$M$11)</f>
        <v>1725.9358499999998</v>
      </c>
      <c r="BT11">
        <f>IF(BS11="","",COUNTIFS(BS$4:BS$40,"&lt;"&amp;BS11,BS$4:BS$40,"&lt;&gt;"&amp;"")+COUNTIF(BS$4:BS11,BS11))</f>
        <v>12</v>
      </c>
      <c r="BU11" s="55">
        <f>IF(ROW()-3&gt;COUNTIF(BS$4:BS$40,"&lt;&gt;"&amp;""),"",INDEX(BS$4:BS$40,MATCH(ROW()-3,BT$4:BT$40,0)))</f>
        <v>1082.3904</v>
      </c>
      <c r="BV11">
        <f>BV10+IF(AND(BU11&lt;&gt;"",COUNTIF(BU$4:BU11,BU11)=1),1,0)</f>
        <v>8</v>
      </c>
      <c r="BW11" s="55">
        <f>IF(ROW()-3&gt;MAX(BV$4:BV$40),"",INDEX(BU$4:BU$40,MATCH(ROW()-3,BV$4:BV$40,0)))</f>
        <v>1082.3904</v>
      </c>
      <c r="BX11" s="138">
        <f>IF('Final Calculation Sheet'!$N$11="","",'Final Calculation Sheet'!$N$11)</f>
        <v>29.253150000000002</v>
      </c>
      <c r="BY11">
        <f>IF(BX11="","",COUNTIFS(BX$4:BX$40,"&lt;"&amp;BX11,BX$4:BX$40,"&lt;&gt;"&amp;"")+COUNTIF(BX$4:BX11,BX11))</f>
        <v>12</v>
      </c>
      <c r="BZ11" s="138">
        <f>IF(ROW()-3&gt;COUNTIF(BX$4:BX$40,"&lt;&gt;"&amp;""),"",INDEX(BX$4:BX$40,MATCH(ROW()-3,BY$4:BY$40,0)))</f>
        <v>18.345600000000001</v>
      </c>
      <c r="CA11">
        <f>CA10+IF(AND(BZ11&lt;&gt;"",COUNTIF(BZ$4:BZ11,BZ11)=1),1,0)</f>
        <v>8</v>
      </c>
      <c r="CB11" s="138">
        <f>IF(ROW()-3&gt;MAX(CA$4:CA$40),"",INDEX(BZ$4:BZ$40,MATCH(ROW()-3,CA$4:CA$40,0)))</f>
        <v>18.345600000000001</v>
      </c>
      <c r="CC11" s="55">
        <f>IF('Final Calculation Sheet'!$O$11="","",'Final Calculation Sheet'!$O$11)</f>
        <v>1696.6826999999998</v>
      </c>
      <c r="CD11">
        <f>IF(CC11="","",COUNTIFS(CC$4:CC$40,"&lt;"&amp;CC11,CC$4:CC$40,"&lt;&gt;"&amp;"")+COUNTIF(CC$4:CC11,CC11))</f>
        <v>12</v>
      </c>
      <c r="CE11" s="55">
        <f>IF(ROW()-3&gt;COUNTIF(CC$4:CC$40,"&lt;&gt;"&amp;""),"",INDEX(CC$4:CC$40,MATCH(ROW()-3,CD$4:CD$40,0)))</f>
        <v>1064.0447999999999</v>
      </c>
      <c r="CF11">
        <f>CF10+IF(AND(CE11&lt;&gt;"",COUNTIF(CE$4:CE11,CE11)=1),1,0)</f>
        <v>8</v>
      </c>
      <c r="CG11" s="55">
        <f>IF(ROW()-3&gt;MAX(CF$4:CF$40),"",INDEX(CE$4:CE$40,MATCH(ROW()-3,CF$4:CF$40,0)))</f>
        <v>1064.0447999999999</v>
      </c>
      <c r="CH11" s="55">
        <f>IF('Final Calculation Sheet'!$P$11="","",'Final Calculation Sheet'!$P$11)</f>
        <v>1762</v>
      </c>
      <c r="CI11">
        <f>IF(CH11="","",COUNTIFS(CH$4:CH$40,"&lt;"&amp;CH11,CH$4:CH$40,"&lt;&gt;"&amp;"")+COUNTIF(CH$4:CH11,CH11))</f>
        <v>12</v>
      </c>
      <c r="CJ11" s="55">
        <f>IF(ROW()-3&gt;COUNTIF(CH$4:CH$40,"&lt;&gt;"&amp;""),"",INDEX(CH$4:CH$40,MATCH(ROW()-3,CI$4:CI$40,0)))</f>
        <v>1105</v>
      </c>
      <c r="CK11">
        <f>CK10+IF(AND(CJ11&lt;&gt;"",COUNTIF(CJ$4:CJ11,CJ11)=1),1,0)</f>
        <v>8</v>
      </c>
      <c r="CL11" s="55">
        <f>IF(ROW()-3&gt;MAX(CK$4:CK$40),"",INDEX(CJ$4:CJ$40,MATCH(ROW()-3,CK$4:CK$40,0)))</f>
        <v>1105</v>
      </c>
      <c r="CM11" s="139">
        <f>IF('Final Calculation Sheet'!$Q$11="","",'Final Calculation Sheet'!$Q$11)</f>
        <v>0</v>
      </c>
      <c r="CN11">
        <f>IF(CM11="","",COUNTIFS(CM$4:CM$40,"&lt;"&amp;CM11,CM$4:CM$40,"&lt;&gt;"&amp;"")+COUNTIF(CM$4:CM11,CM11))</f>
        <v>6</v>
      </c>
      <c r="CO11" s="139">
        <f>IF(ROW()-3&gt;COUNTIF(CM$4:CM$40,"&lt;&gt;"&amp;""),"",INDEX(CM$4:CM$40,MATCH(ROW()-3,CN$4:CN$40,0)))</f>
        <v>0</v>
      </c>
      <c r="CP11">
        <f>CP10+IF(AND(CO11&lt;&gt;"",COUNTIF(CO$4:CO11,CO11)=1),1,0)</f>
        <v>1</v>
      </c>
      <c r="CQ11" t="str">
        <f>IF(ROW()-3&gt;MAX(CP$4:CP$40),"",INDEX(CO$4:CO$40,MATCH(ROW()-3,CP$4:CP$40,0)))</f>
        <v/>
      </c>
      <c r="CR11" s="55">
        <f>IF('Final Calculation Sheet'!$R$11="","",'Final Calculation Sheet'!$R$11)</f>
        <v>0</v>
      </c>
      <c r="CS11">
        <f>IF(CR11="","",COUNTIFS(CR$4:CR$40,"&lt;"&amp;CR11,CR$4:CR$40,"&lt;&gt;"&amp;"")+COUNTIF(CR$4:CR11,CR11))</f>
        <v>6</v>
      </c>
      <c r="CT11" s="55">
        <f>IF(ROW()-3&gt;COUNTIF(CR$4:CR$40,"&lt;&gt;"&amp;""),"",INDEX(CR$4:CR$40,MATCH(ROW()-3,CS$4:CS$40,0)))</f>
        <v>0</v>
      </c>
      <c r="CU11">
        <f>CU10+IF(AND(CT11&lt;&gt;"",COUNTIF(CT$4:CT11,CT11)=1),1,0)</f>
        <v>1</v>
      </c>
      <c r="CV11" t="str">
        <f>IF(ROW()-3&gt;MAX(CU$4:CU$40),"",INDEX(CT$4:CT$40,MATCH(ROW()-3,CU$4:CU$40,0)))</f>
        <v/>
      </c>
      <c r="CW11" s="55">
        <f>IF('Final Calculation Sheet'!$S$11="","",'Final Calculation Sheet'!$S$11)</f>
        <v>76481</v>
      </c>
      <c r="CX11">
        <f>IF(CW11="","",COUNTIFS(CW$4:CW$40,"&lt;"&amp;CW11,CW$4:CW$40,"&lt;&gt;"&amp;"")+COUNTIF(CW$4:CW11,CW11))</f>
        <v>12</v>
      </c>
      <c r="CY11" s="55">
        <f>IF(ROW()-3&gt;COUNTIF(CW$4:CW$40,"&lt;&gt;"&amp;""),"",INDEX(CW$4:CW$40,MATCH(ROW()-3,CX$4:CX$40,0)))</f>
        <v>47964</v>
      </c>
      <c r="CZ11">
        <f>CZ10+IF(AND(CY11&lt;&gt;"",COUNTIF(CY$4:CY11,CY11)=1),1,0)</f>
        <v>8</v>
      </c>
      <c r="DA11" s="55">
        <f>IF(ROW()-3&gt;MAX(CZ$4:CZ$40),"",INDEX(CY$4:CY$40,MATCH(ROW()-3,CZ$4:CZ$40,0)))</f>
        <v>47964</v>
      </c>
      <c r="DB11" s="55">
        <f>IF('Final Calculation Sheet'!$T$11="","",'Final Calculation Sheet'!$T$11)</f>
        <v>16252</v>
      </c>
      <c r="DC11">
        <f>IF(DB11="","",COUNTIFS(DB$4:DB$40,"&lt;"&amp;DB11,DB$4:DB$40,"&lt;&gt;"&amp;"")+COUNTIF(DB$4:DB11,DB11))</f>
        <v>12</v>
      </c>
      <c r="DD11" s="55">
        <f>IF(ROW()-3&gt;COUNTIF(DB$4:DB$40,"&lt;&gt;"&amp;""),"",INDEX(DB$4:DB$40,MATCH(ROW()-3,DC$4:DC$40,0)))</f>
        <v>10192</v>
      </c>
      <c r="DE11">
        <f>DE10+IF(AND(DD11&lt;&gt;"",COUNTIF(DD$4:DD11,DD11)=1),1,0)</f>
        <v>8</v>
      </c>
      <c r="DF11" s="55">
        <f>IF(ROW()-3&gt;MAX(DE$4:DE$40),"",INDEX(DD$4:DD$40,MATCH(ROW()-3,DE$4:DE$40,0)))</f>
        <v>10192</v>
      </c>
      <c r="DG11" s="140">
        <f>IF('Final Calculation Sheet'!$U$11="","",'Final Calculation Sheet'!$U$11)</f>
        <v>16252</v>
      </c>
      <c r="DH11">
        <f>IF(DG11="","",COUNTIFS(DG$4:DG$40,"&lt;"&amp;DG11,DG$4:DG$40,"&lt;&gt;"&amp;"")+COUNTIF(DG$4:DG11,DG11))</f>
        <v>12</v>
      </c>
      <c r="DI11" s="140">
        <f>IF(ROW()-3&gt;COUNTIF(DG$4:DG$40,"&lt;&gt;"&amp;""),"",INDEX(DG$4:DG$40,MATCH(ROW()-3,DH$4:DH$40,0)))</f>
        <v>10192</v>
      </c>
      <c r="DJ11">
        <f>DJ10+IF(AND(DI11&lt;&gt;"",COUNTIF(DI$4:DI11,DI11)=1),1,0)</f>
        <v>8</v>
      </c>
      <c r="DK11" s="140">
        <f>IF(ROW()-3&gt;MAX(DJ$4:DJ$40),"",INDEX(DI$4:DI$40,MATCH(ROW()-3,DJ$4:DJ$40,0)))</f>
        <v>10192</v>
      </c>
      <c r="DL11" t="str">
        <f>IF('Final Calculation Sheet'!$V$11="","",'Final Calculation Sheet'!$V$11)</f>
        <v>13.08.2026</v>
      </c>
      <c r="DM11">
        <f>IF(DL11="","",COUNTIFS(DL$4:DL$40,"&lt;"&amp;DL11,DL$4:DL$40,"&lt;&gt;"&amp;"")+COUNTIF(DL$4:DL11,DL11))</f>
        <v>15</v>
      </c>
      <c r="DN11" t="str">
        <f>IF(ROW()-3&gt;COUNTIF(DL$4:DL$40,"&lt;&gt;"&amp;""),"",INDEX(DL$4:DL$40,MATCH(ROW()-3,DM$4:DM$40,0)))</f>
        <v>11.08.2026</v>
      </c>
      <c r="DO11">
        <f>DO10+IF(AND(DN11&lt;&gt;"",COUNTIF(DN$4:DN11,DN11)=1),1,0)</f>
        <v>2</v>
      </c>
      <c r="DP11" t="str">
        <f>IF(ROW()-3&gt;MAX(DO$4:DO$40),"",INDEX(DN$4:DN$40,MATCH(ROW()-3,DO$4:DO$40,0)))</f>
        <v/>
      </c>
      <c r="DQ11" s="55">
        <f>IF('Final Calculation Sheet'!$W$11="","",'Final Calculation Sheet'!$W$11)</f>
        <v>60229</v>
      </c>
      <c r="DR11">
        <f>IF(DQ11="","",COUNTIFS(DQ$4:DQ$40,"&lt;"&amp;DQ11,DQ$4:DQ$40,"&lt;&gt;"&amp;"")+COUNTIF(DQ$4:DQ11,DQ11))</f>
        <v>12</v>
      </c>
      <c r="DS11" s="55">
        <f>IF(ROW()-3&gt;COUNTIF(DQ$4:DQ$40,"&lt;&gt;"&amp;""),"",INDEX(DQ$4:DQ$40,MATCH(ROW()-3,DR$4:DR$40,0)))</f>
        <v>37772</v>
      </c>
      <c r="DT11">
        <f>DT10+IF(AND(DS11&lt;&gt;"",COUNTIF(DS$4:DS11,DS11)=1),1,0)</f>
        <v>8</v>
      </c>
      <c r="DU11" s="55">
        <f>IF(ROW()-3&gt;MAX(DT$4:DT$40),"",INDEX(DS$4:DS$40,MATCH(ROW()-3,DT$4:DT$40,0)))</f>
        <v>37772</v>
      </c>
      <c r="DV11" s="55">
        <f>IF('Final Calculation Sheet'!$X$11="","",'Final Calculation Sheet'!$X$11)</f>
        <v>60229</v>
      </c>
      <c r="DW11">
        <f>IF(DV11="","",COUNTIFS(DV$4:DV$40,"&lt;"&amp;DV11,DV$4:DV$40,"&lt;&gt;"&amp;"")+COUNTIF(DV$4:DV11,DV11))</f>
        <v>11</v>
      </c>
      <c r="DX11" s="55">
        <f>IF(ROW()-3&gt;COUNTIF(DV$4:DV$40,"&lt;&gt;"&amp;""),"",INDEX(DV$4:DV$40,MATCH(ROW()-3,DW$4:DW$40,0)))</f>
        <v>37772</v>
      </c>
      <c r="DY11">
        <f>DY10+IF(AND(DX11&lt;&gt;"",COUNTIF(DX$4:DX11,DX11)=1),1,0)</f>
        <v>8</v>
      </c>
      <c r="DZ11" t="e">
        <f>IF(ROW()-3&gt;MAX(DY$4:DY$40),"",INDEX(DX$4:DX$40,MATCH(ROW()-3,DY$4:DY$40,0)))</f>
        <v>#N/A</v>
      </c>
      <c r="EA11" t="str">
        <f>IF('Final Calculation Sheet'!$Y$11="","",'Final Calculation Sheet'!$Y$11)</f>
        <v>24.08.2026</v>
      </c>
      <c r="EB11">
        <f>IF(EA11="","",COUNTIFS(EA$4:EA$40,"&lt;"&amp;EA11,EA$4:EA$40,"&lt;&gt;"&amp;"")+COUNTIF(EA$4:EA11,EA11))</f>
        <v>24</v>
      </c>
      <c r="EC11" t="str">
        <f>IF(ROW()-3&gt;COUNTIF(EA$4:EA$40,"&lt;&gt;"&amp;""),"",INDEX(EA$4:EA$40,MATCH(ROW()-3,EB$4:EB$40,0)))</f>
        <v>11.08.2026</v>
      </c>
      <c r="ED11">
        <f>ED10+IF(AND(EC11&lt;&gt;"",COUNTIF(EC$4:EC11,EC11)=1),1,0)</f>
        <v>3</v>
      </c>
      <c r="EE11" t="e">
        <f>IF(ROW()-3&gt;MAX(ED$4:ED$40),"",INDEX(EC$4:EC$40,MATCH(ROW()-3,ED$4:ED$40,0)))</f>
        <v>#N/A</v>
      </c>
      <c r="EF11" s="55">
        <f>IF('Final Calculation Sheet'!$Z$11="","",'Final Calculation Sheet'!$Z$11)</f>
        <v>0</v>
      </c>
      <c r="EG11">
        <f>IF(EF11="","",COUNTIFS(EF$4:EF$40,"&lt;"&amp;EF11,EF$4:EF$40,"&lt;&gt;"&amp;"")+COUNTIF(EF$4:EF11,EF11))</f>
        <v>8</v>
      </c>
      <c r="EH11" s="55">
        <f>IF(ROW()-3&gt;COUNTIF(EF$4:EF$40,"&lt;&gt;"&amp;""),"",INDEX(EF$4:EF$40,MATCH(ROW()-3,EG$4:EG$40,0)))</f>
        <v>0</v>
      </c>
      <c r="EI11">
        <f>EI10+IF(AND(EH11&lt;&gt;"",COUNTIF(EH$4:EH11,EH11)=1),1,0)</f>
        <v>1</v>
      </c>
      <c r="EJ11" t="str">
        <f>IF(ROW()-3&gt;MAX(EI$4:EI$40),"",INDEX(EH$4:EH$40,MATCH(ROW()-3,EI$4:EI$40,0)))</f>
        <v/>
      </c>
      <c r="EK11" t="str">
        <f>IF('Final Calculation Sheet'!$AA$11="","",'Final Calculation Sheet'!$AA$11)</f>
        <v/>
      </c>
      <c r="EL11" t="str">
        <f>IF(EK11="","",COUNTIFS(EK$4:EK$40,"&lt;"&amp;EK11,EK$4:EK$40,"&lt;&gt;"&amp;"")+COUNTIF(EK$4:EK11,EK11))</f>
        <v/>
      </c>
      <c r="EM11" t="e">
        <f>IF(ROW()-3&gt;COUNTIF(EK$4:EK$40,"&lt;&gt;"&amp;""),"",INDEX(EK$4:EK$40,MATCH(ROW()-3,EL$4:EL$40,0)))</f>
        <v>#N/A</v>
      </c>
      <c r="EN11" t="e">
        <f>EN10+IF(AND(EM11&lt;&gt;"",COUNTIF(EM$4:EM11,EM11)=1),1,0)</f>
        <v>#N/A</v>
      </c>
      <c r="EO11" t="e">
        <f>IF(ROW()-3&gt;MAX(EN$4:EN$40),"",INDEX(EM$4:EM$40,MATCH(ROW()-3,EN$4:EN$40,0)))</f>
        <v>#N/A</v>
      </c>
      <c r="EP11" t="str">
        <f>IF('Final Calculation Sheet'!$AB$11="","",'Final Calculation Sheet'!$AB$11)</f>
        <v/>
      </c>
      <c r="EQ11" t="str">
        <f>IF(EP11="","",COUNTIFS(EP$4:EP$40,"&lt;"&amp;EP11,EP$4:EP$40,"&lt;&gt;"&amp;"")+COUNTIF(EP$4:EP11,EP11))</f>
        <v/>
      </c>
      <c r="ER11" t="e">
        <f>IF(ROW()-3&gt;COUNTIF(EP$4:EP$40,"&lt;&gt;"&amp;""),"",INDEX(EP$4:EP$40,MATCH(ROW()-3,EQ$4:EQ$40,0)))</f>
        <v>#N/A</v>
      </c>
      <c r="ES11" t="e">
        <f>ES10+IF(AND(ER11&lt;&gt;"",COUNTIF(ER$4:ER11,ER11)=1),1,0)</f>
        <v>#N/A</v>
      </c>
      <c r="ET11" t="e">
        <f>IF(ROW()-3&gt;MAX(ES$4:ES$40),"",INDEX(ER$4:ER$40,MATCH(ROW()-3,ES$4:ES$40,0)))</f>
        <v>#N/A</v>
      </c>
      <c r="EU11" s="55">
        <f>IF('Final Calculation Sheet'!$AC$11="","",'Final Calculation Sheet'!$AC$11)</f>
        <v>76481</v>
      </c>
      <c r="EV11">
        <f>IF(EU11="","",COUNTIFS(EU$4:EU$40,"&lt;"&amp;EU11,EU$4:EU$40,"&lt;&gt;"&amp;"")+COUNTIF(EU$4:EU11,EU11))</f>
        <v>13</v>
      </c>
      <c r="EW11" s="55">
        <f>IF(ROW()-3&gt;COUNTIF(EU$4:EU$40,"&lt;&gt;"&amp;""),"",INDEX(EU$4:EU$40,MATCH(ROW()-3,EV$4:EV$40,0)))</f>
        <v>36017</v>
      </c>
      <c r="EX11">
        <f>EX10+IF(AND(EW11&lt;&gt;"",COUNTIF(EW$4:EW11,EW11)=1),1,0)</f>
        <v>8</v>
      </c>
      <c r="EY11" s="55">
        <f>IF(ROW()-3&gt;MAX(EX$4:EX$40),"",INDEX(EW$4:EW$40,MATCH(ROW()-3,EX$4:EX$40,0)))</f>
        <v>36017</v>
      </c>
      <c r="EZ11" s="55">
        <f>IF('Final Calculation Sheet'!$AD$11="","",'Final Calculation Sheet'!$AD$11)</f>
        <v>0</v>
      </c>
      <c r="FA11">
        <f>IF(EZ11="","",COUNTIFS(EZ$4:EZ$40,"&lt;"&amp;EZ11,EZ$4:EZ$40,"&lt;&gt;"&amp;"")+COUNTIF(EZ$4:EZ11,EZ11))</f>
        <v>12</v>
      </c>
      <c r="FB11" s="55">
        <f>IF(ROW()-3&gt;COUNTIF(EZ$4:EZ$40,"&lt;&gt;"&amp;""),"",INDEX(EZ$4:EZ$40,MATCH(ROW()-3,FA$4:FA$40,0)))</f>
        <v>0</v>
      </c>
      <c r="FC11" t="e">
        <f>FC10+IF(AND(FB11&lt;&gt;"",COUNTIF(FB$4:FB11,FB11)=1),1,0)</f>
        <v>#N/A</v>
      </c>
      <c r="FD11" s="55" t="e">
        <f>IF(ROW()-3&gt;MAX(FC$4:FC$40),"",INDEX(FB$4:FB$40,MATCH(ROW()-3,FC$4:FC$40,0)))</f>
        <v>#N/A</v>
      </c>
      <c r="FE11" t="str">
        <f>IF('Final Calculation Sheet'!$AE$11="","",'Final Calculation Sheet'!$AE$11)</f>
        <v>DR2640100032</v>
      </c>
      <c r="FF11">
        <f>IF(FE11="","",COUNTIFS(FE$4:FE$40,"&lt;"&amp;FE11,FE$4:FE$40,"&lt;&gt;"&amp;"")+COUNTIF(FE$4:FE11,FE11))</f>
        <v>21</v>
      </c>
      <c r="FG11" t="str">
        <f>IF(ROW()-3&gt;COUNTIF(FE$4:FE$40,"&lt;&gt;"&amp;""),"",INDEX(FE$4:FE$40,MATCH(ROW()-3,FF$4:FF$40,0)))</f>
        <v>DR2640100019</v>
      </c>
      <c r="FH11" t="e">
        <f>FH10+IF(AND(FG11&lt;&gt;"",COUNTIF(FG$4:FG11,FG11)=1),1,0)</f>
        <v>#N/A</v>
      </c>
      <c r="FI11" t="e">
        <f>IF(ROW()-3&gt;MAX(FH$4:FH$40),"",INDEX(FG$4:FG$40,MATCH(ROW()-3,FH$4:FH$40,0)))</f>
        <v>#N/A</v>
      </c>
      <c r="FJ11" s="141">
        <f>IF('Final Calculation Sheet'!$AF$11="","",'Final Calculation Sheet'!$AF$11)</f>
        <v>1800003304</v>
      </c>
      <c r="FK11">
        <f>IF(FJ11="","",COUNTIFS(FJ$4:FJ$40,"&lt;"&amp;FJ11,FJ$4:FJ$40,"&lt;&gt;"&amp;"")+COUNTIF(FJ$4:FJ11,FJ11))</f>
        <v>16</v>
      </c>
      <c r="FL11" s="141">
        <f>IF(ROW()-3&gt;COUNTIF(FJ$4:FJ$40,"&lt;&gt;"&amp;""),"",INDEX(FJ$4:FJ$40,MATCH(ROW()-3,FK$4:FK$40,0)))</f>
        <v>1800003196</v>
      </c>
      <c r="FM11">
        <f>FM10+IF(AND(FL11&lt;&gt;"",COUNTIF(FL$4:FL11,FL11)=1),1,0)</f>
        <v>8</v>
      </c>
      <c r="FN11" t="e">
        <f>IF(ROW()-3&gt;MAX(FM$4:FM$40),"",INDEX(FL$4:FL$40,MATCH(ROW()-3,FM$4:FM$40,0)))</f>
        <v>#N/A</v>
      </c>
      <c r="FO11" t="str">
        <f>IF('Final Calculation Sheet'!$AG$11="","",'Final Calculation Sheet'!$AG$11)</f>
        <v>27.08.2026</v>
      </c>
      <c r="FP11">
        <f>IF(FO11="","",COUNTIFS(FO$4:FO$40,"&lt;"&amp;FO11,FO$4:FO$40,"&lt;&gt;"&amp;"")+COUNTIF(FO$4:FO11,FO11))</f>
        <v>24</v>
      </c>
      <c r="FQ11" t="str">
        <f>IF(ROW()-3&gt;COUNTIF(FO$4:FO$40,"&lt;&gt;"&amp;""),"",INDEX(FO$4:FO$40,MATCH(ROW()-3,FP$4:FP$40,0)))</f>
        <v>14.08.2026</v>
      </c>
      <c r="FR11" t="e">
        <f>FR10+IF(AND(FQ11&lt;&gt;"",COUNTIF(FQ$4:FQ11,FQ11)=1),1,0)</f>
        <v>#N/A</v>
      </c>
      <c r="FS11" t="e">
        <f>IF(ROW()-3&gt;MAX(FR$4:FR$40),"",INDEX(FQ$4:FQ$40,MATCH(ROW()-3,FR$4:FR$40,0)))</f>
        <v>#N/A</v>
      </c>
      <c r="FU11" t="str">
        <f>IF(FT11="","",COUNTIFS(FT$4:FT$40,"&lt;"&amp;FT11,FT$4:FT$40,"&lt;&gt;"&amp;"")+COUNTIF(FT$4:FT11,FT11))</f>
        <v/>
      </c>
      <c r="FV11" t="str">
        <f>IF(ROW()-3&gt;COUNTIF(FT$4:FT$40,"&lt;&gt;"&amp;""),"",INDEX(FT$4:FT$40,MATCH(ROW()-3,FU$4:FU$40,0)))</f>
        <v/>
      </c>
      <c r="FW11">
        <f>FW10+IF(AND(FV11&lt;&gt;"",COUNTIF(FV$4:FV11,FV11)=1),1,0)</f>
        <v>2</v>
      </c>
      <c r="FX11" t="str">
        <f>IF(ROW()-3&gt;MAX(FW$4:FW$40),"",INDEX(FV$4:FV$40,MATCH(ROW()-3,FW$4:FW$40,0)))</f>
        <v/>
      </c>
    </row>
    <row r="12">
      <c r="A12">
        <f>IF('Final Calculation Sheet'!$F$12="","",'Final Calculation Sheet'!$F$12)</f>
        <v>2005</v>
      </c>
      <c r="B12">
        <f>IF(A12="","",COUNTIFS(A$4:A$114,"&lt;"&amp;A12,A$4:A$114,"&lt;&gt;"&amp;"")+COUNTIF(A$4:A12,A12))</f>
        <v>9</v>
      </c>
      <c r="C12">
        <f>IF(ROW()-3&gt;COUNTIF(A$4:A$114,"&lt;&gt;"&amp;""),"",INDEX(A$4:A$114,MATCH(ROW()-3,B$4:B$114,0)))</f>
        <v>2005</v>
      </c>
      <c r="D12">
        <f>D11+IF(AND(C12&lt;&gt;"",COUNTIF(C$4:C12,C12)=1),1,0)</f>
        <v>9</v>
      </c>
      <c r="E12" t="e">
        <f>IF(ROW()-3&gt;MAX(D$4:D$114),"",INDEX(C$4:C$114,MATCH(ROW()-3,D$4:D$114,0)))</f>
        <v>#N/A</v>
      </c>
      <c r="F12">
        <f>ROW()-3</f>
        <v>9</v>
      </c>
      <c r="G12">
        <f>IF(F12="","",COUNTIFS(F$4:F$40,"&lt;"&amp;F12,F$4:F$40,"&lt;&gt;"&amp;"")+COUNTIF(F$4:F12,F12))</f>
        <v>9</v>
      </c>
      <c r="H12">
        <f>IF(ROW()-3&gt;COUNTIF(F$4:F$40,"&lt;&gt;"&amp;""),"",INDEX(F$4:F$40,MATCH(ROW()-3,G$4:G$40,0)))</f>
        <v>9</v>
      </c>
      <c r="I12">
        <f>I11+IF(AND(H12&lt;&gt;"",COUNTIF(H$4:H12,H12)=1),1,0)</f>
        <v>9</v>
      </c>
      <c r="J12">
        <f>IF(ROW()-3&gt;MAX(I$4:I$40),"",INDEX(H$4:H$40,MATCH(ROW()-3,I$4:I$40,0)))</f>
        <v>9</v>
      </c>
      <c r="K12">
        <f>IF('Final Calculation Sheet'!$F$12="","",'Final Calculation Sheet'!$F$12)</f>
        <v>2005</v>
      </c>
      <c r="L12">
        <f>IF(K12="","",COUNTIFS(K$4:K$40,"&lt;"&amp;K12,K$4:K$40,"&lt;&gt;"&amp;"")+COUNTIF(K$4:K12,K12))</f>
        <v>9</v>
      </c>
      <c r="M12">
        <f>IF(ROW()-3&gt;COUNTIF(K$4:K$40,"&lt;&gt;"&amp;""),"",INDEX(K$4:K$40,MATCH(ROW()-3,L$4:L$40,0)))</f>
        <v>2005</v>
      </c>
      <c r="N12">
        <f>N11+IF(AND(M12&lt;&gt;"",COUNTIF(M$4:M12,M12)=1),1,0)</f>
        <v>9</v>
      </c>
      <c r="O12">
        <f>IF(ROW()-3&gt;MAX(N$4:N$40),"",INDEX(M$4:M$40,MATCH(ROW()-3,N$4:N$40,0)))</f>
        <v>2005</v>
      </c>
      <c r="P12" t="str">
        <f>IF('Final Calculation Sheet'!$G$12="","",'Final Calculation Sheet'!$G$12)</f>
        <v>NATIONAL ENTERPRISES</v>
      </c>
      <c r="Q12">
        <f>IF(P12="","",COUNTIFS(P$4:P$40,"&lt;"&amp;P12,P$4:P$40,"&lt;&gt;"&amp;"")+COUNTIF(P$4:P12,P12))</f>
        <v>10</v>
      </c>
      <c r="R12" t="str">
        <f>IF(ROW()-3&gt;COUNTIF(P$4:P$40,"&lt;&gt;"&amp;""),"",INDEX(P$4:P$40,MATCH(ROW()-3,Q$4:Q$40,0)))</f>
        <v>NATIONAL ENTERPRISES</v>
      </c>
      <c r="S12">
        <f>S11+IF(AND(R12&lt;&gt;"",COUNTIF(R$4:R12,R12)=1),1,0)</f>
        <v>6</v>
      </c>
      <c r="T12" t="str">
        <f>IF(ROW()-3&gt;MAX(S$4:S$40),"",INDEX(R$4:R$40,MATCH(ROW()-3,S$4:S$40,0)))</f>
        <v>S M ENTERPRISES</v>
      </c>
      <c r="U12" t="str">
        <f>IF('Final Calculation Sheet'!$B$12="","",'Final Calculation Sheet'!$B$12)</f>
        <v>Scrap of 220KV CT</v>
      </c>
      <c r="V12">
        <f>IF(U12="","",COUNTIFS(U$4:U$40,"&lt;"&amp;U12,U$4:U$40,"&lt;&gt;"&amp;"")+COUNTIF(U$4:U12,U12))</f>
        <v>18</v>
      </c>
      <c r="W12" t="str">
        <f>IF(ROW()-3&gt;COUNTIF(U$4:U$40,"&lt;&gt;"&amp;""),"",INDEX(U$4:U$40,MATCH(ROW()-3,V$4:V$40,0)))</f>
        <v>Scrap of 132 KV CT</v>
      </c>
      <c r="X12">
        <f>X11+IF(AND(W12&lt;&gt;"",COUNTIF(W$4:W12,W12)=1),1,0)</f>
        <v>6</v>
      </c>
      <c r="Y12" t="str">
        <f>IF(ROW()-3&gt;MAX(X$4:X$40),"",INDEX(W$4:W$40,MATCH(ROW()-3,X$4:X$40,0)))</f>
        <v>Scrap of 220 KV Circuit Breaker</v>
      </c>
      <c r="Z12">
        <f>IF('Final Calculation Sheet'!$D$12="","",'Final Calculation Sheet'!$D$12)</f>
        <v>21977</v>
      </c>
      <c r="AA12">
        <f>IF(Z12="","",COUNTIFS(Z$4:Z$40,"&lt;"&amp;Z12,Z$4:Z$40,"&lt;&gt;"&amp;"")+COUNTIF(Z$4:Z12,Z12))</f>
        <v>7</v>
      </c>
      <c r="AB12">
        <f>IF(ROW()-3&gt;COUNTIF(Z$4:Z$40,"&lt;&gt;"&amp;""),"",INDEX(Z$4:Z$40,MATCH(ROW()-3,AA$4:AA$40,0)))</f>
        <v>21977</v>
      </c>
      <c r="AC12">
        <f>AC11+IF(AND(AB12&lt;&gt;"",COUNTIF(AB$4:AB12,AB12)=1),1,0)</f>
        <v>1</v>
      </c>
      <c r="AD12" t="str">
        <f>IF(ROW()-3&gt;MAX(AC$4:AC$40),"",INDEX(AB$4:AB$40,MATCH(ROW()-3,AC$4:AC$40,0)))</f>
        <v/>
      </c>
      <c r="AE12">
        <f>IF('Final Calculation Sheet'!$A$12="","",'Final Calculation Sheet'!$A$12)</f>
        <v>1</v>
      </c>
      <c r="AF12">
        <f>IF(AE12="","",COUNTIFS(AE$4:AE$40,"&lt;"&amp;AE12,AE$4:AE$40,"&lt;&gt;"&amp;"")+COUNTIF(AE$4:AE12,AE12))</f>
        <v>3</v>
      </c>
      <c r="AG12">
        <f>IF(ROW()-3&gt;COUNTIF(AE$4:AE$40,"&lt;&gt;"&amp;""),"",INDEX(AE$4:AE$40,MATCH(ROW()-3,AF$4:AF$40,0)))</f>
        <v>1</v>
      </c>
      <c r="AH12">
        <f>AH11+IF(AND(AG12&lt;&gt;"",COUNTIF(AG$4:AG12,AG12)=1),1,0)</f>
        <v>1</v>
      </c>
      <c r="AI12">
        <f>IF(ROW()-3&gt;MAX(AH$4:AH$40),"",INDEX(AG$4:AG$40,MATCH(ROW()-3,AH$4:AH$40,0)))</f>
        <v>28</v>
      </c>
      <c r="AJ12" t="str">
        <f>IF('Final Calculation Sheet'!$E$12="","",'Final Calculation Sheet'!$E$12)</f>
        <v>NO</v>
      </c>
      <c r="AK12">
        <f>IF(AJ12="","",COUNTIFS(AJ$4:AJ$40,"&lt;"&amp;AJ12,AJ$4:AJ$40,"&lt;&gt;"&amp;"")+COUNTIF(AJ$4:AJ12,AJ12))</f>
        <v>12</v>
      </c>
      <c r="AL12" t="str">
        <f>IF(ROW()-3&gt;COUNTIF(AJ$4:AJ$40,"&lt;&gt;"&amp;""),"",INDEX(AJ$4:AJ$40,MATCH(ROW()-3,AK$4:AK$40,0)))</f>
        <v>NO</v>
      </c>
      <c r="AM12">
        <f>AM11+IF(AND(AL12&lt;&gt;"",COUNTIF(AL$4:AL12,AL12)=1),1,0)</f>
        <v>3</v>
      </c>
      <c r="AN12" t="str">
        <f>IF(ROW()-3&gt;MAX(AM$4:AM$40),"",INDEX(AL$4:AL$40,MATCH(ROW()-3,AM$4:AM$40,0)))</f>
        <v/>
      </c>
      <c r="AO12" s="55">
        <f>IF('Final Calculation Sheet'!$C$12="","",'Final Calculation Sheet'!$C$12)</f>
        <v>70006</v>
      </c>
      <c r="AP12">
        <f>IF(AO12="","",COUNTIFS(AO$4:AO$40,"&lt;"&amp;AO12,AO$4:AO$40,"&lt;&gt;"&amp;"")+COUNTIF(AO$4:AO12,AO12))</f>
        <v>28</v>
      </c>
      <c r="AQ12" s="55">
        <f>IF(ROW()-3&gt;COUNTIF(AO$4:AO$40,"&lt;&gt;"&amp;""),"",INDEX(AO$4:AO$40,MATCH(ROW()-3,AP$4:AP$40,0)))</f>
        <v>580</v>
      </c>
      <c r="AR12">
        <f>AR11+IF(AND(AQ12&lt;&gt;"",COUNTIF(AQ$4:AQ12,AQ12)=1),1,0)</f>
        <v>9</v>
      </c>
      <c r="AS12" s="55">
        <f>IF(ROW()-3&gt;MAX(AR$4:AR$40),"",INDEX(AQ$4:AQ$40,MATCH(ROW()-3,AR$4:AR$40,0)))</f>
        <v>580</v>
      </c>
      <c r="AT12" s="55">
        <f>IF('Final Calculation Sheet'!$H$12="","",'Final Calculation Sheet'!$H$12)</f>
        <v>70006</v>
      </c>
      <c r="AU12">
        <f>IF(AT12="","",COUNTIFS(AT$4:AT$40,"&lt;"&amp;AT12,AT$4:AT$40,"&lt;&gt;"&amp;"")+COUNTIF(AT$4:AT12,AT12))</f>
        <v>13</v>
      </c>
      <c r="AV12" s="55">
        <f>IF(ROW()-3&gt;COUNTIF(AT$4:AT$40,"&lt;&gt;"&amp;""),"",INDEX(AT$4:AT$40,MATCH(ROW()-3,AU$4:AU$40,0)))</f>
        <v>50003</v>
      </c>
      <c r="AW12">
        <f>AW11+IF(AND(AV12&lt;&gt;"",COUNTIF(AV$4:AV12,AV12)=1),1,0)</f>
        <v>9</v>
      </c>
      <c r="AX12" s="55">
        <f>IF(ROW()-3&gt;MAX(AW$4:AW$40),"",INDEX(AV$4:AV$40,MATCH(ROW()-3,AW$4:AW$40,0)))</f>
        <v>50003</v>
      </c>
      <c r="AY12" s="55">
        <f>IF('Final Calculation Sheet'!$I$12="","",'Final Calculation Sheet'!$I$12)</f>
        <v>12601</v>
      </c>
      <c r="AZ12">
        <f>IF(AY12="","",COUNTIFS(AY$4:AY$40,"&lt;"&amp;AY12,AY$4:AY$40,"&lt;&gt;"&amp;"")+COUNTIF(AY$4:AY12,AY12))</f>
        <v>13</v>
      </c>
      <c r="BA12" s="55">
        <f>IF(ROW()-3&gt;COUNTIF(AY$4:AY$40,"&lt;&gt;"&amp;""),"",INDEX(AY$4:AY$40,MATCH(ROW()-3,AZ$4:AZ$40,0)))</f>
        <v>9001</v>
      </c>
      <c r="BB12">
        <f>BB11+IF(AND(BA12&lt;&gt;"",COUNTIF(BA$4:BA12,BA12)=1),1,0)</f>
        <v>9</v>
      </c>
      <c r="BC12" s="55">
        <f>IF(ROW()-3&gt;MAX(BB$4:BB$40),"",INDEX(BA$4:BA$40,MATCH(ROW()-3,BB$4:BB$40,0)))</f>
        <v>9001</v>
      </c>
      <c r="BD12" s="55">
        <f>IF('Final Calculation Sheet'!$J$12="","",'Final Calculation Sheet'!$J$12)</f>
        <v>82607</v>
      </c>
      <c r="BE12">
        <f>IF(BD12="","",COUNTIFS(BD$4:BD$40,"&lt;"&amp;BD12,BD$4:BD$40,"&lt;&gt;"&amp;"")+COUNTIF(BD$4:BD12,BD12))</f>
        <v>13</v>
      </c>
      <c r="BF12" s="55">
        <f>IF(ROW()-3&gt;COUNTIF(BD$4:BD$40,"&lt;&gt;"&amp;""),"",INDEX(BD$4:BD$40,MATCH(ROW()-3,BE$4:BE$40,0)))</f>
        <v>59004</v>
      </c>
      <c r="BG12">
        <f>BG11+IF(AND(BF12&lt;&gt;"",COUNTIF(BF$4:BF12,BF12)=1),1,0)</f>
        <v>9</v>
      </c>
      <c r="BH12" s="55">
        <f>IF(ROW()-3&gt;MAX(BG$4:BG$40),"",INDEX(BF$4:BF$40,MATCH(ROW()-3,BG$4:BG$40,0)))</f>
        <v>59004</v>
      </c>
      <c r="BI12" s="55">
        <f>IF('Final Calculation Sheet'!$K$12="","",'Final Calculation Sheet'!$K$12)</f>
        <v>1652</v>
      </c>
      <c r="BJ12">
        <f>IF(BI12="","",COUNTIFS(BI$4:BI$40,"&lt;"&amp;BI12,BI$4:BI$40,"&lt;&gt;"&amp;"")+COUNTIF(BI$4:BI12,BI12))</f>
        <v>13</v>
      </c>
      <c r="BK12" s="55">
        <f>IF(ROW()-3&gt;COUNTIF(BI$4:BI$40,"&lt;&gt;"&amp;""),"",INDEX(BI$4:BI$40,MATCH(ROW()-3,BJ$4:BJ$40,0)))</f>
        <v>1180</v>
      </c>
      <c r="BL12">
        <f>BL11+IF(AND(BK12&lt;&gt;"",COUNTIF(BK$4:BK12,BK12)=1),1,0)</f>
        <v>9</v>
      </c>
      <c r="BM12" s="55">
        <f>IF(ROW()-3&gt;MAX(BL$4:BL$40),"",INDEX(BK$4:BK$40,MATCH(ROW()-3,BL$4:BL$40,0)))</f>
        <v>1180</v>
      </c>
      <c r="BN12" s="55">
        <f>IF('Final Calculation Sheet'!$L$12="","",'Final Calculation Sheet'!$L$12)</f>
        <v>70.006</v>
      </c>
      <c r="BO12">
        <f>IF(BN12="","",COUNTIFS(BN$4:BN$40,"&lt;"&amp;BN12,BN$4:BN$40,"&lt;&gt;"&amp;"")+COUNTIF(BN$4:BN12,BN12))</f>
        <v>13</v>
      </c>
      <c r="BP12" s="55">
        <f>IF(ROW()-3&gt;COUNTIF(BN$4:BN$40,"&lt;&gt;"&amp;""),"",INDEX(BN$4:BN$40,MATCH(ROW()-3,BO$4:BO$40,0)))</f>
        <v>50.003</v>
      </c>
      <c r="BQ12">
        <f>BQ11+IF(AND(BP12&lt;&gt;"",COUNTIF(BP$4:BP12,BP12)=1),1,0)</f>
        <v>9</v>
      </c>
      <c r="BR12" s="55">
        <f>IF(ROW()-3&gt;MAX(BQ$4:BQ$40),"",INDEX(BP$4:BP$40,MATCH(ROW()-3,BQ$4:BQ$40,0)))</f>
        <v>50.003</v>
      </c>
      <c r="BS12" s="55">
        <f>IF('Final Calculation Sheet'!$M$12="","",'Final Calculation Sheet'!$M$12)</f>
        <v>1858.6592999999998</v>
      </c>
      <c r="BT12">
        <f>IF(BS12="","",COUNTIFS(BS$4:BS$40,"&lt;"&amp;BS12,BS$4:BS$40,"&lt;&gt;"&amp;"")+COUNTIF(BS$4:BS12,BS12))</f>
        <v>13</v>
      </c>
      <c r="BU12" s="55">
        <f>IF(ROW()-3&gt;COUNTIF(BS$4:BS$40,"&lt;&gt;"&amp;""),"",INDEX(BS$4:BS$40,MATCH(ROW()-3,BT$4:BT$40,0)))</f>
        <v>1327.5796499999999</v>
      </c>
      <c r="BV12">
        <f>BV11+IF(AND(BU12&lt;&gt;"",COUNTIF(BU$4:BU12,BU12)=1),1,0)</f>
        <v>9</v>
      </c>
      <c r="BW12" s="55">
        <f>IF(ROW()-3&gt;MAX(BV$4:BV$40),"",INDEX(BU$4:BU$40,MATCH(ROW()-3,BV$4:BV$40,0)))</f>
        <v>1327.5796499999999</v>
      </c>
      <c r="BX12" s="138">
        <f>IF('Final Calculation Sheet'!$N$12="","",'Final Calculation Sheet'!$N$12)</f>
        <v>31.502700000000001</v>
      </c>
      <c r="BY12">
        <f>IF(BX12="","",COUNTIFS(BX$4:BX$40,"&lt;"&amp;BX12,BX$4:BX$40,"&lt;&gt;"&amp;"")+COUNTIF(BX$4:BX12,BX12))</f>
        <v>13</v>
      </c>
      <c r="BZ12" s="138">
        <f>IF(ROW()-3&gt;COUNTIF(BX$4:BX$40,"&lt;&gt;"&amp;""),"",INDEX(BX$4:BX$40,MATCH(ROW()-3,BY$4:BY$40,0)))</f>
        <v>22.501349999999999</v>
      </c>
      <c r="CA12">
        <f>CA11+IF(AND(BZ12&lt;&gt;"",COUNTIF(BZ$4:BZ12,BZ12)=1),1,0)</f>
        <v>9</v>
      </c>
      <c r="CB12" s="138">
        <f>IF(ROW()-3&gt;MAX(CA$4:CA$40),"",INDEX(BZ$4:BZ$40,MATCH(ROW()-3,CA$4:CA$40,0)))</f>
        <v>22.501349999999999</v>
      </c>
      <c r="CC12" s="55">
        <f>IF('Final Calculation Sheet'!$O$12="","",'Final Calculation Sheet'!$O$12)</f>
        <v>1827.1565999999998</v>
      </c>
      <c r="CD12">
        <f>IF(CC12="","",COUNTIFS(CC$4:CC$40,"&lt;"&amp;CC12,CC$4:CC$40,"&lt;&gt;"&amp;"")+COUNTIF(CC$4:CC12,CC12))</f>
        <v>13</v>
      </c>
      <c r="CE12" s="55">
        <f>IF(ROW()-3&gt;COUNTIF(CC$4:CC$40,"&lt;&gt;"&amp;""),"",INDEX(CC$4:CC$40,MATCH(ROW()-3,CD$4:CD$40,0)))</f>
        <v>1305.0782999999999</v>
      </c>
      <c r="CF12">
        <f>CF11+IF(AND(CE12&lt;&gt;"",COUNTIF(CE$4:CE12,CE12)=1),1,0)</f>
        <v>9</v>
      </c>
      <c r="CG12" s="55">
        <f>IF(ROW()-3&gt;MAX(CF$4:CF$40),"",INDEX(CE$4:CE$40,MATCH(ROW()-3,CF$4:CF$40,0)))</f>
        <v>1305.0782999999999</v>
      </c>
      <c r="CH12" s="55">
        <f>IF('Final Calculation Sheet'!$P$12="","",'Final Calculation Sheet'!$P$12)</f>
        <v>1897</v>
      </c>
      <c r="CI12">
        <f>IF(CH12="","",COUNTIFS(CH$4:CH$40,"&lt;"&amp;CH12,CH$4:CH$40,"&lt;&gt;"&amp;"")+COUNTIF(CH$4:CH12,CH12))</f>
        <v>13</v>
      </c>
      <c r="CJ12" s="55">
        <f>IF(ROW()-3&gt;COUNTIF(CH$4:CH$40,"&lt;&gt;"&amp;""),"",INDEX(CH$4:CH$40,MATCH(ROW()-3,CI$4:CI$40,0)))</f>
        <v>1355</v>
      </c>
      <c r="CK12">
        <f>CK11+IF(AND(CJ12&lt;&gt;"",COUNTIF(CJ$4:CJ12,CJ12)=1),1,0)</f>
        <v>9</v>
      </c>
      <c r="CL12" s="55">
        <f>IF(ROW()-3&gt;MAX(CK$4:CK$40),"",INDEX(CJ$4:CJ$40,MATCH(ROW()-3,CK$4:CK$40,0)))</f>
        <v>1355</v>
      </c>
      <c r="CM12" s="139">
        <f>IF('Final Calculation Sheet'!$Q$12="","",'Final Calculation Sheet'!$Q$12)</f>
        <v>0</v>
      </c>
      <c r="CN12">
        <f>IF(CM12="","",COUNTIFS(CM$4:CM$40,"&lt;"&amp;CM12,CM$4:CM$40,"&lt;&gt;"&amp;"")+COUNTIF(CM$4:CM12,CM12))</f>
        <v>7</v>
      </c>
      <c r="CO12" s="139">
        <f>IF(ROW()-3&gt;COUNTIF(CM$4:CM$40,"&lt;&gt;"&amp;""),"",INDEX(CM$4:CM$40,MATCH(ROW()-3,CN$4:CN$40,0)))</f>
        <v>0</v>
      </c>
      <c r="CP12">
        <f>CP11+IF(AND(CO12&lt;&gt;"",COUNTIF(CO$4:CO12,CO12)=1),1,0)</f>
        <v>1</v>
      </c>
      <c r="CQ12" t="str">
        <f>IF(ROW()-3&gt;MAX(CP$4:CP$40),"",INDEX(CO$4:CO$40,MATCH(ROW()-3,CP$4:CP$40,0)))</f>
        <v/>
      </c>
      <c r="CR12" s="55">
        <f>IF('Final Calculation Sheet'!$R$12="","",'Final Calculation Sheet'!$R$12)</f>
        <v>0</v>
      </c>
      <c r="CS12">
        <f>IF(CR12="","",COUNTIFS(CR$4:CR$40,"&lt;"&amp;CR12,CR$4:CR$40,"&lt;&gt;"&amp;"")+COUNTIF(CR$4:CR12,CR12))</f>
        <v>7</v>
      </c>
      <c r="CT12" s="55">
        <f>IF(ROW()-3&gt;COUNTIF(CR$4:CR$40,"&lt;&gt;"&amp;""),"",INDEX(CR$4:CR$40,MATCH(ROW()-3,CS$4:CS$40,0)))</f>
        <v>0</v>
      </c>
      <c r="CU12">
        <f>CU11+IF(AND(CT12&lt;&gt;"",COUNTIF(CT$4:CT12,CT12)=1),1,0)</f>
        <v>1</v>
      </c>
      <c r="CV12" t="str">
        <f>IF(ROW()-3&gt;MAX(CU$4:CU$40),"",INDEX(CT$4:CT$40,MATCH(ROW()-3,CU$4:CU$40,0)))</f>
        <v/>
      </c>
      <c r="CW12" s="55">
        <f>IF('Final Calculation Sheet'!$S$12="","",'Final Calculation Sheet'!$S$12)</f>
        <v>82362</v>
      </c>
      <c r="CX12">
        <f>IF(CW12="","",COUNTIFS(CW$4:CW$40,"&lt;"&amp;CW12,CW$4:CW$40,"&lt;&gt;"&amp;"")+COUNTIF(CW$4:CW12,CW12))</f>
        <v>13</v>
      </c>
      <c r="CY12" s="55">
        <f>IF(ROW()-3&gt;COUNTIF(CW$4:CW$40,"&lt;&gt;"&amp;""),"",INDEX(CW$4:CW$40,MATCH(ROW()-3,CX$4:CX$40,0)))</f>
        <v>58829</v>
      </c>
      <c r="CZ12">
        <f>CZ11+IF(AND(CY12&lt;&gt;"",COUNTIF(CY$4:CY12,CY12)=1),1,0)</f>
        <v>9</v>
      </c>
      <c r="DA12" s="55">
        <f>IF(ROW()-3&gt;MAX(CZ$4:CZ$40),"",INDEX(CY$4:CY$40,MATCH(ROW()-3,CZ$4:CZ$40,0)))</f>
        <v>58829</v>
      </c>
      <c r="DB12" s="55">
        <f>IF('Final Calculation Sheet'!$T$12="","",'Final Calculation Sheet'!$T$12)</f>
        <v>17502</v>
      </c>
      <c r="DC12">
        <f>IF(DB12="","",COUNTIFS(DB$4:DB$40,"&lt;"&amp;DB12,DB$4:DB$40,"&lt;&gt;"&amp;"")+COUNTIF(DB$4:DB12,DB12))</f>
        <v>13</v>
      </c>
      <c r="DD12" s="55">
        <f>IF(ROW()-3&gt;COUNTIF(DB$4:DB$40,"&lt;&gt;"&amp;""),"",INDEX(DB$4:DB$40,MATCH(ROW()-3,DC$4:DC$40,0)))</f>
        <v>12501</v>
      </c>
      <c r="DE12">
        <f>DE11+IF(AND(DD12&lt;&gt;"",COUNTIF(DD$4:DD12,DD12)=1),1,0)</f>
        <v>9</v>
      </c>
      <c r="DF12" s="55">
        <f>IF(ROW()-3&gt;MAX(DE$4:DE$40),"",INDEX(DD$4:DD$40,MATCH(ROW()-3,DE$4:DE$40,0)))</f>
        <v>12501</v>
      </c>
      <c r="DG12" s="140">
        <f>IF('Final Calculation Sheet'!$U$12="","",'Final Calculation Sheet'!$U$12)</f>
        <v>17502</v>
      </c>
      <c r="DH12">
        <f>IF(DG12="","",COUNTIFS(DG$4:DG$40,"&lt;"&amp;DG12,DG$4:DG$40,"&lt;&gt;"&amp;"")+COUNTIF(DG$4:DG12,DG12))</f>
        <v>13</v>
      </c>
      <c r="DI12" s="140">
        <f>IF(ROW()-3&gt;COUNTIF(DG$4:DG$40,"&lt;&gt;"&amp;""),"",INDEX(DG$4:DG$40,MATCH(ROW()-3,DH$4:DH$40,0)))</f>
        <v>12501</v>
      </c>
      <c r="DJ12">
        <f>DJ11+IF(AND(DI12&lt;&gt;"",COUNTIF(DI$4:DI12,DI12)=1),1,0)</f>
        <v>9</v>
      </c>
      <c r="DK12" s="140">
        <f>IF(ROW()-3&gt;MAX(DJ$4:DJ$40),"",INDEX(DI$4:DI$40,MATCH(ROW()-3,DJ$4:DJ$40,0)))</f>
        <v>12501</v>
      </c>
      <c r="DL12" t="str">
        <f>IF('Final Calculation Sheet'!$V$12="","",'Final Calculation Sheet'!$V$12)</f>
        <v>13.08.2026</v>
      </c>
      <c r="DM12">
        <f>IF(DL12="","",COUNTIFS(DL$4:DL$40,"&lt;"&amp;DL12,DL$4:DL$40,"&lt;&gt;"&amp;"")+COUNTIF(DL$4:DL12,DL12))</f>
        <v>16</v>
      </c>
      <c r="DN12" t="str">
        <f>IF(ROW()-3&gt;COUNTIF(DL$4:DL$40,"&lt;&gt;"&amp;""),"",INDEX(DL$4:DL$40,MATCH(ROW()-3,DM$4:DM$40,0)))</f>
        <v>11.08.2026</v>
      </c>
      <c r="DO12">
        <f>DO11+IF(AND(DN12&lt;&gt;"",COUNTIF(DN$4:DN12,DN12)=1),1,0)</f>
        <v>2</v>
      </c>
      <c r="DP12" t="str">
        <f>IF(ROW()-3&gt;MAX(DO$4:DO$40),"",INDEX(DN$4:DN$40,MATCH(ROW()-3,DO$4:DO$40,0)))</f>
        <v/>
      </c>
      <c r="DQ12" s="55">
        <f>IF('Final Calculation Sheet'!$W$12="","",'Final Calculation Sheet'!$W$12)</f>
        <v>64861</v>
      </c>
      <c r="DR12">
        <f>IF(DQ12="","",COUNTIFS(DQ$4:DQ$40,"&lt;"&amp;DQ12,DQ$4:DQ$40,"&lt;&gt;"&amp;"")+COUNTIF(DQ$4:DQ12,DQ12))</f>
        <v>13</v>
      </c>
      <c r="DS12" s="55">
        <f>IF(ROW()-3&gt;COUNTIF(DQ$4:DQ$40,"&lt;&gt;"&amp;""),"",INDEX(DQ$4:DQ$40,MATCH(ROW()-3,DR$4:DR$40,0)))</f>
        <v>46328</v>
      </c>
      <c r="DT12">
        <f>DT11+IF(AND(DS12&lt;&gt;"",COUNTIF(DS$4:DS12,DS12)=1),1,0)</f>
        <v>9</v>
      </c>
      <c r="DU12" s="55">
        <f>IF(ROW()-3&gt;MAX(DT$4:DT$40),"",INDEX(DS$4:DS$40,MATCH(ROW()-3,DT$4:DT$40,0)))</f>
        <v>46328</v>
      </c>
      <c r="DV12" s="55">
        <f>IF('Final Calculation Sheet'!$X$12="","",'Final Calculation Sheet'!$X$12)</f>
        <v>64859</v>
      </c>
      <c r="DW12">
        <f>IF(DV12="","",COUNTIFS(DV$4:DV$40,"&lt;"&amp;DV12,DV$4:DV$40,"&lt;&gt;"&amp;"")+COUNTIF(DV$4:DV12,DV12))</f>
        <v>12</v>
      </c>
      <c r="DX12" s="55">
        <f>IF(ROW()-3&gt;COUNTIF(DV$4:DV$40,"&lt;&gt;"&amp;""),"",INDEX(DV$4:DV$40,MATCH(ROW()-3,DW$4:DW$40,0)))</f>
        <v>46328</v>
      </c>
      <c r="DY12">
        <f>DY11+IF(AND(DX12&lt;&gt;"",COUNTIF(DX$4:DX12,DX12)=1),1,0)</f>
        <v>9</v>
      </c>
      <c r="DZ12" t="e">
        <f>IF(ROW()-3&gt;MAX(DY$4:DY$40),"",INDEX(DX$4:DX$40,MATCH(ROW()-3,DY$4:DY$40,0)))</f>
        <v>#N/A</v>
      </c>
      <c r="EA12" t="str">
        <f>IF('Final Calculation Sheet'!$Y$12="","",'Final Calculation Sheet'!$Y$12)</f>
        <v>24.08.2026</v>
      </c>
      <c r="EB12">
        <f>IF(EA12="","",COUNTIFS(EA$4:EA$40,"&lt;"&amp;EA12,EA$4:EA$40,"&lt;&gt;"&amp;"")+COUNTIF(EA$4:EA12,EA12))</f>
        <v>25</v>
      </c>
      <c r="EC12" t="str">
        <f>IF(ROW()-3&gt;COUNTIF(EA$4:EA$40,"&lt;&gt;"&amp;""),"",INDEX(EA$4:EA$40,MATCH(ROW()-3,EB$4:EB$40,0)))</f>
        <v>13.08.2026</v>
      </c>
      <c r="ED12">
        <f>ED11+IF(AND(EC12&lt;&gt;"",COUNTIF(EC$4:EC12,EC12)=1),1,0)</f>
        <v>4</v>
      </c>
      <c r="EE12" t="e">
        <f>IF(ROW()-3&gt;MAX(ED$4:ED$40),"",INDEX(EC$4:EC$40,MATCH(ROW()-3,ED$4:ED$40,0)))</f>
        <v>#N/A</v>
      </c>
      <c r="EF12" s="55">
        <f>IF('Final Calculation Sheet'!$Z$12="","",'Final Calculation Sheet'!$Z$12)</f>
        <v>0</v>
      </c>
      <c r="EG12">
        <f>IF(EF12="","",COUNTIFS(EF$4:EF$40,"&lt;"&amp;EF12,EF$4:EF$40,"&lt;&gt;"&amp;"")+COUNTIF(EF$4:EF12,EF12))</f>
        <v>9</v>
      </c>
      <c r="EH12" s="55">
        <f>IF(ROW()-3&gt;COUNTIF(EF$4:EF$40,"&lt;&gt;"&amp;""),"",INDEX(EF$4:EF$40,MATCH(ROW()-3,EG$4:EG$40,0)))</f>
        <v>0</v>
      </c>
      <c r="EI12">
        <f>EI11+IF(AND(EH12&lt;&gt;"",COUNTIF(EH$4:EH12,EH12)=1),1,0)</f>
        <v>1</v>
      </c>
      <c r="EJ12" t="str">
        <f>IF(ROW()-3&gt;MAX(EI$4:EI$40),"",INDEX(EH$4:EH$40,MATCH(ROW()-3,EI$4:EI$40,0)))</f>
        <v/>
      </c>
      <c r="EK12" t="str">
        <f>IF('Final Calculation Sheet'!$AA$12="","",'Final Calculation Sheet'!$AA$12)</f>
        <v/>
      </c>
      <c r="EL12" t="str">
        <f>IF(EK12="","",COUNTIFS(EK$4:EK$40,"&lt;"&amp;EK12,EK$4:EK$40,"&lt;&gt;"&amp;"")+COUNTIF(EK$4:EK12,EK12))</f>
        <v/>
      </c>
      <c r="EM12" t="e">
        <f>IF(ROW()-3&gt;COUNTIF(EK$4:EK$40,"&lt;&gt;"&amp;""),"",INDEX(EK$4:EK$40,MATCH(ROW()-3,EL$4:EL$40,0)))</f>
        <v>#N/A</v>
      </c>
      <c r="EN12" t="e">
        <f>EN11+IF(AND(EM12&lt;&gt;"",COUNTIF(EM$4:EM12,EM12)=1),1,0)</f>
        <v>#N/A</v>
      </c>
      <c r="EO12" t="e">
        <f>IF(ROW()-3&gt;MAX(EN$4:EN$40),"",INDEX(EM$4:EM$40,MATCH(ROW()-3,EN$4:EN$40,0)))</f>
        <v>#N/A</v>
      </c>
      <c r="EP12" t="str">
        <f>IF('Final Calculation Sheet'!$AB$12="","",'Final Calculation Sheet'!$AB$12)</f>
        <v/>
      </c>
      <c r="EQ12" t="str">
        <f>IF(EP12="","",COUNTIFS(EP$4:EP$40,"&lt;"&amp;EP12,EP$4:EP$40,"&lt;&gt;"&amp;"")+COUNTIF(EP$4:EP12,EP12))</f>
        <v/>
      </c>
      <c r="ER12" t="e">
        <f>IF(ROW()-3&gt;COUNTIF(EP$4:EP$40,"&lt;&gt;"&amp;""),"",INDEX(EP$4:EP$40,MATCH(ROW()-3,EQ$4:EQ$40,0)))</f>
        <v>#N/A</v>
      </c>
      <c r="ES12" t="e">
        <f>ES11+IF(AND(ER12&lt;&gt;"",COUNTIF(ER$4:ER12,ER12)=1),1,0)</f>
        <v>#N/A</v>
      </c>
      <c r="ET12" t="e">
        <f>IF(ROW()-3&gt;MAX(ES$4:ES$40),"",INDEX(ER$4:ER$40,MATCH(ROW()-3,ES$4:ES$40,0)))</f>
        <v>#N/A</v>
      </c>
      <c r="EU12" s="55">
        <f>IF('Final Calculation Sheet'!$AC$12="","",'Final Calculation Sheet'!$AC$12)</f>
        <v>82361</v>
      </c>
      <c r="EV12">
        <f>IF(EU12="","",COUNTIFS(EU$4:EU$40,"&lt;"&amp;EU12,EU$4:EU$40,"&lt;&gt;"&amp;"")+COUNTIF(EU$4:EU12,EU12))</f>
        <v>14</v>
      </c>
      <c r="EW12" s="55">
        <f>IF(ROW()-3&gt;COUNTIF(EU$4:EU$40,"&lt;&gt;"&amp;""),"",INDEX(EU$4:EU$40,MATCH(ROW()-3,EV$4:EV$40,0)))</f>
        <v>47964</v>
      </c>
      <c r="EX12">
        <f>EX11+IF(AND(EW12&lt;&gt;"",COUNTIF(EW$4:EW12,EW12)=1),1,0)</f>
        <v>9</v>
      </c>
      <c r="EY12" s="55">
        <f>IF(ROW()-3&gt;MAX(EX$4:EX$40),"",INDEX(EW$4:EW$40,MATCH(ROW()-3,EX$4:EX$40,0)))</f>
        <v>47964</v>
      </c>
      <c r="EZ12" s="55">
        <f>IF('Final Calculation Sheet'!$AD$12="","",'Final Calculation Sheet'!$AD$12)</f>
        <v>1</v>
      </c>
      <c r="FA12">
        <f>IF(EZ12="","",COUNTIFS(EZ$4:EZ$40,"&lt;"&amp;EZ12,EZ$4:EZ$40,"&lt;&gt;"&amp;"")+COUNTIF(EZ$4:EZ12,EZ12))</f>
        <v>30</v>
      </c>
      <c r="FB12" s="55">
        <f>IF(ROW()-3&gt;COUNTIF(EZ$4:EZ$40,"&lt;&gt;"&amp;""),"",INDEX(EZ$4:EZ$40,MATCH(ROW()-3,FA$4:FA$40,0)))</f>
        <v>0</v>
      </c>
      <c r="FC12" t="e">
        <f>FC11+IF(AND(FB12&lt;&gt;"",COUNTIF(FB$4:FB12,FB12)=1),1,0)</f>
        <v>#N/A</v>
      </c>
      <c r="FD12" s="55" t="e">
        <f>IF(ROW()-3&gt;MAX(FC$4:FC$40),"",INDEX(FB$4:FB$40,MATCH(ROW()-3,FC$4:FC$40,0)))</f>
        <v>#N/A</v>
      </c>
      <c r="FE12" t="str">
        <f>IF('Final Calculation Sheet'!$AE$12="","",'Final Calculation Sheet'!$AE$12)</f>
        <v>DR2640100033</v>
      </c>
      <c r="FF12">
        <f>IF(FE12="","",COUNTIFS(FE$4:FE$40,"&lt;"&amp;FE12,FE$4:FE$40,"&lt;&gt;"&amp;"")+COUNTIF(FE$4:FE12,FE12))</f>
        <v>22</v>
      </c>
      <c r="FG12" t="str">
        <f>IF(ROW()-3&gt;COUNTIF(FE$4:FE$40,"&lt;&gt;"&amp;""),"",INDEX(FE$4:FE$40,MATCH(ROW()-3,FF$4:FF$40,0)))</f>
        <v>DR2640100020</v>
      </c>
      <c r="FH12" t="e">
        <f>FH11+IF(AND(FG12&lt;&gt;"",COUNTIF(FG$4:FG12,FG12)=1),1,0)</f>
        <v>#N/A</v>
      </c>
      <c r="FI12" t="e">
        <f>IF(ROW()-3&gt;MAX(FH$4:FH$40),"",INDEX(FG$4:FG$40,MATCH(ROW()-3,FH$4:FH$40,0)))</f>
        <v>#N/A</v>
      </c>
      <c r="FJ12" s="141">
        <f>IF('Final Calculation Sheet'!$AF$12="","",'Final Calculation Sheet'!$AF$12)</f>
        <v>1800003305</v>
      </c>
      <c r="FK12">
        <f>IF(FJ12="","",COUNTIFS(FJ$4:FJ$40,"&lt;"&amp;FJ12,FJ$4:FJ$40,"&lt;&gt;"&amp;"")+COUNTIF(FJ$4:FJ12,FJ12))</f>
        <v>17</v>
      </c>
      <c r="FL12" s="141">
        <f>IF(ROW()-3&gt;COUNTIF(FJ$4:FJ$40,"&lt;&gt;"&amp;""),"",INDEX(FJ$4:FJ$40,MATCH(ROW()-3,FK$4:FK$40,0)))</f>
        <v>1800003226</v>
      </c>
      <c r="FM12">
        <f>FM11+IF(AND(FL12&lt;&gt;"",COUNTIF(FL$4:FL12,FL12)=1),1,0)</f>
        <v>9</v>
      </c>
      <c r="FN12" t="e">
        <f>IF(ROW()-3&gt;MAX(FM$4:FM$40),"",INDEX(FL$4:FL$40,MATCH(ROW()-3,FM$4:FM$40,0)))</f>
        <v>#N/A</v>
      </c>
      <c r="FO12" t="str">
        <f>IF('Final Calculation Sheet'!$AG$12="","",'Final Calculation Sheet'!$AG$12)</f>
        <v>27.08.2026</v>
      </c>
      <c r="FP12">
        <f>IF(FO12="","",COUNTIFS(FO$4:FO$40,"&lt;"&amp;FO12,FO$4:FO$40,"&lt;&gt;"&amp;"")+COUNTIF(FO$4:FO12,FO12))</f>
        <v>25</v>
      </c>
      <c r="FQ12" t="str">
        <f>IF(ROW()-3&gt;COUNTIF(FO$4:FO$40,"&lt;&gt;"&amp;""),"",INDEX(FO$4:FO$40,MATCH(ROW()-3,FP$4:FP$40,0)))</f>
        <v>14.08.2026</v>
      </c>
      <c r="FR12" t="e">
        <f>FR11+IF(AND(FQ12&lt;&gt;"",COUNTIF(FQ$4:FQ12,FQ12)=1),1,0)</f>
        <v>#N/A</v>
      </c>
      <c r="FS12" t="e">
        <f>IF(ROW()-3&gt;MAX(FR$4:FR$40),"",INDEX(FQ$4:FQ$40,MATCH(ROW()-3,FR$4:FR$40,0)))</f>
        <v>#N/A</v>
      </c>
      <c r="FU12" t="str">
        <f>IF(FT12="","",COUNTIFS(FT$4:FT$40,"&lt;"&amp;FT12,FT$4:FT$40,"&lt;&gt;"&amp;"")+COUNTIF(FT$4:FT12,FT12))</f>
        <v/>
      </c>
      <c r="FV12" t="str">
        <f>IF(ROW()-3&gt;COUNTIF(FT$4:FT$40,"&lt;&gt;"&amp;""),"",INDEX(FT$4:FT$40,MATCH(ROW()-3,FU$4:FU$40,0)))</f>
        <v/>
      </c>
      <c r="FW12">
        <f>FW11+IF(AND(FV12&lt;&gt;"",COUNTIF(FV$4:FV12,FV12)=1),1,0)</f>
        <v>2</v>
      </c>
      <c r="FX12" t="str">
        <f>IF(ROW()-3&gt;MAX(FW$4:FW$40),"",INDEX(FV$4:FV$40,MATCH(ROW()-3,FW$4:FW$40,0)))</f>
        <v/>
      </c>
    </row>
    <row r="13">
      <c r="A13">
        <f>IF('Final Calculation Sheet'!$F$13="","",'Final Calculation Sheet'!$F$13)</f>
        <v>2006</v>
      </c>
      <c r="B13">
        <f>IF(A13="","",COUNTIFS(A$4:A$114,"&lt;"&amp;A13,A$4:A$114,"&lt;&gt;"&amp;"")+COUNTIF(A$4:A13,A13))</f>
        <v>10</v>
      </c>
      <c r="C13">
        <f>IF(ROW()-3&gt;COUNTIF(A$4:A$114,"&lt;&gt;"&amp;""),"",INDEX(A$4:A$114,MATCH(ROW()-3,B$4:B$114,0)))</f>
        <v>2006</v>
      </c>
      <c r="D13">
        <f>D12+IF(AND(C13&lt;&gt;"",COUNTIF(C$4:C13,C13)=1),1,0)</f>
        <v>10</v>
      </c>
      <c r="E13" t="e">
        <f>IF(ROW()-3&gt;MAX(D$4:D$114),"",INDEX(C$4:C$114,MATCH(ROW()-3,D$4:D$114,0)))</f>
        <v>#N/A</v>
      </c>
      <c r="F13">
        <f>ROW()-3</f>
        <v>10</v>
      </c>
      <c r="G13">
        <f>IF(F13="","",COUNTIFS(F$4:F$40,"&lt;"&amp;F13,F$4:F$40,"&lt;&gt;"&amp;"")+COUNTIF(F$4:F13,F13))</f>
        <v>10</v>
      </c>
      <c r="H13">
        <f>IF(ROW()-3&gt;COUNTIF(F$4:F$40,"&lt;&gt;"&amp;""),"",INDEX(F$4:F$40,MATCH(ROW()-3,G$4:G$40,0)))</f>
        <v>10</v>
      </c>
      <c r="I13">
        <f>I12+IF(AND(H13&lt;&gt;"",COUNTIF(H$4:H13,H13)=1),1,0)</f>
        <v>10</v>
      </c>
      <c r="J13">
        <f>IF(ROW()-3&gt;MAX(I$4:I$40),"",INDEX(H$4:H$40,MATCH(ROW()-3,I$4:I$40,0)))</f>
        <v>10</v>
      </c>
      <c r="K13">
        <f>IF('Final Calculation Sheet'!$F$13="","",'Final Calculation Sheet'!$F$13)</f>
        <v>2006</v>
      </c>
      <c r="L13">
        <f>IF(K13="","",COUNTIFS(K$4:K$40,"&lt;"&amp;K13,K$4:K$40,"&lt;&gt;"&amp;"")+COUNTIF(K$4:K13,K13))</f>
        <v>10</v>
      </c>
      <c r="M13">
        <f>IF(ROW()-3&gt;COUNTIF(K$4:K$40,"&lt;&gt;"&amp;""),"",INDEX(K$4:K$40,MATCH(ROW()-3,L$4:L$40,0)))</f>
        <v>2006</v>
      </c>
      <c r="N13">
        <f>N12+IF(AND(M13&lt;&gt;"",COUNTIF(M$4:M13,M13)=1),1,0)</f>
        <v>10</v>
      </c>
      <c r="O13">
        <f>IF(ROW()-3&gt;MAX(N$4:N$40),"",INDEX(M$4:M$40,MATCH(ROW()-3,N$4:N$40,0)))</f>
        <v>2006</v>
      </c>
      <c r="P13" t="str">
        <f>IF('Final Calculation Sheet'!$G$13="","",'Final Calculation Sheet'!$G$13)</f>
        <v>STERLING ENTERPRISES</v>
      </c>
      <c r="Q13">
        <f>IF(P13="","",COUNTIFS(P$4:P$40,"&lt;"&amp;P13,P$4:P$40,"&lt;&gt;"&amp;"")+COUNTIF(P$4:P13,P13))</f>
        <v>28</v>
      </c>
      <c r="R13" t="str">
        <f>IF(ROW()-3&gt;COUNTIF(P$4:P$40,"&lt;&gt;"&amp;""),"",INDEX(P$4:P$40,MATCH(ROW()-3,Q$4:Q$40,0)))</f>
        <v>NATIONAL ENTERPRISES</v>
      </c>
      <c r="S13">
        <f>S12+IF(AND(R13&lt;&gt;"",COUNTIF(R$4:R13,R13)=1),1,0)</f>
        <v>6</v>
      </c>
      <c r="T13" t="str">
        <f>IF(ROW()-3&gt;MAX(S$4:S$40),"",INDEX(R$4:R$40,MATCH(ROW()-3,S$4:S$40,0)))</f>
        <v>SAHARA ENTERPRISES</v>
      </c>
      <c r="U13" t="str">
        <f>IF('Final Calculation Sheet'!$B$13="","",'Final Calculation Sheet'!$B$13)</f>
        <v>Scrap of empty oil drums</v>
      </c>
      <c r="V13">
        <f>IF(U13="","",COUNTIFS(U$4:U$40,"&lt;"&amp;U13,U$4:U$40,"&lt;&gt;"&amp;"")+COUNTIF(U$4:U13,U13))</f>
        <v>33</v>
      </c>
      <c r="W13" t="str">
        <f>IF(ROW()-3&gt;COUNTIF(U$4:U$40,"&lt;&gt;"&amp;""),"",INDEX(U$4:U$40,MATCH(ROW()-3,V$4:V$40,0)))</f>
        <v>Scrap of 132 KV CT</v>
      </c>
      <c r="X13">
        <f>X12+IF(AND(W13&lt;&gt;"",COUNTIF(W$4:W13,W13)=1),1,0)</f>
        <v>6</v>
      </c>
      <c r="Y13" t="str">
        <f>IF(ROW()-3&gt;MAX(X$4:X$40),"",INDEX(W$4:W$40,MATCH(ROW()-3,X$4:X$40,0)))</f>
        <v>Scrap of 220 KV CT</v>
      </c>
      <c r="Z13">
        <f>IF('Final Calculation Sheet'!$D$13="","",'Final Calculation Sheet'!$D$13)</f>
        <v>21977</v>
      </c>
      <c r="AA13">
        <f>IF(Z13="","",COUNTIFS(Z$4:Z$40,"&lt;"&amp;Z13,Z$4:Z$40,"&lt;&gt;"&amp;"")+COUNTIF(Z$4:Z13,Z13))</f>
        <v>8</v>
      </c>
      <c r="AB13">
        <f>IF(ROW()-3&gt;COUNTIF(Z$4:Z$40,"&lt;&gt;"&amp;""),"",INDEX(Z$4:Z$40,MATCH(ROW()-3,AA$4:AA$40,0)))</f>
        <v>21977</v>
      </c>
      <c r="AC13">
        <f>AC12+IF(AND(AB13&lt;&gt;"",COUNTIF(AB$4:AB13,AB13)=1),1,0)</f>
        <v>1</v>
      </c>
      <c r="AD13" t="str">
        <f>IF(ROW()-3&gt;MAX(AC$4:AC$40),"",INDEX(AB$4:AB$40,MATCH(ROW()-3,AC$4:AC$40,0)))</f>
        <v/>
      </c>
      <c r="AE13">
        <f>IF('Final Calculation Sheet'!$A$13="","",'Final Calculation Sheet'!$A$13)</f>
        <v>25</v>
      </c>
      <c r="AF13">
        <f>IF(AE13="","",COUNTIFS(AE$4:AE$40,"&lt;"&amp;AE13,AE$4:AE$40,"&lt;&gt;"&amp;"")+COUNTIF(AE$4:AE13,AE13))</f>
        <v>23</v>
      </c>
      <c r="AG13">
        <f>IF(ROW()-3&gt;COUNTIF(AE$4:AE$40,"&lt;&gt;"&amp;""),"",INDEX(AE$4:AE$40,MATCH(ROW()-3,AF$4:AF$40,0)))</f>
        <v>2</v>
      </c>
      <c r="AH13">
        <f>AH12+IF(AND(AG13&lt;&gt;"",COUNTIF(AG$4:AG13,AG13)=1),1,0)</f>
        <v>2</v>
      </c>
      <c r="AI13">
        <f>IF(ROW()-3&gt;MAX(AH$4:AH$40),"",INDEX(AG$4:AG$40,MATCH(ROW()-3,AH$4:AH$40,0)))</f>
        <v>30</v>
      </c>
      <c r="AJ13" t="str">
        <f>IF('Final Calculation Sheet'!$E$13="","",'Final Calculation Sheet'!$E$13)</f>
        <v>NO</v>
      </c>
      <c r="AK13">
        <f>IF(AJ13="","",COUNTIFS(AJ$4:AJ$40,"&lt;"&amp;AJ13,AJ$4:AJ$40,"&lt;&gt;"&amp;"")+COUNTIF(AJ$4:AJ13,AJ13))</f>
        <v>13</v>
      </c>
      <c r="AL13" t="str">
        <f>IF(ROW()-3&gt;COUNTIF(AJ$4:AJ$40,"&lt;&gt;"&amp;""),"",INDEX(AJ$4:AJ$40,MATCH(ROW()-3,AK$4:AK$40,0)))</f>
        <v>NO</v>
      </c>
      <c r="AM13">
        <f>AM12+IF(AND(AL13&lt;&gt;"",COUNTIF(AL$4:AL13,AL13)=1),1,0)</f>
        <v>3</v>
      </c>
      <c r="AN13" t="str">
        <f>IF(ROW()-3&gt;MAX(AM$4:AM$40),"",INDEX(AL$4:AL$40,MATCH(ROW()-3,AM$4:AM$40,0)))</f>
        <v/>
      </c>
      <c r="AO13" s="55">
        <f>IF('Final Calculation Sheet'!$C$13="","",'Final Calculation Sheet'!$C$13)</f>
        <v>700</v>
      </c>
      <c r="AP13">
        <f>IF(AO13="","",COUNTIFS(AO$4:AO$40,"&lt;"&amp;AO13,AO$4:AO$40,"&lt;&gt;"&amp;"")+COUNTIF(AO$4:AO13,AO13))</f>
        <v>10</v>
      </c>
      <c r="AQ13" s="55">
        <f>IF(ROW()-3&gt;COUNTIF(AO$4:AO$40,"&lt;&gt;"&amp;""),"",INDEX(AO$4:AO$40,MATCH(ROW()-3,AP$4:AP$40,0)))</f>
        <v>700</v>
      </c>
      <c r="AR13">
        <f>AR12+IF(AND(AQ13&lt;&gt;"",COUNTIF(AQ$4:AQ13,AQ13)=1),1,0)</f>
        <v>10</v>
      </c>
      <c r="AS13" s="55">
        <f>IF(ROW()-3&gt;MAX(AR$4:AR$40),"",INDEX(AQ$4:AQ$40,MATCH(ROW()-3,AR$4:AR$40,0)))</f>
        <v>700</v>
      </c>
      <c r="AT13" s="55">
        <f>IF('Final Calculation Sheet'!$H$13="","",'Final Calculation Sheet'!$H$13)</f>
        <v>17500</v>
      </c>
      <c r="AU13">
        <f>IF(AT13="","",COUNTIFS(AT$4:AT$40,"&lt;"&amp;AT13,AT$4:AT$40,"&lt;&gt;"&amp;"")+COUNTIF(AT$4:AT13,AT13))</f>
        <v>2</v>
      </c>
      <c r="AV13" s="55">
        <f>IF(ROW()-3&gt;COUNTIF(AT$4:AT$40,"&lt;&gt;"&amp;""),"",INDEX(AT$4:AT$40,MATCH(ROW()-3,AU$4:AU$40,0)))</f>
        <v>54000</v>
      </c>
      <c r="AW13">
        <f>AW12+IF(AND(AV13&lt;&gt;"",COUNTIF(AV$4:AV13,AV13)=1),1,0)</f>
        <v>10</v>
      </c>
      <c r="AX13" s="55">
        <f>IF(ROW()-3&gt;MAX(AW$4:AW$40),"",INDEX(AV$4:AV$40,MATCH(ROW()-3,AW$4:AW$40,0)))</f>
        <v>54000</v>
      </c>
      <c r="AY13" s="55">
        <f>IF('Final Calculation Sheet'!$I$13="","",'Final Calculation Sheet'!$I$13)</f>
        <v>3150</v>
      </c>
      <c r="AZ13">
        <f>IF(AY13="","",COUNTIFS(AY$4:AY$40,"&lt;"&amp;AY13,AY$4:AY$40,"&lt;&gt;"&amp;"")+COUNTIF(AY$4:AY13,AY13))</f>
        <v>2</v>
      </c>
      <c r="BA13" s="55">
        <f>IF(ROW()-3&gt;COUNTIF(AY$4:AY$40,"&lt;&gt;"&amp;""),"",INDEX(AY$4:AY$40,MATCH(ROW()-3,AZ$4:AZ$40,0)))</f>
        <v>9720</v>
      </c>
      <c r="BB13">
        <f>BB12+IF(AND(BA13&lt;&gt;"",COUNTIF(BA$4:BA13,BA13)=1),1,0)</f>
        <v>10</v>
      </c>
      <c r="BC13" s="55">
        <f>IF(ROW()-3&gt;MAX(BB$4:BB$40),"",INDEX(BA$4:BA$40,MATCH(ROW()-3,BB$4:BB$40,0)))</f>
        <v>9720</v>
      </c>
      <c r="BD13" s="55">
        <f>IF('Final Calculation Sheet'!$J$13="","",'Final Calculation Sheet'!$J$13)</f>
        <v>20650</v>
      </c>
      <c r="BE13">
        <f>IF(BD13="","",COUNTIFS(BD$4:BD$40,"&lt;"&amp;BD13,BD$4:BD$40,"&lt;&gt;"&amp;"")+COUNTIF(BD$4:BD13,BD13))</f>
        <v>2</v>
      </c>
      <c r="BF13" s="55">
        <f>IF(ROW()-3&gt;COUNTIF(BD$4:BD$40,"&lt;&gt;"&amp;""),"",INDEX(BD$4:BD$40,MATCH(ROW()-3,BE$4:BE$40,0)))</f>
        <v>63720</v>
      </c>
      <c r="BG13">
        <f>BG12+IF(AND(BF13&lt;&gt;"",COUNTIF(BF$4:BF13,BF13)=1),1,0)</f>
        <v>10</v>
      </c>
      <c r="BH13" s="55">
        <f>IF(ROW()-3&gt;MAX(BG$4:BG$40),"",INDEX(BF$4:BF$40,MATCH(ROW()-3,BG$4:BG$40,0)))</f>
        <v>63720</v>
      </c>
      <c r="BI13" s="55">
        <f>IF('Final Calculation Sheet'!$K$13="","",'Final Calculation Sheet'!$K$13)</f>
        <v>413</v>
      </c>
      <c r="BJ13">
        <f>IF(BI13="","",COUNTIFS(BI$4:BI$40,"&lt;"&amp;BI13,BI$4:BI$40,"&lt;&gt;"&amp;"")+COUNTIF(BI$4:BI13,BI13))</f>
        <v>2</v>
      </c>
      <c r="BK13" s="55">
        <f>IF(ROW()-3&gt;COUNTIF(BI$4:BI$40,"&lt;&gt;"&amp;""),"",INDEX(BI$4:BI$40,MATCH(ROW()-3,BJ$4:BJ$40,0)))</f>
        <v>1274</v>
      </c>
      <c r="BL13">
        <f>BL12+IF(AND(BK13&lt;&gt;"",COUNTIF(BK$4:BK13,BK13)=1),1,0)</f>
        <v>10</v>
      </c>
      <c r="BM13" s="55">
        <f>IF(ROW()-3&gt;MAX(BL$4:BL$40),"",INDEX(BK$4:BK$40,MATCH(ROW()-3,BL$4:BL$40,0)))</f>
        <v>1274</v>
      </c>
      <c r="BN13" s="55">
        <f>IF('Final Calculation Sheet'!$L$13="","",'Final Calculation Sheet'!$L$13)</f>
        <v>17.5</v>
      </c>
      <c r="BO13">
        <f>IF(BN13="","",COUNTIFS(BN$4:BN$40,"&lt;"&amp;BN13,BN$4:BN$40,"&lt;&gt;"&amp;"")+COUNTIF(BN$4:BN13,BN13))</f>
        <v>2</v>
      </c>
      <c r="BP13" s="55">
        <f>IF(ROW()-3&gt;COUNTIF(BN$4:BN$40,"&lt;&gt;"&amp;""),"",INDEX(BN$4:BN$40,MATCH(ROW()-3,BO$4:BO$40,0)))</f>
        <v>54</v>
      </c>
      <c r="BQ13">
        <f>BQ12+IF(AND(BP13&lt;&gt;"",COUNTIF(BP$4:BP13,BP13)=1),1,0)</f>
        <v>10</v>
      </c>
      <c r="BR13" s="55">
        <f>IF(ROW()-3&gt;MAX(BQ$4:BQ$40),"",INDEX(BP$4:BP$40,MATCH(ROW()-3,BQ$4:BQ$40,0)))</f>
        <v>54</v>
      </c>
      <c r="BS13" s="55">
        <f>IF('Final Calculation Sheet'!$M$13="","",'Final Calculation Sheet'!$M$13)</f>
        <v>464.625</v>
      </c>
      <c r="BT13">
        <f>IF(BS13="","",COUNTIFS(BS$4:BS$40,"&lt;"&amp;BS13,BS$4:BS$40,"&lt;&gt;"&amp;"")+COUNTIF(BS$4:BS13,BS13))</f>
        <v>2</v>
      </c>
      <c r="BU13" s="55">
        <f>IF(ROW()-3&gt;COUNTIF(BS$4:BS$40,"&lt;&gt;"&amp;""),"",INDEX(BS$4:BS$40,MATCH(ROW()-3,BT$4:BT$40,0)))</f>
        <v>1433.6999999999998</v>
      </c>
      <c r="BV13">
        <f>BV12+IF(AND(BU13&lt;&gt;"",COUNTIF(BU$4:BU13,BU13)=1),1,0)</f>
        <v>10</v>
      </c>
      <c r="BW13" s="55">
        <f>IF(ROW()-3&gt;MAX(BV$4:BV$40),"",INDEX(BU$4:BU$40,MATCH(ROW()-3,BV$4:BV$40,0)))</f>
        <v>1433.6999999999998</v>
      </c>
      <c r="BX13" s="138">
        <f>IF('Final Calculation Sheet'!$N$13="","",'Final Calculation Sheet'!$N$13)</f>
        <v>7.875</v>
      </c>
      <c r="BY13">
        <f>IF(BX13="","",COUNTIFS(BX$4:BX$40,"&lt;"&amp;BX13,BX$4:BX$40,"&lt;&gt;"&amp;"")+COUNTIF(BX$4:BX13,BX13))</f>
        <v>2</v>
      </c>
      <c r="BZ13" s="138">
        <f>IF(ROW()-3&gt;COUNTIF(BX$4:BX$40,"&lt;&gt;"&amp;""),"",INDEX(BX$4:BX$40,MATCH(ROW()-3,BY$4:BY$40,0)))</f>
        <v>24.3</v>
      </c>
      <c r="CA13">
        <f>CA12+IF(AND(BZ13&lt;&gt;"",COUNTIF(BZ$4:BZ13,BZ13)=1),1,0)</f>
        <v>10</v>
      </c>
      <c r="CB13" s="138">
        <f>IF(ROW()-3&gt;MAX(CA$4:CA$40),"",INDEX(BZ$4:BZ$40,MATCH(ROW()-3,CA$4:CA$40,0)))</f>
        <v>24.3</v>
      </c>
      <c r="CC13" s="55">
        <f>IF('Final Calculation Sheet'!$O$13="","",'Final Calculation Sheet'!$O$13)</f>
        <v>456.75</v>
      </c>
      <c r="CD13">
        <f>IF(CC13="","",COUNTIFS(CC$4:CC$40,"&lt;"&amp;CC13,CC$4:CC$40,"&lt;&gt;"&amp;"")+COUNTIF(CC$4:CC13,CC13))</f>
        <v>2</v>
      </c>
      <c r="CE13" s="55">
        <f>IF(ROW()-3&gt;COUNTIF(CC$4:CC$40,"&lt;&gt;"&amp;""),"",INDEX(CC$4:CC$40,MATCH(ROW()-3,CD$4:CD$40,0)))</f>
        <v>1409.3999999999999</v>
      </c>
      <c r="CF13">
        <f>CF12+IF(AND(CE13&lt;&gt;"",COUNTIF(CE$4:CE13,CE13)=1),1,0)</f>
        <v>10</v>
      </c>
      <c r="CG13" s="55">
        <f>IF(ROW()-3&gt;MAX(CF$4:CF$40),"",INDEX(CE$4:CE$40,MATCH(ROW()-3,CF$4:CF$40,0)))</f>
        <v>1409.3999999999999</v>
      </c>
      <c r="CH13" s="55">
        <f>IF('Final Calculation Sheet'!$P$13="","",'Final Calculation Sheet'!$P$13)</f>
        <v>474</v>
      </c>
      <c r="CI13">
        <f>IF(CH13="","",COUNTIFS(CH$4:CH$40,"&lt;"&amp;CH13,CH$4:CH$40,"&lt;&gt;"&amp;"")+COUNTIF(CH$4:CH13,CH13))</f>
        <v>2</v>
      </c>
      <c r="CJ13" s="55">
        <f>IF(ROW()-3&gt;COUNTIF(CH$4:CH$40,"&lt;&gt;"&amp;""),"",INDEX(CH$4:CH$40,MATCH(ROW()-3,CI$4:CI$40,0)))</f>
        <v>1463</v>
      </c>
      <c r="CK13">
        <f>CK12+IF(AND(CJ13&lt;&gt;"",COUNTIF(CJ$4:CJ13,CJ13)=1),1,0)</f>
        <v>10</v>
      </c>
      <c r="CL13" s="55">
        <f>IF(ROW()-3&gt;MAX(CK$4:CK$40),"",INDEX(CJ$4:CJ$40,MATCH(ROW()-3,CK$4:CK$40,0)))</f>
        <v>1463</v>
      </c>
      <c r="CM13" s="139">
        <f>IF('Final Calculation Sheet'!$Q$13="","",'Final Calculation Sheet'!$Q$13)</f>
        <v>0</v>
      </c>
      <c r="CN13">
        <f>IF(CM13="","",COUNTIFS(CM$4:CM$40,"&lt;"&amp;CM13,CM$4:CM$40,"&lt;&gt;"&amp;"")+COUNTIF(CM$4:CM13,CM13))</f>
        <v>8</v>
      </c>
      <c r="CO13" s="139">
        <f>IF(ROW()-3&gt;COUNTIF(CM$4:CM$40,"&lt;&gt;"&amp;""),"",INDEX(CM$4:CM$40,MATCH(ROW()-3,CN$4:CN$40,0)))</f>
        <v>0</v>
      </c>
      <c r="CP13">
        <f>CP12+IF(AND(CO13&lt;&gt;"",COUNTIF(CO$4:CO13,CO13)=1),1,0)</f>
        <v>1</v>
      </c>
      <c r="CQ13" t="str">
        <f>IF(ROW()-3&gt;MAX(CP$4:CP$40),"",INDEX(CO$4:CO$40,MATCH(ROW()-3,CP$4:CP$40,0)))</f>
        <v/>
      </c>
      <c r="CR13" s="55">
        <f>IF('Final Calculation Sheet'!$R$13="","",'Final Calculation Sheet'!$R$13)</f>
        <v>0</v>
      </c>
      <c r="CS13">
        <f>IF(CR13="","",COUNTIFS(CR$4:CR$40,"&lt;"&amp;CR13,CR$4:CR$40,"&lt;&gt;"&amp;"")+COUNTIF(CR$4:CR13,CR13))</f>
        <v>8</v>
      </c>
      <c r="CT13" s="55">
        <f>IF(ROW()-3&gt;COUNTIF(CR$4:CR$40,"&lt;&gt;"&amp;""),"",INDEX(CR$4:CR$40,MATCH(ROW()-3,CS$4:CS$40,0)))</f>
        <v>0</v>
      </c>
      <c r="CU13">
        <f>CU12+IF(AND(CT13&lt;&gt;"",COUNTIF(CT$4:CT13,CT13)=1),1,0)</f>
        <v>1</v>
      </c>
      <c r="CV13" t="str">
        <f>IF(ROW()-3&gt;MAX(CU$4:CU$40),"",INDEX(CT$4:CT$40,MATCH(ROW()-3,CU$4:CU$40,0)))</f>
        <v/>
      </c>
      <c r="CW13" s="55">
        <f>IF('Final Calculation Sheet'!$S$13="","",'Final Calculation Sheet'!$S$13)</f>
        <v>20589</v>
      </c>
      <c r="CX13">
        <f>IF(CW13="","",COUNTIFS(CW$4:CW$40,"&lt;"&amp;CW13,CW$4:CW$40,"&lt;&gt;"&amp;"")+COUNTIF(CW$4:CW13,CW13))</f>
        <v>2</v>
      </c>
      <c r="CY13" s="55">
        <f>IF(ROW()-3&gt;COUNTIF(CW$4:CW$40,"&lt;&gt;"&amp;""),"",INDEX(CW$4:CW$40,MATCH(ROW()-3,CX$4:CX$40,0)))</f>
        <v>63531</v>
      </c>
      <c r="CZ13">
        <f>CZ12+IF(AND(CY13&lt;&gt;"",COUNTIF(CY$4:CY13,CY13)=1),1,0)</f>
        <v>10</v>
      </c>
      <c r="DA13" s="55">
        <f>IF(ROW()-3&gt;MAX(CZ$4:CZ$40),"",INDEX(CY$4:CY$40,MATCH(ROW()-3,CZ$4:CZ$40,0)))</f>
        <v>63531</v>
      </c>
      <c r="DB13" s="55">
        <f>IF('Final Calculation Sheet'!$T$13="","",'Final Calculation Sheet'!$T$13)</f>
        <v>4375</v>
      </c>
      <c r="DC13">
        <f>IF(DB13="","",COUNTIFS(DB$4:DB$40,"&lt;"&amp;DB13,DB$4:DB$40,"&lt;&gt;"&amp;"")+COUNTIF(DB$4:DB13,DB13))</f>
        <v>2</v>
      </c>
      <c r="DD13" s="55">
        <f>IF(ROW()-3&gt;COUNTIF(DB$4:DB$40,"&lt;&gt;"&amp;""),"",INDEX(DB$4:DB$40,MATCH(ROW()-3,DC$4:DC$40,0)))</f>
        <v>13500</v>
      </c>
      <c r="DE13">
        <f>DE12+IF(AND(DD13&lt;&gt;"",COUNTIF(DD$4:DD13,DD13)=1),1,0)</f>
        <v>10</v>
      </c>
      <c r="DF13" s="55">
        <f>IF(ROW()-3&gt;MAX(DE$4:DE$40),"",INDEX(DD$4:DD$40,MATCH(ROW()-3,DE$4:DE$40,0)))</f>
        <v>13500</v>
      </c>
      <c r="DG13" s="140">
        <f>IF('Final Calculation Sheet'!$U$13="","",'Final Calculation Sheet'!$U$13)</f>
        <v>4375</v>
      </c>
      <c r="DH13">
        <f>IF(DG13="","",COUNTIFS(DG$4:DG$40,"&lt;"&amp;DG13,DG$4:DG$40,"&lt;&gt;"&amp;"")+COUNTIF(DG$4:DG13,DG13))</f>
        <v>2</v>
      </c>
      <c r="DI13" s="140">
        <f>IF(ROW()-3&gt;COUNTIF(DG$4:DG$40,"&lt;&gt;"&amp;""),"",INDEX(DG$4:DG$40,MATCH(ROW()-3,DH$4:DH$40,0)))</f>
        <v>13500</v>
      </c>
      <c r="DJ13">
        <f>DJ12+IF(AND(DI13&lt;&gt;"",COUNTIF(DI$4:DI13,DI13)=1),1,0)</f>
        <v>10</v>
      </c>
      <c r="DK13" s="140">
        <f>IF(ROW()-3&gt;MAX(DJ$4:DJ$40),"",INDEX(DI$4:DI$40,MATCH(ROW()-3,DJ$4:DJ$40,0)))</f>
        <v>13500</v>
      </c>
      <c r="DL13" t="str">
        <f>IF('Final Calculation Sheet'!$V$13="","",'Final Calculation Sheet'!$V$13)</f>
        <v>11.08.2026</v>
      </c>
      <c r="DM13">
        <f>IF(DL13="","",COUNTIFS(DL$4:DL$40,"&lt;"&amp;DL13,DL$4:DL$40,"&lt;&gt;"&amp;"")+COUNTIF(DL$4:DL13,DL13))</f>
        <v>4</v>
      </c>
      <c r="DN13" t="str">
        <f>IF(ROW()-3&gt;COUNTIF(DL$4:DL$40,"&lt;&gt;"&amp;""),"",INDEX(DL$4:DL$40,MATCH(ROW()-3,DM$4:DM$40,0)))</f>
        <v>11.08.2026</v>
      </c>
      <c r="DO13">
        <f>DO12+IF(AND(DN13&lt;&gt;"",COUNTIF(DN$4:DN13,DN13)=1),1,0)</f>
        <v>2</v>
      </c>
      <c r="DP13" t="str">
        <f>IF(ROW()-3&gt;MAX(DO$4:DO$40),"",INDEX(DN$4:DN$40,MATCH(ROW()-3,DO$4:DO$40,0)))</f>
        <v/>
      </c>
      <c r="DQ13" s="55">
        <f>IF('Final Calculation Sheet'!$W$13="","",'Final Calculation Sheet'!$W$13)</f>
        <v>16214</v>
      </c>
      <c r="DR13">
        <f>IF(DQ13="","",COUNTIFS(DQ$4:DQ$40,"&lt;"&amp;DQ13,DQ$4:DQ$40,"&lt;&gt;"&amp;"")+COUNTIF(DQ$4:DQ13,DQ13))</f>
        <v>2</v>
      </c>
      <c r="DS13" s="55">
        <f>IF(ROW()-3&gt;COUNTIF(DQ$4:DQ$40,"&lt;&gt;"&amp;""),"",INDEX(DQ$4:DQ$40,MATCH(ROW()-3,DR$4:DR$40,0)))</f>
        <v>50031</v>
      </c>
      <c r="DT13">
        <f>DT12+IF(AND(DS13&lt;&gt;"",COUNTIF(DS$4:DS13,DS13)=1),1,0)</f>
        <v>10</v>
      </c>
      <c r="DU13" s="55">
        <f>IF(ROW()-3&gt;MAX(DT$4:DT$40),"",INDEX(DS$4:DS$40,MATCH(ROW()-3,DT$4:DT$40,0)))</f>
        <v>50031</v>
      </c>
      <c r="DV13" s="55">
        <f>IF('Final Calculation Sheet'!$X$13="","",'Final Calculation Sheet'!$X$13)</f>
        <v>16214</v>
      </c>
      <c r="DW13">
        <f>IF(DV13="","",COUNTIFS(DV$4:DV$40,"&lt;"&amp;DV13,DV$4:DV$40,"&lt;&gt;"&amp;"")+COUNTIF(DV$4:DV13,DV13))</f>
        <v>2</v>
      </c>
      <c r="DX13" s="55">
        <f>IF(ROW()-3&gt;COUNTIF(DV$4:DV$40,"&lt;&gt;"&amp;""),"",INDEX(DV$4:DV$40,MATCH(ROW()-3,DW$4:DW$40,0)))</f>
        <v>58418</v>
      </c>
      <c r="DY13">
        <f>DY12+IF(AND(DX13&lt;&gt;"",COUNTIF(DX$4:DX13,DX13)=1),1,0)</f>
        <v>10</v>
      </c>
      <c r="DZ13" t="e">
        <f>IF(ROW()-3&gt;MAX(DY$4:DY$40),"",INDEX(DX$4:DX$40,MATCH(ROW()-3,DY$4:DY$40,0)))</f>
        <v>#N/A</v>
      </c>
      <c r="EA13" t="str">
        <f>IF('Final Calculation Sheet'!$Y$13="","",'Final Calculation Sheet'!$Y$13)</f>
        <v>11.08.2026</v>
      </c>
      <c r="EB13">
        <f>IF(EA13="","",COUNTIFS(EA$4:EA$40,"&lt;"&amp;EA13,EA$4:EA$40,"&lt;&gt;"&amp;"")+COUNTIF(EA$4:EA13,EA13))</f>
        <v>4</v>
      </c>
      <c r="EC13" t="str">
        <f>IF(ROW()-3&gt;COUNTIF(EA$4:EA$40,"&lt;&gt;"&amp;""),"",INDEX(EA$4:EA$40,MATCH(ROW()-3,EB$4:EB$40,0)))</f>
        <v>13.08.2026</v>
      </c>
      <c r="ED13">
        <f>ED12+IF(AND(EC13&lt;&gt;"",COUNTIF(EC$4:EC13,EC13)=1),1,0)</f>
        <v>4</v>
      </c>
      <c r="EE13" t="e">
        <f>IF(ROW()-3&gt;MAX(ED$4:ED$40),"",INDEX(EC$4:EC$40,MATCH(ROW()-3,ED$4:ED$40,0)))</f>
        <v>#N/A</v>
      </c>
      <c r="EF13" s="55">
        <f>IF('Final Calculation Sheet'!$Z$13="","",'Final Calculation Sheet'!$Z$13)</f>
        <v>0</v>
      </c>
      <c r="EG13">
        <f>IF(EF13="","",COUNTIFS(EF$4:EF$40,"&lt;"&amp;EF13,EF$4:EF$40,"&lt;&gt;"&amp;"")+COUNTIF(EF$4:EF13,EF13))</f>
        <v>10</v>
      </c>
      <c r="EH13" s="55">
        <f>IF(ROW()-3&gt;COUNTIF(EF$4:EF$40,"&lt;&gt;"&amp;""),"",INDEX(EF$4:EF$40,MATCH(ROW()-3,EG$4:EG$40,0)))</f>
        <v>0</v>
      </c>
      <c r="EI13">
        <f>EI12+IF(AND(EH13&lt;&gt;"",COUNTIF(EH$4:EH13,EH13)=1),1,0)</f>
        <v>1</v>
      </c>
      <c r="EJ13" t="str">
        <f>IF(ROW()-3&gt;MAX(EI$4:EI$40),"",INDEX(EH$4:EH$40,MATCH(ROW()-3,EI$4:EI$40,0)))</f>
        <v/>
      </c>
      <c r="EK13" t="str">
        <f>IF('Final Calculation Sheet'!$AA$13="","",'Final Calculation Sheet'!$AA$13)</f>
        <v/>
      </c>
      <c r="EL13" t="str">
        <f>IF(EK13="","",COUNTIFS(EK$4:EK$40,"&lt;"&amp;EK13,EK$4:EK$40,"&lt;&gt;"&amp;"")+COUNTIF(EK$4:EK13,EK13))</f>
        <v/>
      </c>
      <c r="EM13" t="e">
        <f>IF(ROW()-3&gt;COUNTIF(EK$4:EK$40,"&lt;&gt;"&amp;""),"",INDEX(EK$4:EK$40,MATCH(ROW()-3,EL$4:EL$40,0)))</f>
        <v>#N/A</v>
      </c>
      <c r="EN13" t="e">
        <f>EN12+IF(AND(EM13&lt;&gt;"",COUNTIF(EM$4:EM13,EM13)=1),1,0)</f>
        <v>#N/A</v>
      </c>
      <c r="EO13" t="e">
        <f>IF(ROW()-3&gt;MAX(EN$4:EN$40),"",INDEX(EM$4:EM$40,MATCH(ROW()-3,EN$4:EN$40,0)))</f>
        <v>#N/A</v>
      </c>
      <c r="EP13" t="str">
        <f>IF('Final Calculation Sheet'!$AB$13="","",'Final Calculation Sheet'!$AB$13)</f>
        <v/>
      </c>
      <c r="EQ13" t="str">
        <f>IF(EP13="","",COUNTIFS(EP$4:EP$40,"&lt;"&amp;EP13,EP$4:EP$40,"&lt;&gt;"&amp;"")+COUNTIF(EP$4:EP13,EP13))</f>
        <v/>
      </c>
      <c r="ER13" t="e">
        <f>IF(ROW()-3&gt;COUNTIF(EP$4:EP$40,"&lt;&gt;"&amp;""),"",INDEX(EP$4:EP$40,MATCH(ROW()-3,EQ$4:EQ$40,0)))</f>
        <v>#N/A</v>
      </c>
      <c r="ES13" t="e">
        <f>ES12+IF(AND(ER13&lt;&gt;"",COUNTIF(ER$4:ER13,ER13)=1),1,0)</f>
        <v>#N/A</v>
      </c>
      <c r="ET13" t="e">
        <f>IF(ROW()-3&gt;MAX(ES$4:ES$40),"",INDEX(ER$4:ER$40,MATCH(ROW()-3,ES$4:ES$40,0)))</f>
        <v>#N/A</v>
      </c>
      <c r="EU13" s="55">
        <f>IF('Final Calculation Sheet'!$AC$13="","",'Final Calculation Sheet'!$AC$13)</f>
        <v>20589</v>
      </c>
      <c r="EV13">
        <f>IF(EU13="","",COUNTIFS(EU$4:EU$40,"&lt;"&amp;EU13,EU$4:EU$40,"&lt;&gt;"&amp;"")+COUNTIF(EU$4:EU13,EU13))</f>
        <v>3</v>
      </c>
      <c r="EW13" s="55">
        <f>IF(ROW()-3&gt;COUNTIF(EU$4:EU$40,"&lt;&gt;"&amp;""),"",INDEX(EU$4:EU$40,MATCH(ROW()-3,EV$4:EV$40,0)))</f>
        <v>58829</v>
      </c>
      <c r="EX13">
        <f>EX12+IF(AND(EW13&lt;&gt;"",COUNTIF(EW$4:EW13,EW13)=1),1,0)</f>
        <v>10</v>
      </c>
      <c r="EY13" s="55">
        <f>IF(ROW()-3&gt;MAX(EX$4:EX$40),"",INDEX(EW$4:EW$40,MATCH(ROW()-3,EX$4:EX$40,0)))</f>
        <v>58829</v>
      </c>
      <c r="EZ13" s="55">
        <f>IF('Final Calculation Sheet'!$AD$13="","",'Final Calculation Sheet'!$AD$13)</f>
        <v>0</v>
      </c>
      <c r="FA13">
        <f>IF(EZ13="","",COUNTIFS(EZ$4:EZ$40,"&lt;"&amp;EZ13,EZ$4:EZ$40,"&lt;&gt;"&amp;"")+COUNTIF(EZ$4:EZ13,EZ13))</f>
        <v>13</v>
      </c>
      <c r="FB13" s="55">
        <f>IF(ROW()-3&gt;COUNTIF(EZ$4:EZ$40,"&lt;&gt;"&amp;""),"",INDEX(EZ$4:EZ$40,MATCH(ROW()-3,FA$4:FA$40,0)))</f>
        <v>0</v>
      </c>
      <c r="FC13" t="e">
        <f>FC12+IF(AND(FB13&lt;&gt;"",COUNTIF(FB$4:FB13,FB13)=1),1,0)</f>
        <v>#N/A</v>
      </c>
      <c r="FD13" s="55" t="e">
        <f>IF(ROW()-3&gt;MAX(FC$4:FC$40),"",INDEX(FB$4:FB$40,MATCH(ROW()-3,FC$4:FC$40,0)))</f>
        <v>#N/A</v>
      </c>
      <c r="FE13" t="str">
        <f>IF('Final Calculation Sheet'!$AE$13="","",'Final Calculation Sheet'!$AE$13)</f>
        <v>DR2640100018</v>
      </c>
      <c r="FF13">
        <f>IF(FE13="","",COUNTIFS(FE$4:FE$40,"&lt;"&amp;FE13,FE$4:FE$40,"&lt;&gt;"&amp;"")+COUNTIF(FE$4:FE13,FE13))</f>
        <v>7</v>
      </c>
      <c r="FG13" t="str">
        <f>IF(ROW()-3&gt;COUNTIF(FE$4:FE$40,"&lt;&gt;"&amp;""),"",INDEX(FE$4:FE$40,MATCH(ROW()-3,FF$4:FF$40,0)))</f>
        <v>DR2640100021</v>
      </c>
      <c r="FH13" t="e">
        <f>FH12+IF(AND(FG13&lt;&gt;"",COUNTIF(FG$4:FG13,FG13)=1),1,0)</f>
        <v>#N/A</v>
      </c>
      <c r="FI13" t="e">
        <f>IF(ROW()-3&gt;MAX(FH$4:FH$40),"",INDEX(FG$4:FG$40,MATCH(ROW()-3,FH$4:FH$40,0)))</f>
        <v>#N/A</v>
      </c>
      <c r="FJ13" s="141">
        <f>IF('Final Calculation Sheet'!$AF$13="","",'Final Calculation Sheet'!$AF$13)</f>
        <v>1800003156</v>
      </c>
      <c r="FK13">
        <f>IF(FJ13="","",COUNTIFS(FJ$4:FJ$40,"&lt;"&amp;FJ13,FJ$4:FJ$40,"&lt;&gt;"&amp;"")+COUNTIF(FJ$4:FJ13,FJ13))</f>
        <v>2</v>
      </c>
      <c r="FL13" s="141">
        <f>IF(ROW()-3&gt;COUNTIF(FJ$4:FJ$40,"&lt;&gt;"&amp;""),"",INDEX(FJ$4:FJ$40,MATCH(ROW()-3,FK$4:FK$40,0)))</f>
        <v>1800003247</v>
      </c>
      <c r="FM13">
        <f>FM12+IF(AND(FL13&lt;&gt;"",COUNTIF(FL$4:FL13,FL13)=1),1,0)</f>
        <v>10</v>
      </c>
      <c r="FN13" t="e">
        <f>IF(ROW()-3&gt;MAX(FM$4:FM$40),"",INDEX(FL$4:FL$40,MATCH(ROW()-3,FM$4:FM$40,0)))</f>
        <v>#N/A</v>
      </c>
      <c r="FO13" t="str">
        <f>IF('Final Calculation Sheet'!$AG$13="","",'Final Calculation Sheet'!$AG$13)</f>
        <v>14.08.2026</v>
      </c>
      <c r="FP13">
        <f>IF(FO13="","",COUNTIFS(FO$4:FO$40,"&lt;"&amp;FO13,FO$4:FO$40,"&lt;&gt;"&amp;"")+COUNTIF(FO$4:FO13,FO13))</f>
        <v>7</v>
      </c>
      <c r="FQ13" t="str">
        <f>IF(ROW()-3&gt;COUNTIF(FO$4:FO$40,"&lt;&gt;"&amp;""),"",INDEX(FO$4:FO$40,MATCH(ROW()-3,FP$4:FP$40,0)))</f>
        <v>14.08.2026</v>
      </c>
      <c r="FR13" t="e">
        <f>FR12+IF(AND(FQ13&lt;&gt;"",COUNTIF(FQ$4:FQ13,FQ13)=1),1,0)</f>
        <v>#N/A</v>
      </c>
      <c r="FS13" t="e">
        <f>IF(ROW()-3&gt;MAX(FR$4:FR$40),"",INDEX(FQ$4:FQ$40,MATCH(ROW()-3,FR$4:FR$40,0)))</f>
        <v>#N/A</v>
      </c>
      <c r="FU13" t="str">
        <f>IF(FT13="","",COUNTIFS(FT$4:FT$40,"&lt;"&amp;FT13,FT$4:FT$40,"&lt;&gt;"&amp;"")+COUNTIF(FT$4:FT13,FT13))</f>
        <v/>
      </c>
      <c r="FV13" t="str">
        <f>IF(ROW()-3&gt;COUNTIF(FT$4:FT$40,"&lt;&gt;"&amp;""),"",INDEX(FT$4:FT$40,MATCH(ROW()-3,FU$4:FU$40,0)))</f>
        <v/>
      </c>
      <c r="FW13">
        <f>FW12+IF(AND(FV13&lt;&gt;"",COUNTIF(FV$4:FV13,FV13)=1),1,0)</f>
        <v>2</v>
      </c>
      <c r="FX13" t="str">
        <f>IF(ROW()-3&gt;MAX(FW$4:FW$40),"",INDEX(FV$4:FV$40,MATCH(ROW()-3,FW$4:FW$40,0)))</f>
        <v/>
      </c>
    </row>
    <row r="14">
      <c r="A14">
        <f>IF('Final Calculation Sheet'!$F$14="","",'Final Calculation Sheet'!$F$14)</f>
        <v>2007</v>
      </c>
      <c r="B14">
        <f>IF(A14="","",COUNTIFS(A$4:A$114,"&lt;"&amp;A14,A$4:A$114,"&lt;&gt;"&amp;"")+COUNTIF(A$4:A14,A14))</f>
        <v>11</v>
      </c>
      <c r="C14">
        <f>IF(ROW()-3&gt;COUNTIF(A$4:A$114,"&lt;&gt;"&amp;""),"",INDEX(A$4:A$114,MATCH(ROW()-3,B$4:B$114,0)))</f>
        <v>2007</v>
      </c>
      <c r="D14">
        <f>D13+IF(AND(C14&lt;&gt;"",COUNTIF(C$4:C14,C14)=1),1,0)</f>
        <v>11</v>
      </c>
      <c r="E14" t="e">
        <f>IF(ROW()-3&gt;MAX(D$4:D$114),"",INDEX(C$4:C$114,MATCH(ROW()-3,D$4:D$114,0)))</f>
        <v>#N/A</v>
      </c>
      <c r="F14">
        <f>ROW()-3</f>
        <v>11</v>
      </c>
      <c r="G14">
        <f>IF(F14="","",COUNTIFS(F$4:F$40,"&lt;"&amp;F14,F$4:F$40,"&lt;&gt;"&amp;"")+COUNTIF(F$4:F14,F14))</f>
        <v>11</v>
      </c>
      <c r="H14">
        <f>IF(ROW()-3&gt;COUNTIF(F$4:F$40,"&lt;&gt;"&amp;""),"",INDEX(F$4:F$40,MATCH(ROW()-3,G$4:G$40,0)))</f>
        <v>11</v>
      </c>
      <c r="I14">
        <f>I13+IF(AND(H14&lt;&gt;"",COUNTIF(H$4:H14,H14)=1),1,0)</f>
        <v>11</v>
      </c>
      <c r="J14">
        <f>IF(ROW()-3&gt;MAX(I$4:I$40),"",INDEX(H$4:H$40,MATCH(ROW()-3,I$4:I$40,0)))</f>
        <v>11</v>
      </c>
      <c r="K14">
        <f>IF('Final Calculation Sheet'!$F$14="","",'Final Calculation Sheet'!$F$14)</f>
        <v>2007</v>
      </c>
      <c r="L14">
        <f>IF(K14="","",COUNTIFS(K$4:K$40,"&lt;"&amp;K14,K$4:K$40,"&lt;&gt;"&amp;"")+COUNTIF(K$4:K14,K14))</f>
        <v>11</v>
      </c>
      <c r="M14">
        <f>IF(ROW()-3&gt;COUNTIF(K$4:K$40,"&lt;&gt;"&amp;""),"",INDEX(K$4:K$40,MATCH(ROW()-3,L$4:L$40,0)))</f>
        <v>2007</v>
      </c>
      <c r="N14">
        <f>N13+IF(AND(M14&lt;&gt;"",COUNTIF(M$4:M14,M14)=1),1,0)</f>
        <v>11</v>
      </c>
      <c r="O14">
        <f>IF(ROW()-3&gt;MAX(N$4:N$40),"",INDEX(M$4:M$40,MATCH(ROW()-3,N$4:N$40,0)))</f>
        <v>2007</v>
      </c>
      <c r="P14" t="str">
        <f>IF('Final Calculation Sheet'!$G$14="","",'Final Calculation Sheet'!$G$14)</f>
        <v>SHAR JAHAN TRADERS</v>
      </c>
      <c r="Q14">
        <f>IF(P14="","",COUNTIFS(P$4:P$40,"&lt;"&amp;P14,P$4:P$40,"&lt;&gt;"&amp;"")+COUNTIF(P$4:P14,P14))</f>
        <v>27</v>
      </c>
      <c r="R14" t="str">
        <f>IF(ROW()-3&gt;COUNTIF(P$4:P$40,"&lt;&gt;"&amp;""),"",INDEX(P$4:P$40,MATCH(ROW()-3,Q$4:Q$40,0)))</f>
        <v>NATIONAL ENTERPRISES</v>
      </c>
      <c r="S14">
        <f>S13+IF(AND(R14&lt;&gt;"",COUNTIF(R$4:R14,R14)=1),1,0)</f>
        <v>6</v>
      </c>
      <c r="T14" t="str">
        <f>IF(ROW()-3&gt;MAX(S$4:S$40),"",INDEX(R$4:R$40,MATCH(ROW()-3,S$4:S$40,0)))</f>
        <v>SHAR JAHAN TRADERS</v>
      </c>
      <c r="U14" t="str">
        <f>IF('Final Calculation Sheet'!$B$14="","",'Final Calculation Sheet'!$B$14)</f>
        <v>SCRAP POWER TRANSFORMER</v>
      </c>
      <c r="V14">
        <f>IF(U14="","",COUNTIFS(U$4:U$40,"&lt;"&amp;U14,U$4:U$40,"&lt;&gt;"&amp;"")+COUNTIF(U$4:U14,U14))</f>
        <v>37</v>
      </c>
      <c r="W14" t="str">
        <f>IF(ROW()-3&gt;COUNTIF(U$4:U$40,"&lt;&gt;"&amp;""),"",INDEX(U$4:U$40,MATCH(ROW()-3,V$4:V$40,0)))</f>
        <v>Scrap of 132 KV CT</v>
      </c>
      <c r="X14">
        <f>X13+IF(AND(W14&lt;&gt;"",COUNTIF(W$4:W14,W14)=1),1,0)</f>
        <v>6</v>
      </c>
      <c r="Y14" t="str">
        <f>IF(ROW()-3&gt;MAX(X$4:X$40),"",INDEX(W$4:W$40,MATCH(ROW()-3,X$4:X$40,0)))</f>
        <v>Scrap of 220KV CT</v>
      </c>
      <c r="Z14">
        <f>IF('Final Calculation Sheet'!$D$14="","",'Final Calculation Sheet'!$D$14)</f>
        <v>21977</v>
      </c>
      <c r="AA14">
        <f>IF(Z14="","",COUNTIFS(Z$4:Z$40,"&lt;"&amp;Z14,Z$4:Z$40,"&lt;&gt;"&amp;"")+COUNTIF(Z$4:Z14,Z14))</f>
        <v>9</v>
      </c>
      <c r="AB14">
        <f>IF(ROW()-3&gt;COUNTIF(Z$4:Z$40,"&lt;&gt;"&amp;""),"",INDEX(Z$4:Z$40,MATCH(ROW()-3,AA$4:AA$40,0)))</f>
        <v>21977</v>
      </c>
      <c r="AC14">
        <f>AC13+IF(AND(AB14&lt;&gt;"",COUNTIF(AB$4:AB14,AB14)=1),1,0)</f>
        <v>1</v>
      </c>
      <c r="AD14" t="str">
        <f>IF(ROW()-3&gt;MAX(AC$4:AC$40),"",INDEX(AB$4:AB$40,MATCH(ROW()-3,AC$4:AC$40,0)))</f>
        <v/>
      </c>
      <c r="AE14">
        <f>IF('Final Calculation Sheet'!$A$14="","",'Final Calculation Sheet'!$A$14)</f>
        <v>1</v>
      </c>
      <c r="AF14">
        <f>IF(AE14="","",COUNTIFS(AE$4:AE$40,"&lt;"&amp;AE14,AE$4:AE$40,"&lt;&gt;"&amp;"")+COUNTIF(AE$4:AE14,AE14))</f>
        <v>4</v>
      </c>
      <c r="AG14">
        <f>IF(ROW()-3&gt;COUNTIF(AE$4:AE$40,"&lt;&gt;"&amp;""),"",INDEX(AE$4:AE$40,MATCH(ROW()-3,AF$4:AF$40,0)))</f>
        <v>2</v>
      </c>
      <c r="AH14">
        <f>AH13+IF(AND(AG14&lt;&gt;"",COUNTIF(AG$4:AG14,AG14)=1),1,0)</f>
        <v>2</v>
      </c>
      <c r="AI14">
        <f>IF(ROW()-3&gt;MAX(AH$4:AH$40),"",INDEX(AG$4:AG$40,MATCH(ROW()-3,AH$4:AH$40,0)))</f>
        <v>50</v>
      </c>
      <c r="AJ14" t="str">
        <f>IF('Final Calculation Sheet'!$E$14="","",'Final Calculation Sheet'!$E$14)</f>
        <v>NO</v>
      </c>
      <c r="AK14">
        <f>IF(AJ14="","",COUNTIFS(AJ$4:AJ$40,"&lt;"&amp;AJ14,AJ$4:AJ$40,"&lt;&gt;"&amp;"")+COUNTIF(AJ$4:AJ14,AJ14))</f>
        <v>14</v>
      </c>
      <c r="AL14" t="str">
        <f>IF(ROW()-3&gt;COUNTIF(AJ$4:AJ$40,"&lt;&gt;"&amp;""),"",INDEX(AJ$4:AJ$40,MATCH(ROW()-3,AK$4:AK$40,0)))</f>
        <v>NO</v>
      </c>
      <c r="AM14">
        <f>AM13+IF(AND(AL14&lt;&gt;"",COUNTIF(AL$4:AL14,AL14)=1),1,0)</f>
        <v>3</v>
      </c>
      <c r="AN14" t="str">
        <f>IF(ROW()-3&gt;MAX(AM$4:AM$40),"",INDEX(AL$4:AL$40,MATCH(ROW()-3,AM$4:AM$40,0)))</f>
        <v/>
      </c>
      <c r="AO14" s="55">
        <f>IF('Final Calculation Sheet'!$C$14="","",'Final Calculation Sheet'!$C$14)</f>
        <v>3857116</v>
      </c>
      <c r="AP14">
        <f>IF(AO14="","",COUNTIFS(AO$4:AO$40,"&lt;"&amp;AO14,AO$4:AO$40,"&lt;&gt;"&amp;"")+COUNTIF(AO$4:AO14,AO14))</f>
        <v>37</v>
      </c>
      <c r="AQ14" s="55">
        <f>IF(ROW()-3&gt;COUNTIF(AO$4:AO$40,"&lt;&gt;"&amp;""),"",INDEX(AO$4:AO$40,MATCH(ROW()-3,AP$4:AP$40,0)))</f>
        <v>700</v>
      </c>
      <c r="AR14">
        <f>AR13+IF(AND(AQ14&lt;&gt;"",COUNTIF(AQ$4:AQ14,AQ14)=1),1,0)</f>
        <v>10</v>
      </c>
      <c r="AS14" s="55">
        <f>IF(ROW()-3&gt;MAX(AR$4:AR$40),"",INDEX(AQ$4:AQ$40,MATCH(ROW()-3,AR$4:AR$40,0)))</f>
        <v>702</v>
      </c>
      <c r="AT14" s="55">
        <f>IF('Final Calculation Sheet'!$H$14="","",'Final Calculation Sheet'!$H$14)</f>
        <v>3857116</v>
      </c>
      <c r="AU14">
        <f>IF(AT14="","",COUNTIFS(AT$4:AT$40,"&lt;"&amp;AT14,AT$4:AT$40,"&lt;&gt;"&amp;"")+COUNTIF(AT$4:AT14,AT14))</f>
        <v>37</v>
      </c>
      <c r="AV14" s="55">
        <f>IF(ROW()-3&gt;COUNTIF(AT$4:AT$40,"&lt;&gt;"&amp;""),"",INDEX(AT$4:AT$40,MATCH(ROW()-3,AU$4:AU$40,0)))</f>
        <v>63000</v>
      </c>
      <c r="AW14">
        <f>AW13+IF(AND(AV14&lt;&gt;"",COUNTIF(AV$4:AV14,AV14)=1),1,0)</f>
        <v>11</v>
      </c>
      <c r="AX14" s="55">
        <f>IF(ROW()-3&gt;MAX(AW$4:AW$40),"",INDEX(AV$4:AV$40,MATCH(ROW()-3,AW$4:AW$40,0)))</f>
        <v>63000</v>
      </c>
      <c r="AY14" s="55">
        <f>IF('Final Calculation Sheet'!$I$14="","",'Final Calculation Sheet'!$I$14)</f>
        <v>694281</v>
      </c>
      <c r="AZ14">
        <f>IF(AY14="","",COUNTIFS(AY$4:AY$40,"&lt;"&amp;AY14,AY$4:AY$40,"&lt;&gt;"&amp;"")+COUNTIF(AY$4:AY14,AY14))</f>
        <v>37</v>
      </c>
      <c r="BA14" s="55">
        <f>IF(ROW()-3&gt;COUNTIF(AY$4:AY$40,"&lt;&gt;"&amp;""),"",INDEX(AY$4:AY$40,MATCH(ROW()-3,AZ$4:AZ$40,0)))</f>
        <v>11340</v>
      </c>
      <c r="BB14">
        <f>BB13+IF(AND(BA14&lt;&gt;"",COUNTIF(BA$4:BA14,BA14)=1),1,0)</f>
        <v>11</v>
      </c>
      <c r="BC14" s="55">
        <f>IF(ROW()-3&gt;MAX(BB$4:BB$40),"",INDEX(BA$4:BA$40,MATCH(ROW()-3,BB$4:BB$40,0)))</f>
        <v>11340</v>
      </c>
      <c r="BD14" s="55">
        <f>IF('Final Calculation Sheet'!$J$14="","",'Final Calculation Sheet'!$J$14)</f>
        <v>4551397</v>
      </c>
      <c r="BE14">
        <f>IF(BD14="","",COUNTIFS(BD$4:BD$40,"&lt;"&amp;BD14,BD$4:BD$40,"&lt;&gt;"&amp;"")+COUNTIF(BD$4:BD14,BD14))</f>
        <v>37</v>
      </c>
      <c r="BF14" s="55">
        <f>IF(ROW()-3&gt;COUNTIF(BD$4:BD$40,"&lt;&gt;"&amp;""),"",INDEX(BD$4:BD$40,MATCH(ROW()-3,BE$4:BE$40,0)))</f>
        <v>74340</v>
      </c>
      <c r="BG14">
        <f>BG13+IF(AND(BF14&lt;&gt;"",COUNTIF(BF$4:BF14,BF14)=1),1,0)</f>
        <v>11</v>
      </c>
      <c r="BH14" s="55">
        <f>IF(ROW()-3&gt;MAX(BG$4:BG$40),"",INDEX(BF$4:BF$40,MATCH(ROW()-3,BG$4:BG$40,0)))</f>
        <v>74340</v>
      </c>
      <c r="BI14" s="55">
        <f>IF('Final Calculation Sheet'!$K$14="","",'Final Calculation Sheet'!$K$14)</f>
        <v>91028</v>
      </c>
      <c r="BJ14">
        <f>IF(BI14="","",COUNTIFS(BI$4:BI$40,"&lt;"&amp;BI14,BI$4:BI$40,"&lt;&gt;"&amp;"")+COUNTIF(BI$4:BI14,BI14))</f>
        <v>37</v>
      </c>
      <c r="BK14" s="55">
        <f>IF(ROW()-3&gt;COUNTIF(BI$4:BI$40,"&lt;&gt;"&amp;""),"",INDEX(BI$4:BI$40,MATCH(ROW()-3,BJ$4:BJ$40,0)))</f>
        <v>1487</v>
      </c>
      <c r="BL14">
        <f>BL13+IF(AND(BK14&lt;&gt;"",COUNTIF(BK$4:BK14,BK14)=1),1,0)</f>
        <v>11</v>
      </c>
      <c r="BM14" s="55">
        <f>IF(ROW()-3&gt;MAX(BL$4:BL$40),"",INDEX(BK$4:BK$40,MATCH(ROW()-3,BL$4:BL$40,0)))</f>
        <v>1487</v>
      </c>
      <c r="BN14" s="55">
        <f>IF('Final Calculation Sheet'!$L$14="","",'Final Calculation Sheet'!$L$14)</f>
        <v>3857.116</v>
      </c>
      <c r="BO14">
        <f>IF(BN14="","",COUNTIFS(BN$4:BN$40,"&lt;"&amp;BN14,BN$4:BN$40,"&lt;&gt;"&amp;"")+COUNTIF(BN$4:BN14,BN14))</f>
        <v>37</v>
      </c>
      <c r="BP14" s="55">
        <f>IF(ROW()-3&gt;COUNTIF(BN$4:BN$40,"&lt;&gt;"&amp;""),"",INDEX(BN$4:BN$40,MATCH(ROW()-3,BO$4:BO$40,0)))</f>
        <v>63</v>
      </c>
      <c r="BQ14">
        <f>BQ13+IF(AND(BP14&lt;&gt;"",COUNTIF(BP$4:BP14,BP14)=1),1,0)</f>
        <v>11</v>
      </c>
      <c r="BR14" s="55">
        <f>IF(ROW()-3&gt;MAX(BQ$4:BQ$40),"",INDEX(BP$4:BP$40,MATCH(ROW()-3,BQ$4:BQ$40,0)))</f>
        <v>63</v>
      </c>
      <c r="BS14" s="55">
        <f>IF('Final Calculation Sheet'!$M$14="","",'Final Calculation Sheet'!$M$14)</f>
        <v>102406.4298</v>
      </c>
      <c r="BT14">
        <f>IF(BS14="","",COUNTIFS(BS$4:BS$40,"&lt;"&amp;BS14,BS$4:BS$40,"&lt;&gt;"&amp;"")+COUNTIF(BS$4:BS14,BS14))</f>
        <v>37</v>
      </c>
      <c r="BU14" s="55">
        <f>IF(ROW()-3&gt;COUNTIF(BS$4:BS$40,"&lt;&gt;"&amp;""),"",INDEX(BS$4:BS$40,MATCH(ROW()-3,BT$4:BT$40,0)))</f>
        <v>1672.6499999999999</v>
      </c>
      <c r="BV14">
        <f>BV13+IF(AND(BU14&lt;&gt;"",COUNTIF(BU$4:BU14,BU14)=1),1,0)</f>
        <v>11</v>
      </c>
      <c r="BW14" s="55">
        <f>IF(ROW()-3&gt;MAX(BV$4:BV$40),"",INDEX(BU$4:BU$40,MATCH(ROW()-3,BV$4:BV$40,0)))</f>
        <v>1672.6499999999999</v>
      </c>
      <c r="BX14" s="138">
        <f>IF('Final Calculation Sheet'!$N$14="","",'Final Calculation Sheet'!$N$14)</f>
        <v>1735.7021999999999</v>
      </c>
      <c r="BY14">
        <f>IF(BX14="","",COUNTIFS(BX$4:BX$40,"&lt;"&amp;BX14,BX$4:BX$40,"&lt;&gt;"&amp;"")+COUNTIF(BX$4:BX14,BX14))</f>
        <v>37</v>
      </c>
      <c r="BZ14" s="138">
        <f>IF(ROW()-3&gt;COUNTIF(BX$4:BX$40,"&lt;&gt;"&amp;""),"",INDEX(BX$4:BX$40,MATCH(ROW()-3,BY$4:BY$40,0)))</f>
        <v>28.35</v>
      </c>
      <c r="CA14">
        <f>CA13+IF(AND(BZ14&lt;&gt;"",COUNTIF(BZ$4:BZ14,BZ14)=1),1,0)</f>
        <v>11</v>
      </c>
      <c r="CB14" s="138">
        <f>IF(ROW()-3&gt;MAX(CA$4:CA$40),"",INDEX(BZ$4:BZ$40,MATCH(ROW()-3,CA$4:CA$40,0)))</f>
        <v>28.35</v>
      </c>
      <c r="CC14" s="55">
        <f>IF('Final Calculation Sheet'!$O$14="","",'Final Calculation Sheet'!$O$14)</f>
        <v>100670.7276</v>
      </c>
      <c r="CD14">
        <f>IF(CC14="","",COUNTIFS(CC$4:CC$40,"&lt;"&amp;CC14,CC$4:CC$40,"&lt;&gt;"&amp;"")+COUNTIF(CC$4:CC14,CC14))</f>
        <v>37</v>
      </c>
      <c r="CE14" s="55">
        <f>IF(ROW()-3&gt;COUNTIF(CC$4:CC$40,"&lt;&gt;"&amp;""),"",INDEX(CC$4:CC$40,MATCH(ROW()-3,CD$4:CD$40,0)))</f>
        <v>1644.3</v>
      </c>
      <c r="CF14">
        <f>CF13+IF(AND(CE14&lt;&gt;"",COUNTIF(CE$4:CE14,CE14)=1),1,0)</f>
        <v>11</v>
      </c>
      <c r="CG14" s="55">
        <f>IF(ROW()-3&gt;MAX(CF$4:CF$40),"",INDEX(CE$4:CE$40,MATCH(ROW()-3,CF$4:CF$40,0)))</f>
        <v>1644.3</v>
      </c>
      <c r="CH14" s="55">
        <f>IF('Final Calculation Sheet'!$P$14="","",'Final Calculation Sheet'!$P$14)</f>
        <v>104528</v>
      </c>
      <c r="CI14">
        <f>IF(CH14="","",COUNTIFS(CH$4:CH$40,"&lt;"&amp;CH14,CH$4:CH$40,"&lt;&gt;"&amp;"")+COUNTIF(CH$4:CH14,CH14))</f>
        <v>37</v>
      </c>
      <c r="CJ14" s="55">
        <f>IF(ROW()-3&gt;COUNTIF(CH$4:CH$40,"&lt;&gt;"&amp;""),"",INDEX(CH$4:CH$40,MATCH(ROW()-3,CI$4:CI$40,0)))</f>
        <v>1707</v>
      </c>
      <c r="CK14">
        <f>CK13+IF(AND(CJ14&lt;&gt;"",COUNTIF(CJ$4:CJ14,CJ14)=1),1,0)</f>
        <v>11</v>
      </c>
      <c r="CL14" s="55">
        <f>IF(ROW()-3&gt;MAX(CK$4:CK$40),"",INDEX(CJ$4:CJ$40,MATCH(ROW()-3,CK$4:CK$40,0)))</f>
        <v>1707</v>
      </c>
      <c r="CM14" s="139">
        <f>IF('Final Calculation Sheet'!$Q$14="","",'Final Calculation Sheet'!$Q$14)</f>
        <v>0</v>
      </c>
      <c r="CN14">
        <f>IF(CM14="","",COUNTIFS(CM$4:CM$40,"&lt;"&amp;CM14,CM$4:CM$40,"&lt;&gt;"&amp;"")+COUNTIF(CM$4:CM14,CM14))</f>
        <v>9</v>
      </c>
      <c r="CO14" s="139">
        <f>IF(ROW()-3&gt;COUNTIF(CM$4:CM$40,"&lt;&gt;"&amp;""),"",INDEX(CM$4:CM$40,MATCH(ROW()-3,CN$4:CN$40,0)))</f>
        <v>0</v>
      </c>
      <c r="CP14">
        <f>CP13+IF(AND(CO14&lt;&gt;"",COUNTIF(CO$4:CO14,CO14)=1),1,0)</f>
        <v>1</v>
      </c>
      <c r="CQ14" t="str">
        <f>IF(ROW()-3&gt;MAX(CP$4:CP$40),"",INDEX(CO$4:CO$40,MATCH(ROW()-3,CP$4:CP$40,0)))</f>
        <v/>
      </c>
      <c r="CR14" s="55">
        <f>IF('Final Calculation Sheet'!$R$14="","",'Final Calculation Sheet'!$R$14)</f>
        <v>0</v>
      </c>
      <c r="CS14">
        <f>IF(CR14="","",COUNTIFS(CR$4:CR$40,"&lt;"&amp;CR14,CR$4:CR$40,"&lt;&gt;"&amp;"")+COUNTIF(CR$4:CR14,CR14))</f>
        <v>9</v>
      </c>
      <c r="CT14" s="55">
        <f>IF(ROW()-3&gt;COUNTIF(CR$4:CR$40,"&lt;&gt;"&amp;""),"",INDEX(CR$4:CR$40,MATCH(ROW()-3,CS$4:CS$40,0)))</f>
        <v>0</v>
      </c>
      <c r="CU14">
        <f>CU13+IF(AND(CT14&lt;&gt;"",COUNTIF(CT$4:CT14,CT14)=1),1,0)</f>
        <v>1</v>
      </c>
      <c r="CV14" t="str">
        <f>IF(ROW()-3&gt;MAX(CU$4:CU$40),"",INDEX(CT$4:CT$40,MATCH(ROW()-3,CU$4:CU$40,0)))</f>
        <v/>
      </c>
      <c r="CW14" s="55">
        <f>IF('Final Calculation Sheet'!$S$14="","",'Final Calculation Sheet'!$S$14)</f>
        <v>4537897</v>
      </c>
      <c r="CX14">
        <f>IF(CW14="","",COUNTIFS(CW$4:CW$40,"&lt;"&amp;CW14,CW$4:CW$40,"&lt;&gt;"&amp;"")+COUNTIF(CW$4:CW14,CW14))</f>
        <v>37</v>
      </c>
      <c r="CY14" s="55">
        <f>IF(ROW()-3&gt;COUNTIF(CW$4:CW$40,"&lt;&gt;"&amp;""),"",INDEX(CW$4:CW$40,MATCH(ROW()-3,CX$4:CX$40,0)))</f>
        <v>74120</v>
      </c>
      <c r="CZ14">
        <f>CZ13+IF(AND(CY14&lt;&gt;"",COUNTIF(CY$4:CY14,CY14)=1),1,0)</f>
        <v>11</v>
      </c>
      <c r="DA14" s="55">
        <f>IF(ROW()-3&gt;MAX(CZ$4:CZ$40),"",INDEX(CY$4:CY$40,MATCH(ROW()-3,CZ$4:CZ$40,0)))</f>
        <v>74120</v>
      </c>
      <c r="DB14" s="55">
        <f>IF('Final Calculation Sheet'!$T$14="","",'Final Calculation Sheet'!$T$14)</f>
        <v>964279</v>
      </c>
      <c r="DC14">
        <f>IF(DB14="","",COUNTIFS(DB$4:DB$40,"&lt;"&amp;DB14,DB$4:DB$40,"&lt;&gt;"&amp;"")+COUNTIF(DB$4:DB14,DB14))</f>
        <v>37</v>
      </c>
      <c r="DD14" s="55">
        <f>IF(ROW()-3&gt;COUNTIF(DB$4:DB$40,"&lt;&gt;"&amp;""),"",INDEX(DB$4:DB$40,MATCH(ROW()-3,DC$4:DC$40,0)))</f>
        <v>15750</v>
      </c>
      <c r="DE14">
        <f>DE13+IF(AND(DD14&lt;&gt;"",COUNTIF(DD$4:DD14,DD14)=1),1,0)</f>
        <v>11</v>
      </c>
      <c r="DF14" s="55">
        <f>IF(ROW()-3&gt;MAX(DE$4:DE$40),"",INDEX(DD$4:DD$40,MATCH(ROW()-3,DE$4:DE$40,0)))</f>
        <v>15750</v>
      </c>
      <c r="DG14" s="140">
        <f>IF('Final Calculation Sheet'!$U$14="","",'Final Calculation Sheet'!$U$14)</f>
        <v>964279</v>
      </c>
      <c r="DH14">
        <f>IF(DG14="","",COUNTIFS(DG$4:DG$40,"&lt;"&amp;DG14,DG$4:DG$40,"&lt;&gt;"&amp;"")+COUNTIF(DG$4:DG14,DG14))</f>
        <v>37</v>
      </c>
      <c r="DI14" s="140">
        <f>IF(ROW()-3&gt;COUNTIF(DG$4:DG$40,"&lt;&gt;"&amp;""),"",INDEX(DG$4:DG$40,MATCH(ROW()-3,DH$4:DH$40,0)))</f>
        <v>15750</v>
      </c>
      <c r="DJ14">
        <f>DJ13+IF(AND(DI14&lt;&gt;"",COUNTIF(DI$4:DI14,DI14)=1),1,0)</f>
        <v>11</v>
      </c>
      <c r="DK14" s="140">
        <f>IF(ROW()-3&gt;MAX(DJ$4:DJ$40),"",INDEX(DI$4:DI$40,MATCH(ROW()-3,DJ$4:DJ$40,0)))</f>
        <v>15750</v>
      </c>
      <c r="DL14" t="str">
        <f>IF('Final Calculation Sheet'!$V$14="","",'Final Calculation Sheet'!$V$14)</f>
        <v>13.08.2026</v>
      </c>
      <c r="DM14">
        <f>IF(DL14="","",COUNTIFS(DL$4:DL$40,"&lt;"&amp;DL14,DL$4:DL$40,"&lt;&gt;"&amp;"")+COUNTIF(DL$4:DL14,DL14))</f>
        <v>17</v>
      </c>
      <c r="DN14" t="str">
        <f>IF(ROW()-3&gt;COUNTIF(DL$4:DL$40,"&lt;&gt;"&amp;""),"",INDEX(DL$4:DL$40,MATCH(ROW()-3,DM$4:DM$40,0)))</f>
        <v>11.08.2026</v>
      </c>
      <c r="DO14">
        <f>DO13+IF(AND(DN14&lt;&gt;"",COUNTIF(DN$4:DN14,DN14)=1),1,0)</f>
        <v>2</v>
      </c>
      <c r="DP14" t="str">
        <f>IF(ROW()-3&gt;MAX(DO$4:DO$40),"",INDEX(DN$4:DN$40,MATCH(ROW()-3,DO$4:DO$40,0)))</f>
        <v/>
      </c>
      <c r="DQ14" s="55">
        <f>IF('Final Calculation Sheet'!$W$14="","",'Final Calculation Sheet'!$W$14)</f>
        <v>3573618</v>
      </c>
      <c r="DR14">
        <f>IF(DQ14="","",COUNTIFS(DQ$4:DQ$40,"&lt;"&amp;DQ14,DQ$4:DQ$40,"&lt;&gt;"&amp;"")+COUNTIF(DQ$4:DQ14,DQ14))</f>
        <v>37</v>
      </c>
      <c r="DS14" s="55">
        <f>IF(ROW()-3&gt;COUNTIF(DQ$4:DQ$40,"&lt;&gt;"&amp;""),"",INDEX(DQ$4:DQ$40,MATCH(ROW()-3,DR$4:DR$40,0)))</f>
        <v>58370</v>
      </c>
      <c r="DT14">
        <f>DT13+IF(AND(DS14&lt;&gt;"",COUNTIF(DS$4:DS14,DS14)=1),1,0)</f>
        <v>11</v>
      </c>
      <c r="DU14" s="55">
        <f>IF(ROW()-3&gt;MAX(DT$4:DT$40),"",INDEX(DS$4:DS$40,MATCH(ROW()-3,DT$4:DT$40,0)))</f>
        <v>58370</v>
      </c>
      <c r="DV14" s="55">
        <f>IF('Final Calculation Sheet'!$X$14="","",'Final Calculation Sheet'!$X$14)</f>
        <v>3573618.9057083898</v>
      </c>
      <c r="DW14">
        <f>IF(DV14="","",COUNTIFS(DV$4:DV$40,"&lt;"&amp;DV14,DV$4:DV$40,"&lt;&gt;"&amp;"")+COUNTIF(DV$4:DV14,DV14))</f>
        <v>34</v>
      </c>
      <c r="DX14" s="55">
        <f>IF(ROW()-3&gt;COUNTIF(DV$4:DV$40,"&lt;&gt;"&amp;""),"",INDEX(DV$4:DV$40,MATCH(ROW()-3,DW$4:DW$40,0)))</f>
        <v>60229</v>
      </c>
      <c r="DY14">
        <f>DY13+IF(AND(DX14&lt;&gt;"",COUNTIF(DX$4:DX14,DX14)=1),1,0)</f>
        <v>11</v>
      </c>
      <c r="DZ14" t="e">
        <f>IF(ROW()-3&gt;MAX(DY$4:DY$40),"",INDEX(DX$4:DX$40,MATCH(ROW()-3,DY$4:DY$40,0)))</f>
        <v>#N/A</v>
      </c>
      <c r="EA14" t="str">
        <f>IF('Final Calculation Sheet'!$Y$14="","",'Final Calculation Sheet'!$Y$14)</f>
        <v>13.08.2026</v>
      </c>
      <c r="EB14">
        <f>IF(EA14="","",COUNTIFS(EA$4:EA$40,"&lt;"&amp;EA14,EA$4:EA$40,"&lt;&gt;"&amp;"")+COUNTIF(EA$4:EA14,EA14))</f>
        <v>10</v>
      </c>
      <c r="EC14" t="str">
        <f>IF(ROW()-3&gt;COUNTIF(EA$4:EA$40,"&lt;&gt;"&amp;""),"",INDEX(EA$4:EA$40,MATCH(ROW()-3,EB$4:EB$40,0)))</f>
        <v>17.08.2026</v>
      </c>
      <c r="ED14">
        <f>ED13+IF(AND(EC14&lt;&gt;"",COUNTIF(EC$4:EC14,EC14)=1),1,0)</f>
        <v>5</v>
      </c>
      <c r="EE14" t="e">
        <f>IF(ROW()-3&gt;MAX(ED$4:ED$40),"",INDEX(EC$4:EC$40,MATCH(ROW()-3,ED$4:ED$40,0)))</f>
        <v>#N/A</v>
      </c>
      <c r="EF14" s="55">
        <f>IF('Final Calculation Sheet'!$Z$14="","",'Final Calculation Sheet'!$Z$14)</f>
        <v>0</v>
      </c>
      <c r="EG14">
        <f>IF(EF14="","",COUNTIFS(EF$4:EF$40,"&lt;"&amp;EF14,EF$4:EF$40,"&lt;&gt;"&amp;"")+COUNTIF(EF$4:EF14,EF14))</f>
        <v>11</v>
      </c>
      <c r="EH14" s="55">
        <f>IF(ROW()-3&gt;COUNTIF(EF$4:EF$40,"&lt;&gt;"&amp;""),"",INDEX(EF$4:EF$40,MATCH(ROW()-3,EG$4:EG$40,0)))</f>
        <v>0</v>
      </c>
      <c r="EI14">
        <f>EI13+IF(AND(EH14&lt;&gt;"",COUNTIF(EH$4:EH14,EH14)=1),1,0)</f>
        <v>1</v>
      </c>
      <c r="EJ14" t="str">
        <f>IF(ROW()-3&gt;MAX(EI$4:EI$40),"",INDEX(EH$4:EH$40,MATCH(ROW()-3,EI$4:EI$40,0)))</f>
        <v/>
      </c>
      <c r="EK14" t="str">
        <f>IF('Final Calculation Sheet'!$AA$14="","",'Final Calculation Sheet'!$AA$14)</f>
        <v/>
      </c>
      <c r="EL14" t="str">
        <f>IF(EK14="","",COUNTIFS(EK$4:EK$40,"&lt;"&amp;EK14,EK$4:EK$40,"&lt;&gt;"&amp;"")+COUNTIF(EK$4:EK14,EK14))</f>
        <v/>
      </c>
      <c r="EM14" t="e">
        <f>IF(ROW()-3&gt;COUNTIF(EK$4:EK$40,"&lt;&gt;"&amp;""),"",INDEX(EK$4:EK$40,MATCH(ROW()-3,EL$4:EL$40,0)))</f>
        <v>#N/A</v>
      </c>
      <c r="EN14" t="e">
        <f>EN13+IF(AND(EM14&lt;&gt;"",COUNTIF(EM$4:EM14,EM14)=1),1,0)</f>
        <v>#N/A</v>
      </c>
      <c r="EO14" t="e">
        <f>IF(ROW()-3&gt;MAX(EN$4:EN$40),"",INDEX(EM$4:EM$40,MATCH(ROW()-3,EN$4:EN$40,0)))</f>
        <v>#N/A</v>
      </c>
      <c r="EP14" t="str">
        <f>IF('Final Calculation Sheet'!$AB$14="","",'Final Calculation Sheet'!$AB$14)</f>
        <v/>
      </c>
      <c r="EQ14" t="str">
        <f>IF(EP14="","",COUNTIFS(EP$4:EP$40,"&lt;"&amp;EP14,EP$4:EP$40,"&lt;&gt;"&amp;"")+COUNTIF(EP$4:EP14,EP14))</f>
        <v/>
      </c>
      <c r="ER14" t="e">
        <f>IF(ROW()-3&gt;COUNTIF(EP$4:EP$40,"&lt;&gt;"&amp;""),"",INDEX(EP$4:EP$40,MATCH(ROW()-3,EQ$4:EQ$40,0)))</f>
        <v>#N/A</v>
      </c>
      <c r="ES14" t="e">
        <f>ES13+IF(AND(ER14&lt;&gt;"",COUNTIF(ER$4:ER14,ER14)=1),1,0)</f>
        <v>#N/A</v>
      </c>
      <c r="ET14" t="e">
        <f>IF(ROW()-3&gt;MAX(ES$4:ES$40),"",INDEX(ER$4:ER$40,MATCH(ROW()-3,ES$4:ES$40,0)))</f>
        <v>#N/A</v>
      </c>
      <c r="EU14" s="55">
        <f>IF('Final Calculation Sheet'!$AC$14="","",'Final Calculation Sheet'!$AC$14)</f>
        <v>4537897.9057083894</v>
      </c>
      <c r="EV14">
        <f>IF(EU14="","",COUNTIFS(EU$4:EU$40,"&lt;"&amp;EU14,EU$4:EU$40,"&lt;&gt;"&amp;"")+COUNTIF(EU$4:EU14,EU14))</f>
        <v>37</v>
      </c>
      <c r="EW14" s="55">
        <f>IF(ROW()-3&gt;COUNTIF(EU$4:EU$40,"&lt;&gt;"&amp;""),"",INDEX(EU$4:EU$40,MATCH(ROW()-3,EV$4:EV$40,0)))</f>
        <v>67502</v>
      </c>
      <c r="EX14">
        <f>EX13+IF(AND(EW14&lt;&gt;"",COUNTIF(EW$4:EW14,EW14)=1),1,0)</f>
        <v>11</v>
      </c>
      <c r="EY14" s="55">
        <f>IF(ROW()-3&gt;MAX(EX$4:EX$40),"",INDEX(EW$4:EW$40,MATCH(ROW()-3,EX$4:EX$40,0)))</f>
        <v>67502</v>
      </c>
      <c r="EZ14" s="55">
        <f>IF('Final Calculation Sheet'!$AD$14="","",'Final Calculation Sheet'!$AD$14)</f>
        <v>-0.90570838935673237</v>
      </c>
      <c r="FA14">
        <f>IF(EZ14="","",COUNTIFS(EZ$4:EZ$40,"&lt;"&amp;EZ14,EZ$4:EZ$40,"&lt;&gt;"&amp;"")+COUNTIF(EZ$4:EZ14,EZ14))</f>
        <v>7</v>
      </c>
      <c r="FB14" s="55">
        <f>IF(ROW()-3&gt;COUNTIF(EZ$4:EZ$40,"&lt;&gt;"&amp;""),"",INDEX(EZ$4:EZ$40,MATCH(ROW()-3,FA$4:FA$40,0)))</f>
        <v>0</v>
      </c>
      <c r="FC14" t="e">
        <f>FC13+IF(AND(FB14&lt;&gt;"",COUNTIF(FB$4:FB14,FB14)=1),1,0)</f>
        <v>#N/A</v>
      </c>
      <c r="FD14" s="55" t="e">
        <f>IF(ROW()-3&gt;MAX(FC$4:FC$40),"",INDEX(FB$4:FB$40,MATCH(ROW()-3,FC$4:FC$40,0)))</f>
        <v>#N/A</v>
      </c>
      <c r="FE14" t="str">
        <f>IF('Final Calculation Sheet'!$AE$14="","",'Final Calculation Sheet'!$AE$14)</f>
        <v>DR2640100024</v>
      </c>
      <c r="FF14">
        <f>IF(FE14="","",COUNTIFS(FE$4:FE$40,"&lt;"&amp;FE14,FE$4:FE$40,"&lt;&gt;"&amp;"")+COUNTIF(FE$4:FE14,FE14))</f>
        <v>13</v>
      </c>
      <c r="FG14" t="str">
        <f>IF(ROW()-3&gt;COUNTIF(FE$4:FE$40,"&lt;&gt;"&amp;""),"",INDEX(FE$4:FE$40,MATCH(ROW()-3,FF$4:FF$40,0)))</f>
        <v>DR2640100022</v>
      </c>
      <c r="FH14" t="e">
        <f>FH13+IF(AND(FG14&lt;&gt;"",COUNTIF(FG$4:FG14,FG14)=1),1,0)</f>
        <v>#N/A</v>
      </c>
      <c r="FI14" t="e">
        <f>IF(ROW()-3&gt;MAX(FH$4:FH$40),"",INDEX(FG$4:FG$40,MATCH(ROW()-3,FH$4:FH$40,0)))</f>
        <v>#N/A</v>
      </c>
      <c r="FJ14" s="141">
        <f>IF('Final Calculation Sheet'!$AF$14="","",'Final Calculation Sheet'!$AF$14)</f>
        <v>1800003196</v>
      </c>
      <c r="FK14">
        <f>IF(FJ14="","",COUNTIFS(FJ$4:FJ$40,"&lt;"&amp;FJ14,FJ$4:FJ$40,"&lt;&gt;"&amp;"")+COUNTIF(FJ$4:FJ14,FJ14))</f>
        <v>8</v>
      </c>
      <c r="FL14" s="141">
        <f>IF(ROW()-3&gt;COUNTIF(FJ$4:FJ$40,"&lt;&gt;"&amp;""),"",INDEX(FJ$4:FJ$40,MATCH(ROW()-3,FK$4:FK$40,0)))</f>
        <v>1800003248</v>
      </c>
      <c r="FM14">
        <f>FM13+IF(AND(FL14&lt;&gt;"",COUNTIF(FL$4:FL14,FL14)=1),1,0)</f>
        <v>11</v>
      </c>
      <c r="FN14" t="e">
        <f>IF(ROW()-3&gt;MAX(FM$4:FM$40),"",INDEX(FL$4:FL$40,MATCH(ROW()-3,FM$4:FM$40,0)))</f>
        <v>#N/A</v>
      </c>
      <c r="FO14" t="str">
        <f>IF('Final Calculation Sheet'!$AG$14="","",'Final Calculation Sheet'!$AG$14)</f>
        <v>17.08.2026</v>
      </c>
      <c r="FP14">
        <f>IF(FO14="","",COUNTIFS(FO$4:FO$40,"&lt;"&amp;FO14,FO$4:FO$40,"&lt;&gt;"&amp;"")+COUNTIF(FO$4:FO14,FO14))</f>
        <v>13</v>
      </c>
      <c r="FQ14" t="str">
        <f>IF(ROW()-3&gt;COUNTIF(FO$4:FO$40,"&lt;&gt;"&amp;""),"",INDEX(FO$4:FO$40,MATCH(ROW()-3,FP$4:FP$40,0)))</f>
        <v>14.08.2026</v>
      </c>
      <c r="FR14" t="e">
        <f>FR13+IF(AND(FQ14&lt;&gt;"",COUNTIF(FQ$4:FQ14,FQ14)=1),1,0)</f>
        <v>#N/A</v>
      </c>
      <c r="FS14" t="e">
        <f>IF(ROW()-3&gt;MAX(FR$4:FR$40),"",INDEX(FQ$4:FQ$40,MATCH(ROW()-3,FR$4:FR$40,0)))</f>
        <v>#N/A</v>
      </c>
      <c r="FU14" t="str">
        <f>IF(FT14="","",COUNTIFS(FT$4:FT$40,"&lt;"&amp;FT14,FT$4:FT$40,"&lt;&gt;"&amp;"")+COUNTIF(FT$4:FT14,FT14))</f>
        <v/>
      </c>
      <c r="FV14" t="str">
        <f>IF(ROW()-3&gt;COUNTIF(FT$4:FT$40,"&lt;&gt;"&amp;""),"",INDEX(FT$4:FT$40,MATCH(ROW()-3,FU$4:FU$40,0)))</f>
        <v/>
      </c>
      <c r="FW14">
        <f>FW13+IF(AND(FV14&lt;&gt;"",COUNTIF(FV$4:FV14,FV14)=1),1,0)</f>
        <v>2</v>
      </c>
      <c r="FX14" t="str">
        <f>IF(ROW()-3&gt;MAX(FW$4:FW$40),"",INDEX(FV$4:FV$40,MATCH(ROW()-3,FW$4:FW$40,0)))</f>
        <v/>
      </c>
    </row>
    <row r="15">
      <c r="A15">
        <f>IF('Final Calculation Sheet'!$F$15="","",'Final Calculation Sheet'!$F$15)</f>
        <v>2008</v>
      </c>
      <c r="B15">
        <f>IF(A15="","",COUNTIFS(A$4:A$114,"&lt;"&amp;A15,A$4:A$114,"&lt;&gt;"&amp;"")+COUNTIF(A$4:A15,A15))</f>
        <v>12</v>
      </c>
      <c r="C15">
        <f>IF(ROW()-3&gt;COUNTIF(A$4:A$114,"&lt;&gt;"&amp;""),"",INDEX(A$4:A$114,MATCH(ROW()-3,B$4:B$114,0)))</f>
        <v>2008</v>
      </c>
      <c r="D15">
        <f>D14+IF(AND(C15&lt;&gt;"",COUNTIF(C$4:C15,C15)=1),1,0)</f>
        <v>12</v>
      </c>
      <c r="E15" t="e">
        <f>IF(ROW()-3&gt;MAX(D$4:D$114),"",INDEX(C$4:C$114,MATCH(ROW()-3,D$4:D$114,0)))</f>
        <v>#N/A</v>
      </c>
      <c r="F15">
        <f>ROW()-3</f>
        <v>12</v>
      </c>
      <c r="G15">
        <f>IF(F15="","",COUNTIFS(F$4:F$40,"&lt;"&amp;F15,F$4:F$40,"&lt;&gt;"&amp;"")+COUNTIF(F$4:F15,F15))</f>
        <v>12</v>
      </c>
      <c r="H15">
        <f>IF(ROW()-3&gt;COUNTIF(F$4:F$40,"&lt;&gt;"&amp;""),"",INDEX(F$4:F$40,MATCH(ROW()-3,G$4:G$40,0)))</f>
        <v>12</v>
      </c>
      <c r="I15">
        <f>I14+IF(AND(H15&lt;&gt;"",COUNTIF(H$4:H15,H15)=1),1,0)</f>
        <v>12</v>
      </c>
      <c r="J15">
        <f>IF(ROW()-3&gt;MAX(I$4:I$40),"",INDEX(H$4:H$40,MATCH(ROW()-3,I$4:I$40,0)))</f>
        <v>12</v>
      </c>
      <c r="K15">
        <f>IF('Final Calculation Sheet'!$F$15="","",'Final Calculation Sheet'!$F$15)</f>
        <v>2008</v>
      </c>
      <c r="L15">
        <f>IF(K15="","",COUNTIFS(K$4:K$40,"&lt;"&amp;K15,K$4:K$40,"&lt;&gt;"&amp;"")+COUNTIF(K$4:K15,K15))</f>
        <v>12</v>
      </c>
      <c r="M15">
        <f>IF(ROW()-3&gt;COUNTIF(K$4:K$40,"&lt;&gt;"&amp;""),"",INDEX(K$4:K$40,MATCH(ROW()-3,L$4:L$40,0)))</f>
        <v>2008</v>
      </c>
      <c r="N15">
        <f>N14+IF(AND(M15&lt;&gt;"",COUNTIF(M$4:M15,M15)=1),1,0)</f>
        <v>12</v>
      </c>
      <c r="O15">
        <f>IF(ROW()-3&gt;MAX(N$4:N$40),"",INDEX(M$4:M$40,MATCH(ROW()-3,N$4:N$40,0)))</f>
        <v>2008</v>
      </c>
      <c r="P15" t="str">
        <f>IF('Final Calculation Sheet'!$G$15="","",'Final Calculation Sheet'!$G$15)</f>
        <v>HIND TRADERS</v>
      </c>
      <c r="Q15">
        <f>IF(P15="","",COUNTIFS(P$4:P$40,"&lt;"&amp;P15,P$4:P$40,"&lt;&gt;"&amp;"")+COUNTIF(P$4:P15,P15))</f>
        <v>4</v>
      </c>
      <c r="R15" t="str">
        <f>IF(ROW()-3&gt;COUNTIF(P$4:P$40,"&lt;&gt;"&amp;""),"",INDEX(P$4:P$40,MATCH(ROW()-3,Q$4:Q$40,0)))</f>
        <v>NATIONAL ENTERPRISES</v>
      </c>
      <c r="S15">
        <f>S14+IF(AND(R15&lt;&gt;"",COUNTIF(R$4:R15,R15)=1),1,0)</f>
        <v>6</v>
      </c>
      <c r="T15" t="str">
        <f>IF(ROW()-3&gt;MAX(S$4:S$40),"",INDEX(R$4:R$40,MATCH(ROW()-3,S$4:S$40,0)))</f>
        <v>STERLING ENTERPRISES</v>
      </c>
      <c r="U15" t="str">
        <f>IF('Final Calculation Sheet'!$B$15="","",'Final Calculation Sheet'!$B$15)</f>
        <v>Scrap of empty oil Druam</v>
      </c>
      <c r="V15">
        <f>IF(U15="","",COUNTIFS(U$4:U$40,"&lt;"&amp;U15,U$4:U$40,"&lt;&gt;"&amp;"")+COUNTIF(U$4:U15,U15))</f>
        <v>31</v>
      </c>
      <c r="W15" t="str">
        <f>IF(ROW()-3&gt;COUNTIF(U$4:U$40,"&lt;&gt;"&amp;""),"",INDEX(U$4:U$40,MATCH(ROW()-3,V$4:V$40,0)))</f>
        <v>Scrap of 132 KV CT</v>
      </c>
      <c r="X15">
        <f>X14+IF(AND(W15&lt;&gt;"",COUNTIF(W$4:W15,W15)=1),1,0)</f>
        <v>6</v>
      </c>
      <c r="Y15" t="str">
        <f>IF(ROW()-3&gt;MAX(X$4:X$40),"",INDEX(W$4:W$40,MATCH(ROW()-3,X$4:X$40,0)))</f>
        <v>Scrap of 33 KV CB</v>
      </c>
      <c r="Z15">
        <f>IF('Final Calculation Sheet'!$D$15="","",'Final Calculation Sheet'!$D$15)</f>
        <v>21977</v>
      </c>
      <c r="AA15">
        <f>IF(Z15="","",COUNTIFS(Z$4:Z$40,"&lt;"&amp;Z15,Z$4:Z$40,"&lt;&gt;"&amp;"")+COUNTIF(Z$4:Z15,Z15))</f>
        <v>10</v>
      </c>
      <c r="AB15">
        <f>IF(ROW()-3&gt;COUNTIF(Z$4:Z$40,"&lt;&gt;"&amp;""),"",INDEX(Z$4:Z$40,MATCH(ROW()-3,AA$4:AA$40,0)))</f>
        <v>21978</v>
      </c>
      <c r="AC15">
        <f>AC14+IF(AND(AB15&lt;&gt;"",COUNTIF(AB$4:AB15,AB15)=1),1,0)</f>
        <v>2</v>
      </c>
      <c r="AD15" t="str">
        <f>IF(ROW()-3&gt;MAX(AC$4:AC$40),"",INDEX(AB$4:AB$40,MATCH(ROW()-3,AC$4:AC$40,0)))</f>
        <v/>
      </c>
      <c r="AE15">
        <f>IF('Final Calculation Sheet'!$A$15="","",'Final Calculation Sheet'!$A$15)</f>
        <v>250</v>
      </c>
      <c r="AF15">
        <f>IF(AE15="","",COUNTIFS(AE$4:AE$40,"&lt;"&amp;AE15,AE$4:AE$40,"&lt;&gt;"&amp;"")+COUNTIF(AE$4:AE15,AE15))</f>
        <v>30</v>
      </c>
      <c r="AG15">
        <f>IF(ROW()-3&gt;COUNTIF(AE$4:AE$40,"&lt;&gt;"&amp;""),"",INDEX(AE$4:AE$40,MATCH(ROW()-3,AF$4:AF$40,0)))</f>
        <v>2</v>
      </c>
      <c r="AH15">
        <f>AH14+IF(AND(AG15&lt;&gt;"",COUNTIF(AG$4:AG15,AG15)=1),1,0)</f>
        <v>2</v>
      </c>
      <c r="AI15">
        <f>IF(ROW()-3&gt;MAX(AH$4:AH$40),"",INDEX(AG$4:AG$40,MATCH(ROW()-3,AH$4:AH$40,0)))</f>
        <v>90</v>
      </c>
      <c r="AJ15" t="str">
        <f>IF('Final Calculation Sheet'!$E$15="","",'Final Calculation Sheet'!$E$15)</f>
        <v>NO</v>
      </c>
      <c r="AK15">
        <f>IF(AJ15="","",COUNTIFS(AJ$4:AJ$40,"&lt;"&amp;AJ15,AJ$4:AJ$40,"&lt;&gt;"&amp;"")+COUNTIF(AJ$4:AJ15,AJ15))</f>
        <v>15</v>
      </c>
      <c r="AL15" t="str">
        <f>IF(ROW()-3&gt;COUNTIF(AJ$4:AJ$40,"&lt;&gt;"&amp;""),"",INDEX(AJ$4:AJ$40,MATCH(ROW()-3,AK$4:AK$40,0)))</f>
        <v>NO</v>
      </c>
      <c r="AM15">
        <f>AM14+IF(AND(AL15&lt;&gt;"",COUNTIF(AL$4:AL15,AL15)=1),1,0)</f>
        <v>3</v>
      </c>
      <c r="AN15" t="str">
        <f>IF(ROW()-3&gt;MAX(AM$4:AM$40),"",INDEX(AL$4:AL$40,MATCH(ROW()-3,AM$4:AM$40,0)))</f>
        <v/>
      </c>
      <c r="AO15" s="55">
        <f>IF('Final Calculation Sheet'!$C$15="","",'Final Calculation Sheet'!$C$15)</f>
        <v>543</v>
      </c>
      <c r="AP15">
        <f>IF(AO15="","",COUNTIFS(AO$4:AO$40,"&lt;"&amp;AO15,AO$4:AO$40,"&lt;&gt;"&amp;"")+COUNTIF(AO$4:AO15,AO15))</f>
        <v>7</v>
      </c>
      <c r="AQ15" s="55">
        <f>IF(ROW()-3&gt;COUNTIF(AO$4:AO$40,"&lt;&gt;"&amp;""),"",INDEX(AO$4:AO$40,MATCH(ROW()-3,AP$4:AP$40,0)))</f>
        <v>700</v>
      </c>
      <c r="AR15">
        <f>AR14+IF(AND(AQ15&lt;&gt;"",COUNTIF(AQ$4:AQ15,AQ15)=1),1,0)</f>
        <v>10</v>
      </c>
      <c r="AS15" s="55">
        <f>IF(ROW()-3&gt;MAX(AR$4:AR$40),"",INDEX(AQ$4:AQ$40,MATCH(ROW()-3,AR$4:AR$40,0)))</f>
        <v>710</v>
      </c>
      <c r="AT15" s="55">
        <f>IF('Final Calculation Sheet'!$H$15="","",'Final Calculation Sheet'!$H$15)</f>
        <v>135750</v>
      </c>
      <c r="AU15">
        <f>IF(AT15="","",COUNTIFS(AT$4:AT$40,"&lt;"&amp;AT15,AT$4:AT$40,"&lt;&gt;"&amp;"")+COUNTIF(AT$4:AT15,AT15))</f>
        <v>18</v>
      </c>
      <c r="AV15" s="55">
        <f>IF(ROW()-3&gt;COUNTIF(AT$4:AT$40,"&lt;&gt;"&amp;""),"",INDEX(AT$4:AT$40,MATCH(ROW()-3,AU$4:AU$40,0)))</f>
        <v>65007</v>
      </c>
      <c r="AW15">
        <f>AW14+IF(AND(AV15&lt;&gt;"",COUNTIF(AV$4:AV15,AV15)=1),1,0)</f>
        <v>12</v>
      </c>
      <c r="AX15" s="55">
        <f>IF(ROW()-3&gt;MAX(AW$4:AW$40),"",INDEX(AV$4:AV$40,MATCH(ROW()-3,AW$4:AW$40,0)))</f>
        <v>65007</v>
      </c>
      <c r="AY15" s="55">
        <f>IF('Final Calculation Sheet'!$I$15="","",'Final Calculation Sheet'!$I$15)</f>
        <v>24435</v>
      </c>
      <c r="AZ15">
        <f>IF(AY15="","",COUNTIFS(AY$4:AY$40,"&lt;"&amp;AY15,AY$4:AY$40,"&lt;&gt;"&amp;"")+COUNTIF(AY$4:AY15,AY15))</f>
        <v>18</v>
      </c>
      <c r="BA15" s="55">
        <f>IF(ROW()-3&gt;COUNTIF(AY$4:AY$40,"&lt;&gt;"&amp;""),"",INDEX(AY$4:AY$40,MATCH(ROW()-3,AZ$4:AZ$40,0)))</f>
        <v>11701</v>
      </c>
      <c r="BB15">
        <f>BB14+IF(AND(BA15&lt;&gt;"",COUNTIF(BA$4:BA15,BA15)=1),1,0)</f>
        <v>12</v>
      </c>
      <c r="BC15" s="55">
        <f>IF(ROW()-3&gt;MAX(BB$4:BB$40),"",INDEX(BA$4:BA$40,MATCH(ROW()-3,BB$4:BB$40,0)))</f>
        <v>11701</v>
      </c>
      <c r="BD15" s="55">
        <f>IF('Final Calculation Sheet'!$J$15="","",'Final Calculation Sheet'!$J$15)</f>
        <v>160185</v>
      </c>
      <c r="BE15">
        <f>IF(BD15="","",COUNTIFS(BD$4:BD$40,"&lt;"&amp;BD15,BD$4:BD$40,"&lt;&gt;"&amp;"")+COUNTIF(BD$4:BD15,BD15))</f>
        <v>18</v>
      </c>
      <c r="BF15" s="55">
        <f>IF(ROW()-3&gt;COUNTIF(BD$4:BD$40,"&lt;&gt;"&amp;""),"",INDEX(BD$4:BD$40,MATCH(ROW()-3,BE$4:BE$40,0)))</f>
        <v>76708</v>
      </c>
      <c r="BG15">
        <f>BG14+IF(AND(BF15&lt;&gt;"",COUNTIF(BF$4:BF15,BF15)=1),1,0)</f>
        <v>12</v>
      </c>
      <c r="BH15" s="55">
        <f>IF(ROW()-3&gt;MAX(BG$4:BG$40),"",INDEX(BF$4:BF$40,MATCH(ROW()-3,BG$4:BG$40,0)))</f>
        <v>76708</v>
      </c>
      <c r="BI15" s="55">
        <f>IF('Final Calculation Sheet'!$K$15="","",'Final Calculation Sheet'!$K$15)</f>
        <v>3204</v>
      </c>
      <c r="BJ15">
        <f>IF(BI15="","",COUNTIFS(BI$4:BI$40,"&lt;"&amp;BI15,BI$4:BI$40,"&lt;&gt;"&amp;"")+COUNTIF(BI$4:BI15,BI15))</f>
        <v>18</v>
      </c>
      <c r="BK15" s="55">
        <f>IF(ROW()-3&gt;COUNTIF(BI$4:BI$40,"&lt;&gt;"&amp;""),"",INDEX(BI$4:BI$40,MATCH(ROW()-3,BJ$4:BJ$40,0)))</f>
        <v>1534</v>
      </c>
      <c r="BL15">
        <f>BL14+IF(AND(BK15&lt;&gt;"",COUNTIF(BK$4:BK15,BK15)=1),1,0)</f>
        <v>12</v>
      </c>
      <c r="BM15" s="55">
        <f>IF(ROW()-3&gt;MAX(BL$4:BL$40),"",INDEX(BK$4:BK$40,MATCH(ROW()-3,BL$4:BL$40,0)))</f>
        <v>1534</v>
      </c>
      <c r="BN15" s="55">
        <f>IF('Final Calculation Sheet'!$L$15="","",'Final Calculation Sheet'!$L$15)</f>
        <v>135.75</v>
      </c>
      <c r="BO15">
        <f>IF(BN15="","",COUNTIFS(BN$4:BN$40,"&lt;"&amp;BN15,BN$4:BN$40,"&lt;&gt;"&amp;"")+COUNTIF(BN$4:BN15,BN15))</f>
        <v>18</v>
      </c>
      <c r="BP15" s="55">
        <f>IF(ROW()-3&gt;COUNTIF(BN$4:BN$40,"&lt;&gt;"&amp;""),"",INDEX(BN$4:BN$40,MATCH(ROW()-3,BO$4:BO$40,0)))</f>
        <v>65.007000000000005</v>
      </c>
      <c r="BQ15">
        <f>BQ14+IF(AND(BP15&lt;&gt;"",COUNTIF(BP$4:BP15,BP15)=1),1,0)</f>
        <v>12</v>
      </c>
      <c r="BR15" s="55">
        <f>IF(ROW()-3&gt;MAX(BQ$4:BQ$40),"",INDEX(BP$4:BP$40,MATCH(ROW()-3,BQ$4:BQ$40,0)))</f>
        <v>65.007000000000005</v>
      </c>
      <c r="BS15" s="55">
        <f>IF('Final Calculation Sheet'!$M$15="","",'Final Calculation Sheet'!$M$15)</f>
        <v>3604.1624999999999</v>
      </c>
      <c r="BT15">
        <f>IF(BS15="","",COUNTIFS(BS$4:BS$40,"&lt;"&amp;BS15,BS$4:BS$40,"&lt;&gt;"&amp;"")+COUNTIF(BS$4:BS15,BS15))</f>
        <v>18</v>
      </c>
      <c r="BU15" s="55">
        <f>IF(ROW()-3&gt;COUNTIF(BS$4:BS$40,"&lt;&gt;"&amp;""),"",INDEX(BS$4:BS$40,MATCH(ROW()-3,BT$4:BT$40,0)))</f>
        <v>1725.9358499999998</v>
      </c>
      <c r="BV15">
        <f>BV14+IF(AND(BU15&lt;&gt;"",COUNTIF(BU$4:BU15,BU15)=1),1,0)</f>
        <v>12</v>
      </c>
      <c r="BW15" s="55">
        <f>IF(ROW()-3&gt;MAX(BV$4:BV$40),"",INDEX(BU$4:BU$40,MATCH(ROW()-3,BV$4:BV$40,0)))</f>
        <v>1725.9358499999998</v>
      </c>
      <c r="BX15" s="138">
        <f>IF('Final Calculation Sheet'!$N$15="","",'Final Calculation Sheet'!$N$15)</f>
        <v>61.087499999999999</v>
      </c>
      <c r="BY15">
        <f>IF(BX15="","",COUNTIFS(BX$4:BX$40,"&lt;"&amp;BX15,BX$4:BX$40,"&lt;&gt;"&amp;"")+COUNTIF(BX$4:BX15,BX15))</f>
        <v>18</v>
      </c>
      <c r="BZ15" s="138">
        <f>IF(ROW()-3&gt;COUNTIF(BX$4:BX$40,"&lt;&gt;"&amp;""),"",INDEX(BX$4:BX$40,MATCH(ROW()-3,BY$4:BY$40,0)))</f>
        <v>29.253150000000002</v>
      </c>
      <c r="CA15">
        <f>CA14+IF(AND(BZ15&lt;&gt;"",COUNTIF(BZ$4:BZ15,BZ15)=1),1,0)</f>
        <v>12</v>
      </c>
      <c r="CB15" s="138">
        <f>IF(ROW()-3&gt;MAX(CA$4:CA$40),"",INDEX(BZ$4:BZ$40,MATCH(ROW()-3,CA$4:CA$40,0)))</f>
        <v>29.253150000000002</v>
      </c>
      <c r="CC15" s="55">
        <f>IF('Final Calculation Sheet'!$O$15="","",'Final Calculation Sheet'!$O$15)</f>
        <v>3543.0749999999998</v>
      </c>
      <c r="CD15">
        <f>IF(CC15="","",COUNTIFS(CC$4:CC$40,"&lt;"&amp;CC15,CC$4:CC$40,"&lt;&gt;"&amp;"")+COUNTIF(CC$4:CC15,CC15))</f>
        <v>18</v>
      </c>
      <c r="CE15" s="55">
        <f>IF(ROW()-3&gt;COUNTIF(CC$4:CC$40,"&lt;&gt;"&amp;""),"",INDEX(CC$4:CC$40,MATCH(ROW()-3,CD$4:CD$40,0)))</f>
        <v>1696.6826999999998</v>
      </c>
      <c r="CF15">
        <f>CF14+IF(AND(CE15&lt;&gt;"",COUNTIF(CE$4:CE15,CE15)=1),1,0)</f>
        <v>12</v>
      </c>
      <c r="CG15" s="55">
        <f>IF(ROW()-3&gt;MAX(CF$4:CF$40),"",INDEX(CE$4:CE$40,MATCH(ROW()-3,CF$4:CF$40,0)))</f>
        <v>1696.6826999999998</v>
      </c>
      <c r="CH15" s="55">
        <f>IF('Final Calculation Sheet'!$P$15="","",'Final Calculation Sheet'!$P$15)</f>
        <v>3679</v>
      </c>
      <c r="CI15">
        <f>IF(CH15="","",COUNTIFS(CH$4:CH$40,"&lt;"&amp;CH15,CH$4:CH$40,"&lt;&gt;"&amp;"")+COUNTIF(CH$4:CH15,CH15))</f>
        <v>18</v>
      </c>
      <c r="CJ15" s="55">
        <f>IF(ROW()-3&gt;COUNTIF(CH$4:CH$40,"&lt;&gt;"&amp;""),"",INDEX(CH$4:CH$40,MATCH(ROW()-3,CI$4:CI$40,0)))</f>
        <v>1762</v>
      </c>
      <c r="CK15">
        <f>CK14+IF(AND(CJ15&lt;&gt;"",COUNTIF(CJ$4:CJ15,CJ15)=1),1,0)</f>
        <v>12</v>
      </c>
      <c r="CL15" s="55">
        <f>IF(ROW()-3&gt;MAX(CK$4:CK$40),"",INDEX(CJ$4:CJ$40,MATCH(ROW()-3,CK$4:CK$40,0)))</f>
        <v>1762</v>
      </c>
      <c r="CM15" s="139">
        <f>IF('Final Calculation Sheet'!$Q$15="","",'Final Calculation Sheet'!$Q$15)</f>
        <v>0</v>
      </c>
      <c r="CN15">
        <f>IF(CM15="","",COUNTIFS(CM$4:CM$40,"&lt;"&amp;CM15,CM$4:CM$40,"&lt;&gt;"&amp;"")+COUNTIF(CM$4:CM15,CM15))</f>
        <v>10</v>
      </c>
      <c r="CO15" s="139">
        <f>IF(ROW()-3&gt;COUNTIF(CM$4:CM$40,"&lt;&gt;"&amp;""),"",INDEX(CM$4:CM$40,MATCH(ROW()-3,CN$4:CN$40,0)))</f>
        <v>0</v>
      </c>
      <c r="CP15">
        <f>CP14+IF(AND(CO15&lt;&gt;"",COUNTIF(CO$4:CO15,CO15)=1),1,0)</f>
        <v>1</v>
      </c>
      <c r="CQ15" t="str">
        <f>IF(ROW()-3&gt;MAX(CP$4:CP$40),"",INDEX(CO$4:CO$40,MATCH(ROW()-3,CP$4:CP$40,0)))</f>
        <v/>
      </c>
      <c r="CR15" s="55">
        <f>IF('Final Calculation Sheet'!$R$15="","",'Final Calculation Sheet'!$R$15)</f>
        <v>0</v>
      </c>
      <c r="CS15">
        <f>IF(CR15="","",COUNTIFS(CR$4:CR$40,"&lt;"&amp;CR15,CR$4:CR$40,"&lt;&gt;"&amp;"")+COUNTIF(CR$4:CR15,CR15))</f>
        <v>10</v>
      </c>
      <c r="CT15" s="55">
        <f>IF(ROW()-3&gt;COUNTIF(CR$4:CR$40,"&lt;&gt;"&amp;""),"",INDEX(CR$4:CR$40,MATCH(ROW()-3,CS$4:CS$40,0)))</f>
        <v>0</v>
      </c>
      <c r="CU15">
        <f>CU14+IF(AND(CT15&lt;&gt;"",COUNTIF(CT$4:CT15,CT15)=1),1,0)</f>
        <v>1</v>
      </c>
      <c r="CV15" t="str">
        <f>IF(ROW()-3&gt;MAX(CU$4:CU$40),"",INDEX(CT$4:CT$40,MATCH(ROW()-3,CU$4:CU$40,0)))</f>
        <v/>
      </c>
      <c r="CW15" s="55">
        <f>IF('Final Calculation Sheet'!$S$15="","",'Final Calculation Sheet'!$S$15)</f>
        <v>159710</v>
      </c>
      <c r="CX15">
        <f>IF(CW15="","",COUNTIFS(CW$4:CW$40,"&lt;"&amp;CW15,CW$4:CW$40,"&lt;&gt;"&amp;"")+COUNTIF(CW$4:CW15,CW15))</f>
        <v>18</v>
      </c>
      <c r="CY15" s="55">
        <f>IF(ROW()-3&gt;COUNTIF(CW$4:CW$40,"&lt;&gt;"&amp;""),"",INDEX(CW$4:CW$40,MATCH(ROW()-3,CX$4:CX$40,0)))</f>
        <v>76481</v>
      </c>
      <c r="CZ15">
        <f>CZ14+IF(AND(CY15&lt;&gt;"",COUNTIF(CY$4:CY15,CY15)=1),1,0)</f>
        <v>12</v>
      </c>
      <c r="DA15" s="55">
        <f>IF(ROW()-3&gt;MAX(CZ$4:CZ$40),"",INDEX(CY$4:CY$40,MATCH(ROW()-3,CZ$4:CZ$40,0)))</f>
        <v>76481</v>
      </c>
      <c r="DB15" s="55">
        <f>IF('Final Calculation Sheet'!$T$15="","",'Final Calculation Sheet'!$T$15)</f>
        <v>33938</v>
      </c>
      <c r="DC15">
        <f>IF(DB15="","",COUNTIFS(DB$4:DB$40,"&lt;"&amp;DB15,DB$4:DB$40,"&lt;&gt;"&amp;"")+COUNTIF(DB$4:DB15,DB15))</f>
        <v>18</v>
      </c>
      <c r="DD15" s="55">
        <f>IF(ROW()-3&gt;COUNTIF(DB$4:DB$40,"&lt;&gt;"&amp;""),"",INDEX(DB$4:DB$40,MATCH(ROW()-3,DC$4:DC$40,0)))</f>
        <v>16252</v>
      </c>
      <c r="DE15">
        <f>DE14+IF(AND(DD15&lt;&gt;"",COUNTIF(DD$4:DD15,DD15)=1),1,0)</f>
        <v>12</v>
      </c>
      <c r="DF15" s="55">
        <f>IF(ROW()-3&gt;MAX(DE$4:DE$40),"",INDEX(DD$4:DD$40,MATCH(ROW()-3,DE$4:DE$40,0)))</f>
        <v>16252</v>
      </c>
      <c r="DG15" s="140">
        <f>IF('Final Calculation Sheet'!$U$15="","",'Final Calculation Sheet'!$U$15)</f>
        <v>33938</v>
      </c>
      <c r="DH15">
        <f>IF(DG15="","",COUNTIFS(DG$4:DG$40,"&lt;"&amp;DG15,DG$4:DG$40,"&lt;&gt;"&amp;"")+COUNTIF(DG$4:DG15,DG15))</f>
        <v>18</v>
      </c>
      <c r="DI15" s="140">
        <f>IF(ROW()-3&gt;COUNTIF(DG$4:DG$40,"&lt;&gt;"&amp;""),"",INDEX(DG$4:DG$40,MATCH(ROW()-3,DH$4:DH$40,0)))</f>
        <v>16252</v>
      </c>
      <c r="DJ15">
        <f>DJ14+IF(AND(DI15&lt;&gt;"",COUNTIF(DI$4:DI15,DI15)=1),1,0)</f>
        <v>12</v>
      </c>
      <c r="DK15" s="140">
        <f>IF(ROW()-3&gt;MAX(DJ$4:DJ$40),"",INDEX(DI$4:DI$40,MATCH(ROW()-3,DJ$4:DJ$40,0)))</f>
        <v>16252</v>
      </c>
      <c r="DL15" t="str">
        <f>IF('Final Calculation Sheet'!$V$15="","",'Final Calculation Sheet'!$V$15)</f>
        <v>14.08.2026</v>
      </c>
      <c r="DM15">
        <f>IF(DL15="","",COUNTIFS(DL$4:DL$40,"&lt;"&amp;DL15,DL$4:DL$40,"&lt;&gt;"&amp;"")+COUNTIF(DL$4:DL15,DL15))</f>
        <v>28</v>
      </c>
      <c r="DN15" t="str">
        <f>IF(ROW()-3&gt;COUNTIF(DL$4:DL$40,"&lt;&gt;"&amp;""),"",INDEX(DL$4:DL$40,MATCH(ROW()-3,DM$4:DM$40,0)))</f>
        <v>13.08.2026</v>
      </c>
      <c r="DO15">
        <f>DO14+IF(AND(DN15&lt;&gt;"",COUNTIF(DN$4:DN15,DN15)=1),1,0)</f>
        <v>3</v>
      </c>
      <c r="DP15" t="str">
        <f>IF(ROW()-3&gt;MAX(DO$4:DO$40),"",INDEX(DN$4:DN$40,MATCH(ROW()-3,DO$4:DO$40,0)))</f>
        <v/>
      </c>
      <c r="DQ15" s="55">
        <f>IF('Final Calculation Sheet'!$W$15="","",'Final Calculation Sheet'!$W$15)</f>
        <v>125772</v>
      </c>
      <c r="DR15">
        <f>IF(DQ15="","",COUNTIFS(DQ$4:DQ$40,"&lt;"&amp;DQ15,DQ$4:DQ$40,"&lt;&gt;"&amp;"")+COUNTIF(DQ$4:DQ15,DQ15))</f>
        <v>18</v>
      </c>
      <c r="DS15" s="55">
        <f>IF(ROW()-3&gt;COUNTIF(DQ$4:DQ$40,"&lt;&gt;"&amp;""),"",INDEX(DQ$4:DQ$40,MATCH(ROW()-3,DR$4:DR$40,0)))</f>
        <v>60229</v>
      </c>
      <c r="DT15">
        <f>DT14+IF(AND(DS15&lt;&gt;"",COUNTIF(DS$4:DS15,DS15)=1),1,0)</f>
        <v>12</v>
      </c>
      <c r="DU15" s="55">
        <f>IF(ROW()-3&gt;MAX(DT$4:DT$40),"",INDEX(DS$4:DS$40,MATCH(ROW()-3,DT$4:DT$40,0)))</f>
        <v>60229</v>
      </c>
      <c r="DV15" s="55">
        <f>IF('Final Calculation Sheet'!$X$15="","",'Final Calculation Sheet'!$X$15)</f>
        <v>125772</v>
      </c>
      <c r="DW15">
        <f>IF(DV15="","",COUNTIFS(DV$4:DV$40,"&lt;"&amp;DV15,DV$4:DV$40,"&lt;&gt;"&amp;"")+COUNTIF(DV$4:DV15,DV15))</f>
        <v>17</v>
      </c>
      <c r="DX15" s="55">
        <f>IF(ROW()-3&gt;COUNTIF(DV$4:DV$40,"&lt;&gt;"&amp;""),"",INDEX(DV$4:DV$40,MATCH(ROW()-3,DW$4:DW$40,0)))</f>
        <v>64859</v>
      </c>
      <c r="DY15">
        <f>DY14+IF(AND(DX15&lt;&gt;"",COUNTIF(DX$4:DX15,DX15)=1),1,0)</f>
        <v>12</v>
      </c>
      <c r="DZ15" t="e">
        <f>IF(ROW()-3&gt;MAX(DY$4:DY$40),"",INDEX(DX$4:DX$40,MATCH(ROW()-3,DY$4:DY$40,0)))</f>
        <v>#N/A</v>
      </c>
      <c r="EA15" t="str">
        <f>IF('Final Calculation Sheet'!$Y$15="","",'Final Calculation Sheet'!$Y$15)</f>
        <v>18.08.2026</v>
      </c>
      <c r="EB15">
        <f>IF(EA15="","",COUNTIFS(EA$4:EA$40,"&lt;"&amp;EA15,EA$4:EA$40,"&lt;&gt;"&amp;"")+COUNTIF(EA$4:EA15,EA15))</f>
        <v>13</v>
      </c>
      <c r="EC15" t="str">
        <f>IF(ROW()-3&gt;COUNTIF(EA$4:EA$40,"&lt;&gt;"&amp;""),"",INDEX(EA$4:EA$40,MATCH(ROW()-3,EB$4:EB$40,0)))</f>
        <v>18.08.2026</v>
      </c>
      <c r="ED15">
        <f>ED14+IF(AND(EC15&lt;&gt;"",COUNTIF(EC$4:EC15,EC15)=1),1,0)</f>
        <v>6</v>
      </c>
      <c r="EE15" t="e">
        <f>IF(ROW()-3&gt;MAX(ED$4:ED$40),"",INDEX(EC$4:EC$40,MATCH(ROW()-3,ED$4:ED$40,0)))</f>
        <v>#N/A</v>
      </c>
      <c r="EF15" s="55">
        <f>IF('Final Calculation Sheet'!$Z$15="","",'Final Calculation Sheet'!$Z$15)</f>
        <v>0</v>
      </c>
      <c r="EG15">
        <f>IF(EF15="","",COUNTIFS(EF$4:EF$40,"&lt;"&amp;EF15,EF$4:EF$40,"&lt;&gt;"&amp;"")+COUNTIF(EF$4:EF15,EF15))</f>
        <v>12</v>
      </c>
      <c r="EH15" s="55">
        <f>IF(ROW()-3&gt;COUNTIF(EF$4:EF$40,"&lt;&gt;"&amp;""),"",INDEX(EF$4:EF$40,MATCH(ROW()-3,EG$4:EG$40,0)))</f>
        <v>0</v>
      </c>
      <c r="EI15">
        <f>EI14+IF(AND(EH15&lt;&gt;"",COUNTIF(EH$4:EH15,EH15)=1),1,0)</f>
        <v>1</v>
      </c>
      <c r="EJ15" t="str">
        <f>IF(ROW()-3&gt;MAX(EI$4:EI$40),"",INDEX(EH$4:EH$40,MATCH(ROW()-3,EI$4:EI$40,0)))</f>
        <v/>
      </c>
      <c r="EK15" t="str">
        <f>IF('Final Calculation Sheet'!$AA$15="","",'Final Calculation Sheet'!$AA$15)</f>
        <v/>
      </c>
      <c r="EL15" t="str">
        <f>IF(EK15="","",COUNTIFS(EK$4:EK$40,"&lt;"&amp;EK15,EK$4:EK$40,"&lt;&gt;"&amp;"")+COUNTIF(EK$4:EK15,EK15))</f>
        <v/>
      </c>
      <c r="EM15" t="e">
        <f>IF(ROW()-3&gt;COUNTIF(EK$4:EK$40,"&lt;&gt;"&amp;""),"",INDEX(EK$4:EK$40,MATCH(ROW()-3,EL$4:EL$40,0)))</f>
        <v>#N/A</v>
      </c>
      <c r="EN15" t="e">
        <f>EN14+IF(AND(EM15&lt;&gt;"",COUNTIF(EM$4:EM15,EM15)=1),1,0)</f>
        <v>#N/A</v>
      </c>
      <c r="EO15" t="e">
        <f>IF(ROW()-3&gt;MAX(EN$4:EN$40),"",INDEX(EM$4:EM$40,MATCH(ROW()-3,EN$4:EN$40,0)))</f>
        <v>#N/A</v>
      </c>
      <c r="EP15" t="str">
        <f>IF('Final Calculation Sheet'!$AB$15="","",'Final Calculation Sheet'!$AB$15)</f>
        <v/>
      </c>
      <c r="EQ15" t="str">
        <f>IF(EP15="","",COUNTIFS(EP$4:EP$40,"&lt;"&amp;EP15,EP$4:EP$40,"&lt;&gt;"&amp;"")+COUNTIF(EP$4:EP15,EP15))</f>
        <v/>
      </c>
      <c r="ER15" t="e">
        <f>IF(ROW()-3&gt;COUNTIF(EP$4:EP$40,"&lt;&gt;"&amp;""),"",INDEX(EP$4:EP$40,MATCH(ROW()-3,EQ$4:EQ$40,0)))</f>
        <v>#N/A</v>
      </c>
      <c r="ES15" t="e">
        <f>ES14+IF(AND(ER15&lt;&gt;"",COUNTIF(ER$4:ER15,ER15)=1),1,0)</f>
        <v>#N/A</v>
      </c>
      <c r="ET15" t="e">
        <f>IF(ROW()-3&gt;MAX(ES$4:ES$40),"",INDEX(ER$4:ER$40,MATCH(ROW()-3,ES$4:ES$40,0)))</f>
        <v>#N/A</v>
      </c>
      <c r="EU15" s="55">
        <f>IF('Final Calculation Sheet'!$AC$15="","",'Final Calculation Sheet'!$AC$15)</f>
        <v>159710</v>
      </c>
      <c r="EV15">
        <f>IF(EU15="","",COUNTIFS(EU$4:EU$40,"&lt;"&amp;EU15,EU$4:EU$40,"&lt;&gt;"&amp;"")+COUNTIF(EU$4:EU15,EU15))</f>
        <v>20</v>
      </c>
      <c r="EW15" s="55">
        <f>IF(ROW()-3&gt;COUNTIF(EU$4:EU$40,"&lt;&gt;"&amp;""),"",INDEX(EU$4:EU$40,MATCH(ROW()-3,EV$4:EV$40,0)))</f>
        <v>74168</v>
      </c>
      <c r="EX15">
        <f>EX14+IF(AND(EW15&lt;&gt;"",COUNTIF(EW$4:EW15,EW15)=1),1,0)</f>
        <v>12</v>
      </c>
      <c r="EY15" s="55">
        <f>IF(ROW()-3&gt;MAX(EX$4:EX$40),"",INDEX(EW$4:EW$40,MATCH(ROW()-3,EX$4:EX$40,0)))</f>
        <v>74168</v>
      </c>
      <c r="EZ15" s="55">
        <f>IF('Final Calculation Sheet'!$AD$15="","",'Final Calculation Sheet'!$AD$15)</f>
        <v>0</v>
      </c>
      <c r="FA15">
        <f>IF(EZ15="","",COUNTIFS(EZ$4:EZ$40,"&lt;"&amp;EZ15,EZ$4:EZ$40,"&lt;&gt;"&amp;"")+COUNTIF(EZ$4:EZ15,EZ15))</f>
        <v>14</v>
      </c>
      <c r="FB15" s="55">
        <f>IF(ROW()-3&gt;COUNTIF(EZ$4:EZ$40,"&lt;&gt;"&amp;""),"",INDEX(EZ$4:EZ$40,MATCH(ROW()-3,FA$4:FA$40,0)))</f>
        <v>0</v>
      </c>
      <c r="FC15" t="e">
        <f>FC14+IF(AND(FB15&lt;&gt;"",COUNTIF(FB$4:FB15,FB15)=1),1,0)</f>
        <v>#N/A</v>
      </c>
      <c r="FD15" t="e">
        <f>IF(ROW()-3&gt;MAX(FC$4:FC$40),"",INDEX(FB$4:FB$40,MATCH(ROW()-3,FC$4:FC$40,0)))</f>
        <v>#N/A</v>
      </c>
      <c r="FE15" t="str">
        <f>IF('Final Calculation Sheet'!$AE$15="","",'Final Calculation Sheet'!$AE$15)</f>
        <v>DR2640100026</v>
      </c>
      <c r="FF15">
        <f>IF(FE15="","",COUNTIFS(FE$4:FE$40,"&lt;"&amp;FE15,FE$4:FE$40,"&lt;&gt;"&amp;"")+COUNTIF(FE$4:FE15,FE15))</f>
        <v>15</v>
      </c>
      <c r="FG15" t="str">
        <f>IF(ROW()-3&gt;COUNTIF(FE$4:FE$40,"&lt;&gt;"&amp;""),"",INDEX(FE$4:FE$40,MATCH(ROW()-3,FF$4:FF$40,0)))</f>
        <v>DR2640100023</v>
      </c>
      <c r="FH15" t="e">
        <f>FH14+IF(AND(FG15&lt;&gt;"",COUNTIF(FG$4:FG15,FG15)=1),1,0)</f>
        <v>#N/A</v>
      </c>
      <c r="FI15" t="e">
        <f>IF(ROW()-3&gt;MAX(FH$4:FH$40),"",INDEX(FG$4:FG$40,MATCH(ROW()-3,FH$4:FH$40,0)))</f>
        <v>#N/A</v>
      </c>
      <c r="FJ15" s="141">
        <f>IF('Final Calculation Sheet'!$AF$15="","",'Final Calculation Sheet'!$AF$15)</f>
        <v>1800003247</v>
      </c>
      <c r="FK15">
        <f>IF(FJ15="","",COUNTIFS(FJ$4:FJ$40,"&lt;"&amp;FJ15,FJ$4:FJ$40,"&lt;&gt;"&amp;"")+COUNTIF(FJ$4:FJ15,FJ15))</f>
        <v>10</v>
      </c>
      <c r="FL15" s="141">
        <f>IF(ROW()-3&gt;COUNTIF(FJ$4:FJ$40,"&lt;&gt;"&amp;""),"",INDEX(FJ$4:FJ$40,MATCH(ROW()-3,FK$4:FK$40,0)))</f>
        <v>1800003269</v>
      </c>
      <c r="FM15">
        <f>FM14+IF(AND(FL15&lt;&gt;"",COUNTIF(FL$4:FL15,FL15)=1),1,0)</f>
        <v>12</v>
      </c>
      <c r="FN15" t="e">
        <f>IF(ROW()-3&gt;MAX(FM$4:FM$40),"",INDEX(FL$4:FL$40,MATCH(ROW()-3,FM$4:FM$40,0)))</f>
        <v>#N/A</v>
      </c>
      <c r="FO15" t="str">
        <f>IF('Final Calculation Sheet'!$AG$15="","",'Final Calculation Sheet'!$AG$15)</f>
        <v>20.08.2026</v>
      </c>
      <c r="FP15">
        <f>IF(FO15="","",COUNTIFS(FO$4:FO$40,"&lt;"&amp;FO15,FO$4:FO$40,"&lt;&gt;"&amp;"")+COUNTIF(FO$4:FO15,FO15))</f>
        <v>15</v>
      </c>
      <c r="FQ15" t="str">
        <f>IF(ROW()-3&gt;COUNTIF(FO$4:FO$40,"&lt;&gt;"&amp;""),"",INDEX(FO$4:FO$40,MATCH(ROW()-3,FP$4:FP$40,0)))</f>
        <v>17.08.2026</v>
      </c>
      <c r="FR15" t="e">
        <f>FR14+IF(AND(FQ15&lt;&gt;"",COUNTIF(FQ$4:FQ15,FQ15)=1),1,0)</f>
        <v>#N/A</v>
      </c>
      <c r="FS15" t="e">
        <f>IF(ROW()-3&gt;MAX(FR$4:FR$40),"",INDEX(FQ$4:FQ$40,MATCH(ROW()-3,FR$4:FR$40,0)))</f>
        <v>#N/A</v>
      </c>
      <c r="FU15" t="str">
        <f>IF(FT15="","",COUNTIFS(FT$4:FT$40,"&lt;"&amp;FT15,FT$4:FT$40,"&lt;&gt;"&amp;"")+COUNTIF(FT$4:FT15,FT15))</f>
        <v/>
      </c>
      <c r="FV15" t="str">
        <f>IF(ROW()-3&gt;COUNTIF(FT$4:FT$40,"&lt;&gt;"&amp;""),"",INDEX(FT$4:FT$40,MATCH(ROW()-3,FU$4:FU$40,0)))</f>
        <v/>
      </c>
      <c r="FW15">
        <f>FW14+IF(AND(FV15&lt;&gt;"",COUNTIF(FV$4:FV15,FV15)=1),1,0)</f>
        <v>2</v>
      </c>
      <c r="FX15" t="str">
        <f>IF(ROW()-3&gt;MAX(FW$4:FW$40),"",INDEX(FV$4:FV$40,MATCH(ROW()-3,FW$4:FW$40,0)))</f>
        <v/>
      </c>
    </row>
    <row r="16">
      <c r="A16">
        <f>IF('Final Calculation Sheet'!$F$16="","",'Final Calculation Sheet'!$F$16)</f>
        <v>2011</v>
      </c>
      <c r="B16">
        <f>IF(A16="","",COUNTIFS(A$4:A$114,"&lt;"&amp;A16,A$4:A$114,"&lt;&gt;"&amp;"")+COUNTIF(A$4:A16,A16))</f>
        <v>13</v>
      </c>
      <c r="C16">
        <f>IF(ROW()-3&gt;COUNTIF(A$4:A$114,"&lt;&gt;"&amp;""),"",INDEX(A$4:A$114,MATCH(ROW()-3,B$4:B$114,0)))</f>
        <v>2011</v>
      </c>
      <c r="D16">
        <f>D15+IF(AND(C16&lt;&gt;"",COUNTIF(C$4:C16,C16)=1),1,0)</f>
        <v>13</v>
      </c>
      <c r="E16" t="e">
        <f>IF(ROW()-3&gt;MAX(D$4:D$114),"",INDEX(C$4:C$114,MATCH(ROW()-3,D$4:D$114,0)))</f>
        <v>#N/A</v>
      </c>
      <c r="F16">
        <f>ROW()-3</f>
        <v>13</v>
      </c>
      <c r="G16">
        <f>IF(F16="","",COUNTIFS(F$4:F$40,"&lt;"&amp;F16,F$4:F$40,"&lt;&gt;"&amp;"")+COUNTIF(F$4:F16,F16))</f>
        <v>13</v>
      </c>
      <c r="H16">
        <f>IF(ROW()-3&gt;COUNTIF(F$4:F$40,"&lt;&gt;"&amp;""),"",INDEX(F$4:F$40,MATCH(ROW()-3,G$4:G$40,0)))</f>
        <v>13</v>
      </c>
      <c r="I16">
        <f>I15+IF(AND(H16&lt;&gt;"",COUNTIF(H$4:H16,H16)=1),1,0)</f>
        <v>13</v>
      </c>
      <c r="J16">
        <f>IF(ROW()-3&gt;MAX(I$4:I$40),"",INDEX(H$4:H$40,MATCH(ROW()-3,I$4:I$40,0)))</f>
        <v>13</v>
      </c>
      <c r="K16">
        <f>IF('Final Calculation Sheet'!$F$16="","",'Final Calculation Sheet'!$F$16)</f>
        <v>2011</v>
      </c>
      <c r="L16">
        <f>IF(K16="","",COUNTIFS(K$4:K$40,"&lt;"&amp;K16,K$4:K$40,"&lt;&gt;"&amp;"")+COUNTIF(K$4:K16,K16))</f>
        <v>13</v>
      </c>
      <c r="M16">
        <f>IF(ROW()-3&gt;COUNTIF(K$4:K$40,"&lt;&gt;"&amp;""),"",INDEX(K$4:K$40,MATCH(ROW()-3,L$4:L$40,0)))</f>
        <v>2011</v>
      </c>
      <c r="N16">
        <f>N15+IF(AND(M16&lt;&gt;"",COUNTIF(M$4:M16,M16)=1),1,0)</f>
        <v>13</v>
      </c>
      <c r="O16">
        <f>IF(ROW()-3&gt;MAX(N$4:N$40),"",INDEX(M$4:M$40,MATCH(ROW()-3,N$4:N$40,0)))</f>
        <v>2011</v>
      </c>
      <c r="P16" t="str">
        <f>IF('Final Calculation Sheet'!$G$16="","",'Final Calculation Sheet'!$G$16)</f>
        <v>STERLING ENTERPRISES</v>
      </c>
      <c r="Q16">
        <f>IF(P16="","",COUNTIFS(P$4:P$40,"&lt;"&amp;P16,P$4:P$40,"&lt;&gt;"&amp;"")+COUNTIF(P$4:P16,P16))</f>
        <v>29</v>
      </c>
      <c r="R16" t="str">
        <f>IF(ROW()-3&gt;COUNTIF(P$4:P$40,"&lt;&gt;"&amp;""),"",INDEX(P$4:P$40,MATCH(ROW()-3,Q$4:Q$40,0)))</f>
        <v>NATIONAL ENTERPRISES</v>
      </c>
      <c r="S16">
        <f>S15+IF(AND(R16&lt;&gt;"",COUNTIF(R$4:R16,R16)=1),1,0)</f>
        <v>6</v>
      </c>
      <c r="T16" t="str">
        <f>IF(ROW()-3&gt;MAX(S$4:S$40),"",INDEX(R$4:R$40,MATCH(ROW()-3,S$4:S$40,0)))</f>
        <v>WATAN SCRAP TRADERS</v>
      </c>
      <c r="U16" t="str">
        <f>IF('Final Calculation Sheet'!$B$16="","",'Final Calculation Sheet'!$B$16)</f>
        <v>Scrap of empty oil Barrel</v>
      </c>
      <c r="V16">
        <f>IF(U16="","",COUNTIFS(U$4:U$40,"&lt;"&amp;U16,U$4:U$40,"&lt;&gt;"&amp;"")+COUNTIF(U$4:U16,U16))</f>
        <v>26</v>
      </c>
      <c r="W16" t="str">
        <f>IF(ROW()-3&gt;COUNTIF(U$4:U$40,"&lt;&gt;"&amp;""),"",INDEX(U$4:U$40,MATCH(ROW()-3,V$4:V$40,0)))</f>
        <v>Scrap of 132 KV Wave Trap</v>
      </c>
      <c r="X16">
        <f>X15+IF(AND(W16&lt;&gt;"",COUNTIF(W$4:W16,W16)=1),1,0)</f>
        <v>7</v>
      </c>
      <c r="Y16" t="str">
        <f>IF(ROW()-3&gt;MAX(X$4:X$40),"",INDEX(W$4:W$40,MATCH(ROW()-3,X$4:X$40,0)))</f>
        <v>Scrap of 33 KV CT</v>
      </c>
      <c r="Z16">
        <f>IF('Final Calculation Sheet'!$D$16="","",'Final Calculation Sheet'!$D$16)</f>
        <v>21977</v>
      </c>
      <c r="AA16">
        <f>IF(Z16="","",COUNTIFS(Z$4:Z$40,"&lt;"&amp;Z16,Z$4:Z$40,"&lt;&gt;"&amp;"")+COUNTIF(Z$4:Z16,Z16))</f>
        <v>11</v>
      </c>
      <c r="AB16">
        <f>IF(ROW()-3&gt;COUNTIF(Z$4:Z$40,"&lt;&gt;"&amp;""),"",INDEX(Z$4:Z$40,MATCH(ROW()-3,AA$4:AA$40,0)))</f>
        <v>21978</v>
      </c>
      <c r="AC16">
        <f>AC15+IF(AND(AB16&lt;&gt;"",COUNTIF(AB$4:AB16,AB16)=1),1,0)</f>
        <v>2</v>
      </c>
      <c r="AD16" t="str">
        <f>IF(ROW()-3&gt;MAX(AC$4:AC$40),"",INDEX(AB$4:AB$40,MATCH(ROW()-3,AC$4:AC$40,0)))</f>
        <v/>
      </c>
      <c r="AE16">
        <f>IF('Final Calculation Sheet'!$A$16="","",'Final Calculation Sheet'!$A$16)</f>
        <v>22</v>
      </c>
      <c r="AF16">
        <f>IF(AE16="","",COUNTIFS(AE$4:AE$40,"&lt;"&amp;AE16,AE$4:AE$40,"&lt;&gt;"&amp;"")+COUNTIF(AE$4:AE16,AE16))</f>
        <v>22</v>
      </c>
      <c r="AG16">
        <f>IF(ROW()-3&gt;COUNTIF(AE$4:AE$40,"&lt;&gt;"&amp;""),"",INDEX(AE$4:AE$40,MATCH(ROW()-3,AF$4:AF$40,0)))</f>
        <v>3</v>
      </c>
      <c r="AH16">
        <f>AH15+IF(AND(AG16&lt;&gt;"",COUNTIF(AG$4:AG16,AG16)=1),1,0)</f>
        <v>3</v>
      </c>
      <c r="AI16">
        <f>IF(ROW()-3&gt;MAX(AH$4:AH$40),"",INDEX(AG$4:AG$40,MATCH(ROW()-3,AH$4:AH$40,0)))</f>
        <v>100</v>
      </c>
      <c r="AJ16" t="str">
        <f>IF('Final Calculation Sheet'!$E$16="","",'Final Calculation Sheet'!$E$16)</f>
        <v>NO</v>
      </c>
      <c r="AK16">
        <f>IF(AJ16="","",COUNTIFS(AJ$4:AJ$40,"&lt;"&amp;AJ16,AJ$4:AJ$40,"&lt;&gt;"&amp;"")+COUNTIF(AJ$4:AJ16,AJ16))</f>
        <v>16</v>
      </c>
      <c r="AL16" t="str">
        <f>IF(ROW()-3&gt;COUNTIF(AJ$4:AJ$40,"&lt;&gt;"&amp;""),"",INDEX(AJ$4:AJ$40,MATCH(ROW()-3,AK$4:AK$40,0)))</f>
        <v>NO</v>
      </c>
      <c r="AM16">
        <f>AM15+IF(AND(AL16&lt;&gt;"",COUNTIF(AL$4:AL16,AL16)=1),1,0)</f>
        <v>3</v>
      </c>
      <c r="AN16" t="str">
        <f>IF(ROW()-3&gt;MAX(AM$4:AM$40),"",INDEX(AL$4:AL$40,MATCH(ROW()-3,AM$4:AM$40,0)))</f>
        <v/>
      </c>
      <c r="AO16" s="55">
        <f>IF('Final Calculation Sheet'!$C$16="","",'Final Calculation Sheet'!$C$16)</f>
        <v>700</v>
      </c>
      <c r="AP16">
        <f>IF(AO16="","",COUNTIFS(AO$4:AO$40,"&lt;"&amp;AO16,AO$4:AO$40,"&lt;&gt;"&amp;"")+COUNTIF(AO$4:AO16,AO16))</f>
        <v>11</v>
      </c>
      <c r="AQ16" s="55">
        <f>IF(ROW()-3&gt;COUNTIF(AO$4:AO$40,"&lt;&gt;"&amp;""),"",INDEX(AO$4:AO$40,MATCH(ROW()-3,AP$4:AP$40,0)))</f>
        <v>702</v>
      </c>
      <c r="AR16">
        <f>AR15+IF(AND(AQ16&lt;&gt;"",COUNTIF(AQ$4:AQ16,AQ16)=1),1,0)</f>
        <v>11</v>
      </c>
      <c r="AS16" s="55">
        <f>IF(ROW()-3&gt;MAX(AR$4:AR$40),"",INDEX(AQ$4:AQ$40,MATCH(ROW()-3,AR$4:AR$40,0)))</f>
        <v>1181</v>
      </c>
      <c r="AT16" s="55">
        <f>IF('Final Calculation Sheet'!$H$16="","",'Final Calculation Sheet'!$H$16)</f>
        <v>15400</v>
      </c>
      <c r="AU16">
        <f>IF(AT16="","",COUNTIFS(AT$4:AT$40,"&lt;"&amp;AT16,AT$4:AT$40,"&lt;&gt;"&amp;"")+COUNTIF(AT$4:AT16,AT16))</f>
        <v>1</v>
      </c>
      <c r="AV16" s="55">
        <f>IF(ROW()-3&gt;COUNTIF(AT$4:AT$40,"&lt;&gt;"&amp;""),"",INDEX(AT$4:AT$40,MATCH(ROW()-3,AU$4:AU$40,0)))</f>
        <v>70006</v>
      </c>
      <c r="AW16">
        <f>AW15+IF(AND(AV16&lt;&gt;"",COUNTIF(AV$4:AV16,AV16)=1),1,0)</f>
        <v>13</v>
      </c>
      <c r="AX16" s="55">
        <f>IF(ROW()-3&gt;MAX(AW$4:AW$40),"",INDEX(AV$4:AV$40,MATCH(ROW()-3,AW$4:AW$40,0)))</f>
        <v>70006</v>
      </c>
      <c r="AY16" s="55">
        <f>IF('Final Calculation Sheet'!$I$16="","",'Final Calculation Sheet'!$I$16)</f>
        <v>2772</v>
      </c>
      <c r="AZ16">
        <f>IF(AY16="","",COUNTIFS(AY$4:AY$40,"&lt;"&amp;AY16,AY$4:AY$40,"&lt;&gt;"&amp;"")+COUNTIF(AY$4:AY16,AY16))</f>
        <v>1</v>
      </c>
      <c r="BA16" s="55">
        <f>IF(ROW()-3&gt;COUNTIF(AY$4:AY$40,"&lt;&gt;"&amp;""),"",INDEX(AY$4:AY$40,MATCH(ROW()-3,AZ$4:AZ$40,0)))</f>
        <v>12601</v>
      </c>
      <c r="BB16">
        <f>BB15+IF(AND(BA16&lt;&gt;"",COUNTIF(BA$4:BA16,BA16)=1),1,0)</f>
        <v>13</v>
      </c>
      <c r="BC16" s="55">
        <f>IF(ROW()-3&gt;MAX(BB$4:BB$40),"",INDEX(BA$4:BA$40,MATCH(ROW()-3,BB$4:BB$40,0)))</f>
        <v>12601</v>
      </c>
      <c r="BD16" s="55">
        <f>IF('Final Calculation Sheet'!$J$16="","",'Final Calculation Sheet'!$J$16)</f>
        <v>18172</v>
      </c>
      <c r="BE16">
        <f>IF(BD16="","",COUNTIFS(BD$4:BD$40,"&lt;"&amp;BD16,BD$4:BD$40,"&lt;&gt;"&amp;"")+COUNTIF(BD$4:BD16,BD16))</f>
        <v>1</v>
      </c>
      <c r="BF16" s="55">
        <f>IF(ROW()-3&gt;COUNTIF(BD$4:BD$40,"&lt;&gt;"&amp;""),"",INDEX(BD$4:BD$40,MATCH(ROW()-3,BE$4:BE$40,0)))</f>
        <v>82607</v>
      </c>
      <c r="BG16">
        <f>BG15+IF(AND(BF16&lt;&gt;"",COUNTIF(BF$4:BF16,BF16)=1),1,0)</f>
        <v>13</v>
      </c>
      <c r="BH16" s="55">
        <f>IF(ROW()-3&gt;MAX(BG$4:BG$40),"",INDEX(BF$4:BF$40,MATCH(ROW()-3,BG$4:BG$40,0)))</f>
        <v>82607</v>
      </c>
      <c r="BI16" s="55">
        <f>IF('Final Calculation Sheet'!$K$16="","",'Final Calculation Sheet'!$K$16)</f>
        <v>363</v>
      </c>
      <c r="BJ16">
        <f>IF(BI16="","",COUNTIFS(BI$4:BI$40,"&lt;"&amp;BI16,BI$4:BI$40,"&lt;&gt;"&amp;"")+COUNTIF(BI$4:BI16,BI16))</f>
        <v>1</v>
      </c>
      <c r="BK16" s="55">
        <f>IF(ROW()-3&gt;COUNTIF(BI$4:BI$40,"&lt;&gt;"&amp;""),"",INDEX(BI$4:BI$40,MATCH(ROW()-3,BJ$4:BJ$40,0)))</f>
        <v>1652</v>
      </c>
      <c r="BL16">
        <f>BL15+IF(AND(BK16&lt;&gt;"",COUNTIF(BK$4:BK16,BK16)=1),1,0)</f>
        <v>13</v>
      </c>
      <c r="BM16" s="55">
        <f>IF(ROW()-3&gt;MAX(BL$4:BL$40),"",INDEX(BK$4:BK$40,MATCH(ROW()-3,BL$4:BL$40,0)))</f>
        <v>1652</v>
      </c>
      <c r="BN16" s="55">
        <f>IF('Final Calculation Sheet'!$L$16="","",'Final Calculation Sheet'!$L$16)</f>
        <v>15.4</v>
      </c>
      <c r="BO16">
        <f>IF(BN16="","",COUNTIFS(BN$4:BN$40,"&lt;"&amp;BN16,BN$4:BN$40,"&lt;&gt;"&amp;"")+COUNTIF(BN$4:BN16,BN16))</f>
        <v>1</v>
      </c>
      <c r="BP16" s="55">
        <f>IF(ROW()-3&gt;COUNTIF(BN$4:BN$40,"&lt;&gt;"&amp;""),"",INDEX(BN$4:BN$40,MATCH(ROW()-3,BO$4:BO$40,0)))</f>
        <v>70.006</v>
      </c>
      <c r="BQ16">
        <f>BQ15+IF(AND(BP16&lt;&gt;"",COUNTIF(BP$4:BP16,BP16)=1),1,0)</f>
        <v>13</v>
      </c>
      <c r="BR16" s="55">
        <f>IF(ROW()-3&gt;MAX(BQ$4:BQ$40),"",INDEX(BP$4:BP$40,MATCH(ROW()-3,BQ$4:BQ$40,0)))</f>
        <v>70.006</v>
      </c>
      <c r="BS16" s="55">
        <f>IF('Final Calculation Sheet'!$M$16="","",'Final Calculation Sheet'!$M$16)</f>
        <v>408.87</v>
      </c>
      <c r="BT16">
        <f>IF(BS16="","",COUNTIFS(BS$4:BS$40,"&lt;"&amp;BS16,BS$4:BS$40,"&lt;&gt;"&amp;"")+COUNTIF(BS$4:BS16,BS16))</f>
        <v>1</v>
      </c>
      <c r="BU16" s="55">
        <f>IF(ROW()-3&gt;COUNTIF(BS$4:BS$40,"&lt;&gt;"&amp;""),"",INDEX(BS$4:BS$40,MATCH(ROW()-3,BT$4:BT$40,0)))</f>
        <v>1858.6592999999998</v>
      </c>
      <c r="BV16">
        <f>BV15+IF(AND(BU16&lt;&gt;"",COUNTIF(BU$4:BU16,BU16)=1),1,0)</f>
        <v>13</v>
      </c>
      <c r="BW16" s="55">
        <f>IF(ROW()-3&gt;MAX(BV$4:BV$40),"",INDEX(BU$4:BU$40,MATCH(ROW()-3,BV$4:BV$40,0)))</f>
        <v>1858.6592999999998</v>
      </c>
      <c r="BX16" s="138">
        <f>IF('Final Calculation Sheet'!$N$16="","",'Final Calculation Sheet'!$N$16)</f>
        <v>6.93</v>
      </c>
      <c r="BY16">
        <f>IF(BX16="","",COUNTIFS(BX$4:BX$40,"&lt;"&amp;BX16,BX$4:BX$40,"&lt;&gt;"&amp;"")+COUNTIF(BX$4:BX16,BX16))</f>
        <v>1</v>
      </c>
      <c r="BZ16" s="138">
        <f>IF(ROW()-3&gt;COUNTIF(BX$4:BX$40,"&lt;&gt;"&amp;""),"",INDEX(BX$4:BX$40,MATCH(ROW()-3,BY$4:BY$40,0)))</f>
        <v>31.502700000000001</v>
      </c>
      <c r="CA16">
        <f>CA15+IF(AND(BZ16&lt;&gt;"",COUNTIF(BZ$4:BZ16,BZ16)=1),1,0)</f>
        <v>13</v>
      </c>
      <c r="CB16" s="138">
        <f>IF(ROW()-3&gt;MAX(CA$4:CA$40),"",INDEX(BZ$4:BZ$40,MATCH(ROW()-3,CA$4:CA$40,0)))</f>
        <v>31.502700000000001</v>
      </c>
      <c r="CC16" s="55">
        <f>IF('Final Calculation Sheet'!$O$16="","",'Final Calculation Sheet'!$O$16)</f>
        <v>401.94</v>
      </c>
      <c r="CD16">
        <f>IF(CC16="","",COUNTIFS(CC$4:CC$40,"&lt;"&amp;CC16,CC$4:CC$40,"&lt;&gt;"&amp;"")+COUNTIF(CC$4:CC16,CC16))</f>
        <v>1</v>
      </c>
      <c r="CE16" s="55">
        <f>IF(ROW()-3&gt;COUNTIF(CC$4:CC$40,"&lt;&gt;"&amp;""),"",INDEX(CC$4:CC$40,MATCH(ROW()-3,CD$4:CD$40,0)))</f>
        <v>1827.1565999999998</v>
      </c>
      <c r="CF16">
        <f>CF15+IF(AND(CE16&lt;&gt;"",COUNTIF(CE$4:CE16,CE16)=1),1,0)</f>
        <v>13</v>
      </c>
      <c r="CG16" s="55">
        <f>IF(ROW()-3&gt;MAX(CF$4:CF$40),"",INDEX(CE$4:CE$40,MATCH(ROW()-3,CF$4:CF$40,0)))</f>
        <v>1827.1565999999998</v>
      </c>
      <c r="CH16" s="55">
        <f>IF('Final Calculation Sheet'!$P$16="","",'Final Calculation Sheet'!$P$16)</f>
        <v>417</v>
      </c>
      <c r="CI16">
        <f>IF(CH16="","",COUNTIFS(CH$4:CH$40,"&lt;"&amp;CH16,CH$4:CH$40,"&lt;&gt;"&amp;"")+COUNTIF(CH$4:CH16,CH16))</f>
        <v>1</v>
      </c>
      <c r="CJ16" s="55">
        <f>IF(ROW()-3&gt;COUNTIF(CH$4:CH$40,"&lt;&gt;"&amp;""),"",INDEX(CH$4:CH$40,MATCH(ROW()-3,CI$4:CI$40,0)))</f>
        <v>1897</v>
      </c>
      <c r="CK16">
        <f>CK15+IF(AND(CJ16&lt;&gt;"",COUNTIF(CJ$4:CJ16,CJ16)=1),1,0)</f>
        <v>13</v>
      </c>
      <c r="CL16" s="55">
        <f>IF(ROW()-3&gt;MAX(CK$4:CK$40),"",INDEX(CJ$4:CJ$40,MATCH(ROW()-3,CK$4:CK$40,0)))</f>
        <v>1897</v>
      </c>
      <c r="CM16" s="139">
        <f>IF('Final Calculation Sheet'!$Q$16="","",'Final Calculation Sheet'!$Q$16)</f>
        <v>0</v>
      </c>
      <c r="CN16">
        <f>IF(CM16="","",COUNTIFS(CM$4:CM$40,"&lt;"&amp;CM16,CM$4:CM$40,"&lt;&gt;"&amp;"")+COUNTIF(CM$4:CM16,CM16))</f>
        <v>11</v>
      </c>
      <c r="CO16" s="139">
        <f>IF(ROW()-3&gt;COUNTIF(CM$4:CM$40,"&lt;&gt;"&amp;""),"",INDEX(CM$4:CM$40,MATCH(ROW()-3,CN$4:CN$40,0)))</f>
        <v>0</v>
      </c>
      <c r="CP16">
        <f>CP15+IF(AND(CO16&lt;&gt;"",COUNTIF(CO$4:CO16,CO16)=1),1,0)</f>
        <v>1</v>
      </c>
      <c r="CQ16" t="str">
        <f>IF(ROW()-3&gt;MAX(CP$4:CP$40),"",INDEX(CO$4:CO$40,MATCH(ROW()-3,CP$4:CP$40,0)))</f>
        <v/>
      </c>
      <c r="CR16" s="55">
        <f>IF('Final Calculation Sheet'!$R$16="","",'Final Calculation Sheet'!$R$16)</f>
        <v>0</v>
      </c>
      <c r="CS16">
        <f>IF(CR16="","",COUNTIFS(CR$4:CR$40,"&lt;"&amp;CR16,CR$4:CR$40,"&lt;&gt;"&amp;"")+COUNTIF(CR$4:CR16,CR16))</f>
        <v>11</v>
      </c>
      <c r="CT16" s="55">
        <f>IF(ROW()-3&gt;COUNTIF(CR$4:CR$40,"&lt;&gt;"&amp;""),"",INDEX(CR$4:CR$40,MATCH(ROW()-3,CS$4:CS$40,0)))</f>
        <v>0</v>
      </c>
      <c r="CU16">
        <f>CU15+IF(AND(CT16&lt;&gt;"",COUNTIF(CT$4:CT16,CT16)=1),1,0)</f>
        <v>1</v>
      </c>
      <c r="CV16" t="str">
        <f>IF(ROW()-3&gt;MAX(CU$4:CU$40),"",INDEX(CT$4:CT$40,MATCH(ROW()-3,CU$4:CU$40,0)))</f>
        <v/>
      </c>
      <c r="CW16" s="55">
        <f>IF('Final Calculation Sheet'!$S$16="","",'Final Calculation Sheet'!$S$16)</f>
        <v>18118</v>
      </c>
      <c r="CX16">
        <f>IF(CW16="","",COUNTIFS(CW$4:CW$40,"&lt;"&amp;CW16,CW$4:CW$40,"&lt;&gt;"&amp;"")+COUNTIF(CW$4:CW16,CW16))</f>
        <v>1</v>
      </c>
      <c r="CY16" s="55">
        <f>IF(ROW()-3&gt;COUNTIF(CW$4:CW$40,"&lt;&gt;"&amp;""),"",INDEX(CW$4:CW$40,MATCH(ROW()-3,CX$4:CX$40,0)))</f>
        <v>82362</v>
      </c>
      <c r="CZ16">
        <f>CZ15+IF(AND(CY16&lt;&gt;"",COUNTIF(CY$4:CY16,CY16)=1),1,0)</f>
        <v>13</v>
      </c>
      <c r="DA16" s="55">
        <f>IF(ROW()-3&gt;MAX(CZ$4:CZ$40),"",INDEX(CY$4:CY$40,MATCH(ROW()-3,CZ$4:CZ$40,0)))</f>
        <v>82362</v>
      </c>
      <c r="DB16" s="55">
        <f>IF('Final Calculation Sheet'!$T$16="","",'Final Calculation Sheet'!$T$16)</f>
        <v>3850</v>
      </c>
      <c r="DC16">
        <f>IF(DB16="","",COUNTIFS(DB$4:DB$40,"&lt;"&amp;DB16,DB$4:DB$40,"&lt;&gt;"&amp;"")+COUNTIF(DB$4:DB16,DB16))</f>
        <v>1</v>
      </c>
      <c r="DD16" s="55">
        <f>IF(ROW()-3&gt;COUNTIF(DB$4:DB$40,"&lt;&gt;"&amp;""),"",INDEX(DB$4:DB$40,MATCH(ROW()-3,DC$4:DC$40,0)))</f>
        <v>17502</v>
      </c>
      <c r="DE16">
        <f>DE15+IF(AND(DD16&lt;&gt;"",COUNTIF(DD$4:DD16,DD16)=1),1,0)</f>
        <v>13</v>
      </c>
      <c r="DF16" s="55">
        <f>IF(ROW()-3&gt;MAX(DE$4:DE$40),"",INDEX(DD$4:DD$40,MATCH(ROW()-3,DE$4:DE$40,0)))</f>
        <v>17502</v>
      </c>
      <c r="DG16" s="140">
        <f>IF('Final Calculation Sheet'!$U$16="","",'Final Calculation Sheet'!$U$16)</f>
        <v>3850</v>
      </c>
      <c r="DH16">
        <f>IF(DG16="","",COUNTIFS(DG$4:DG$40,"&lt;"&amp;DG16,DG$4:DG$40,"&lt;&gt;"&amp;"")+COUNTIF(DG$4:DG16,DG16))</f>
        <v>1</v>
      </c>
      <c r="DI16" s="140">
        <f>IF(ROW()-3&gt;COUNTIF(DG$4:DG$40,"&lt;&gt;"&amp;""),"",INDEX(DG$4:DG$40,MATCH(ROW()-3,DH$4:DH$40,0)))</f>
        <v>17502</v>
      </c>
      <c r="DJ16">
        <f>DJ15+IF(AND(DI16&lt;&gt;"",COUNTIF(DI$4:DI16,DI16)=1),1,0)</f>
        <v>13</v>
      </c>
      <c r="DK16" s="140">
        <f>IF(ROW()-3&gt;MAX(DJ$4:DJ$40),"",INDEX(DI$4:DI$40,MATCH(ROW()-3,DJ$4:DJ$40,0)))</f>
        <v>17502</v>
      </c>
      <c r="DL16" t="str">
        <f>IF('Final Calculation Sheet'!$V$16="","",'Final Calculation Sheet'!$V$16)</f>
        <v>11.08.2026</v>
      </c>
      <c r="DM16">
        <f>IF(DL16="","",COUNTIFS(DL$4:DL$40,"&lt;"&amp;DL16,DL$4:DL$40,"&lt;&gt;"&amp;"")+COUNTIF(DL$4:DL16,DL16))</f>
        <v>5</v>
      </c>
      <c r="DN16" t="str">
        <f>IF(ROW()-3&gt;COUNTIF(DL$4:DL$40,"&lt;&gt;"&amp;""),"",INDEX(DL$4:DL$40,MATCH(ROW()-3,DM$4:DM$40,0)))</f>
        <v>13.08.2026</v>
      </c>
      <c r="DO16">
        <f>DO15+IF(AND(DN16&lt;&gt;"",COUNTIF(DN$4:DN16,DN16)=1),1,0)</f>
        <v>3</v>
      </c>
      <c r="DP16" t="str">
        <f>IF(ROW()-3&gt;MAX(DO$4:DO$40),"",INDEX(DN$4:DN$40,MATCH(ROW()-3,DO$4:DO$40,0)))</f>
        <v/>
      </c>
      <c r="DQ16" s="55">
        <f>IF('Final Calculation Sheet'!$W$16="","",'Final Calculation Sheet'!$W$16)</f>
        <v>14268</v>
      </c>
      <c r="DR16">
        <f>IF(DQ16="","",COUNTIFS(DQ$4:DQ$40,"&lt;"&amp;DQ16,DQ$4:DQ$40,"&lt;&gt;"&amp;"")+COUNTIF(DQ$4:DQ16,DQ16))</f>
        <v>1</v>
      </c>
      <c r="DS16" s="55">
        <f>IF(ROW()-3&gt;COUNTIF(DQ$4:DQ$40,"&lt;&gt;"&amp;""),"",INDEX(DQ$4:DQ$40,MATCH(ROW()-3,DR$4:DR$40,0)))</f>
        <v>64861</v>
      </c>
      <c r="DT16">
        <f>DT15+IF(AND(DS16&lt;&gt;"",COUNTIF(DS$4:DS16,DS16)=1),1,0)</f>
        <v>13</v>
      </c>
      <c r="DU16" s="55">
        <f>IF(ROW()-3&gt;MAX(DT$4:DT$40),"",INDEX(DS$4:DS$40,MATCH(ROW()-3,DT$4:DT$40,0)))</f>
        <v>64861</v>
      </c>
      <c r="DV16" s="55">
        <f>IF('Final Calculation Sheet'!$X$16="","",'Final Calculation Sheet'!$X$16)</f>
        <v>14267</v>
      </c>
      <c r="DW16">
        <f>IF(DV16="","",COUNTIFS(DV$4:DV$40,"&lt;"&amp;DV16,DV$4:DV$40,"&lt;&gt;"&amp;"")+COUNTIF(DV$4:DV16,DV16))</f>
        <v>1</v>
      </c>
      <c r="DX16" s="55">
        <f>IF(ROW()-3&gt;COUNTIF(DV$4:DV$40,"&lt;&gt;"&amp;""),"",INDEX(DV$4:DV$40,MATCH(ROW()-3,DW$4:DW$40,0)))</f>
        <v>65782</v>
      </c>
      <c r="DY16">
        <f>DY15+IF(AND(DX16&lt;&gt;"",COUNTIF(DX$4:DX16,DX16)=1),1,0)</f>
        <v>13</v>
      </c>
      <c r="DZ16" t="e">
        <f>IF(ROW()-3&gt;MAX(DY$4:DY$40),"",INDEX(DX$4:DX$40,MATCH(ROW()-3,DY$4:DY$40,0)))</f>
        <v>#N/A</v>
      </c>
      <c r="EA16" t="str">
        <f>IF('Final Calculation Sheet'!$Y$16="","",'Final Calculation Sheet'!$Y$16)</f>
        <v>11.08.2026</v>
      </c>
      <c r="EB16">
        <f>IF(EA16="","",COUNTIFS(EA$4:EA$40,"&lt;"&amp;EA16,EA$4:EA$40,"&lt;&gt;"&amp;"")+COUNTIF(EA$4:EA16,EA16))</f>
        <v>5</v>
      </c>
      <c r="EC16" t="str">
        <f>IF(ROW()-3&gt;COUNTIF(EA$4:EA$40,"&lt;&gt;"&amp;""),"",INDEX(EA$4:EA$40,MATCH(ROW()-3,EB$4:EB$40,0)))</f>
        <v>18.08.2026</v>
      </c>
      <c r="ED16">
        <f>ED15+IF(AND(EC16&lt;&gt;"",COUNTIF(EC$4:EC16,EC16)=1),1,0)</f>
        <v>6</v>
      </c>
      <c r="EE16" t="e">
        <f>IF(ROW()-3&gt;MAX(ED$4:ED$40),"",INDEX(EC$4:EC$40,MATCH(ROW()-3,ED$4:ED$40,0)))</f>
        <v>#N/A</v>
      </c>
      <c r="EF16" s="55">
        <f>IF('Final Calculation Sheet'!$Z$16="","",'Final Calculation Sheet'!$Z$16)</f>
        <v>0</v>
      </c>
      <c r="EG16">
        <f>IF(EF16="","",COUNTIFS(EF$4:EF$40,"&lt;"&amp;EF16,EF$4:EF$40,"&lt;&gt;"&amp;"")+COUNTIF(EF$4:EF16,EF16))</f>
        <v>13</v>
      </c>
      <c r="EH16" s="55">
        <f>IF(ROW()-3&gt;COUNTIF(EF$4:EF$40,"&lt;&gt;"&amp;""),"",INDEX(EF$4:EF$40,MATCH(ROW()-3,EG$4:EG$40,0)))</f>
        <v>0</v>
      </c>
      <c r="EI16">
        <f>EI15+IF(AND(EH16&lt;&gt;"",COUNTIF(EH$4:EH16,EH16)=1),1,0)</f>
        <v>1</v>
      </c>
      <c r="EJ16" t="str">
        <f>IF(ROW()-3&gt;MAX(EI$4:EI$40),"",INDEX(EH$4:EH$40,MATCH(ROW()-3,EI$4:EI$40,0)))</f>
        <v/>
      </c>
      <c r="EK16" t="str">
        <f>IF('Final Calculation Sheet'!$AA$16="","",'Final Calculation Sheet'!$AA$16)</f>
        <v/>
      </c>
      <c r="EL16" t="str">
        <f>IF(EK16="","",COUNTIFS(EK$4:EK$40,"&lt;"&amp;EK16,EK$4:EK$40,"&lt;&gt;"&amp;"")+COUNTIF(EK$4:EK16,EK16))</f>
        <v/>
      </c>
      <c r="EM16" t="e">
        <f>IF(ROW()-3&gt;COUNTIF(EK$4:EK$40,"&lt;&gt;"&amp;""),"",INDEX(EK$4:EK$40,MATCH(ROW()-3,EL$4:EL$40,0)))</f>
        <v>#N/A</v>
      </c>
      <c r="EN16" t="e">
        <f>EN15+IF(AND(EM16&lt;&gt;"",COUNTIF(EM$4:EM16,EM16)=1),1,0)</f>
        <v>#N/A</v>
      </c>
      <c r="EO16" t="e">
        <f>IF(ROW()-3&gt;MAX(EN$4:EN$40),"",INDEX(EM$4:EM$40,MATCH(ROW()-3,EN$4:EN$40,0)))</f>
        <v>#N/A</v>
      </c>
      <c r="EP16" t="str">
        <f>IF('Final Calculation Sheet'!$AB$16="","",'Final Calculation Sheet'!$AB$16)</f>
        <v/>
      </c>
      <c r="EQ16" t="str">
        <f>IF(EP16="","",COUNTIFS(EP$4:EP$40,"&lt;"&amp;EP16,EP$4:EP$40,"&lt;&gt;"&amp;"")+COUNTIF(EP$4:EP16,EP16))</f>
        <v/>
      </c>
      <c r="ER16" t="e">
        <f>IF(ROW()-3&gt;COUNTIF(EP$4:EP$40,"&lt;&gt;"&amp;""),"",INDEX(EP$4:EP$40,MATCH(ROW()-3,EQ$4:EQ$40,0)))</f>
        <v>#N/A</v>
      </c>
      <c r="ES16" t="e">
        <f>ES15+IF(AND(ER16&lt;&gt;"",COUNTIF(ER$4:ER16,ER16)=1),1,0)</f>
        <v>#N/A</v>
      </c>
      <c r="ET16" t="e">
        <f>IF(ROW()-3&gt;MAX(ES$4:ES$40),"",INDEX(ER$4:ER$40,MATCH(ROW()-3,ES$4:ES$40,0)))</f>
        <v>#N/A</v>
      </c>
      <c r="EU16" s="55">
        <f>IF('Final Calculation Sheet'!$AC$16="","",'Final Calculation Sheet'!$AC$16)</f>
        <v>18117</v>
      </c>
      <c r="EV16">
        <f>IF(EU16="","",COUNTIFS(EU$4:EU$40,"&lt;"&amp;EU16,EU$4:EU$40,"&lt;&gt;"&amp;"")+COUNTIF(EU$4:EU16,EU16))</f>
        <v>2</v>
      </c>
      <c r="EW16" s="55">
        <f>IF(ROW()-3&gt;COUNTIF(EU$4:EU$40,"&lt;&gt;"&amp;""),"",INDEX(EU$4:EU$40,MATCH(ROW()-3,EV$4:EV$40,0)))</f>
        <v>76481</v>
      </c>
      <c r="EX16">
        <f>EX15+IF(AND(EW16&lt;&gt;"",COUNTIF(EW$4:EW16,EW16)=1),1,0)</f>
        <v>13</v>
      </c>
      <c r="EY16" s="55">
        <f>IF(ROW()-3&gt;MAX(EX$4:EX$40),"",INDEX(EW$4:EW$40,MATCH(ROW()-3,EX$4:EX$40,0)))</f>
        <v>76481</v>
      </c>
      <c r="EZ16" s="55">
        <f>IF('Final Calculation Sheet'!$AD$16="","",'Final Calculation Sheet'!$AD$16)</f>
        <v>1</v>
      </c>
      <c r="FA16">
        <f>IF(EZ16="","",COUNTIFS(EZ$4:EZ$40,"&lt;"&amp;EZ16,EZ$4:EZ$40,"&lt;&gt;"&amp;"")+COUNTIF(EZ$4:EZ16,EZ16))</f>
        <v>31</v>
      </c>
      <c r="FB16" s="55">
        <f>IF(ROW()-3&gt;COUNTIF(EZ$4:EZ$40,"&lt;&gt;"&amp;""),"",INDEX(EZ$4:EZ$40,MATCH(ROW()-3,FA$4:FA$40,0)))</f>
        <v>0</v>
      </c>
      <c r="FC16" t="e">
        <f>FC15+IF(AND(FB16&lt;&gt;"",COUNTIF(FB$4:FB16,FB16)=1),1,0)</f>
        <v>#N/A</v>
      </c>
      <c r="FD16" t="e">
        <f>IF(ROW()-3&gt;MAX(FC$4:FC$40),"",INDEX(FB$4:FB$40,MATCH(ROW()-3,FC$4:FC$40,0)))</f>
        <v>#N/A</v>
      </c>
      <c r="FE16" t="str">
        <f>IF('Final Calculation Sheet'!$AE$16="","",'Final Calculation Sheet'!$AE$16)</f>
        <v>DR2640100019</v>
      </c>
      <c r="FF16">
        <f>IF(FE16="","",COUNTIFS(FE$4:FE$40,"&lt;"&amp;FE16,FE$4:FE$40,"&lt;&gt;"&amp;"")+COUNTIF(FE$4:FE16,FE16))</f>
        <v>8</v>
      </c>
      <c r="FG16" t="str">
        <f>IF(ROW()-3&gt;COUNTIF(FE$4:FE$40,"&lt;&gt;"&amp;""),"",INDEX(FE$4:FE$40,MATCH(ROW()-3,FF$4:FF$40,0)))</f>
        <v>DR2640100024</v>
      </c>
      <c r="FH16" t="e">
        <f>FH15+IF(AND(FG16&lt;&gt;"",COUNTIF(FG$4:FG16,FG16)=1),1,0)</f>
        <v>#N/A</v>
      </c>
      <c r="FI16" t="e">
        <f>IF(ROW()-3&gt;MAX(FH$4:FH$40),"",INDEX(FG$4:FG$40,MATCH(ROW()-3,FH$4:FH$40,0)))</f>
        <v>#N/A</v>
      </c>
      <c r="FJ16" s="141">
        <f>IF('Final Calculation Sheet'!$AF$16="","",'Final Calculation Sheet'!$AF$16)</f>
        <v>1800003157</v>
      </c>
      <c r="FK16">
        <f>IF(FJ16="","",COUNTIFS(FJ$4:FJ$40,"&lt;"&amp;FJ16,FJ$4:FJ$40,"&lt;&gt;"&amp;"")+COUNTIF(FJ$4:FJ16,FJ16))</f>
        <v>3</v>
      </c>
      <c r="FL16" s="141">
        <f>IF(ROW()-3&gt;COUNTIF(FJ$4:FJ$40,"&lt;&gt;"&amp;""),"",INDEX(FJ$4:FJ$40,MATCH(ROW()-3,FK$4:FK$40,0)))</f>
        <v>1800003271</v>
      </c>
      <c r="FM16">
        <f>FM15+IF(AND(FL16&lt;&gt;"",COUNTIF(FL$4:FL16,FL16)=1),1,0)</f>
        <v>13</v>
      </c>
      <c r="FN16" t="e">
        <f>IF(ROW()-3&gt;MAX(FM$4:FM$40),"",INDEX(FL$4:FL$40,MATCH(ROW()-3,FM$4:FM$40,0)))</f>
        <v>#N/A</v>
      </c>
      <c r="FO16" t="str">
        <f>IF('Final Calculation Sheet'!$AG$16="","",'Final Calculation Sheet'!$AG$16)</f>
        <v>14.08.2026</v>
      </c>
      <c r="FP16">
        <f>IF(FO16="","",COUNTIFS(FO$4:FO$40,"&lt;"&amp;FO16,FO$4:FO$40,"&lt;&gt;"&amp;"")+COUNTIF(FO$4:FO16,FO16))</f>
        <v>8</v>
      </c>
      <c r="FQ16" t="str">
        <f>IF(ROW()-3&gt;COUNTIF(FO$4:FO$40,"&lt;&gt;"&amp;""),"",INDEX(FO$4:FO$40,MATCH(ROW()-3,FP$4:FP$40,0)))</f>
        <v>17.08.2026</v>
      </c>
      <c r="FR16" t="e">
        <f>FR15+IF(AND(FQ16&lt;&gt;"",COUNTIF(FQ$4:FQ16,FQ16)=1),1,0)</f>
        <v>#N/A</v>
      </c>
      <c r="FS16" t="e">
        <f>IF(ROW()-3&gt;MAX(FR$4:FR$40),"",INDEX(FQ$4:FQ$40,MATCH(ROW()-3,FR$4:FR$40,0)))</f>
        <v>#N/A</v>
      </c>
      <c r="FU16" t="str">
        <f>IF(FT16="","",COUNTIFS(FT$4:FT$40,"&lt;"&amp;FT16,FT$4:FT$40,"&lt;&gt;"&amp;"")+COUNTIF(FT$4:FT16,FT16))</f>
        <v/>
      </c>
      <c r="FV16" t="str">
        <f>IF(ROW()-3&gt;COUNTIF(FT$4:FT$40,"&lt;&gt;"&amp;""),"",INDEX(FT$4:FT$40,MATCH(ROW()-3,FU$4:FU$40,0)))</f>
        <v/>
      </c>
      <c r="FW16">
        <f>FW15+IF(AND(FV16&lt;&gt;"",COUNTIF(FV$4:FV16,FV16)=1),1,0)</f>
        <v>2</v>
      </c>
      <c r="FX16" t="str">
        <f>IF(ROW()-3&gt;MAX(FW$4:FW$40),"",INDEX(FV$4:FV$40,MATCH(ROW()-3,FW$4:FW$40,0)))</f>
        <v/>
      </c>
    </row>
    <row r="17">
      <c r="A17">
        <f>IF('Final Calculation Sheet'!$F$17="","",'Final Calculation Sheet'!$F$17)</f>
        <v>2015</v>
      </c>
      <c r="B17">
        <f>IF(A17="","",COUNTIFS(A$4:A$114,"&lt;"&amp;A17,A$4:A$114,"&lt;&gt;"&amp;"")+COUNTIF(A$4:A17,A17))</f>
        <v>14</v>
      </c>
      <c r="C17">
        <f>IF(ROW()-3&gt;COUNTIF(A$4:A$114,"&lt;&gt;"&amp;""),"",INDEX(A$4:A$114,MATCH(ROW()-3,B$4:B$114,0)))</f>
        <v>2015</v>
      </c>
      <c r="D17">
        <f>D16+IF(AND(C17&lt;&gt;"",COUNTIF(C$4:C17,C17)=1),1,0)</f>
        <v>14</v>
      </c>
      <c r="E17" t="e">
        <f>IF(ROW()-3&gt;MAX(D$4:D$114),"",INDEX(C$4:C$114,MATCH(ROW()-3,D$4:D$114,0)))</f>
        <v>#N/A</v>
      </c>
      <c r="F17">
        <f>ROW()-3</f>
        <v>14</v>
      </c>
      <c r="G17">
        <f>IF(F17="","",COUNTIFS(F$4:F$40,"&lt;"&amp;F17,F$4:F$40,"&lt;&gt;"&amp;"")+COUNTIF(F$4:F17,F17))</f>
        <v>14</v>
      </c>
      <c r="H17">
        <f>IF(ROW()-3&gt;COUNTIF(F$4:F$40,"&lt;&gt;"&amp;""),"",INDEX(F$4:F$40,MATCH(ROW()-3,G$4:G$40,0)))</f>
        <v>14</v>
      </c>
      <c r="I17">
        <f>I16+IF(AND(H17&lt;&gt;"",COUNTIF(H$4:H17,H17)=1),1,0)</f>
        <v>14</v>
      </c>
      <c r="J17">
        <f>IF(ROW()-3&gt;MAX(I$4:I$40),"",INDEX(H$4:H$40,MATCH(ROW()-3,I$4:I$40,0)))</f>
        <v>14</v>
      </c>
      <c r="K17">
        <f>IF('Final Calculation Sheet'!$F$17="","",'Final Calculation Sheet'!$F$17)</f>
        <v>2015</v>
      </c>
      <c r="L17">
        <f>IF(K17="","",COUNTIFS(K$4:K$40,"&lt;"&amp;K17,K$4:K$40,"&lt;&gt;"&amp;"")+COUNTIF(K$4:K17,K17))</f>
        <v>14</v>
      </c>
      <c r="M17">
        <f>IF(ROW()-3&gt;COUNTIF(K$4:K$40,"&lt;&gt;"&amp;""),"",INDEX(K$4:K$40,MATCH(ROW()-3,L$4:L$40,0)))</f>
        <v>2015</v>
      </c>
      <c r="N17">
        <f>N16+IF(AND(M17&lt;&gt;"",COUNTIF(M$4:M17,M17)=1),1,0)</f>
        <v>14</v>
      </c>
      <c r="O17">
        <f>IF(ROW()-3&gt;MAX(N$4:N$40),"",INDEX(M$4:M$40,MATCH(ROW()-3,N$4:N$40,0)))</f>
        <v>2015</v>
      </c>
      <c r="P17" t="str">
        <f>IF('Final Calculation Sheet'!$G$17="","",'Final Calculation Sheet'!$G$17)</f>
        <v>STERLING ENTERPRISES</v>
      </c>
      <c r="Q17">
        <f>IF(P17="","",COUNTIFS(P$4:P$40,"&lt;"&amp;P17,P$4:P$40,"&lt;&gt;"&amp;"")+COUNTIF(P$4:P17,P17))</f>
        <v>30</v>
      </c>
      <c r="R17" t="str">
        <f>IF(ROW()-3&gt;COUNTIF(P$4:P$40,"&lt;&gt;"&amp;""),"",INDEX(P$4:P$40,MATCH(ROW()-3,Q$4:Q$40,0)))</f>
        <v>NATIONAL ENTERPRISES</v>
      </c>
      <c r="S17">
        <f>S16+IF(AND(R17&lt;&gt;"",COUNTIF(R$4:R17,R17)=1),1,0)</f>
        <v>6</v>
      </c>
      <c r="T17" t="str">
        <f>IF(ROW()-3&gt;MAX(S$4:S$40),"",INDEX(R$4:R$40,MATCH(ROW()-3,S$4:S$40,0)))</f>
        <v/>
      </c>
      <c r="U17" t="str">
        <f>IF('Final Calculation Sheet'!$B$17="","",'Final Calculation Sheet'!$B$17)</f>
        <v>Scrap of empty oil Barrels</v>
      </c>
      <c r="V17">
        <f>IF(U17="","",COUNTIFS(U$4:U$40,"&lt;"&amp;U17,U$4:U$40,"&lt;&gt;"&amp;"")+COUNTIF(U$4:U17,U17))</f>
        <v>27</v>
      </c>
      <c r="W17" t="str">
        <f>IF(ROW()-3&gt;COUNTIF(U$4:U$40,"&lt;&gt;"&amp;""),"",INDEX(U$4:U$40,MATCH(ROW()-3,V$4:V$40,0)))</f>
        <v>Scrap of 145 KV CB</v>
      </c>
      <c r="X17">
        <f>X16+IF(AND(W17&lt;&gt;"",COUNTIF(W$4:W17,W17)=1),1,0)</f>
        <v>8</v>
      </c>
      <c r="Y17" t="str">
        <f>IF(ROW()-3&gt;MAX(X$4:X$40),"",INDEX(W$4:W$40,MATCH(ROW()-3,X$4:X$40,0)))</f>
        <v>Scrap of 33 KV GCB</v>
      </c>
      <c r="Z17">
        <f>IF('Final Calculation Sheet'!$D$17="","",'Final Calculation Sheet'!$D$17)</f>
        <v>21978</v>
      </c>
      <c r="AA17">
        <f>IF(Z17="","",COUNTIFS(Z$4:Z$40,"&lt;"&amp;Z17,Z$4:Z$40,"&lt;&gt;"&amp;"")+COUNTIF(Z$4:Z17,Z17))</f>
        <v>12</v>
      </c>
      <c r="AB17">
        <f>IF(ROW()-3&gt;COUNTIF(Z$4:Z$40,"&lt;&gt;"&amp;""),"",INDEX(Z$4:Z$40,MATCH(ROW()-3,AA$4:AA$40,0)))</f>
        <v>21978</v>
      </c>
      <c r="AC17">
        <f>AC16+IF(AND(AB17&lt;&gt;"",COUNTIF(AB$4:AB17,AB17)=1),1,0)</f>
        <v>2</v>
      </c>
      <c r="AD17" t="str">
        <f>IF(ROW()-3&gt;MAX(AC$4:AC$40),"",INDEX(AB$4:AB$40,MATCH(ROW()-3,AC$4:AC$40,0)))</f>
        <v/>
      </c>
      <c r="AE17">
        <f>IF('Final Calculation Sheet'!$A$17="","",'Final Calculation Sheet'!$A$17)</f>
        <v>100</v>
      </c>
      <c r="AF17">
        <f>IF(AE17="","",COUNTIFS(AE$4:AE$40,"&lt;"&amp;AE17,AE$4:AE$40,"&lt;&gt;"&amp;"")+COUNTIF(AE$4:AE17,AE17))</f>
        <v>28</v>
      </c>
      <c r="AG17">
        <f>IF(ROW()-3&gt;COUNTIF(AE$4:AE$40,"&lt;&gt;"&amp;""),"",INDEX(AE$4:AE$40,MATCH(ROW()-3,AF$4:AF$40,0)))</f>
        <v>3</v>
      </c>
      <c r="AH17">
        <f>AH16+IF(AND(AG17&lt;&gt;"",COUNTIF(AG$4:AG17,AG17)=1),1,0)</f>
        <v>3</v>
      </c>
      <c r="AI17">
        <f>IF(ROW()-3&gt;MAX(AH$4:AH$40),"",INDEX(AG$4:AG$40,MATCH(ROW()-3,AH$4:AH$40,0)))</f>
        <v>150</v>
      </c>
      <c r="AJ17" t="str">
        <f>IF('Final Calculation Sheet'!$E$17="","",'Final Calculation Sheet'!$E$17)</f>
        <v>NO</v>
      </c>
      <c r="AK17">
        <f>IF(AJ17="","",COUNTIFS(AJ$4:AJ$40,"&lt;"&amp;AJ17,AJ$4:AJ$40,"&lt;&gt;"&amp;"")+COUNTIF(AJ$4:AJ17,AJ17))</f>
        <v>17</v>
      </c>
      <c r="AL17" t="str">
        <f>IF(ROW()-3&gt;COUNTIF(AJ$4:AJ$40,"&lt;&gt;"&amp;""),"",INDEX(AJ$4:AJ$40,MATCH(ROW()-3,AK$4:AK$40,0)))</f>
        <v>NO</v>
      </c>
      <c r="AM17">
        <f>AM16+IF(AND(AL17&lt;&gt;"",COUNTIF(AL$4:AL17,AL17)=1),1,0)</f>
        <v>3</v>
      </c>
      <c r="AN17" t="str">
        <f>IF(ROW()-3&gt;MAX(AM$4:AM$40),"",INDEX(AL$4:AL$40,MATCH(ROW()-3,AM$4:AM$40,0)))</f>
        <v/>
      </c>
      <c r="AO17" s="55">
        <f>IF('Final Calculation Sheet'!$C$17="","",'Final Calculation Sheet'!$C$17)</f>
        <v>710</v>
      </c>
      <c r="AP17">
        <f>IF(AO17="","",COUNTIFS(AO$4:AO$40,"&lt;"&amp;AO17,AO$4:AO$40,"&lt;&gt;"&amp;"")+COUNTIF(AO$4:AO17,AO17))</f>
        <v>14</v>
      </c>
      <c r="AQ17" s="55">
        <f>IF(ROW()-3&gt;COUNTIF(AO$4:AO$40,"&lt;&gt;"&amp;""),"",INDEX(AO$4:AO$40,MATCH(ROW()-3,AP$4:AP$40,0)))</f>
        <v>710</v>
      </c>
      <c r="AR17">
        <f>AR16+IF(AND(AQ17&lt;&gt;"",COUNTIF(AQ$4:AQ17,AQ17)=1),1,0)</f>
        <v>12</v>
      </c>
      <c r="AS17" s="55">
        <f>IF(ROW()-3&gt;MAX(AR$4:AR$40),"",INDEX(AQ$4:AQ$40,MATCH(ROW()-3,AR$4:AR$40,0)))</f>
        <v>1456</v>
      </c>
      <c r="AT17" s="55">
        <f>IF('Final Calculation Sheet'!$H$17="","",'Final Calculation Sheet'!$H$17)</f>
        <v>71000</v>
      </c>
      <c r="AU17">
        <f>IF(AT17="","",COUNTIFS(AT$4:AT$40,"&lt;"&amp;AT17,AT$4:AT$40,"&lt;&gt;"&amp;"")+COUNTIF(AT$4:AT17,AT17))</f>
        <v>14</v>
      </c>
      <c r="AV17" s="55">
        <f>IF(ROW()-3&gt;COUNTIF(AT$4:AT$40,"&lt;&gt;"&amp;""),"",INDEX(AT$4:AT$40,MATCH(ROW()-3,AU$4:AU$40,0)))</f>
        <v>71000</v>
      </c>
      <c r="AW17">
        <f>AW16+IF(AND(AV17&lt;&gt;"",COUNTIF(AV$4:AV17,AV17)=1),1,0)</f>
        <v>14</v>
      </c>
      <c r="AX17" s="55">
        <f>IF(ROW()-3&gt;MAX(AW$4:AW$40),"",INDEX(AV$4:AV$40,MATCH(ROW()-3,AW$4:AW$40,0)))</f>
        <v>71000</v>
      </c>
      <c r="AY17" s="55">
        <f>IF('Final Calculation Sheet'!$I$17="","",'Final Calculation Sheet'!$I$17)</f>
        <v>12780</v>
      </c>
      <c r="AZ17">
        <f>IF(AY17="","",COUNTIFS(AY$4:AY$40,"&lt;"&amp;AY17,AY$4:AY$40,"&lt;&gt;"&amp;"")+COUNTIF(AY$4:AY17,AY17))</f>
        <v>14</v>
      </c>
      <c r="BA17" s="55">
        <f>IF(ROW()-3&gt;COUNTIF(AY$4:AY$40,"&lt;&gt;"&amp;""),"",INDEX(AY$4:AY$40,MATCH(ROW()-3,AZ$4:AZ$40,0)))</f>
        <v>12780</v>
      </c>
      <c r="BB17">
        <f>BB16+IF(AND(BA17&lt;&gt;"",COUNTIF(BA$4:BA17,BA17)=1),1,0)</f>
        <v>14</v>
      </c>
      <c r="BC17" s="55">
        <f>IF(ROW()-3&gt;MAX(BB$4:BB$40),"",INDEX(BA$4:BA$40,MATCH(ROW()-3,BB$4:BB$40,0)))</f>
        <v>12780</v>
      </c>
      <c r="BD17" s="55">
        <f>IF('Final Calculation Sheet'!$J$17="","",'Final Calculation Sheet'!$J$17)</f>
        <v>83780</v>
      </c>
      <c r="BE17">
        <f>IF(BD17="","",COUNTIFS(BD$4:BD$40,"&lt;"&amp;BD17,BD$4:BD$40,"&lt;&gt;"&amp;"")+COUNTIF(BD$4:BD17,BD17))</f>
        <v>14</v>
      </c>
      <c r="BF17" s="55">
        <f>IF(ROW()-3&gt;COUNTIF(BD$4:BD$40,"&lt;&gt;"&amp;""),"",INDEX(BD$4:BD$40,MATCH(ROW()-3,BE$4:BE$40,0)))</f>
        <v>83780</v>
      </c>
      <c r="BG17">
        <f>BG16+IF(AND(BF17&lt;&gt;"",COUNTIF(BF$4:BF17,BF17)=1),1,0)</f>
        <v>14</v>
      </c>
      <c r="BH17" s="55">
        <f>IF(ROW()-3&gt;MAX(BG$4:BG$40),"",INDEX(BF$4:BF$40,MATCH(ROW()-3,BG$4:BG$40,0)))</f>
        <v>83780</v>
      </c>
      <c r="BI17" s="55">
        <f>IF('Final Calculation Sheet'!$K$17="","",'Final Calculation Sheet'!$K$17)</f>
        <v>1676</v>
      </c>
      <c r="BJ17">
        <f>IF(BI17="","",COUNTIFS(BI$4:BI$40,"&lt;"&amp;BI17,BI$4:BI$40,"&lt;&gt;"&amp;"")+COUNTIF(BI$4:BI17,BI17))</f>
        <v>14</v>
      </c>
      <c r="BK17" s="55">
        <f>IF(ROW()-3&gt;COUNTIF(BI$4:BI$40,"&lt;&gt;"&amp;""),"",INDEX(BI$4:BI$40,MATCH(ROW()-3,BJ$4:BJ$40,0)))</f>
        <v>1676</v>
      </c>
      <c r="BL17">
        <f>BL16+IF(AND(BK17&lt;&gt;"",COUNTIF(BK$4:BK17,BK17)=1),1,0)</f>
        <v>14</v>
      </c>
      <c r="BM17" s="55">
        <f>IF(ROW()-3&gt;MAX(BL$4:BL$40),"",INDEX(BK$4:BK$40,MATCH(ROW()-3,BL$4:BL$40,0)))</f>
        <v>1676</v>
      </c>
      <c r="BN17" s="55">
        <f>IF('Final Calculation Sheet'!$L$17="","",'Final Calculation Sheet'!$L$17)</f>
        <v>71</v>
      </c>
      <c r="BO17">
        <f>IF(BN17="","",COUNTIFS(BN$4:BN$40,"&lt;"&amp;BN17,BN$4:BN$40,"&lt;&gt;"&amp;"")+COUNTIF(BN$4:BN17,BN17))</f>
        <v>14</v>
      </c>
      <c r="BP17" s="55">
        <f>IF(ROW()-3&gt;COUNTIF(BN$4:BN$40,"&lt;&gt;"&amp;""),"",INDEX(BN$4:BN$40,MATCH(ROW()-3,BO$4:BO$40,0)))</f>
        <v>71</v>
      </c>
      <c r="BQ17">
        <f>BQ16+IF(AND(BP17&lt;&gt;"",COUNTIF(BP$4:BP17,BP17)=1),1,0)</f>
        <v>14</v>
      </c>
      <c r="BR17" s="55">
        <f>IF(ROW()-3&gt;MAX(BQ$4:BQ$40),"",INDEX(BP$4:BP$40,MATCH(ROW()-3,BQ$4:BQ$40,0)))</f>
        <v>71</v>
      </c>
      <c r="BS17" s="55">
        <f>IF('Final Calculation Sheet'!$M$17="","",'Final Calculation Sheet'!$M$17)</f>
        <v>1885.05</v>
      </c>
      <c r="BT17">
        <f>IF(BS17="","",COUNTIFS(BS$4:BS$40,"&lt;"&amp;BS17,BS$4:BS$40,"&lt;&gt;"&amp;"")+COUNTIF(BS$4:BS17,BS17))</f>
        <v>14</v>
      </c>
      <c r="BU17" s="55">
        <f>IF(ROW()-3&gt;COUNTIF(BS$4:BS$40,"&lt;&gt;"&amp;""),"",INDEX(BS$4:BS$40,MATCH(ROW()-3,BT$4:BT$40,0)))</f>
        <v>1885.05</v>
      </c>
      <c r="BV17">
        <f>BV16+IF(AND(BU17&lt;&gt;"",COUNTIF(BU$4:BU17,BU17)=1),1,0)</f>
        <v>14</v>
      </c>
      <c r="BW17" s="55">
        <f>IF(ROW()-3&gt;MAX(BV$4:BV$40),"",INDEX(BU$4:BU$40,MATCH(ROW()-3,BV$4:BV$40,0)))</f>
        <v>1885.05</v>
      </c>
      <c r="BX17" s="138">
        <f>IF('Final Calculation Sheet'!$N$17="","",'Final Calculation Sheet'!$N$17)</f>
        <v>31.95</v>
      </c>
      <c r="BY17">
        <f>IF(BX17="","",COUNTIFS(BX$4:BX$40,"&lt;"&amp;BX17,BX$4:BX$40,"&lt;&gt;"&amp;"")+COUNTIF(BX$4:BX17,BX17))</f>
        <v>14</v>
      </c>
      <c r="BZ17" s="138">
        <f>IF(ROW()-3&gt;COUNTIF(BX$4:BX$40,"&lt;&gt;"&amp;""),"",INDEX(BX$4:BX$40,MATCH(ROW()-3,BY$4:BY$40,0)))</f>
        <v>31.95</v>
      </c>
      <c r="CA17">
        <f>CA16+IF(AND(BZ17&lt;&gt;"",COUNTIF(BZ$4:BZ17,BZ17)=1),1,0)</f>
        <v>14</v>
      </c>
      <c r="CB17" s="138">
        <f>IF(ROW()-3&gt;MAX(CA$4:CA$40),"",INDEX(BZ$4:BZ$40,MATCH(ROW()-3,CA$4:CA$40,0)))</f>
        <v>31.95</v>
      </c>
      <c r="CC17" s="55">
        <f>IF('Final Calculation Sheet'!$O$17="","",'Final Calculation Sheet'!$O$17)</f>
        <v>1853.1</v>
      </c>
      <c r="CD17">
        <f>IF(CC17="","",COUNTIFS(CC$4:CC$40,"&lt;"&amp;CC17,CC$4:CC$40,"&lt;&gt;"&amp;"")+COUNTIF(CC$4:CC17,CC17))</f>
        <v>14</v>
      </c>
      <c r="CE17" s="55">
        <f>IF(ROW()-3&gt;COUNTIF(CC$4:CC$40,"&lt;&gt;"&amp;""),"",INDEX(CC$4:CC$40,MATCH(ROW()-3,CD$4:CD$40,0)))</f>
        <v>1853.1</v>
      </c>
      <c r="CF17">
        <f>CF16+IF(AND(CE17&lt;&gt;"",COUNTIF(CE$4:CE17,CE17)=1),1,0)</f>
        <v>14</v>
      </c>
      <c r="CG17" s="55">
        <f>IF(ROW()-3&gt;MAX(CF$4:CF$40),"",INDEX(CE$4:CE$40,MATCH(ROW()-3,CF$4:CF$40,0)))</f>
        <v>1853.1</v>
      </c>
      <c r="CH17" s="55">
        <f>IF('Final Calculation Sheet'!$P$17="","",'Final Calculation Sheet'!$P$17)</f>
        <v>1924</v>
      </c>
      <c r="CI17">
        <f>IF(CH17="","",COUNTIFS(CH$4:CH$40,"&lt;"&amp;CH17,CH$4:CH$40,"&lt;&gt;"&amp;"")+COUNTIF(CH$4:CH17,CH17))</f>
        <v>14</v>
      </c>
      <c r="CJ17" s="55">
        <f>IF(ROW()-3&gt;COUNTIF(CH$4:CH$40,"&lt;&gt;"&amp;""),"",INDEX(CH$4:CH$40,MATCH(ROW()-3,CI$4:CI$40,0)))</f>
        <v>1924</v>
      </c>
      <c r="CK17">
        <f>CK16+IF(AND(CJ17&lt;&gt;"",COUNTIF(CJ$4:CJ17,CJ17)=1),1,0)</f>
        <v>14</v>
      </c>
      <c r="CL17" s="55">
        <f>IF(ROW()-3&gt;MAX(CK$4:CK$40),"",INDEX(CJ$4:CJ$40,MATCH(ROW()-3,CK$4:CK$40,0)))</f>
        <v>1924</v>
      </c>
      <c r="CM17" s="139">
        <f>IF('Final Calculation Sheet'!$Q$17="","",'Final Calculation Sheet'!$Q$17)</f>
        <v>0</v>
      </c>
      <c r="CN17">
        <f>IF(CM17="","",COUNTIFS(CM$4:CM$40,"&lt;"&amp;CM17,CM$4:CM$40,"&lt;&gt;"&amp;"")+COUNTIF(CM$4:CM17,CM17))</f>
        <v>12</v>
      </c>
      <c r="CO17" s="139">
        <f>IF(ROW()-3&gt;COUNTIF(CM$4:CM$40,"&lt;&gt;"&amp;""),"",INDEX(CM$4:CM$40,MATCH(ROW()-3,CN$4:CN$40,0)))</f>
        <v>0</v>
      </c>
      <c r="CP17">
        <f>CP16+IF(AND(CO17&lt;&gt;"",COUNTIF(CO$4:CO17,CO17)=1),1,0)</f>
        <v>1</v>
      </c>
      <c r="CQ17" t="str">
        <f>IF(ROW()-3&gt;MAX(CP$4:CP$40),"",INDEX(CO$4:CO$40,MATCH(ROW()-3,CP$4:CP$40,0)))</f>
        <v/>
      </c>
      <c r="CR17" s="55">
        <f>IF('Final Calculation Sheet'!$R$17="","",'Final Calculation Sheet'!$R$17)</f>
        <v>0</v>
      </c>
      <c r="CS17">
        <f>IF(CR17="","",COUNTIFS(CR$4:CR$40,"&lt;"&amp;CR17,CR$4:CR$40,"&lt;&gt;"&amp;"")+COUNTIF(CR$4:CR17,CR17))</f>
        <v>12</v>
      </c>
      <c r="CT17" s="55">
        <f>IF(ROW()-3&gt;COUNTIF(CR$4:CR$40,"&lt;&gt;"&amp;""),"",INDEX(CR$4:CR$40,MATCH(ROW()-3,CS$4:CS$40,0)))</f>
        <v>0</v>
      </c>
      <c r="CU17">
        <f>CU16+IF(AND(CT17&lt;&gt;"",COUNTIF(CT$4:CT17,CT17)=1),1,0)</f>
        <v>1</v>
      </c>
      <c r="CV17" t="str">
        <f>IF(ROW()-3&gt;MAX(CU$4:CU$40),"",INDEX(CT$4:CT$40,MATCH(ROW()-3,CU$4:CU$40,0)))</f>
        <v/>
      </c>
      <c r="CW17" s="55">
        <f>IF('Final Calculation Sheet'!$S$17="","",'Final Calculation Sheet'!$S$17)</f>
        <v>83532</v>
      </c>
      <c r="CX17">
        <f>IF(CW17="","",COUNTIFS(CW$4:CW$40,"&lt;"&amp;CW17,CW$4:CW$40,"&lt;&gt;"&amp;"")+COUNTIF(CW$4:CW17,CW17))</f>
        <v>14</v>
      </c>
      <c r="CY17" s="55">
        <f>IF(ROW()-3&gt;COUNTIF(CW$4:CW$40,"&lt;&gt;"&amp;""),"",INDEX(CW$4:CW$40,MATCH(ROW()-3,CX$4:CX$40,0)))</f>
        <v>83532</v>
      </c>
      <c r="CZ17">
        <f>CZ16+IF(AND(CY17&lt;&gt;"",COUNTIF(CY$4:CY17,CY17)=1),1,0)</f>
        <v>14</v>
      </c>
      <c r="DA17" s="55">
        <f>IF(ROW()-3&gt;MAX(CZ$4:CZ$40),"",INDEX(CY$4:CY$40,MATCH(ROW()-3,CZ$4:CZ$40,0)))</f>
        <v>83532</v>
      </c>
      <c r="DB17" s="55">
        <f>IF('Final Calculation Sheet'!$T$17="","",'Final Calculation Sheet'!$T$17)</f>
        <v>17750</v>
      </c>
      <c r="DC17">
        <f>IF(DB17="","",COUNTIFS(DB$4:DB$40,"&lt;"&amp;DB17,DB$4:DB$40,"&lt;&gt;"&amp;"")+COUNTIF(DB$4:DB17,DB17))</f>
        <v>14</v>
      </c>
      <c r="DD17" s="55">
        <f>IF(ROW()-3&gt;COUNTIF(DB$4:DB$40,"&lt;&gt;"&amp;""),"",INDEX(DB$4:DB$40,MATCH(ROW()-3,DC$4:DC$40,0)))</f>
        <v>17750</v>
      </c>
      <c r="DE17">
        <f>DE16+IF(AND(DD17&lt;&gt;"",COUNTIF(DD$4:DD17,DD17)=1),1,0)</f>
        <v>14</v>
      </c>
      <c r="DF17" s="55">
        <f>IF(ROW()-3&gt;MAX(DE$4:DE$40),"",INDEX(DD$4:DD$40,MATCH(ROW()-3,DE$4:DE$40,0)))</f>
        <v>17750</v>
      </c>
      <c r="DG17" s="140">
        <f>IF('Final Calculation Sheet'!$U$17="","",'Final Calculation Sheet'!$U$17)</f>
        <v>17750</v>
      </c>
      <c r="DH17">
        <f>IF(DG17="","",COUNTIFS(DG$4:DG$40,"&lt;"&amp;DG17,DG$4:DG$40,"&lt;&gt;"&amp;"")+COUNTIF(DG$4:DG17,DG17))</f>
        <v>14</v>
      </c>
      <c r="DI17" s="140">
        <f>IF(ROW()-3&gt;COUNTIF(DG$4:DG$40,"&lt;&gt;"&amp;""),"",INDEX(DG$4:DG$40,MATCH(ROW()-3,DH$4:DH$40,0)))</f>
        <v>17750</v>
      </c>
      <c r="DJ17">
        <f>DJ16+IF(AND(DI17&lt;&gt;"",COUNTIF(DI$4:DI17,DI17)=1),1,0)</f>
        <v>14</v>
      </c>
      <c r="DK17" s="140">
        <f>IF(ROW()-3&gt;MAX(DJ$4:DJ$40),"",INDEX(DI$4:DI$40,MATCH(ROW()-3,DJ$4:DJ$40,0)))</f>
        <v>17750</v>
      </c>
      <c r="DL17" t="str">
        <f>IF('Final Calculation Sheet'!$V$17="","",'Final Calculation Sheet'!$V$17)</f>
        <v>11.08.2026</v>
      </c>
      <c r="DM17">
        <f>IF(DL17="","",COUNTIFS(DL$4:DL$40,"&lt;"&amp;DL17,DL$4:DL$40,"&lt;&gt;"&amp;"")+COUNTIF(DL$4:DL17,DL17))</f>
        <v>6</v>
      </c>
      <c r="DN17" t="str">
        <f>IF(ROW()-3&gt;COUNTIF(DL$4:DL$40,"&lt;&gt;"&amp;""),"",INDEX(DL$4:DL$40,MATCH(ROW()-3,DM$4:DM$40,0)))</f>
        <v>13.08.2026</v>
      </c>
      <c r="DO17">
        <f>DO16+IF(AND(DN17&lt;&gt;"",COUNTIF(DN$4:DN17,DN17)=1),1,0)</f>
        <v>3</v>
      </c>
      <c r="DP17" t="str">
        <f>IF(ROW()-3&gt;MAX(DO$4:DO$40),"",INDEX(DN$4:DN$40,MATCH(ROW()-3,DO$4:DO$40,0)))</f>
        <v/>
      </c>
      <c r="DQ17" s="55">
        <f>IF('Final Calculation Sheet'!$W$17="","",'Final Calculation Sheet'!$W$17)</f>
        <v>65782</v>
      </c>
      <c r="DR17">
        <f>IF(DQ17="","",COUNTIFS(DQ$4:DQ$40,"&lt;"&amp;DQ17,DQ$4:DQ$40,"&lt;&gt;"&amp;"")+COUNTIF(DQ$4:DQ17,DQ17))</f>
        <v>14</v>
      </c>
      <c r="DS17" s="55">
        <f>IF(ROW()-3&gt;COUNTIF(DQ$4:DQ$40,"&lt;&gt;"&amp;""),"",INDEX(DQ$4:DQ$40,MATCH(ROW()-3,DR$4:DR$40,0)))</f>
        <v>65782</v>
      </c>
      <c r="DT17">
        <f>DT16+IF(AND(DS17&lt;&gt;"",COUNTIF(DS$4:DS17,DS17)=1),1,0)</f>
        <v>14</v>
      </c>
      <c r="DU17" s="55">
        <f>IF(ROW()-3&gt;MAX(DT$4:DT$40),"",INDEX(DS$4:DS$40,MATCH(ROW()-3,DT$4:DT$40,0)))</f>
        <v>65782</v>
      </c>
      <c r="DV17" s="55">
        <f>IF('Final Calculation Sheet'!$X$17="","",'Final Calculation Sheet'!$X$17)</f>
        <v>65782</v>
      </c>
      <c r="DW17">
        <f>IF(DV17="","",COUNTIFS(DV$4:DV$40,"&lt;"&amp;DV17,DV$4:DV$40,"&lt;&gt;"&amp;"")+COUNTIF(DV$4:DV17,DV17))</f>
        <v>13</v>
      </c>
      <c r="DX17" s="55">
        <f>IF(ROW()-3&gt;COUNTIF(DV$4:DV$40,"&lt;&gt;"&amp;""),"",INDEX(DV$4:DV$40,MATCH(ROW()-3,DW$4:DW$40,0)))</f>
        <v>69491</v>
      </c>
      <c r="DY17">
        <f>DY16+IF(AND(DX17&lt;&gt;"",COUNTIF(DX$4:DX17,DX17)=1),1,0)</f>
        <v>14</v>
      </c>
      <c r="DZ17" t="e">
        <f>IF(ROW()-3&gt;MAX(DY$4:DY$40),"",INDEX(DX$4:DX$40,MATCH(ROW()-3,DY$4:DY$40,0)))</f>
        <v>#N/A</v>
      </c>
      <c r="EA17" t="str">
        <f>IF('Final Calculation Sheet'!$Y$17="","",'Final Calculation Sheet'!$Y$17)</f>
        <v>11.08.2026</v>
      </c>
      <c r="EB17">
        <f>IF(EA17="","",COUNTIFS(EA$4:EA$40,"&lt;"&amp;EA17,EA$4:EA$40,"&lt;&gt;"&amp;"")+COUNTIF(EA$4:EA17,EA17))</f>
        <v>6</v>
      </c>
      <c r="EC17" t="str">
        <f>IF(ROW()-3&gt;COUNTIF(EA$4:EA$40,"&lt;&gt;"&amp;""),"",INDEX(EA$4:EA$40,MATCH(ROW()-3,EB$4:EB$40,0)))</f>
        <v>20.08.2026</v>
      </c>
      <c r="ED17">
        <f>ED16+IF(AND(EC17&lt;&gt;"",COUNTIF(EC$4:EC17,EC17)=1),1,0)</f>
        <v>7</v>
      </c>
      <c r="EE17" t="e">
        <f>IF(ROW()-3&gt;MAX(ED$4:ED$40),"",INDEX(EC$4:EC$40,MATCH(ROW()-3,ED$4:ED$40,0)))</f>
        <v>#N/A</v>
      </c>
      <c r="EF17" s="55">
        <f>IF('Final Calculation Sheet'!$Z$17="","",'Final Calculation Sheet'!$Z$17)</f>
        <v>0</v>
      </c>
      <c r="EG17">
        <f>IF(EF17="","",COUNTIFS(EF$4:EF$40,"&lt;"&amp;EF17,EF$4:EF$40,"&lt;&gt;"&amp;"")+COUNTIF(EF$4:EF17,EF17))</f>
        <v>14</v>
      </c>
      <c r="EH17" s="55">
        <f>IF(ROW()-3&gt;COUNTIF(EF$4:EF$40,"&lt;&gt;"&amp;""),"",INDEX(EF$4:EF$40,MATCH(ROW()-3,EG$4:EG$40,0)))</f>
        <v>0</v>
      </c>
      <c r="EI17">
        <f>EI16+IF(AND(EH17&lt;&gt;"",COUNTIF(EH$4:EH17,EH17)=1),1,0)</f>
        <v>1</v>
      </c>
      <c r="EJ17" t="str">
        <f>IF(ROW()-3&gt;MAX(EI$4:EI$40),"",INDEX(EH$4:EH$40,MATCH(ROW()-3,EI$4:EI$40,0)))</f>
        <v/>
      </c>
      <c r="EK17" t="str">
        <f>IF('Final Calculation Sheet'!$AA$17="","",'Final Calculation Sheet'!$AA$17)</f>
        <v/>
      </c>
      <c r="EL17" t="str">
        <f>IF(EK17="","",COUNTIFS(EK$4:EK$40,"&lt;"&amp;EK17,EK$4:EK$40,"&lt;&gt;"&amp;"")+COUNTIF(EK$4:EK17,EK17))</f>
        <v/>
      </c>
      <c r="EM17" t="e">
        <f>IF(ROW()-3&gt;COUNTIF(EK$4:EK$40,"&lt;&gt;"&amp;""),"",INDEX(EK$4:EK$40,MATCH(ROW()-3,EL$4:EL$40,0)))</f>
        <v>#N/A</v>
      </c>
      <c r="EN17" t="e">
        <f>EN16+IF(AND(EM17&lt;&gt;"",COUNTIF(EM$4:EM17,EM17)=1),1,0)</f>
        <v>#N/A</v>
      </c>
      <c r="EO17" t="e">
        <f>IF(ROW()-3&gt;MAX(EN$4:EN$40),"",INDEX(EM$4:EM$40,MATCH(ROW()-3,EN$4:EN$40,0)))</f>
        <v>#N/A</v>
      </c>
      <c r="EP17" t="str">
        <f>IF('Final Calculation Sheet'!$AB$17="","",'Final Calculation Sheet'!$AB$17)</f>
        <v/>
      </c>
      <c r="EQ17" t="str">
        <f>IF(EP17="","",COUNTIFS(EP$4:EP$40,"&lt;"&amp;EP17,EP$4:EP$40,"&lt;&gt;"&amp;"")+COUNTIF(EP$4:EP17,EP17))</f>
        <v/>
      </c>
      <c r="ER17" t="e">
        <f>IF(ROW()-3&gt;COUNTIF(EP$4:EP$40,"&lt;&gt;"&amp;""),"",INDEX(EP$4:EP$40,MATCH(ROW()-3,EQ$4:EQ$40,0)))</f>
        <v>#N/A</v>
      </c>
      <c r="ES17" t="e">
        <f>ES16+IF(AND(ER17&lt;&gt;"",COUNTIF(ER$4:ER17,ER17)=1),1,0)</f>
        <v>#N/A</v>
      </c>
      <c r="ET17" t="e">
        <f>IF(ROW()-3&gt;MAX(ES$4:ES$40),"",INDEX(ER$4:ER$40,MATCH(ROW()-3,ES$4:ES$40,0)))</f>
        <v>#N/A</v>
      </c>
      <c r="EU17" s="55">
        <f>IF('Final Calculation Sheet'!$AC$17="","",'Final Calculation Sheet'!$AC$17)</f>
        <v>83532</v>
      </c>
      <c r="EV17">
        <f>IF(EU17="","",COUNTIFS(EU$4:EU$40,"&lt;"&amp;EU17,EU$4:EU$40,"&lt;&gt;"&amp;"")+COUNTIF(EU$4:EU17,EU17))</f>
        <v>15</v>
      </c>
      <c r="EW17" s="55">
        <f>IF(ROW()-3&gt;COUNTIF(EU$4:EU$40,"&lt;&gt;"&amp;""),"",INDEX(EU$4:EU$40,MATCH(ROW()-3,EV$4:EV$40,0)))</f>
        <v>82361</v>
      </c>
      <c r="EX17">
        <f>EX16+IF(AND(EW17&lt;&gt;"",COUNTIF(EW$4:EW17,EW17)=1),1,0)</f>
        <v>14</v>
      </c>
      <c r="EY17" s="55">
        <f>IF(ROW()-3&gt;MAX(EX$4:EX$40),"",INDEX(EW$4:EW$40,MATCH(ROW()-3,EX$4:EX$40,0)))</f>
        <v>82361</v>
      </c>
      <c r="EZ17" s="55">
        <f>IF('Final Calculation Sheet'!$AD$17="","",'Final Calculation Sheet'!$AD$17)</f>
        <v>0</v>
      </c>
      <c r="FA17">
        <f>IF(EZ17="","",COUNTIFS(EZ$4:EZ$40,"&lt;"&amp;EZ17,EZ$4:EZ$40,"&lt;&gt;"&amp;"")+COUNTIF(EZ$4:EZ17,EZ17))</f>
        <v>15</v>
      </c>
      <c r="FB17" s="55">
        <f>IF(ROW()-3&gt;COUNTIF(EZ$4:EZ$40,"&lt;&gt;"&amp;""),"",INDEX(EZ$4:EZ$40,MATCH(ROW()-3,FA$4:FA$40,0)))</f>
        <v>0</v>
      </c>
      <c r="FC17" t="e">
        <f>FC16+IF(AND(FB17&lt;&gt;"",COUNTIF(FB$4:FB17,FB17)=1),1,0)</f>
        <v>#N/A</v>
      </c>
      <c r="FD17" t="e">
        <f>IF(ROW()-3&gt;MAX(FC$4:FC$40),"",INDEX(FB$4:FB$40,MATCH(ROW()-3,FC$4:FC$40,0)))</f>
        <v>#N/A</v>
      </c>
      <c r="FE17" t="str">
        <f>IF('Final Calculation Sheet'!$AE$17="","",'Final Calculation Sheet'!$AE$17)</f>
        <v>DR2640100020</v>
      </c>
      <c r="FF17">
        <f>IF(FE17="","",COUNTIFS(FE$4:FE$40,"&lt;"&amp;FE17,FE$4:FE$40,"&lt;&gt;"&amp;"")+COUNTIF(FE$4:FE17,FE17))</f>
        <v>9</v>
      </c>
      <c r="FG17" t="str">
        <f>IF(ROW()-3&gt;COUNTIF(FE$4:FE$40,"&lt;&gt;"&amp;""),"",INDEX(FE$4:FE$40,MATCH(ROW()-3,FF$4:FF$40,0)))</f>
        <v>DR2640100025</v>
      </c>
      <c r="FH17" t="e">
        <f>FH16+IF(AND(FG17&lt;&gt;"",COUNTIF(FG$4:FG17,FG17)=1),1,0)</f>
        <v>#N/A</v>
      </c>
      <c r="FI17" t="e">
        <f>IF(ROW()-3&gt;MAX(FH$4:FH$40),"",INDEX(FG$4:FG$40,MATCH(ROW()-3,FH$4:FH$40,0)))</f>
        <v>#N/A</v>
      </c>
      <c r="FJ17" s="141">
        <f>IF('Final Calculation Sheet'!$AF$17="","",'Final Calculation Sheet'!$AF$17)</f>
        <v>1800003158</v>
      </c>
      <c r="FK17">
        <f>IF(FJ17="","",COUNTIFS(FJ$4:FJ$40,"&lt;"&amp;FJ17,FJ$4:FJ$40,"&lt;&gt;"&amp;"")+COUNTIF(FJ$4:FJ17,FJ17))</f>
        <v>4</v>
      </c>
      <c r="FL17" s="141">
        <f>IF(ROW()-3&gt;COUNTIF(FJ$4:FJ$40,"&lt;&gt;"&amp;""),"",INDEX(FJ$4:FJ$40,MATCH(ROW()-3,FK$4:FK$40,0)))</f>
        <v>1800003302</v>
      </c>
      <c r="FM17">
        <f>FM16+IF(AND(FL17&lt;&gt;"",COUNTIF(FL$4:FL17,FL17)=1),1,0)</f>
        <v>14</v>
      </c>
      <c r="FN17" t="e">
        <f>IF(ROW()-3&gt;MAX(FM$4:FM$40),"",INDEX(FL$4:FL$40,MATCH(ROW()-3,FM$4:FM$40,0)))</f>
        <v>#N/A</v>
      </c>
      <c r="FO17" t="str">
        <f>IF('Final Calculation Sheet'!$AG$17="","",'Final Calculation Sheet'!$AG$17)</f>
        <v>14.08.2026</v>
      </c>
      <c r="FP17">
        <f>IF(FO17="","",COUNTIFS(FO$4:FO$40,"&lt;"&amp;FO17,FO$4:FO$40,"&lt;&gt;"&amp;"")+COUNTIF(FO$4:FO17,FO17))</f>
        <v>9</v>
      </c>
      <c r="FQ17" t="str">
        <f>IF(ROW()-3&gt;COUNTIF(FO$4:FO$40,"&lt;&gt;"&amp;""),"",INDEX(FO$4:FO$40,MATCH(ROW()-3,FP$4:FP$40,0)))</f>
        <v>19.08.2026</v>
      </c>
      <c r="FR17" t="e">
        <f>FR16+IF(AND(FQ17&lt;&gt;"",COUNTIF(FQ$4:FQ17,FQ17)=1),1,0)</f>
        <v>#N/A</v>
      </c>
      <c r="FS17" t="e">
        <f>IF(ROW()-3&gt;MAX(FR$4:FR$40),"",INDEX(FQ$4:FQ$40,MATCH(ROW()-3,FR$4:FR$40,0)))</f>
        <v>#N/A</v>
      </c>
      <c r="FU17" t="str">
        <f>IF(FT17="","",COUNTIFS(FT$4:FT$40,"&lt;"&amp;FT17,FT$4:FT$40,"&lt;&gt;"&amp;"")+COUNTIF(FT$4:FT17,FT17))</f>
        <v/>
      </c>
      <c r="FV17" t="str">
        <f>IF(ROW()-3&gt;COUNTIF(FT$4:FT$40,"&lt;&gt;"&amp;""),"",INDEX(FT$4:FT$40,MATCH(ROW()-3,FU$4:FU$40,0)))</f>
        <v/>
      </c>
      <c r="FW17">
        <f>FW16+IF(AND(FV17&lt;&gt;"",COUNTIF(FV$4:FV17,FV17)=1),1,0)</f>
        <v>2</v>
      </c>
      <c r="FX17" t="str">
        <f>IF(ROW()-3&gt;MAX(FW$4:FW$40),"",INDEX(FV$4:FV$40,MATCH(ROW()-3,FW$4:FW$40,0)))</f>
        <v/>
      </c>
    </row>
    <row r="18">
      <c r="A18">
        <f>IF('Final Calculation Sheet'!$F$18="","",'Final Calculation Sheet'!$F$18)</f>
        <v>2018</v>
      </c>
      <c r="B18">
        <f>IF(A18="","",COUNTIFS(A$4:A$114,"&lt;"&amp;A18,A$4:A$114,"&lt;&gt;"&amp;"")+COUNTIF(A$4:A18,A18))</f>
        <v>15</v>
      </c>
      <c r="C18">
        <f>IF(ROW()-3&gt;COUNTIF(A$4:A$114,"&lt;&gt;"&amp;""),"",INDEX(A$4:A$114,MATCH(ROW()-3,B$4:B$114,0)))</f>
        <v>2018</v>
      </c>
      <c r="D18">
        <f>D17+IF(AND(C18&lt;&gt;"",COUNTIF(C$4:C18,C18)=1),1,0)</f>
        <v>15</v>
      </c>
      <c r="E18" t="e">
        <f>IF(ROW()-3&gt;MAX(D$4:D$114),"",INDEX(C$4:C$114,MATCH(ROW()-3,D$4:D$114,0)))</f>
        <v>#N/A</v>
      </c>
      <c r="F18">
        <f>ROW()-3</f>
        <v>15</v>
      </c>
      <c r="G18">
        <f>IF(F18="","",COUNTIFS(F$4:F$40,"&lt;"&amp;F18,F$4:F$40,"&lt;&gt;"&amp;"")+COUNTIF(F$4:F18,F18))</f>
        <v>15</v>
      </c>
      <c r="H18">
        <f>IF(ROW()-3&gt;COUNTIF(F$4:F$40,"&lt;&gt;"&amp;""),"",INDEX(F$4:F$40,MATCH(ROW()-3,G$4:G$40,0)))</f>
        <v>15</v>
      </c>
      <c r="I18">
        <f>I17+IF(AND(H18&lt;&gt;"",COUNTIF(H$4:H18,H18)=1),1,0)</f>
        <v>15</v>
      </c>
      <c r="J18">
        <f>IF(ROW()-3&gt;MAX(I$4:I$40),"",INDEX(H$4:H$40,MATCH(ROW()-3,I$4:I$40,0)))</f>
        <v>15</v>
      </c>
      <c r="K18">
        <f>IF('Final Calculation Sheet'!$F$18="","",'Final Calculation Sheet'!$F$18)</f>
        <v>2018</v>
      </c>
      <c r="L18">
        <f>IF(K18="","",COUNTIFS(K$4:K$40,"&lt;"&amp;K18,K$4:K$40,"&lt;&gt;"&amp;"")+COUNTIF(K$4:K18,K18))</f>
        <v>15</v>
      </c>
      <c r="M18">
        <f>IF(ROW()-3&gt;COUNTIF(K$4:K$40,"&lt;&gt;"&amp;""),"",INDEX(K$4:K$40,MATCH(ROW()-3,L$4:L$40,0)))</f>
        <v>2018</v>
      </c>
      <c r="N18">
        <f>N17+IF(AND(M18&lt;&gt;"",COUNTIF(M$4:M18,M18)=1),1,0)</f>
        <v>15</v>
      </c>
      <c r="O18">
        <f>IF(ROW()-3&gt;MAX(N$4:N$40),"",INDEX(M$4:M$40,MATCH(ROW()-3,N$4:N$40,0)))</f>
        <v>2018</v>
      </c>
      <c r="P18" t="str">
        <f>IF('Final Calculation Sheet'!$G$18="","",'Final Calculation Sheet'!$G$18)</f>
        <v>NATIONAL ENTERPRISES</v>
      </c>
      <c r="Q18">
        <f>IF(P18="","",COUNTIFS(P$4:P$40,"&lt;"&amp;P18,P$4:P$40,"&lt;&gt;"&amp;"")+COUNTIF(P$4:P18,P18))</f>
        <v>11</v>
      </c>
      <c r="R18" t="str">
        <f>IF(ROW()-3&gt;COUNTIF(P$4:P$40,"&lt;&gt;"&amp;""),"",INDEX(P$4:P$40,MATCH(ROW()-3,Q$4:Q$40,0)))</f>
        <v>NATIONAL ENTERPRISES</v>
      </c>
      <c r="S18">
        <f>S17+IF(AND(R18&lt;&gt;"",COUNTIF(R$4:R18,R18)=1),1,0)</f>
        <v>6</v>
      </c>
      <c r="T18" t="str">
        <f>IF(ROW()-3&gt;MAX(S$4:S$40),"",INDEX(R$4:R$40,MATCH(ROW()-3,S$4:S$40,0)))</f>
        <v/>
      </c>
      <c r="U18" t="str">
        <f>IF('Final Calculation Sheet'!$B$18="","",'Final Calculation Sheet'!$B$18)</f>
        <v>Scrap of 220 KV Circuit Breaker</v>
      </c>
      <c r="V18">
        <f>IF(U18="","",COUNTIFS(U$4:U$40,"&lt;"&amp;U18,U$4:U$40,"&lt;&gt;"&amp;"")+COUNTIF(U$4:U18,U18))</f>
        <v>15</v>
      </c>
      <c r="W18" t="str">
        <f>IF(ROW()-3&gt;COUNTIF(U$4:U$40,"&lt;&gt;"&amp;""),"",INDEX(U$4:U$40,MATCH(ROW()-3,V$4:V$40,0)))</f>
        <v>Scrap of 220 KV Circuit Breaker</v>
      </c>
      <c r="X18">
        <f>X17+IF(AND(W18&lt;&gt;"",COUNTIF(W$4:W18,W18)=1),1,0)</f>
        <v>9</v>
      </c>
      <c r="Y18" t="str">
        <f>IF(ROW()-3&gt;MAX(X$4:X$40),"",INDEX(W$4:W$40,MATCH(ROW()-3,X$4:X$40,0)))</f>
        <v>Scrap of 66 KV Isolater</v>
      </c>
      <c r="Z18">
        <f>IF('Final Calculation Sheet'!$D$18="","",'Final Calculation Sheet'!$D$18)</f>
        <v>21978</v>
      </c>
      <c r="AA18">
        <f>IF(Z18="","",COUNTIFS(Z$4:Z$40,"&lt;"&amp;Z18,Z$4:Z$40,"&lt;&gt;"&amp;"")+COUNTIF(Z$4:Z18,Z18))</f>
        <v>13</v>
      </c>
      <c r="AB18">
        <f>IF(ROW()-3&gt;COUNTIF(Z$4:Z$40,"&lt;&gt;"&amp;""),"",INDEX(Z$4:Z$40,MATCH(ROW()-3,AA$4:AA$40,0)))</f>
        <v>21978</v>
      </c>
      <c r="AC18">
        <f>AC17+IF(AND(AB18&lt;&gt;"",COUNTIF(AB$4:AB18,AB18)=1),1,0)</f>
        <v>2</v>
      </c>
      <c r="AD18" t="str">
        <f>IF(ROW()-3&gt;MAX(AC$4:AC$40),"",INDEX(AB$4:AB$40,MATCH(ROW()-3,AC$4:AC$40,0)))</f>
        <v/>
      </c>
      <c r="AE18">
        <f>IF('Final Calculation Sheet'!$A$18="","",'Final Calculation Sheet'!$A$18)</f>
        <v>1</v>
      </c>
      <c r="AF18">
        <f>IF(AE18="","",COUNTIFS(AE$4:AE$40,"&lt;"&amp;AE18,AE$4:AE$40,"&lt;&gt;"&amp;"")+COUNTIF(AE$4:AE18,AE18))</f>
        <v>5</v>
      </c>
      <c r="AG18">
        <f>IF(ROW()-3&gt;COUNTIF(AE$4:AE$40,"&lt;&gt;"&amp;""),"",INDEX(AE$4:AE$40,MATCH(ROW()-3,AF$4:AF$40,0)))</f>
        <v>3</v>
      </c>
      <c r="AH18">
        <f>AH17+IF(AND(AG18&lt;&gt;"",COUNTIF(AG$4:AG18,AG18)=1),1,0)</f>
        <v>3</v>
      </c>
      <c r="AI18">
        <f>IF(ROW()-3&gt;MAX(AH$4:AH$40),"",INDEX(AG$4:AG$40,MATCH(ROW()-3,AH$4:AH$40,0)))</f>
        <v>250</v>
      </c>
      <c r="AJ18" t="str">
        <f>IF('Final Calculation Sheet'!$E$18="","",'Final Calculation Sheet'!$E$18)</f>
        <v>NO</v>
      </c>
      <c r="AK18">
        <f>IF(AJ18="","",COUNTIFS(AJ$4:AJ$40,"&lt;"&amp;AJ18,AJ$4:AJ$40,"&lt;&gt;"&amp;"")+COUNTIF(AJ$4:AJ18,AJ18))</f>
        <v>18</v>
      </c>
      <c r="AL18" t="str">
        <f>IF(ROW()-3&gt;COUNTIF(AJ$4:AJ$40,"&lt;&gt;"&amp;""),"",INDEX(AJ$4:AJ$40,MATCH(ROW()-3,AK$4:AK$40,0)))</f>
        <v>NO</v>
      </c>
      <c r="AM18">
        <f>AM17+IF(AND(AL18&lt;&gt;"",COUNTIF(AL$4:AL18,AL18)=1),1,0)</f>
        <v>3</v>
      </c>
      <c r="AN18" t="str">
        <f>IF(ROW()-3&gt;MAX(AM$4:AM$40),"",INDEX(AL$4:AL$40,MATCH(ROW()-3,AM$4:AM$40,0)))</f>
        <v/>
      </c>
      <c r="AO18" s="55">
        <f>IF('Final Calculation Sheet'!$C$18="","",'Final Calculation Sheet'!$C$18)</f>
        <v>220001</v>
      </c>
      <c r="AP18">
        <f>IF(AO18="","",COUNTIFS(AO$4:AO$40,"&lt;"&amp;AO18,AO$4:AO$40,"&lt;&gt;"&amp;"")+COUNTIF(AO$4:AO18,AO18))</f>
        <v>35</v>
      </c>
      <c r="AQ18" s="55">
        <f>IF(ROW()-3&gt;COUNTIF(AO$4:AO$40,"&lt;&gt;"&amp;""),"",INDEX(AO$4:AO$40,MATCH(ROW()-3,AP$4:AP$40,0)))</f>
        <v>1181</v>
      </c>
      <c r="AR18">
        <f>AR17+IF(AND(AQ18&lt;&gt;"",COUNTIF(AQ$4:AQ18,AQ18)=1),1,0)</f>
        <v>13</v>
      </c>
      <c r="AS18" s="55">
        <f>IF(ROW()-3&gt;MAX(AR$4:AR$40),"",INDEX(AQ$4:AQ$40,MATCH(ROW()-3,AR$4:AR$40,0)))</f>
        <v>14001</v>
      </c>
      <c r="AT18" s="55">
        <f>IF('Final Calculation Sheet'!$H$18="","",'Final Calculation Sheet'!$H$18)</f>
        <v>220001</v>
      </c>
      <c r="AU18">
        <f>IF(AT18="","",COUNTIFS(AT$4:AT$40,"&lt;"&amp;AT18,AT$4:AT$40,"&lt;&gt;"&amp;"")+COUNTIF(AT$4:AT18,AT18))</f>
        <v>26</v>
      </c>
      <c r="AV18" s="55">
        <f>IF(ROW()-3&gt;COUNTIF(AT$4:AT$40,"&lt;&gt;"&amp;""),"",INDEX(AT$4:AT$40,MATCH(ROW()-3,AU$4:AU$40,0)))</f>
        <v>75003</v>
      </c>
      <c r="AW18">
        <f>AW17+IF(AND(AV18&lt;&gt;"",COUNTIF(AV$4:AV18,AV18)=1),1,0)</f>
        <v>15</v>
      </c>
      <c r="AX18" s="55">
        <f>IF(ROW()-3&gt;MAX(AW$4:AW$40),"",INDEX(AV$4:AV$40,MATCH(ROW()-3,AW$4:AW$40,0)))</f>
        <v>75003</v>
      </c>
      <c r="AY18" s="55">
        <f>IF('Final Calculation Sheet'!$I$18="","",'Final Calculation Sheet'!$I$18)</f>
        <v>39600</v>
      </c>
      <c r="AZ18">
        <f>IF(AY18="","",COUNTIFS(AY$4:AY$40,"&lt;"&amp;AY18,AY$4:AY$40,"&lt;&gt;"&amp;"")+COUNTIF(AY$4:AY18,AY18))</f>
        <v>26</v>
      </c>
      <c r="BA18" s="55">
        <f>IF(ROW()-3&gt;COUNTIF(AY$4:AY$40,"&lt;&gt;"&amp;""),"",INDEX(AY$4:AY$40,MATCH(ROW()-3,AZ$4:AZ$40,0)))</f>
        <v>13501</v>
      </c>
      <c r="BB18">
        <f>BB17+IF(AND(BA18&lt;&gt;"",COUNTIF(BA$4:BA18,BA18)=1),1,0)</f>
        <v>15</v>
      </c>
      <c r="BC18" s="55">
        <f>IF(ROW()-3&gt;MAX(BB$4:BB$40),"",INDEX(BA$4:BA$40,MATCH(ROW()-3,BB$4:BB$40,0)))</f>
        <v>13501</v>
      </c>
      <c r="BD18" s="55">
        <f>IF('Final Calculation Sheet'!$J$18="","",'Final Calculation Sheet'!$J$18)</f>
        <v>259601</v>
      </c>
      <c r="BE18">
        <f>IF(BD18="","",COUNTIFS(BD$4:BD$40,"&lt;"&amp;BD18,BD$4:BD$40,"&lt;&gt;"&amp;"")+COUNTIF(BD$4:BD18,BD18))</f>
        <v>26</v>
      </c>
      <c r="BF18" s="55">
        <f>IF(ROW()-3&gt;COUNTIF(BD$4:BD$40,"&lt;&gt;"&amp;""),"",INDEX(BD$4:BD$40,MATCH(ROW()-3,BE$4:BE$40,0)))</f>
        <v>88504</v>
      </c>
      <c r="BG18">
        <f>BG17+IF(AND(BF18&lt;&gt;"",COUNTIF(BF$4:BF18,BF18)=1),1,0)</f>
        <v>15</v>
      </c>
      <c r="BH18" s="55">
        <f>IF(ROW()-3&gt;MAX(BG$4:BG$40),"",INDEX(BF$4:BF$40,MATCH(ROW()-3,BG$4:BG$40,0)))</f>
        <v>88504</v>
      </c>
      <c r="BI18" s="55">
        <f>IF('Final Calculation Sheet'!$K$18="","",'Final Calculation Sheet'!$K$18)</f>
        <v>5192</v>
      </c>
      <c r="BJ18">
        <f>IF(BI18="","",COUNTIFS(BI$4:BI$40,"&lt;"&amp;BI18,BI$4:BI$40,"&lt;&gt;"&amp;"")+COUNTIF(BI$4:BI18,BI18))</f>
        <v>26</v>
      </c>
      <c r="BK18" s="55">
        <f>IF(ROW()-3&gt;COUNTIF(BI$4:BI$40,"&lt;&gt;"&amp;""),"",INDEX(BI$4:BI$40,MATCH(ROW()-3,BJ$4:BJ$40,0)))</f>
        <v>1770</v>
      </c>
      <c r="BL18">
        <f>BL17+IF(AND(BK18&lt;&gt;"",COUNTIF(BK$4:BK18,BK18)=1),1,0)</f>
        <v>15</v>
      </c>
      <c r="BM18" s="55">
        <f>IF(ROW()-3&gt;MAX(BL$4:BL$40),"",INDEX(BK$4:BK$40,MATCH(ROW()-3,BL$4:BL$40,0)))</f>
        <v>1770</v>
      </c>
      <c r="BN18" s="55">
        <f>IF('Final Calculation Sheet'!$L$18="","",'Final Calculation Sheet'!$L$18)</f>
        <v>220.001</v>
      </c>
      <c r="BO18">
        <f>IF(BN18="","",COUNTIFS(BN$4:BN$40,"&lt;"&amp;BN18,BN$4:BN$40,"&lt;&gt;"&amp;"")+COUNTIF(BN$4:BN18,BN18))</f>
        <v>26</v>
      </c>
      <c r="BP18" s="55">
        <f>IF(ROW()-3&gt;COUNTIF(BN$4:BN$40,"&lt;&gt;"&amp;""),"",INDEX(BN$4:BN$40,MATCH(ROW()-3,BO$4:BO$40,0)))</f>
        <v>75.003</v>
      </c>
      <c r="BQ18">
        <f>BQ17+IF(AND(BP18&lt;&gt;"",COUNTIF(BP$4:BP18,BP18)=1),1,0)</f>
        <v>15</v>
      </c>
      <c r="BR18" s="55">
        <f>IF(ROW()-3&gt;MAX(BQ$4:BQ$40),"",INDEX(BP$4:BP$40,MATCH(ROW()-3,BQ$4:BQ$40,0)))</f>
        <v>75.003</v>
      </c>
      <c r="BS18" s="55">
        <f>IF('Final Calculation Sheet'!$M$18="","",'Final Calculation Sheet'!$M$18)</f>
        <v>5841.0265499999996</v>
      </c>
      <c r="BT18">
        <f>IF(BS18="","",COUNTIFS(BS$4:BS$40,"&lt;"&amp;BS18,BS$4:BS$40,"&lt;&gt;"&amp;"")+COUNTIF(BS$4:BS18,BS18))</f>
        <v>26</v>
      </c>
      <c r="BU18" s="55">
        <f>IF(ROW()-3&gt;COUNTIF(BS$4:BS$40,"&lt;&gt;"&amp;""),"",INDEX(BS$4:BS$40,MATCH(ROW()-3,BT$4:BT$40,0)))</f>
        <v>1991.3296499999997</v>
      </c>
      <c r="BV18">
        <f>BV17+IF(AND(BU18&lt;&gt;"",COUNTIF(BU$4:BU18,BU18)=1),1,0)</f>
        <v>15</v>
      </c>
      <c r="BW18" s="55">
        <f>IF(ROW()-3&gt;MAX(BV$4:BV$40),"",INDEX(BU$4:BU$40,MATCH(ROW()-3,BV$4:BV$40,0)))</f>
        <v>1991.3296499999997</v>
      </c>
      <c r="BX18" s="138">
        <f>IF('Final Calculation Sheet'!$N$18="","",'Final Calculation Sheet'!$N$18)</f>
        <v>99.000450000000001</v>
      </c>
      <c r="BY18">
        <f>IF(BX18="","",COUNTIFS(BX$4:BX$40,"&lt;"&amp;BX18,BX$4:BX$40,"&lt;&gt;"&amp;"")+COUNTIF(BX$4:BX18,BX18))</f>
        <v>26</v>
      </c>
      <c r="BZ18" s="138">
        <f>IF(ROW()-3&gt;COUNTIF(BX$4:BX$40,"&lt;&gt;"&amp;""),"",INDEX(BX$4:BX$40,MATCH(ROW()-3,BY$4:BY$40,0)))</f>
        <v>33.751349999999995</v>
      </c>
      <c r="CA18">
        <f>CA17+IF(AND(BZ18&lt;&gt;"",COUNTIF(BZ$4:BZ18,BZ18)=1),1,0)</f>
        <v>15</v>
      </c>
      <c r="CB18" s="138">
        <f>IF(ROW()-3&gt;MAX(CA$4:CA$40),"",INDEX(BZ$4:BZ$40,MATCH(ROW()-3,CA$4:CA$40,0)))</f>
        <v>33.751349999999995</v>
      </c>
      <c r="CC18" s="55">
        <f>IF('Final Calculation Sheet'!$O$18="","",'Final Calculation Sheet'!$O$18)</f>
        <v>5742.0260999999991</v>
      </c>
      <c r="CD18">
        <f>IF(CC18="","",COUNTIFS(CC$4:CC$40,"&lt;"&amp;CC18,CC$4:CC$40,"&lt;&gt;"&amp;"")+COUNTIF(CC$4:CC18,CC18))</f>
        <v>26</v>
      </c>
      <c r="CE18" s="55">
        <f>IF(ROW()-3&gt;COUNTIF(CC$4:CC$40,"&lt;&gt;"&amp;""),"",INDEX(CC$4:CC$40,MATCH(ROW()-3,CD$4:CD$40,0)))</f>
        <v>1957.5782999999997</v>
      </c>
      <c r="CF18">
        <f>CF17+IF(AND(CE18&lt;&gt;"",COUNTIF(CE$4:CE18,CE18)=1),1,0)</f>
        <v>15</v>
      </c>
      <c r="CG18" s="55">
        <f>IF(ROW()-3&gt;MAX(CF$4:CF$40),"",INDEX(CE$4:CE$40,MATCH(ROW()-3,CF$4:CF$40,0)))</f>
        <v>1957.5782999999997</v>
      </c>
      <c r="CH18" s="55">
        <f>IF('Final Calculation Sheet'!$P$18="","",'Final Calculation Sheet'!$P$18)</f>
        <v>5962</v>
      </c>
      <c r="CI18">
        <f>IF(CH18="","",COUNTIFS(CH$4:CH$40,"&lt;"&amp;CH18,CH$4:CH$40,"&lt;&gt;"&amp;"")+COUNTIF(CH$4:CH18,CH18))</f>
        <v>26</v>
      </c>
      <c r="CJ18" s="55">
        <f>IF(ROW()-3&gt;COUNTIF(CH$4:CH$40,"&lt;&gt;"&amp;""),"",INDEX(CH$4:CH$40,MATCH(ROW()-3,CI$4:CI$40,0)))</f>
        <v>2033</v>
      </c>
      <c r="CK18">
        <f>CK17+IF(AND(CJ18&lt;&gt;"",COUNTIF(CJ$4:CJ18,CJ18)=1),1,0)</f>
        <v>15</v>
      </c>
      <c r="CL18" s="55">
        <f>IF(ROW()-3&gt;MAX(CK$4:CK$40),"",INDEX(CJ$4:CJ$40,MATCH(ROW()-3,CK$4:CK$40,0)))</f>
        <v>2033</v>
      </c>
      <c r="CM18" s="139">
        <f>IF('Final Calculation Sheet'!$Q$18="","",'Final Calculation Sheet'!$Q$18)</f>
        <v>0</v>
      </c>
      <c r="CN18">
        <f>IF(CM18="","",COUNTIFS(CM$4:CM$40,"&lt;"&amp;CM18,CM$4:CM$40,"&lt;&gt;"&amp;"")+COUNTIF(CM$4:CM18,CM18))</f>
        <v>13</v>
      </c>
      <c r="CO18" s="139">
        <f>IF(ROW()-3&gt;COUNTIF(CM$4:CM$40,"&lt;&gt;"&amp;""),"",INDEX(CM$4:CM$40,MATCH(ROW()-3,CN$4:CN$40,0)))</f>
        <v>0</v>
      </c>
      <c r="CP18">
        <f>CP17+IF(AND(CO18&lt;&gt;"",COUNTIF(CO$4:CO18,CO18)=1),1,0)</f>
        <v>1</v>
      </c>
      <c r="CQ18" t="str">
        <f>IF(ROW()-3&gt;MAX(CP$4:CP$40),"",INDEX(CO$4:CO$40,MATCH(ROW()-3,CP$4:CP$40,0)))</f>
        <v/>
      </c>
      <c r="CR18" s="55">
        <f>IF('Final Calculation Sheet'!$R$18="","",'Final Calculation Sheet'!$R$18)</f>
        <v>0</v>
      </c>
      <c r="CS18">
        <f>IF(CR18="","",COUNTIFS(CR$4:CR$40,"&lt;"&amp;CR18,CR$4:CR$40,"&lt;&gt;"&amp;"")+COUNTIF(CR$4:CR18,CR18))</f>
        <v>13</v>
      </c>
      <c r="CT18" s="55">
        <f>IF(ROW()-3&gt;COUNTIF(CR$4:CR$40,"&lt;&gt;"&amp;""),"",INDEX(CR$4:CR$40,MATCH(ROW()-3,CS$4:CS$40,0)))</f>
        <v>0</v>
      </c>
      <c r="CU18">
        <f>CU17+IF(AND(CT18&lt;&gt;"",COUNTIF(CT$4:CT18,CT18)=1),1,0)</f>
        <v>1</v>
      </c>
      <c r="CV18" t="str">
        <f>IF(ROW()-3&gt;MAX(CU$4:CU$40),"",INDEX(CT$4:CT$40,MATCH(ROW()-3,CU$4:CU$40,0)))</f>
        <v/>
      </c>
      <c r="CW18" s="55">
        <f>IF('Final Calculation Sheet'!$S$18="","",'Final Calculation Sheet'!$S$18)</f>
        <v>258831</v>
      </c>
      <c r="CX18">
        <f>IF(CW18="","",COUNTIFS(CW$4:CW$40,"&lt;"&amp;CW18,CW$4:CW$40,"&lt;&gt;"&amp;"")+COUNTIF(CW$4:CW18,CW18))</f>
        <v>26</v>
      </c>
      <c r="CY18" s="55">
        <f>IF(ROW()-3&gt;COUNTIF(CW$4:CW$40,"&lt;&gt;"&amp;""),"",INDEX(CW$4:CW$40,MATCH(ROW()-3,CX$4:CX$40,0)))</f>
        <v>88241</v>
      </c>
      <c r="CZ18">
        <f>CZ17+IF(AND(CY18&lt;&gt;"",COUNTIF(CY$4:CY18,CY18)=1),1,0)</f>
        <v>15</v>
      </c>
      <c r="DA18" s="55">
        <f>IF(ROW()-3&gt;MAX(CZ$4:CZ$40),"",INDEX(CY$4:CY$40,MATCH(ROW()-3,CZ$4:CZ$40,0)))</f>
        <v>88241</v>
      </c>
      <c r="DB18" s="55">
        <f>IF('Final Calculation Sheet'!$T$18="","",'Final Calculation Sheet'!$T$18)</f>
        <v>55000</v>
      </c>
      <c r="DC18">
        <f>IF(DB18="","",COUNTIFS(DB$4:DB$40,"&lt;"&amp;DB18,DB$4:DB$40,"&lt;&gt;"&amp;"")+COUNTIF(DB$4:DB18,DB18))</f>
        <v>26</v>
      </c>
      <c r="DD18" s="55">
        <f>IF(ROW()-3&gt;COUNTIF(DB$4:DB$40,"&lt;&gt;"&amp;""),"",INDEX(DB$4:DB$40,MATCH(ROW()-3,DC$4:DC$40,0)))</f>
        <v>18751</v>
      </c>
      <c r="DE18">
        <f>DE17+IF(AND(DD18&lt;&gt;"",COUNTIF(DD$4:DD18,DD18)=1),1,0)</f>
        <v>15</v>
      </c>
      <c r="DF18" s="55">
        <f>IF(ROW()-3&gt;MAX(DE$4:DE$40),"",INDEX(DD$4:DD$40,MATCH(ROW()-3,DE$4:DE$40,0)))</f>
        <v>18751</v>
      </c>
      <c r="DG18" s="140">
        <f>IF('Final Calculation Sheet'!$U$18="","",'Final Calculation Sheet'!$U$18)</f>
        <v>55000</v>
      </c>
      <c r="DH18">
        <f>IF(DG18="","",COUNTIFS(DG$4:DG$40,"&lt;"&amp;DG18,DG$4:DG$40,"&lt;&gt;"&amp;"")+COUNTIF(DG$4:DG18,DG18))</f>
        <v>26</v>
      </c>
      <c r="DI18" s="140">
        <f>IF(ROW()-3&gt;COUNTIF(DG$4:DG$40,"&lt;&gt;"&amp;""),"",INDEX(DG$4:DG$40,MATCH(ROW()-3,DH$4:DH$40,0)))</f>
        <v>18751</v>
      </c>
      <c r="DJ18">
        <f>DJ17+IF(AND(DI18&lt;&gt;"",COUNTIF(DI$4:DI18,DI18)=1),1,0)</f>
        <v>15</v>
      </c>
      <c r="DK18" s="140">
        <f>IF(ROW()-3&gt;MAX(DJ$4:DJ$40),"",INDEX(DI$4:DI$40,MATCH(ROW()-3,DJ$4:DJ$40,0)))</f>
        <v>18751</v>
      </c>
      <c r="DL18" t="str">
        <f>IF('Final Calculation Sheet'!$V$18="","",'Final Calculation Sheet'!$V$18)</f>
        <v>13.08.2026</v>
      </c>
      <c r="DM18">
        <f>IF(DL18="","",COUNTIFS(DL$4:DL$40,"&lt;"&amp;DL18,DL$4:DL$40,"&lt;&gt;"&amp;"")+COUNTIF(DL$4:DL18,DL18))</f>
        <v>18</v>
      </c>
      <c r="DN18" t="str">
        <f>IF(ROW()-3&gt;COUNTIF(DL$4:DL$40,"&lt;&gt;"&amp;""),"",INDEX(DL$4:DL$40,MATCH(ROW()-3,DM$4:DM$40,0)))</f>
        <v>13.08.2026</v>
      </c>
      <c r="DO18">
        <f>DO17+IF(AND(DN18&lt;&gt;"",COUNTIF(DN$4:DN18,DN18)=1),1,0)</f>
        <v>3</v>
      </c>
      <c r="DP18" t="str">
        <f>IF(ROW()-3&gt;MAX(DO$4:DO$40),"",INDEX(DN$4:DN$40,MATCH(ROW()-3,DO$4:DO$40,0)))</f>
        <v/>
      </c>
      <c r="DQ18" s="55">
        <f>IF('Final Calculation Sheet'!$W$18="","",'Final Calculation Sheet'!$W$18)</f>
        <v>203831</v>
      </c>
      <c r="DR18">
        <f>IF(DQ18="","",COUNTIFS(DQ$4:DQ$40,"&lt;"&amp;DQ18,DQ$4:DQ$40,"&lt;&gt;"&amp;"")+COUNTIF(DQ$4:DQ18,DQ18))</f>
        <v>26</v>
      </c>
      <c r="DS18" s="55">
        <f>IF(ROW()-3&gt;COUNTIF(DQ$4:DQ$40,"&lt;&gt;"&amp;""),"",INDEX(DQ$4:DQ$40,MATCH(ROW()-3,DR$4:DR$40,0)))</f>
        <v>69490</v>
      </c>
      <c r="DT18">
        <f>DT17+IF(AND(DS18&lt;&gt;"",COUNTIF(DS$4:DS18,DS18)=1),1,0)</f>
        <v>15</v>
      </c>
      <c r="DU18" s="55">
        <f>IF(ROW()-3&gt;MAX(DT$4:DT$40),"",INDEX(DS$4:DS$40,MATCH(ROW()-3,DT$4:DT$40,0)))</f>
        <v>69490</v>
      </c>
      <c r="DV18" s="55">
        <f>IF('Final Calculation Sheet'!$X$18="","",'Final Calculation Sheet'!$X$18)</f>
        <v>203831</v>
      </c>
      <c r="DW18">
        <f>IF(DV18="","",COUNTIFS(DV$4:DV$40,"&lt;"&amp;DV18,DV$4:DV$40,"&lt;&gt;"&amp;"")+COUNTIF(DV$4:DV18,DV18))</f>
        <v>25</v>
      </c>
      <c r="DX18" s="55">
        <f>IF(ROW()-3&gt;COUNTIF(DV$4:DV$40,"&lt;&gt;"&amp;""),"",INDEX(DV$4:DV$40,MATCH(ROW()-3,DW$4:DW$40,0)))</f>
        <v>79354</v>
      </c>
      <c r="DY18">
        <f>DY17+IF(AND(DX18&lt;&gt;"",COUNTIF(DX$4:DX18,DX18)=1),1,0)</f>
        <v>15</v>
      </c>
      <c r="DZ18" t="e">
        <f>IF(ROW()-3&gt;MAX(DY$4:DY$40),"",INDEX(DX$4:DX$40,MATCH(ROW()-3,DY$4:DY$40,0)))</f>
        <v>#N/A</v>
      </c>
      <c r="EA18" t="str">
        <f>IF('Final Calculation Sheet'!$Y$18="","",'Final Calculation Sheet'!$Y$18)</f>
        <v>24.08.2026</v>
      </c>
      <c r="EB18">
        <f>IF(EA18="","",COUNTIFS(EA$4:EA$40,"&lt;"&amp;EA18,EA$4:EA$40,"&lt;&gt;"&amp;"")+COUNTIF(EA$4:EA18,EA18))</f>
        <v>26</v>
      </c>
      <c r="EC18" t="str">
        <f>IF(ROW()-3&gt;COUNTIF(EA$4:EA$40,"&lt;&gt;"&amp;""),"",INDEX(EA$4:EA$40,MATCH(ROW()-3,EB$4:EB$40,0)))</f>
        <v>20.08.2026</v>
      </c>
      <c r="ED18">
        <f>ED17+IF(AND(EC18&lt;&gt;"",COUNTIF(EC$4:EC18,EC18)=1),1,0)</f>
        <v>7</v>
      </c>
      <c r="EE18" t="e">
        <f>IF(ROW()-3&gt;MAX(ED$4:ED$40),"",INDEX(EC$4:EC$40,MATCH(ROW()-3,ED$4:ED$40,0)))</f>
        <v>#N/A</v>
      </c>
      <c r="EF18" s="55">
        <f>IF('Final Calculation Sheet'!$Z$18="","",'Final Calculation Sheet'!$Z$18)</f>
        <v>0</v>
      </c>
      <c r="EG18">
        <f>IF(EF18="","",COUNTIFS(EF$4:EF$40,"&lt;"&amp;EF18,EF$4:EF$40,"&lt;&gt;"&amp;"")+COUNTIF(EF$4:EF18,EF18))</f>
        <v>15</v>
      </c>
      <c r="EH18" s="55">
        <f>IF(ROW()-3&gt;COUNTIF(EF$4:EF$40,"&lt;&gt;"&amp;""),"",INDEX(EF$4:EF$40,MATCH(ROW()-3,EG$4:EG$40,0)))</f>
        <v>0</v>
      </c>
      <c r="EI18">
        <f>EI17+IF(AND(EH18&lt;&gt;"",COUNTIF(EH$4:EH18,EH18)=1),1,0)</f>
        <v>1</v>
      </c>
      <c r="EJ18" t="str">
        <f>IF(ROW()-3&gt;MAX(EI$4:EI$40),"",INDEX(EH$4:EH$40,MATCH(ROW()-3,EI$4:EI$40,0)))</f>
        <v/>
      </c>
      <c r="EK18" t="str">
        <f>IF('Final Calculation Sheet'!$AA$18="","",'Final Calculation Sheet'!$AA$18)</f>
        <v/>
      </c>
      <c r="EL18" t="str">
        <f>IF(EK18="","",COUNTIFS(EK$4:EK$40,"&lt;"&amp;EK18,EK$4:EK$40,"&lt;&gt;"&amp;"")+COUNTIF(EK$4:EK18,EK18))</f>
        <v/>
      </c>
      <c r="EM18" t="e">
        <f>IF(ROW()-3&gt;COUNTIF(EK$4:EK$40,"&lt;&gt;"&amp;""),"",INDEX(EK$4:EK$40,MATCH(ROW()-3,EL$4:EL$40,0)))</f>
        <v>#N/A</v>
      </c>
      <c r="EN18" t="e">
        <f>EN17+IF(AND(EM18&lt;&gt;"",COUNTIF(EM$4:EM18,EM18)=1),1,0)</f>
        <v>#N/A</v>
      </c>
      <c r="EO18" t="e">
        <f>IF(ROW()-3&gt;MAX(EN$4:EN$40),"",INDEX(EM$4:EM$40,MATCH(ROW()-3,EN$4:EN$40,0)))</f>
        <v>#N/A</v>
      </c>
      <c r="EP18" t="str">
        <f>IF('Final Calculation Sheet'!$AB$18="","",'Final Calculation Sheet'!$AB$18)</f>
        <v/>
      </c>
      <c r="EQ18" t="str">
        <f>IF(EP18="","",COUNTIFS(EP$4:EP$40,"&lt;"&amp;EP18,EP$4:EP$40,"&lt;&gt;"&amp;"")+COUNTIF(EP$4:EP18,EP18))</f>
        <v/>
      </c>
      <c r="ER18" t="e">
        <f>IF(ROW()-3&gt;COUNTIF(EP$4:EP$40,"&lt;&gt;"&amp;""),"",INDEX(EP$4:EP$40,MATCH(ROW()-3,EQ$4:EQ$40,0)))</f>
        <v>#N/A</v>
      </c>
      <c r="ES18" t="e">
        <f>ES17+IF(AND(ER18&lt;&gt;"",COUNTIF(ER$4:ER18,ER18)=1),1,0)</f>
        <v>#N/A</v>
      </c>
      <c r="ET18" t="e">
        <f>IF(ROW()-3&gt;MAX(ES$4:ES$40),"",INDEX(ER$4:ER$40,MATCH(ROW()-3,ES$4:ES$40,0)))</f>
        <v>#N/A</v>
      </c>
      <c r="EU18" s="55">
        <f>IF('Final Calculation Sheet'!$AC$18="","",'Final Calculation Sheet'!$AC$18)</f>
        <v>258831</v>
      </c>
      <c r="EV18">
        <f>IF(EU18="","",COUNTIFS(EU$4:EU$40,"&lt;"&amp;EU18,EU$4:EU$40,"&lt;&gt;"&amp;"")+COUNTIF(EU$4:EU18,EU18))</f>
        <v>28</v>
      </c>
      <c r="EW18" s="55">
        <f>IF(ROW()-3&gt;COUNTIF(EU$4:EU$40,"&lt;&gt;"&amp;""),"",INDEX(EU$4:EU$40,MATCH(ROW()-3,EV$4:EV$40,0)))</f>
        <v>83532</v>
      </c>
      <c r="EX18">
        <f>EX17+IF(AND(EW18&lt;&gt;"",COUNTIF(EW$4:EW18,EW18)=1),1,0)</f>
        <v>15</v>
      </c>
      <c r="EY18" s="55">
        <f>IF(ROW()-3&gt;MAX(EX$4:EX$40),"",INDEX(EW$4:EW$40,MATCH(ROW()-3,EX$4:EX$40,0)))</f>
        <v>83532</v>
      </c>
      <c r="EZ18" s="55">
        <f>IF('Final Calculation Sheet'!$AD$18="","",'Final Calculation Sheet'!$AD$18)</f>
        <v>0</v>
      </c>
      <c r="FA18">
        <f>IF(EZ18="","",COUNTIFS(EZ$4:EZ$40,"&lt;"&amp;EZ18,EZ$4:EZ$40,"&lt;&gt;"&amp;"")+COUNTIF(EZ$4:EZ18,EZ18))</f>
        <v>16</v>
      </c>
      <c r="FB18" s="55">
        <f>IF(ROW()-3&gt;COUNTIF(EZ$4:EZ$40,"&lt;&gt;"&amp;""),"",INDEX(EZ$4:EZ$40,MATCH(ROW()-3,FA$4:FA$40,0)))</f>
        <v>0</v>
      </c>
      <c r="FC18" t="e">
        <f>FC17+IF(AND(FB18&lt;&gt;"",COUNTIF(FB$4:FB18,FB18)=1),1,0)</f>
        <v>#N/A</v>
      </c>
      <c r="FD18" t="e">
        <f>IF(ROW()-3&gt;MAX(FC$4:FC$40),"",INDEX(FB$4:FB$40,MATCH(ROW()-3,FC$4:FC$40,0)))</f>
        <v>#N/A</v>
      </c>
      <c r="FE18" t="str">
        <f>IF('Final Calculation Sheet'!$AE$18="","",'Final Calculation Sheet'!$AE$18)</f>
        <v>DR2640100034</v>
      </c>
      <c r="FF18">
        <f>IF(FE18="","",COUNTIFS(FE$4:FE$40,"&lt;"&amp;FE18,FE$4:FE$40,"&lt;&gt;"&amp;"")+COUNTIF(FE$4:FE18,FE18))</f>
        <v>23</v>
      </c>
      <c r="FG18" t="str">
        <f>IF(ROW()-3&gt;COUNTIF(FE$4:FE$40,"&lt;&gt;"&amp;""),"",INDEX(FE$4:FE$40,MATCH(ROW()-3,FF$4:FF$40,0)))</f>
        <v>DR2640100026</v>
      </c>
      <c r="FH18" t="e">
        <f>FH17+IF(AND(FG18&lt;&gt;"",COUNTIF(FG$4:FG18,FG18)=1),1,0)</f>
        <v>#N/A</v>
      </c>
      <c r="FI18" t="e">
        <f>IF(ROW()-3&gt;MAX(FH$4:FH$40),"",INDEX(FG$4:FG$40,MATCH(ROW()-3,FH$4:FH$40,0)))</f>
        <v>#N/A</v>
      </c>
      <c r="FJ18" s="141">
        <f>IF('Final Calculation Sheet'!$AF$18="","",'Final Calculation Sheet'!$AF$18)</f>
        <v>1800003306</v>
      </c>
      <c r="FK18">
        <f>IF(FJ18="","",COUNTIFS(FJ$4:FJ$40,"&lt;"&amp;FJ18,FJ$4:FJ$40,"&lt;&gt;"&amp;"")+COUNTIF(FJ$4:FJ18,FJ18))</f>
        <v>18</v>
      </c>
      <c r="FL18" s="141">
        <f>IF(ROW()-3&gt;COUNTIF(FJ$4:FJ$40,"&lt;&gt;"&amp;""),"",INDEX(FJ$4:FJ$40,MATCH(ROW()-3,FK$4:FK$40,0)))</f>
        <v>1800003303</v>
      </c>
      <c r="FM18">
        <f>FM17+IF(AND(FL18&lt;&gt;"",COUNTIF(FL$4:FL18,FL18)=1),1,0)</f>
        <v>15</v>
      </c>
      <c r="FN18" t="e">
        <f>IF(ROW()-3&gt;MAX(FM$4:FM$40),"",INDEX(FL$4:FL$40,MATCH(ROW()-3,FM$4:FM$40,0)))</f>
        <v>#N/A</v>
      </c>
      <c r="FO18" t="str">
        <f>IF('Final Calculation Sheet'!$AG$18="","",'Final Calculation Sheet'!$AG$18)</f>
        <v>27.08.2026</v>
      </c>
      <c r="FP18">
        <f>IF(FO18="","",COUNTIFS(FO$4:FO$40,"&lt;"&amp;FO18,FO$4:FO$40,"&lt;&gt;"&amp;"")+COUNTIF(FO$4:FO18,FO18))</f>
        <v>26</v>
      </c>
      <c r="FQ18" t="str">
        <f>IF(ROW()-3&gt;COUNTIF(FO$4:FO$40,"&lt;&gt;"&amp;""),"",INDEX(FO$4:FO$40,MATCH(ROW()-3,FP$4:FP$40,0)))</f>
        <v>20.08.2026</v>
      </c>
      <c r="FR18" t="e">
        <f>FR17+IF(AND(FQ18&lt;&gt;"",COUNTIF(FQ$4:FQ18,FQ18)=1),1,0)</f>
        <v>#N/A</v>
      </c>
      <c r="FS18" t="e">
        <f>IF(ROW()-3&gt;MAX(FR$4:FR$40),"",INDEX(FQ$4:FQ$40,MATCH(ROW()-3,FR$4:FR$40,0)))</f>
        <v>#N/A</v>
      </c>
      <c r="FU18" t="str">
        <f>IF(FT18="","",COUNTIFS(FT$4:FT$40,"&lt;"&amp;FT18,FT$4:FT$40,"&lt;&gt;"&amp;"")+COUNTIF(FT$4:FT18,FT18))</f>
        <v/>
      </c>
      <c r="FV18" t="str">
        <f>IF(ROW()-3&gt;COUNTIF(FT$4:FT$40,"&lt;&gt;"&amp;""),"",INDEX(FT$4:FT$40,MATCH(ROW()-3,FU$4:FU$40,0)))</f>
        <v/>
      </c>
      <c r="FW18">
        <f>FW17+IF(AND(FV18&lt;&gt;"",COUNTIF(FV$4:FV18,FV18)=1),1,0)</f>
        <v>2</v>
      </c>
      <c r="FX18" t="str">
        <f>IF(ROW()-3&gt;MAX(FW$4:FW$40),"",INDEX(FV$4:FV$40,MATCH(ROW()-3,FW$4:FW$40,0)))</f>
        <v/>
      </c>
    </row>
    <row r="19">
      <c r="A19">
        <f>IF('Final Calculation Sheet'!$F$19="","",'Final Calculation Sheet'!$F$19)</f>
        <v>2019</v>
      </c>
      <c r="B19">
        <f>IF(A19="","",COUNTIFS(A$4:A$114,"&lt;"&amp;A19,A$4:A$114,"&lt;&gt;"&amp;"")+COUNTIF(A$4:A19,A19))</f>
        <v>16</v>
      </c>
      <c r="C19">
        <f>IF(ROW()-3&gt;COUNTIF(A$4:A$114,"&lt;&gt;"&amp;""),"",INDEX(A$4:A$114,MATCH(ROW()-3,B$4:B$114,0)))</f>
        <v>2019</v>
      </c>
      <c r="D19">
        <f>D18+IF(AND(C19&lt;&gt;"",COUNTIF(C$4:C19,C19)=1),1,0)</f>
        <v>16</v>
      </c>
      <c r="E19" t="e">
        <f>IF(ROW()-3&gt;MAX(D$4:D$114),"",INDEX(C$4:C$114,MATCH(ROW()-3,D$4:D$114,0)))</f>
        <v>#N/A</v>
      </c>
      <c r="F19">
        <f>ROW()-3</f>
        <v>16</v>
      </c>
      <c r="G19">
        <f>IF(F19="","",COUNTIFS(F$4:F$40,"&lt;"&amp;F19,F$4:F$40,"&lt;&gt;"&amp;"")+COUNTIF(F$4:F19,F19))</f>
        <v>16</v>
      </c>
      <c r="H19">
        <f>IF(ROW()-3&gt;COUNTIF(F$4:F$40,"&lt;&gt;"&amp;""),"",INDEX(F$4:F$40,MATCH(ROW()-3,G$4:G$40,0)))</f>
        <v>16</v>
      </c>
      <c r="I19">
        <f>I18+IF(AND(H19&lt;&gt;"",COUNTIF(H$4:H19,H19)=1),1,0)</f>
        <v>16</v>
      </c>
      <c r="J19">
        <f>IF(ROW()-3&gt;MAX(I$4:I$40),"",INDEX(H$4:H$40,MATCH(ROW()-3,I$4:I$40,0)))</f>
        <v>16</v>
      </c>
      <c r="K19">
        <f>IF('Final Calculation Sheet'!$F$19="","",'Final Calculation Sheet'!$F$19)</f>
        <v>2019</v>
      </c>
      <c r="L19">
        <f>IF(K19="","",COUNTIFS(K$4:K$40,"&lt;"&amp;K19,K$4:K$40,"&lt;&gt;"&amp;"")+COUNTIF(K$4:K19,K19))</f>
        <v>16</v>
      </c>
      <c r="M19">
        <f>IF(ROW()-3&gt;COUNTIF(K$4:K$40,"&lt;&gt;"&amp;""),"",INDEX(K$4:K$40,MATCH(ROW()-3,L$4:L$40,0)))</f>
        <v>2019</v>
      </c>
      <c r="N19">
        <f>N18+IF(AND(M19&lt;&gt;"",COUNTIF(M$4:M19,M19)=1),1,0)</f>
        <v>16</v>
      </c>
      <c r="O19">
        <f>IF(ROW()-3&gt;MAX(N$4:N$40),"",INDEX(M$4:M$40,MATCH(ROW()-3,N$4:N$40,0)))</f>
        <v>2019</v>
      </c>
      <c r="P19" t="str">
        <f>IF('Final Calculation Sheet'!$G$19="","",'Final Calculation Sheet'!$G$19)</f>
        <v>NATIONAL ENTERPRISES</v>
      </c>
      <c r="Q19">
        <f>IF(P19="","",COUNTIFS(P$4:P$40,"&lt;"&amp;P19,P$4:P$40,"&lt;&gt;"&amp;"")+COUNTIF(P$4:P19,P19))</f>
        <v>12</v>
      </c>
      <c r="R19" t="str">
        <f>IF(ROW()-3&gt;COUNTIF(P$4:P$40,"&lt;&gt;"&amp;""),"",INDEX(P$4:P$40,MATCH(ROW()-3,Q$4:Q$40,0)))</f>
        <v>NATIONAL ENTERPRISES</v>
      </c>
      <c r="S19">
        <f>S18+IF(AND(R19&lt;&gt;"",COUNTIF(R$4:R19,R19)=1),1,0)</f>
        <v>6</v>
      </c>
      <c r="T19" t="str">
        <f>IF(ROW()-3&gt;MAX(S$4:S$40),"",INDEX(R$4:R$40,MATCH(ROW()-3,S$4:S$40,0)))</f>
        <v/>
      </c>
      <c r="U19" t="str">
        <f>IF('Final Calculation Sheet'!$B$19="","",'Final Calculation Sheet'!$B$19)</f>
        <v>Scrap of 220 KV Circuit Breaker</v>
      </c>
      <c r="V19">
        <f>IF(U19="","",COUNTIFS(U$4:U$40,"&lt;"&amp;U19,U$4:U$40,"&lt;&gt;"&amp;"")+COUNTIF(U$4:U19,U19))</f>
        <v>16</v>
      </c>
      <c r="W19" t="str">
        <f>IF(ROW()-3&gt;COUNTIF(U$4:U$40,"&lt;&gt;"&amp;""),"",INDEX(U$4:U$40,MATCH(ROW()-3,V$4:V$40,0)))</f>
        <v>Scrap of 220 KV Circuit Breaker</v>
      </c>
      <c r="X19">
        <f>X18+IF(AND(W19&lt;&gt;"",COUNTIF(W$4:W19,W19)=1),1,0)</f>
        <v>9</v>
      </c>
      <c r="Y19" t="str">
        <f>IF(ROW()-3&gt;MAX(X$4:X$40),"",INDEX(W$4:W$40,MATCH(ROW()-3,X$4:X$40,0)))</f>
        <v>Scrap of 66 kv TBC C &amp; R Panel</v>
      </c>
      <c r="Z19">
        <f>IF('Final Calculation Sheet'!$D$19="","",'Final Calculation Sheet'!$D$19)</f>
        <v>21978</v>
      </c>
      <c r="AA19">
        <f>IF(Z19="","",COUNTIFS(Z$4:Z$40,"&lt;"&amp;Z19,Z$4:Z$40,"&lt;&gt;"&amp;"")+COUNTIF(Z$4:Z19,Z19))</f>
        <v>14</v>
      </c>
      <c r="AB19">
        <f>IF(ROW()-3&gt;COUNTIF(Z$4:Z$40,"&lt;&gt;"&amp;""),"",INDEX(Z$4:Z$40,MATCH(ROW()-3,AA$4:AA$40,0)))</f>
        <v>21978</v>
      </c>
      <c r="AC19">
        <f>AC18+IF(AND(AB19&lt;&gt;"",COUNTIF(AB$4:AB19,AB19)=1),1,0)</f>
        <v>2</v>
      </c>
      <c r="AD19" t="str">
        <f>IF(ROW()-3&gt;MAX(AC$4:AC$40),"",INDEX(AB$4:AB$40,MATCH(ROW()-3,AC$4:AC$40,0)))</f>
        <v/>
      </c>
      <c r="AE19">
        <f>IF('Final Calculation Sheet'!$A$19="","",'Final Calculation Sheet'!$A$19)</f>
        <v>1</v>
      </c>
      <c r="AF19">
        <f>IF(AE19="","",COUNTIFS(AE$4:AE$40,"&lt;"&amp;AE19,AE$4:AE$40,"&lt;&gt;"&amp;"")+COUNTIF(AE$4:AE19,AE19))</f>
        <v>6</v>
      </c>
      <c r="AG19">
        <f>IF(ROW()-3&gt;COUNTIF(AE$4:AE$40,"&lt;&gt;"&amp;""),"",INDEX(AE$4:AE$40,MATCH(ROW()-3,AF$4:AF$40,0)))</f>
        <v>3</v>
      </c>
      <c r="AH19">
        <f>AH18+IF(AND(AG19&lt;&gt;"",COUNTIF(AG$4:AG19,AG19)=1),1,0)</f>
        <v>3</v>
      </c>
      <c r="AI19">
        <f>IF(ROW()-3&gt;MAX(AH$4:AH$40),"",INDEX(AG$4:AG$40,MATCH(ROW()-3,AH$4:AH$40,0)))</f>
        <v>270</v>
      </c>
      <c r="AJ19" t="str">
        <f>IF('Final Calculation Sheet'!$E$19="","",'Final Calculation Sheet'!$E$19)</f>
        <v>NO</v>
      </c>
      <c r="AK19">
        <f>IF(AJ19="","",COUNTIFS(AJ$4:AJ$40,"&lt;"&amp;AJ19,AJ$4:AJ$40,"&lt;&gt;"&amp;"")+COUNTIF(AJ$4:AJ19,AJ19))</f>
        <v>19</v>
      </c>
      <c r="AL19" t="str">
        <f>IF(ROW()-3&gt;COUNTIF(AJ$4:AJ$40,"&lt;&gt;"&amp;""),"",INDEX(AJ$4:AJ$40,MATCH(ROW()-3,AK$4:AK$40,0)))</f>
        <v>NO</v>
      </c>
      <c r="AM19">
        <f>AM18+IF(AND(AL19&lt;&gt;"",COUNTIF(AL$4:AL19,AL19)=1),1,0)</f>
        <v>3</v>
      </c>
      <c r="AN19" t="str">
        <f>IF(ROW()-3&gt;MAX(AM$4:AM$40),"",INDEX(AL$4:AL$40,MATCH(ROW()-3,AM$4:AM$40,0)))</f>
        <v/>
      </c>
      <c r="AO19" s="55">
        <f>IF('Final Calculation Sheet'!$C$19="","",'Final Calculation Sheet'!$C$19)</f>
        <v>210001</v>
      </c>
      <c r="AP19">
        <f>IF(AO19="","",COUNTIFS(AO$4:AO$40,"&lt;"&amp;AO19,AO$4:AO$40,"&lt;&gt;"&amp;"")+COUNTIF(AO$4:AO19,AO19))</f>
        <v>34</v>
      </c>
      <c r="AQ19" s="55">
        <f>IF(ROW()-3&gt;COUNTIF(AO$4:AO$40,"&lt;&gt;"&amp;""),"",INDEX(AO$4:AO$40,MATCH(ROW()-3,AP$4:AP$40,0)))</f>
        <v>1456</v>
      </c>
      <c r="AR19">
        <f>AR18+IF(AND(AQ19&lt;&gt;"",COUNTIF(AQ$4:AQ19,AQ19)=1),1,0)</f>
        <v>14</v>
      </c>
      <c r="AS19" s="55">
        <f>IF(ROW()-3&gt;MAX(AR$4:AR$40),"",INDEX(AQ$4:AQ$40,MATCH(ROW()-3,AR$4:AR$40,0)))</f>
        <v>15006</v>
      </c>
      <c r="AT19" s="55">
        <f>IF('Final Calculation Sheet'!$H$19="","",'Final Calculation Sheet'!$H$19)</f>
        <v>210001</v>
      </c>
      <c r="AU19">
        <f>IF(AT19="","",COUNTIFS(AT$4:AT$40,"&lt;"&amp;AT19,AT$4:AT$40,"&lt;&gt;"&amp;"")+COUNTIF(AT$4:AT19,AT19))</f>
        <v>24</v>
      </c>
      <c r="AV19" s="55">
        <f>IF(ROW()-3&gt;COUNTIF(AT$4:AT$40,"&lt;&gt;"&amp;""),"",INDEX(AT$4:AT$40,MATCH(ROW()-3,AU$4:AU$40,0)))</f>
        <v>85650</v>
      </c>
      <c r="AW19">
        <f>AW18+IF(AND(AV19&lt;&gt;"",COUNTIF(AV$4:AV19,AV19)=1),1,0)</f>
        <v>16</v>
      </c>
      <c r="AX19" s="55">
        <f>IF(ROW()-3&gt;MAX(AW$4:AW$40),"",INDEX(AV$4:AV$40,MATCH(ROW()-3,AW$4:AW$40,0)))</f>
        <v>85650</v>
      </c>
      <c r="AY19" s="55">
        <f>IF('Final Calculation Sheet'!$I$19="","",'Final Calculation Sheet'!$I$19)</f>
        <v>37800</v>
      </c>
      <c r="AZ19">
        <f>IF(AY19="","",COUNTIFS(AY$4:AY$40,"&lt;"&amp;AY19,AY$4:AY$40,"&lt;&gt;"&amp;"")+COUNTIF(AY$4:AY19,AY19))</f>
        <v>24</v>
      </c>
      <c r="BA19" s="55">
        <f>IF(ROW()-3&gt;COUNTIF(AY$4:AY$40,"&lt;&gt;"&amp;""),"",INDEX(AY$4:AY$40,MATCH(ROW()-3,AZ$4:AZ$40,0)))</f>
        <v>15417</v>
      </c>
      <c r="BB19">
        <f>BB18+IF(AND(BA19&lt;&gt;"",COUNTIF(BA$4:BA19,BA19)=1),1,0)</f>
        <v>16</v>
      </c>
      <c r="BC19" s="55">
        <f>IF(ROW()-3&gt;MAX(BB$4:BB$40),"",INDEX(BA$4:BA$40,MATCH(ROW()-3,BB$4:BB$40,0)))</f>
        <v>15417</v>
      </c>
      <c r="BD19" s="55">
        <f>IF('Final Calculation Sheet'!$J$19="","",'Final Calculation Sheet'!$J$19)</f>
        <v>247801</v>
      </c>
      <c r="BE19">
        <f>IF(BD19="","",COUNTIFS(BD$4:BD$40,"&lt;"&amp;BD19,BD$4:BD$40,"&lt;&gt;"&amp;"")+COUNTIF(BD$4:BD19,BD19))</f>
        <v>24</v>
      </c>
      <c r="BF19" s="55">
        <f>IF(ROW()-3&gt;COUNTIF(BD$4:BD$40,"&lt;&gt;"&amp;""),"",INDEX(BD$4:BD$40,MATCH(ROW()-3,BE$4:BE$40,0)))</f>
        <v>101067</v>
      </c>
      <c r="BG19">
        <f>BG18+IF(AND(BF19&lt;&gt;"",COUNTIF(BF$4:BF19,BF19)=1),1,0)</f>
        <v>16</v>
      </c>
      <c r="BH19" s="55">
        <f>IF(ROW()-3&gt;MAX(BG$4:BG$40),"",INDEX(BF$4:BF$40,MATCH(ROW()-3,BG$4:BG$40,0)))</f>
        <v>101067</v>
      </c>
      <c r="BI19" s="55">
        <f>IF('Final Calculation Sheet'!$K$19="","",'Final Calculation Sheet'!$K$19)</f>
        <v>4956</v>
      </c>
      <c r="BJ19">
        <f>IF(BI19="","",COUNTIFS(BI$4:BI$40,"&lt;"&amp;BI19,BI$4:BI$40,"&lt;&gt;"&amp;"")+COUNTIF(BI$4:BI19,BI19))</f>
        <v>24</v>
      </c>
      <c r="BK19" s="55">
        <f>IF(ROW()-3&gt;COUNTIF(BI$4:BI$40,"&lt;&gt;"&amp;""),"",INDEX(BI$4:BI$40,MATCH(ROW()-3,BJ$4:BJ$40,0)))</f>
        <v>2021</v>
      </c>
      <c r="BL19">
        <f>BL18+IF(AND(BK19&lt;&gt;"",COUNTIF(BK$4:BK19,BK19)=1),1,0)</f>
        <v>16</v>
      </c>
      <c r="BM19" s="55">
        <f>IF(ROW()-3&gt;MAX(BL$4:BL$40),"",INDEX(BK$4:BK$40,MATCH(ROW()-3,BL$4:BL$40,0)))</f>
        <v>2021</v>
      </c>
      <c r="BN19" s="55">
        <f>IF('Final Calculation Sheet'!$L$19="","",'Final Calculation Sheet'!$L$19)</f>
        <v>210.001</v>
      </c>
      <c r="BO19">
        <f>IF(BN19="","",COUNTIFS(BN$4:BN$40,"&lt;"&amp;BN19,BN$4:BN$40,"&lt;&gt;"&amp;"")+COUNTIF(BN$4:BN19,BN19))</f>
        <v>24</v>
      </c>
      <c r="BP19" s="55">
        <f>IF(ROW()-3&gt;COUNTIF(BN$4:BN$40,"&lt;&gt;"&amp;""),"",INDEX(BN$4:BN$40,MATCH(ROW()-3,BO$4:BO$40,0)))</f>
        <v>85.65</v>
      </c>
      <c r="BQ19">
        <f>BQ18+IF(AND(BP19&lt;&gt;"",COUNTIF(BP$4:BP19,BP19)=1),1,0)</f>
        <v>16</v>
      </c>
      <c r="BR19" s="55">
        <f>IF(ROW()-3&gt;MAX(BQ$4:BQ$40),"",INDEX(BP$4:BP$40,MATCH(ROW()-3,BQ$4:BQ$40,0)))</f>
        <v>85.65</v>
      </c>
      <c r="BS19" s="55">
        <f>IF('Final Calculation Sheet'!$M$19="","",'Final Calculation Sheet'!$M$19)</f>
        <v>5575.5265499999996</v>
      </c>
      <c r="BT19">
        <f>IF(BS19="","",COUNTIFS(BS$4:BS$40,"&lt;"&amp;BS19,BS$4:BS$40,"&lt;&gt;"&amp;"")+COUNTIF(BS$4:BS19,BS19))</f>
        <v>24</v>
      </c>
      <c r="BU19" s="55">
        <f>IF(ROW()-3&gt;COUNTIF(BS$4:BS$40,"&lt;&gt;"&amp;""),"",INDEX(BS$4:BS$40,MATCH(ROW()-3,BT$4:BT$40,0)))</f>
        <v>2274.0074999999997</v>
      </c>
      <c r="BV19">
        <f>BV18+IF(AND(BU19&lt;&gt;"",COUNTIF(BU$4:BU19,BU19)=1),1,0)</f>
        <v>16</v>
      </c>
      <c r="BW19" s="55">
        <f>IF(ROW()-3&gt;MAX(BV$4:BV$40),"",INDEX(BU$4:BU$40,MATCH(ROW()-3,BV$4:BV$40,0)))</f>
        <v>2274.0074999999997</v>
      </c>
      <c r="BX19" s="138">
        <f>IF('Final Calculation Sheet'!$N$19="","",'Final Calculation Sheet'!$N$19)</f>
        <v>94.500450000000001</v>
      </c>
      <c r="BY19">
        <f>IF(BX19="","",COUNTIFS(BX$4:BX$40,"&lt;"&amp;BX19,BX$4:BX$40,"&lt;&gt;"&amp;"")+COUNTIF(BX$4:BX19,BX19))</f>
        <v>24</v>
      </c>
      <c r="BZ19" s="138">
        <f>IF(ROW()-3&gt;COUNTIF(BX$4:BX$40,"&lt;&gt;"&amp;""),"",INDEX(BX$4:BX$40,MATCH(ROW()-3,BY$4:BY$40,0)))</f>
        <v>38.542500000000004</v>
      </c>
      <c r="CA19">
        <f>CA18+IF(AND(BZ19&lt;&gt;"",COUNTIF(BZ$4:BZ19,BZ19)=1),1,0)</f>
        <v>16</v>
      </c>
      <c r="CB19" s="138">
        <f>IF(ROW()-3&gt;MAX(CA$4:CA$40),"",INDEX(BZ$4:BZ$40,MATCH(ROW()-3,CA$4:CA$40,0)))</f>
        <v>38.542500000000004</v>
      </c>
      <c r="CC19" s="55">
        <f>IF('Final Calculation Sheet'!$O$19="","",'Final Calculation Sheet'!$O$19)</f>
        <v>5481.0260999999991</v>
      </c>
      <c r="CD19">
        <f>IF(CC19="","",COUNTIFS(CC$4:CC$40,"&lt;"&amp;CC19,CC$4:CC$40,"&lt;&gt;"&amp;"")+COUNTIF(CC$4:CC19,CC19))</f>
        <v>24</v>
      </c>
      <c r="CE19" s="55">
        <f>IF(ROW()-3&gt;COUNTIF(CC$4:CC$40,"&lt;&gt;"&amp;""),"",INDEX(CC$4:CC$40,MATCH(ROW()-3,CD$4:CD$40,0)))</f>
        <v>2235.4649999999997</v>
      </c>
      <c r="CF19">
        <f>CF18+IF(AND(CE19&lt;&gt;"",COUNTIF(CE$4:CE19,CE19)=1),1,0)</f>
        <v>16</v>
      </c>
      <c r="CG19" s="55">
        <f>IF(ROW()-3&gt;MAX(CF$4:CF$40),"",INDEX(CE$4:CE$40,MATCH(ROW()-3,CF$4:CF$40,0)))</f>
        <v>2235.4649999999997</v>
      </c>
      <c r="CH19" s="55">
        <f>IF('Final Calculation Sheet'!$P$19="","",'Final Calculation Sheet'!$P$19)</f>
        <v>5691</v>
      </c>
      <c r="CI19">
        <f>IF(CH19="","",COUNTIFS(CH$4:CH$40,"&lt;"&amp;CH19,CH$4:CH$40,"&lt;&gt;"&amp;"")+COUNTIF(CH$4:CH19,CH19))</f>
        <v>24</v>
      </c>
      <c r="CJ19" s="55">
        <f>IF(ROW()-3&gt;COUNTIF(CH$4:CH$40,"&lt;&gt;"&amp;""),"",INDEX(CH$4:CH$40,MATCH(ROW()-3,CI$4:CI$40,0)))</f>
        <v>2321</v>
      </c>
      <c r="CK19">
        <f>CK18+IF(AND(CJ19&lt;&gt;"",COUNTIF(CJ$4:CJ19,CJ19)=1),1,0)</f>
        <v>16</v>
      </c>
      <c r="CL19" s="55">
        <f>IF(ROW()-3&gt;MAX(CK$4:CK$40),"",INDEX(CJ$4:CJ$40,MATCH(ROW()-3,CK$4:CK$40,0)))</f>
        <v>2321</v>
      </c>
      <c r="CM19" s="139">
        <f>IF('Final Calculation Sheet'!$Q$19="","",'Final Calculation Sheet'!$Q$19)</f>
        <v>0</v>
      </c>
      <c r="CN19">
        <f>IF(CM19="","",COUNTIFS(CM$4:CM$40,"&lt;"&amp;CM19,CM$4:CM$40,"&lt;&gt;"&amp;"")+COUNTIF(CM$4:CM19,CM19))</f>
        <v>14</v>
      </c>
      <c r="CO19" s="139">
        <f>IF(ROW()-3&gt;COUNTIF(CM$4:CM$40,"&lt;&gt;"&amp;""),"",INDEX(CM$4:CM$40,MATCH(ROW()-3,CN$4:CN$40,0)))</f>
        <v>0</v>
      </c>
      <c r="CP19">
        <f>CP18+IF(AND(CO19&lt;&gt;"",COUNTIF(CO$4:CO19,CO19)=1),1,0)</f>
        <v>1</v>
      </c>
      <c r="CQ19" t="str">
        <f>IF(ROW()-3&gt;MAX(CP$4:CP$40),"",INDEX(CO$4:CO$40,MATCH(ROW()-3,CP$4:CP$40,0)))</f>
        <v/>
      </c>
      <c r="CR19" s="55">
        <f>IF('Final Calculation Sheet'!$R$19="","",'Final Calculation Sheet'!$R$19)</f>
        <v>0</v>
      </c>
      <c r="CS19">
        <f>IF(CR19="","",COUNTIFS(CR$4:CR$40,"&lt;"&amp;CR19,CR$4:CR$40,"&lt;&gt;"&amp;"")+COUNTIF(CR$4:CR19,CR19))</f>
        <v>14</v>
      </c>
      <c r="CT19" s="55">
        <f>IF(ROW()-3&gt;COUNTIF(CR$4:CR$40,"&lt;&gt;"&amp;""),"",INDEX(CR$4:CR$40,MATCH(ROW()-3,CS$4:CS$40,0)))</f>
        <v>0</v>
      </c>
      <c r="CU19">
        <f>CU18+IF(AND(CT19&lt;&gt;"",COUNTIF(CT$4:CT19,CT19)=1),1,0)</f>
        <v>1</v>
      </c>
      <c r="CV19" t="str">
        <f>IF(ROW()-3&gt;MAX(CU$4:CU$40),"",INDEX(CT$4:CT$40,MATCH(ROW()-3,CU$4:CU$40,0)))</f>
        <v/>
      </c>
      <c r="CW19" s="55">
        <f>IF('Final Calculation Sheet'!$S$19="","",'Final Calculation Sheet'!$S$19)</f>
        <v>247066</v>
      </c>
      <c r="CX19">
        <f>IF(CW19="","",COUNTIFS(CW$4:CW$40,"&lt;"&amp;CW19,CW$4:CW$40,"&lt;&gt;"&amp;"")+COUNTIF(CW$4:CW19,CW19))</f>
        <v>24</v>
      </c>
      <c r="CY19" s="55">
        <f>IF(ROW()-3&gt;COUNTIF(CW$4:CW$40,"&lt;&gt;"&amp;""),"",INDEX(CW$4:CW$40,MATCH(ROW()-3,CX$4:CX$40,0)))</f>
        <v>100767</v>
      </c>
      <c r="CZ19">
        <f>CZ18+IF(AND(CY19&lt;&gt;"",COUNTIF(CY$4:CY19,CY19)=1),1,0)</f>
        <v>16</v>
      </c>
      <c r="DA19" s="55">
        <f>IF(ROW()-3&gt;MAX(CZ$4:CZ$40),"",INDEX(CY$4:CY$40,MATCH(ROW()-3,CZ$4:CZ$40,0)))</f>
        <v>100767</v>
      </c>
      <c r="DB19" s="55">
        <f>IF('Final Calculation Sheet'!$T$19="","",'Final Calculation Sheet'!$T$19)</f>
        <v>52500</v>
      </c>
      <c r="DC19">
        <f>IF(DB19="","",COUNTIFS(DB$4:DB$40,"&lt;"&amp;DB19,DB$4:DB$40,"&lt;&gt;"&amp;"")+COUNTIF(DB$4:DB19,DB19))</f>
        <v>24</v>
      </c>
      <c r="DD19" s="55">
        <f>IF(ROW()-3&gt;COUNTIF(DB$4:DB$40,"&lt;&gt;"&amp;""),"",INDEX(DB$4:DB$40,MATCH(ROW()-3,DC$4:DC$40,0)))</f>
        <v>21413</v>
      </c>
      <c r="DE19">
        <f>DE18+IF(AND(DD19&lt;&gt;"",COUNTIF(DD$4:DD19,DD19)=1),1,0)</f>
        <v>16</v>
      </c>
      <c r="DF19" s="55">
        <f>IF(ROW()-3&gt;MAX(DE$4:DE$40),"",INDEX(DD$4:DD$40,MATCH(ROW()-3,DE$4:DE$40,0)))</f>
        <v>21413</v>
      </c>
      <c r="DG19" s="140">
        <f>IF('Final Calculation Sheet'!$U$19="","",'Final Calculation Sheet'!$U$19)</f>
        <v>52500</v>
      </c>
      <c r="DH19">
        <f>IF(DG19="","",COUNTIFS(DG$4:DG$40,"&lt;"&amp;DG19,DG$4:DG$40,"&lt;&gt;"&amp;"")+COUNTIF(DG$4:DG19,DG19))</f>
        <v>24</v>
      </c>
      <c r="DI19" s="140">
        <f>IF(ROW()-3&gt;COUNTIF(DG$4:DG$40,"&lt;&gt;"&amp;""),"",INDEX(DG$4:DG$40,MATCH(ROW()-3,DH$4:DH$40,0)))</f>
        <v>21413</v>
      </c>
      <c r="DJ19">
        <f>DJ18+IF(AND(DI19&lt;&gt;"",COUNTIF(DI$4:DI19,DI19)=1),1,0)</f>
        <v>16</v>
      </c>
      <c r="DK19" s="140">
        <f>IF(ROW()-3&gt;MAX(DJ$4:DJ$40),"",INDEX(DI$4:DI$40,MATCH(ROW()-3,DJ$4:DJ$40,0)))</f>
        <v>21413</v>
      </c>
      <c r="DL19" t="str">
        <f>IF('Final Calculation Sheet'!$V$19="","",'Final Calculation Sheet'!$V$19)</f>
        <v>13.08.2026</v>
      </c>
      <c r="DM19">
        <f>IF(DL19="","",COUNTIFS(DL$4:DL$40,"&lt;"&amp;DL19,DL$4:DL$40,"&lt;&gt;"&amp;"")+COUNTIF(DL$4:DL19,DL19))</f>
        <v>19</v>
      </c>
      <c r="DN19" t="str">
        <f>IF(ROW()-3&gt;COUNTIF(DL$4:DL$40,"&lt;&gt;"&amp;""),"",INDEX(DL$4:DL$40,MATCH(ROW()-3,DM$4:DM$40,0)))</f>
        <v>13.08.2026</v>
      </c>
      <c r="DO19">
        <f>DO18+IF(AND(DN19&lt;&gt;"",COUNTIF(DN$4:DN19,DN19)=1),1,0)</f>
        <v>3</v>
      </c>
      <c r="DP19" t="str">
        <f>IF(ROW()-3&gt;MAX(DO$4:DO$40),"",INDEX(DN$4:DN$40,MATCH(ROW()-3,DO$4:DO$40,0)))</f>
        <v/>
      </c>
      <c r="DQ19" s="55">
        <f>IF('Final Calculation Sheet'!$W$19="","",'Final Calculation Sheet'!$W$19)</f>
        <v>194566</v>
      </c>
      <c r="DR19">
        <f>IF(DQ19="","",COUNTIFS(DQ$4:DQ$40,"&lt;"&amp;DQ19,DQ$4:DQ$40,"&lt;&gt;"&amp;"")+COUNTIF(DQ$4:DQ19,DQ19))</f>
        <v>24</v>
      </c>
      <c r="DS19" s="55">
        <f>IF(ROW()-3&gt;COUNTIF(DQ$4:DQ$40,"&lt;&gt;"&amp;""),"",INDEX(DQ$4:DQ$40,MATCH(ROW()-3,DR$4:DR$40,0)))</f>
        <v>79355</v>
      </c>
      <c r="DT19">
        <f>DT18+IF(AND(DS19&lt;&gt;"",COUNTIF(DS$4:DS19,DS19)=1),1,0)</f>
        <v>16</v>
      </c>
      <c r="DU19" s="55">
        <f>IF(ROW()-3&gt;MAX(DT$4:DT$40),"",INDEX(DS$4:DS$40,MATCH(ROW()-3,DT$4:DT$40,0)))</f>
        <v>79355</v>
      </c>
      <c r="DV19" s="55">
        <f>IF('Final Calculation Sheet'!$X$19="","",'Final Calculation Sheet'!$X$19)</f>
        <v>194566</v>
      </c>
      <c r="DW19">
        <f>IF(DV19="","",COUNTIFS(DV$4:DV$40,"&lt;"&amp;DV19,DV$4:DV$40,"&lt;&gt;"&amp;"")+COUNTIF(DV$4:DV19,DV19))</f>
        <v>23</v>
      </c>
      <c r="DX19" s="55">
        <f>IF(ROW()-3&gt;COUNTIF(DV$4:DV$40,"&lt;&gt;"&amp;""),"",INDEX(DV$4:DV$40,MATCH(ROW()-3,DW$4:DW$40,0)))</f>
        <v>111189</v>
      </c>
      <c r="DY19">
        <f>DY18+IF(AND(DX19&lt;&gt;"",COUNTIF(DX$4:DX19,DX19)=1),1,0)</f>
        <v>16</v>
      </c>
      <c r="DZ19" t="e">
        <f>IF(ROW()-3&gt;MAX(DY$4:DY$40),"",INDEX(DX$4:DX$40,MATCH(ROW()-3,DY$4:DY$40,0)))</f>
        <v>#N/A</v>
      </c>
      <c r="EA19" t="str">
        <f>IF('Final Calculation Sheet'!$Y$19="","",'Final Calculation Sheet'!$Y$19)</f>
        <v>24.08.2026</v>
      </c>
      <c r="EB19">
        <f>IF(EA19="","",COUNTIFS(EA$4:EA$40,"&lt;"&amp;EA19,EA$4:EA$40,"&lt;&gt;"&amp;"")+COUNTIF(EA$4:EA19,EA19))</f>
        <v>27</v>
      </c>
      <c r="EC19" t="str">
        <f>IF(ROW()-3&gt;COUNTIF(EA$4:EA$40,"&lt;&gt;"&amp;""),"",INDEX(EA$4:EA$40,MATCH(ROW()-3,EB$4:EB$40,0)))</f>
        <v>20.08.2026</v>
      </c>
      <c r="ED19">
        <f>ED18+IF(AND(EC19&lt;&gt;"",COUNTIF(EC$4:EC19,EC19)=1),1,0)</f>
        <v>7</v>
      </c>
      <c r="EE19" t="e">
        <f>IF(ROW()-3&gt;MAX(ED$4:ED$40),"",INDEX(EC$4:EC$40,MATCH(ROW()-3,ED$4:ED$40,0)))</f>
        <v>#N/A</v>
      </c>
      <c r="EF19" s="55">
        <f>IF('Final Calculation Sheet'!$Z$19="","",'Final Calculation Sheet'!$Z$19)</f>
        <v>0</v>
      </c>
      <c r="EG19">
        <f>IF(EF19="","",COUNTIFS(EF$4:EF$40,"&lt;"&amp;EF19,EF$4:EF$40,"&lt;&gt;"&amp;"")+COUNTIF(EF$4:EF19,EF19))</f>
        <v>16</v>
      </c>
      <c r="EH19" s="55">
        <f>IF(ROW()-3&gt;COUNTIF(EF$4:EF$40,"&lt;&gt;"&amp;""),"",INDEX(EF$4:EF$40,MATCH(ROW()-3,EG$4:EG$40,0)))</f>
        <v>0</v>
      </c>
      <c r="EI19">
        <f>EI18+IF(AND(EH19&lt;&gt;"",COUNTIF(EH$4:EH19,EH19)=1),1,0)</f>
        <v>1</v>
      </c>
      <c r="EJ19" t="str">
        <f>IF(ROW()-3&gt;MAX(EI$4:EI$40),"",INDEX(EH$4:EH$40,MATCH(ROW()-3,EI$4:EI$40,0)))</f>
        <v/>
      </c>
      <c r="EK19" t="str">
        <f>IF('Final Calculation Sheet'!$AA$19="","",'Final Calculation Sheet'!$AA$19)</f>
        <v/>
      </c>
      <c r="EL19" t="str">
        <f>IF(EK19="","",COUNTIFS(EK$4:EK$40,"&lt;"&amp;EK19,EK$4:EK$40,"&lt;&gt;"&amp;"")+COUNTIF(EK$4:EK19,EK19))</f>
        <v/>
      </c>
      <c r="EM19" t="e">
        <f>IF(ROW()-3&gt;COUNTIF(EK$4:EK$40,"&lt;&gt;"&amp;""),"",INDEX(EK$4:EK$40,MATCH(ROW()-3,EL$4:EL$40,0)))</f>
        <v>#N/A</v>
      </c>
      <c r="EN19" t="e">
        <f>EN18+IF(AND(EM19&lt;&gt;"",COUNTIF(EM$4:EM19,EM19)=1),1,0)</f>
        <v>#N/A</v>
      </c>
      <c r="EO19" t="e">
        <f>IF(ROW()-3&gt;MAX(EN$4:EN$40),"",INDEX(EM$4:EM$40,MATCH(ROW()-3,EN$4:EN$40,0)))</f>
        <v>#N/A</v>
      </c>
      <c r="EP19" t="str">
        <f>IF('Final Calculation Sheet'!$AB$19="","",'Final Calculation Sheet'!$AB$19)</f>
        <v/>
      </c>
      <c r="EQ19" t="str">
        <f>IF(EP19="","",COUNTIFS(EP$4:EP$40,"&lt;"&amp;EP19,EP$4:EP$40,"&lt;&gt;"&amp;"")+COUNTIF(EP$4:EP19,EP19))</f>
        <v/>
      </c>
      <c r="ER19" t="e">
        <f>IF(ROW()-3&gt;COUNTIF(EP$4:EP$40,"&lt;&gt;"&amp;""),"",INDEX(EP$4:EP$40,MATCH(ROW()-3,EQ$4:EQ$40,0)))</f>
        <v>#N/A</v>
      </c>
      <c r="ES19" t="e">
        <f>ES18+IF(AND(ER19&lt;&gt;"",COUNTIF(ER$4:ER19,ER19)=1),1,0)</f>
        <v>#N/A</v>
      </c>
      <c r="ET19" t="e">
        <f>IF(ROW()-3&gt;MAX(ES$4:ES$40),"",INDEX(ER$4:ER$40,MATCH(ROW()-3,ES$4:ES$40,0)))</f>
        <v>#N/A</v>
      </c>
      <c r="EU19" s="55">
        <f>IF('Final Calculation Sheet'!$AC$19="","",'Final Calculation Sheet'!$AC$19)</f>
        <v>247066</v>
      </c>
      <c r="EV19">
        <f>IF(EU19="","",COUNTIFS(EU$4:EU$40,"&lt;"&amp;EU19,EU$4:EU$40,"&lt;&gt;"&amp;"")+COUNTIF(EU$4:EU19,EU19))</f>
        <v>26</v>
      </c>
      <c r="EW19" s="55">
        <f>IF(ROW()-3&gt;COUNTIF(EU$4:EU$40,"&lt;&gt;"&amp;""),"",INDEX(EU$4:EU$40,MATCH(ROW()-3,EV$4:EV$40,0)))</f>
        <v>88242</v>
      </c>
      <c r="EX19">
        <f>EX18+IF(AND(EW19&lt;&gt;"",COUNTIF(EW$4:EW19,EW19)=1),1,0)</f>
        <v>16</v>
      </c>
      <c r="EY19" s="55">
        <f>IF(ROW()-3&gt;MAX(EX$4:EX$40),"",INDEX(EW$4:EW$40,MATCH(ROW()-3,EX$4:EX$40,0)))</f>
        <v>88242</v>
      </c>
      <c r="EZ19" s="55">
        <f>IF('Final Calculation Sheet'!$AD$19="","",'Final Calculation Sheet'!$AD$19)</f>
        <v>0</v>
      </c>
      <c r="FA19">
        <f>IF(EZ19="","",COUNTIFS(EZ$4:EZ$40,"&lt;"&amp;EZ19,EZ$4:EZ$40,"&lt;&gt;"&amp;"")+COUNTIF(EZ$4:EZ19,EZ19))</f>
        <v>17</v>
      </c>
      <c r="FB19" s="55">
        <f>IF(ROW()-3&gt;COUNTIF(EZ$4:EZ$40,"&lt;&gt;"&amp;""),"",INDEX(EZ$4:EZ$40,MATCH(ROW()-3,FA$4:FA$40,0)))</f>
        <v>0</v>
      </c>
      <c r="FC19" t="e">
        <f>FC18+IF(AND(FB19&lt;&gt;"",COUNTIF(FB$4:FB19,FB19)=1),1,0)</f>
        <v>#N/A</v>
      </c>
      <c r="FD19" t="e">
        <f>IF(ROW()-3&gt;MAX(FC$4:FC$40),"",INDEX(FB$4:FB$40,MATCH(ROW()-3,FC$4:FC$40,0)))</f>
        <v>#N/A</v>
      </c>
      <c r="FE19" t="str">
        <f>IF('Final Calculation Sheet'!$AE$19="","",'Final Calculation Sheet'!$AE$19)</f>
        <v>DR2640100035</v>
      </c>
      <c r="FF19">
        <f>IF(FE19="","",COUNTIFS(FE$4:FE$40,"&lt;"&amp;FE19,FE$4:FE$40,"&lt;&gt;"&amp;"")+COUNTIF(FE$4:FE19,FE19))</f>
        <v>24</v>
      </c>
      <c r="FG19" t="str">
        <f>IF(ROW()-3&gt;COUNTIF(FE$4:FE$40,"&lt;&gt;"&amp;""),"",INDEX(FE$4:FE$40,MATCH(ROW()-3,FF$4:FF$40,0)))</f>
        <v>DR2640100027</v>
      </c>
      <c r="FH19" t="e">
        <f>FH18+IF(AND(FG19&lt;&gt;"",COUNTIF(FG$4:FG19,FG19)=1),1,0)</f>
        <v>#N/A</v>
      </c>
      <c r="FI19" t="e">
        <f>IF(ROW()-3&gt;MAX(FH$4:FH$40),"",INDEX(FG$4:FG$40,MATCH(ROW()-3,FH$4:FH$40,0)))</f>
        <v>#N/A</v>
      </c>
      <c r="FJ19" s="141">
        <f>IF('Final Calculation Sheet'!$AF$19="","",'Final Calculation Sheet'!$AF$19)</f>
        <v>1800003307</v>
      </c>
      <c r="FK19">
        <f>IF(FJ19="","",COUNTIFS(FJ$4:FJ$40,"&lt;"&amp;FJ19,FJ$4:FJ$40,"&lt;&gt;"&amp;"")+COUNTIF(FJ$4:FJ19,FJ19))</f>
        <v>19</v>
      </c>
      <c r="FL19" s="141">
        <f>IF(ROW()-3&gt;COUNTIF(FJ$4:FJ$40,"&lt;&gt;"&amp;""),"",INDEX(FJ$4:FJ$40,MATCH(ROW()-3,FK$4:FK$40,0)))</f>
        <v>1800003304</v>
      </c>
      <c r="FM19">
        <f>FM18+IF(AND(FL19&lt;&gt;"",COUNTIF(FL$4:FL19,FL19)=1),1,0)</f>
        <v>16</v>
      </c>
      <c r="FN19" t="e">
        <f>IF(ROW()-3&gt;MAX(FM$4:FM$40),"",INDEX(FL$4:FL$40,MATCH(ROW()-3,FM$4:FM$40,0)))</f>
        <v>#N/A</v>
      </c>
      <c r="FO19" t="str">
        <f>IF('Final Calculation Sheet'!$AG$19="","",'Final Calculation Sheet'!$AG$19)</f>
        <v>27.08.2026</v>
      </c>
      <c r="FP19">
        <f>IF(FO19="","",COUNTIFS(FO$4:FO$40,"&lt;"&amp;FO19,FO$4:FO$40,"&lt;&gt;"&amp;"")+COUNTIF(FO$4:FO19,FO19))</f>
        <v>27</v>
      </c>
      <c r="FQ19" t="str">
        <f>IF(ROW()-3&gt;COUNTIF(FO$4:FO$40,"&lt;&gt;"&amp;""),"",INDEX(FO$4:FO$40,MATCH(ROW()-3,FP$4:FP$40,0)))</f>
        <v>20.08.2026</v>
      </c>
      <c r="FR19" t="e">
        <f>FR18+IF(AND(FQ19&lt;&gt;"",COUNTIF(FQ$4:FQ19,FQ19)=1),1,0)</f>
        <v>#N/A</v>
      </c>
      <c r="FS19" t="e">
        <f>IF(ROW()-3&gt;MAX(FR$4:FR$40),"",INDEX(FQ$4:FQ$40,MATCH(ROW()-3,FR$4:FR$40,0)))</f>
        <v>#N/A</v>
      </c>
      <c r="FU19" t="str">
        <f>IF(FT19="","",COUNTIFS(FT$4:FT$40,"&lt;"&amp;FT19,FT$4:FT$40,"&lt;&gt;"&amp;"")+COUNTIF(FT$4:FT19,FT19))</f>
        <v/>
      </c>
      <c r="FV19" t="str">
        <f>IF(ROW()-3&gt;COUNTIF(FT$4:FT$40,"&lt;&gt;"&amp;""),"",INDEX(FT$4:FT$40,MATCH(ROW()-3,FU$4:FU$40,0)))</f>
        <v/>
      </c>
      <c r="FW19">
        <f>FW18+IF(AND(FV19&lt;&gt;"",COUNTIF(FV$4:FV19,FV19)=1),1,0)</f>
        <v>2</v>
      </c>
      <c r="FX19" t="str">
        <f>IF(ROW()-3&gt;MAX(FW$4:FW$40),"",INDEX(FV$4:FV$40,MATCH(ROW()-3,FW$4:FW$40,0)))</f>
        <v/>
      </c>
    </row>
    <row r="20">
      <c r="A20">
        <f>IF('Final Calculation Sheet'!$F$20="","",'Final Calculation Sheet'!$F$20)</f>
        <v>2020</v>
      </c>
      <c r="B20">
        <f>IF(A20="","",COUNTIFS(A$4:A$114,"&lt;"&amp;A20,A$4:A$114,"&lt;&gt;"&amp;"")+COUNTIF(A$4:A20,A20))</f>
        <v>17</v>
      </c>
      <c r="C20">
        <f>IF(ROW()-3&gt;COUNTIF(A$4:A$114,"&lt;&gt;"&amp;""),"",INDEX(A$4:A$114,MATCH(ROW()-3,B$4:B$114,0)))</f>
        <v>2020</v>
      </c>
      <c r="D20">
        <f>D19+IF(AND(C20&lt;&gt;"",COUNTIF(C$4:C20,C20)=1),1,0)</f>
        <v>17</v>
      </c>
      <c r="E20" t="e">
        <f>IF(ROW()-3&gt;MAX(D$4:D$114),"",INDEX(C$4:C$114,MATCH(ROW()-3,D$4:D$114,0)))</f>
        <v>#N/A</v>
      </c>
      <c r="F20">
        <f>ROW()-3</f>
        <v>17</v>
      </c>
      <c r="G20">
        <f>IF(F20="","",COUNTIFS(F$4:F$40,"&lt;"&amp;F20,F$4:F$40,"&lt;&gt;"&amp;"")+COUNTIF(F$4:F20,F20))</f>
        <v>17</v>
      </c>
      <c r="H20">
        <f>IF(ROW()-3&gt;COUNTIF(F$4:F$40,"&lt;&gt;"&amp;""),"",INDEX(F$4:F$40,MATCH(ROW()-3,G$4:G$40,0)))</f>
        <v>17</v>
      </c>
      <c r="I20">
        <f>I19+IF(AND(H20&lt;&gt;"",COUNTIF(H$4:H20,H20)=1),1,0)</f>
        <v>17</v>
      </c>
      <c r="J20">
        <f>IF(ROW()-3&gt;MAX(I$4:I$40),"",INDEX(H$4:H$40,MATCH(ROW()-3,I$4:I$40,0)))</f>
        <v>17</v>
      </c>
      <c r="K20">
        <f>IF('Final Calculation Sheet'!$F$20="","",'Final Calculation Sheet'!$F$20)</f>
        <v>2020</v>
      </c>
      <c r="L20">
        <f>IF(K20="","",COUNTIFS(K$4:K$40,"&lt;"&amp;K20,K$4:K$40,"&lt;&gt;"&amp;"")+COUNTIF(K$4:K20,K20))</f>
        <v>17</v>
      </c>
      <c r="M20">
        <f>IF(ROW()-3&gt;COUNTIF(K$4:K$40,"&lt;&gt;"&amp;""),"",INDEX(K$4:K$40,MATCH(ROW()-3,L$4:L$40,0)))</f>
        <v>2020</v>
      </c>
      <c r="N20">
        <f>N19+IF(AND(M20&lt;&gt;"",COUNTIF(M$4:M20,M20)=1),1,0)</f>
        <v>17</v>
      </c>
      <c r="O20">
        <f>IF(ROW()-3&gt;MAX(N$4:N$40),"",INDEX(M$4:M$40,MATCH(ROW()-3,N$4:N$40,0)))</f>
        <v>2020</v>
      </c>
      <c r="P20" t="str">
        <f>IF('Final Calculation Sheet'!$G$20="","",'Final Calculation Sheet'!$G$20)</f>
        <v>OMKAR STEELS</v>
      </c>
      <c r="Q20">
        <f>IF(P20="","",COUNTIFS(P$4:P$40,"&lt;"&amp;P20,P$4:P$40,"&lt;&gt;"&amp;"")+COUNTIF(P$4:P20,P20))</f>
        <v>22</v>
      </c>
      <c r="R20" t="str">
        <f>IF(ROW()-3&gt;COUNTIF(P$4:P$40,"&lt;&gt;"&amp;""),"",INDEX(P$4:P$40,MATCH(ROW()-3,Q$4:Q$40,0)))</f>
        <v>NATIONAL ENTERPRISES</v>
      </c>
      <c r="S20">
        <f>S19+IF(AND(R20&lt;&gt;"",COUNTIF(R$4:R20,R20)=1),1,0)</f>
        <v>6</v>
      </c>
      <c r="T20" t="str">
        <f>IF(ROW()-3&gt;MAX(S$4:S$40),"",INDEX(R$4:R$40,MATCH(ROW()-3,S$4:S$40,0)))</f>
        <v/>
      </c>
      <c r="U20" t="str">
        <f>IF('Final Calculation Sheet'!$B$20="","",'Final Calculation Sheet'!$B$20)</f>
        <v>SCRAP 80MM² AAAC EARTHWIRE</v>
      </c>
      <c r="V20">
        <f>IF(U20="","",COUNTIFS(U$4:U$40,"&lt;"&amp;U20,U$4:U$40,"&lt;&gt;"&amp;"")+COUNTIF(U$4:U20,U20))</f>
        <v>2</v>
      </c>
      <c r="W20" t="str">
        <f>IF(ROW()-3&gt;COUNTIF(U$4:U$40,"&lt;&gt;"&amp;""),"",INDEX(U$4:U$40,MATCH(ROW()-3,V$4:V$40,0)))</f>
        <v>Scrap of 220 KV CT</v>
      </c>
      <c r="X20">
        <f>X19+IF(AND(W20&lt;&gt;"",COUNTIF(W$4:W20,W20)=1),1,0)</f>
        <v>10</v>
      </c>
      <c r="Y20" t="str">
        <f>IF(ROW()-3&gt;MAX(X$4:X$40),"",INDEX(W$4:W$40,MATCH(ROW()-3,X$4:X$40,0)))</f>
        <v>Scrap of AAAC Earth wire</v>
      </c>
      <c r="Z20">
        <f>IF('Final Calculation Sheet'!$D$20="","",'Final Calculation Sheet'!$D$20)</f>
        <v>21978</v>
      </c>
      <c r="AA20">
        <f>IF(Z20="","",COUNTIFS(Z$4:Z$40,"&lt;"&amp;Z20,Z$4:Z$40,"&lt;&gt;"&amp;"")+COUNTIF(Z$4:Z20,Z20))</f>
        <v>15</v>
      </c>
      <c r="AB20">
        <f>IF(ROW()-3&gt;COUNTIF(Z$4:Z$40,"&lt;&gt;"&amp;""),"",INDEX(Z$4:Z$40,MATCH(ROW()-3,AA$4:AA$40,0)))</f>
        <v>21978</v>
      </c>
      <c r="AC20">
        <f>AC19+IF(AND(AB20&lt;&gt;"",COUNTIF(AB$4:AB20,AB20)=1),1,0)</f>
        <v>2</v>
      </c>
      <c r="AD20" t="str">
        <f>IF(ROW()-3&gt;MAX(AC$4:AC$40),"",INDEX(AB$4:AB$40,MATCH(ROW()-3,AC$4:AC$40,0)))</f>
        <v/>
      </c>
      <c r="AE20">
        <f>IF('Final Calculation Sheet'!$A$20="","",'Final Calculation Sheet'!$A$20)</f>
        <v>3500</v>
      </c>
      <c r="AF20">
        <f>IF(AE20="","",COUNTIFS(AE$4:AE$40,"&lt;"&amp;AE20,AE$4:AE$40,"&lt;&gt;"&amp;"")+COUNTIF(AE$4:AE20,AE20))</f>
        <v>36</v>
      </c>
      <c r="AG20">
        <f>IF(ROW()-3&gt;COUNTIF(AE$4:AE$40,"&lt;&gt;"&amp;""),"",INDEX(AE$4:AE$40,MATCH(ROW()-3,AF$4:AF$40,0)))</f>
        <v>3</v>
      </c>
      <c r="AH20">
        <f>AH19+IF(AND(AG20&lt;&gt;"",COUNTIF(AG$4:AG20,AG20)=1),1,0)</f>
        <v>3</v>
      </c>
      <c r="AI20">
        <f>IF(ROW()-3&gt;MAX(AH$4:AH$40),"",INDEX(AG$4:AG$40,MATCH(ROW()-3,AH$4:AH$40,0)))</f>
        <v>669</v>
      </c>
      <c r="AJ20" t="str">
        <f>IF('Final Calculation Sheet'!$E$20="","",'Final Calculation Sheet'!$E$20)</f>
        <v>KG</v>
      </c>
      <c r="AK20">
        <f>IF(AJ20="","",COUNTIFS(AJ$4:AJ$40,"&lt;"&amp;AJ20,AJ$4:AJ$40,"&lt;&gt;"&amp;"")+COUNTIF(AJ$4:AJ20,AJ20))</f>
        <v>5</v>
      </c>
      <c r="AL20" t="str">
        <f>IF(ROW()-3&gt;COUNTIF(AJ$4:AJ$40,"&lt;&gt;"&amp;""),"",INDEX(AJ$4:AJ$40,MATCH(ROW()-3,AK$4:AK$40,0)))</f>
        <v>NO</v>
      </c>
      <c r="AM20">
        <f>AM19+IF(AND(AL20&lt;&gt;"",COUNTIF(AL$4:AL20,AL20)=1),1,0)</f>
        <v>3</v>
      </c>
      <c r="AN20" t="str">
        <f>IF(ROW()-3&gt;MAX(AM$4:AM$40),"",INDEX(AL$4:AL$40,MATCH(ROW()-3,AM$4:AM$40,0)))</f>
        <v/>
      </c>
      <c r="AO20" s="55">
        <f>IF('Final Calculation Sheet'!$C$20="","",'Final Calculation Sheet'!$C$20)</f>
        <v>333</v>
      </c>
      <c r="AP20">
        <f>IF(AO20="","",COUNTIFS(AO$4:AO$40,"&lt;"&amp;AO20,AO$4:AO$40,"&lt;&gt;"&amp;"")+COUNTIF(AO$4:AO20,AO20))</f>
        <v>4</v>
      </c>
      <c r="AQ20" s="55">
        <f>IF(ROW()-3&gt;COUNTIF(AO$4:AO$40,"&lt;&gt;"&amp;""),"",INDEX(AO$4:AO$40,MATCH(ROW()-3,AP$4:AP$40,0)))</f>
        <v>14001</v>
      </c>
      <c r="AR20">
        <f>AR19+IF(AND(AQ20&lt;&gt;"",COUNTIF(AQ$4:AQ20,AQ20)=1),1,0)</f>
        <v>15</v>
      </c>
      <c r="AS20" s="55">
        <f>IF(ROW()-3&gt;MAX(AR$4:AR$40),"",INDEX(AQ$4:AQ$40,MATCH(ROW()-3,AR$4:AR$40,0)))</f>
        <v>25001</v>
      </c>
      <c r="AT20" s="55">
        <f>IF('Final Calculation Sheet'!$H$20="","",'Final Calculation Sheet'!$H$20)</f>
        <v>1165500</v>
      </c>
      <c r="AU20">
        <f>IF(AT20="","",COUNTIFS(AT$4:AT$40,"&lt;"&amp;AT20,AT$4:AT$40,"&lt;&gt;"&amp;"")+COUNTIF(AT$4:AT20,AT20))</f>
        <v>34</v>
      </c>
      <c r="AV20" s="55">
        <f>IF(ROW()-3&gt;COUNTIF(AT$4:AT$40,"&lt;&gt;"&amp;""),"",INDEX(AT$4:AT$40,MATCH(ROW()-3,AU$4:AU$40,0)))</f>
        <v>120009</v>
      </c>
      <c r="AW20">
        <f>AW19+IF(AND(AV20&lt;&gt;"",COUNTIF(AV$4:AV20,AV20)=1),1,0)</f>
        <v>17</v>
      </c>
      <c r="AX20" s="55">
        <f>IF(ROW()-3&gt;MAX(AW$4:AW$40),"",INDEX(AV$4:AV$40,MATCH(ROW()-3,AW$4:AW$40,0)))</f>
        <v>120009</v>
      </c>
      <c r="AY20" s="55">
        <f>IF('Final Calculation Sheet'!$I$20="","",'Final Calculation Sheet'!$I$20)</f>
        <v>209790</v>
      </c>
      <c r="AZ20">
        <f>IF(AY20="","",COUNTIFS(AY$4:AY$40,"&lt;"&amp;AY20,AY$4:AY$40,"&lt;&gt;"&amp;"")+COUNTIF(AY$4:AY20,AY20))</f>
        <v>34</v>
      </c>
      <c r="BA20" s="55">
        <f>IF(ROW()-3&gt;COUNTIF(AY$4:AY$40,"&lt;&gt;"&amp;""),"",INDEX(AY$4:AY$40,MATCH(ROW()-3,AZ$4:AZ$40,0)))</f>
        <v>21602</v>
      </c>
      <c r="BB20">
        <f>BB19+IF(AND(BA20&lt;&gt;"",COUNTIF(BA$4:BA20,BA20)=1),1,0)</f>
        <v>17</v>
      </c>
      <c r="BC20" s="55">
        <f>IF(ROW()-3&gt;MAX(BB$4:BB$40),"",INDEX(BA$4:BA$40,MATCH(ROW()-3,BB$4:BB$40,0)))</f>
        <v>21602</v>
      </c>
      <c r="BD20" s="55">
        <f>IF('Final Calculation Sheet'!$J$20="","",'Final Calculation Sheet'!$J$20)</f>
        <v>1375290</v>
      </c>
      <c r="BE20">
        <f>IF(BD20="","",COUNTIFS(BD$4:BD$40,"&lt;"&amp;BD20,BD$4:BD$40,"&lt;&gt;"&amp;"")+COUNTIF(BD$4:BD20,BD20))</f>
        <v>34</v>
      </c>
      <c r="BF20" s="55">
        <f>IF(ROW()-3&gt;COUNTIF(BD$4:BD$40,"&lt;&gt;"&amp;""),"",INDEX(BD$4:BD$40,MATCH(ROW()-3,BE$4:BE$40,0)))</f>
        <v>141611</v>
      </c>
      <c r="BG20">
        <f>BG19+IF(AND(BF20&lt;&gt;"",COUNTIF(BF$4:BF20,BF20)=1),1,0)</f>
        <v>17</v>
      </c>
      <c r="BH20" s="55">
        <f>IF(ROW()-3&gt;MAX(BG$4:BG$40),"",INDEX(BF$4:BF$40,MATCH(ROW()-3,BG$4:BG$40,0)))</f>
        <v>141611</v>
      </c>
      <c r="BI20" s="55">
        <f>IF('Final Calculation Sheet'!$K$20="","",'Final Calculation Sheet'!$K$20)</f>
        <v>27506</v>
      </c>
      <c r="BJ20">
        <f>IF(BI20="","",COUNTIFS(BI$4:BI$40,"&lt;"&amp;BI20,BI$4:BI$40,"&lt;&gt;"&amp;"")+COUNTIF(BI$4:BI20,BI20))</f>
        <v>34</v>
      </c>
      <c r="BK20" s="55">
        <f>IF(ROW()-3&gt;COUNTIF(BI$4:BI$40,"&lt;&gt;"&amp;""),"",INDEX(BI$4:BI$40,MATCH(ROW()-3,BJ$4:BJ$40,0)))</f>
        <v>2832</v>
      </c>
      <c r="BL20">
        <f>BL19+IF(AND(BK20&lt;&gt;"",COUNTIF(BK$4:BK20,BK20)=1),1,0)</f>
        <v>17</v>
      </c>
      <c r="BM20" s="55">
        <f>IF(ROW()-3&gt;MAX(BL$4:BL$40),"",INDEX(BK$4:BK$40,MATCH(ROW()-3,BL$4:BL$40,0)))</f>
        <v>2832</v>
      </c>
      <c r="BN20" s="55">
        <f>IF('Final Calculation Sheet'!$L$20="","",'Final Calculation Sheet'!$L$20)</f>
        <v>1165.5</v>
      </c>
      <c r="BO20">
        <f>IF(BN20="","",COUNTIFS(BN$4:BN$40,"&lt;"&amp;BN20,BN$4:BN$40,"&lt;&gt;"&amp;"")+COUNTIF(BN$4:BN20,BN20))</f>
        <v>34</v>
      </c>
      <c r="BP20" s="55">
        <f>IF(ROW()-3&gt;COUNTIF(BN$4:BN$40,"&lt;&gt;"&amp;""),"",INDEX(BN$4:BN$40,MATCH(ROW()-3,BO$4:BO$40,0)))</f>
        <v>120.009</v>
      </c>
      <c r="BQ20">
        <f>BQ19+IF(AND(BP20&lt;&gt;"",COUNTIF(BP$4:BP20,BP20)=1),1,0)</f>
        <v>17</v>
      </c>
      <c r="BR20" s="55">
        <f>IF(ROW()-3&gt;MAX(BQ$4:BQ$40),"",INDEX(BP$4:BP$40,MATCH(ROW()-3,BQ$4:BQ$40,0)))</f>
        <v>120.009</v>
      </c>
      <c r="BS20" s="55">
        <f>IF('Final Calculation Sheet'!$M$20="","",'Final Calculation Sheet'!$M$20)</f>
        <v>30944.024999999998</v>
      </c>
      <c r="BT20">
        <f>IF(BS20="","",COUNTIFS(BS$4:BS$40,"&lt;"&amp;BS20,BS$4:BS$40,"&lt;&gt;"&amp;"")+COUNTIF(BS$4:BS20,BS20))</f>
        <v>34</v>
      </c>
      <c r="BU20" s="55">
        <f>IF(ROW()-3&gt;COUNTIF(BS$4:BS$40,"&lt;&gt;"&amp;""),"",INDEX(BS$4:BS$40,MATCH(ROW()-3,BT$4:BT$40,0)))</f>
        <v>3186.2389499999995</v>
      </c>
      <c r="BV20">
        <f>BV19+IF(AND(BU20&lt;&gt;"",COUNTIF(BU$4:BU20,BU20)=1),1,0)</f>
        <v>17</v>
      </c>
      <c r="BW20" s="55">
        <f>IF(ROW()-3&gt;MAX(BV$4:BV$40),"",INDEX(BU$4:BU$40,MATCH(ROW()-3,BV$4:BV$40,0)))</f>
        <v>3186.2389499999995</v>
      </c>
      <c r="BX20" s="138">
        <f>IF('Final Calculation Sheet'!$N$20="","",'Final Calculation Sheet'!$N$20)</f>
        <v>524.47500000000002</v>
      </c>
      <c r="BY20">
        <f>IF(BX20="","",COUNTIFS(BX$4:BX$40,"&lt;"&amp;BX20,BX$4:BX$40,"&lt;&gt;"&amp;"")+COUNTIF(BX$4:BX20,BX20))</f>
        <v>34</v>
      </c>
      <c r="BZ20" s="138">
        <f>IF(ROW()-3&gt;COUNTIF(BX$4:BX$40,"&lt;&gt;"&amp;""),"",INDEX(BX$4:BX$40,MATCH(ROW()-3,BY$4:BY$40,0)))</f>
        <v>54.004049999999999</v>
      </c>
      <c r="CA20">
        <f>CA19+IF(AND(BZ20&lt;&gt;"",COUNTIF(BZ$4:BZ20,BZ20)=1),1,0)</f>
        <v>17</v>
      </c>
      <c r="CB20" s="138">
        <f>IF(ROW()-3&gt;MAX(CA$4:CA$40),"",INDEX(BZ$4:BZ$40,MATCH(ROW()-3,CA$4:CA$40,0)))</f>
        <v>54.004049999999999</v>
      </c>
      <c r="CC20" s="55">
        <f>IF('Final Calculation Sheet'!$O$20="","",'Final Calculation Sheet'!$O$20)</f>
        <v>30419.55</v>
      </c>
      <c r="CD20">
        <f>IF(CC20="","",COUNTIFS(CC$4:CC$40,"&lt;"&amp;CC20,CC$4:CC$40,"&lt;&gt;"&amp;"")+COUNTIF(CC$4:CC20,CC20))</f>
        <v>34</v>
      </c>
      <c r="CE20" s="55">
        <f>IF(ROW()-3&gt;COUNTIF(CC$4:CC$40,"&lt;&gt;"&amp;""),"",INDEX(CC$4:CC$40,MATCH(ROW()-3,CD$4:CD$40,0)))</f>
        <v>3132.2348999999995</v>
      </c>
      <c r="CF20">
        <f>CF19+IF(AND(CE20&lt;&gt;"",COUNTIF(CE$4:CE20,CE20)=1),1,0)</f>
        <v>17</v>
      </c>
      <c r="CG20" s="55">
        <f>IF(ROW()-3&gt;MAX(CF$4:CF$40),"",INDEX(CE$4:CE$40,MATCH(ROW()-3,CF$4:CF$40,0)))</f>
        <v>3132.2348999999995</v>
      </c>
      <c r="CH20" s="55">
        <f>IF('Final Calculation Sheet'!$P$20="","",'Final Calculation Sheet'!$P$20)</f>
        <v>31585</v>
      </c>
      <c r="CI20">
        <f>IF(CH20="","",COUNTIFS(CH$4:CH$40,"&lt;"&amp;CH20,CH$4:CH$40,"&lt;&gt;"&amp;"")+COUNTIF(CH$4:CH20,CH20))</f>
        <v>34</v>
      </c>
      <c r="CJ20" s="55">
        <f>IF(ROW()-3&gt;COUNTIF(CH$4:CH$40,"&lt;&gt;"&amp;""),"",INDEX(CH$4:CH$40,MATCH(ROW()-3,CI$4:CI$40,0)))</f>
        <v>3252</v>
      </c>
      <c r="CK20">
        <f>CK19+IF(AND(CJ20&lt;&gt;"",COUNTIF(CJ$4:CJ20,CJ20)=1),1,0)</f>
        <v>17</v>
      </c>
      <c r="CL20" s="55">
        <f>IF(ROW()-3&gt;MAX(CK$4:CK$40),"",INDEX(CJ$4:CJ$40,MATCH(ROW()-3,CK$4:CK$40,0)))</f>
        <v>3252</v>
      </c>
      <c r="CM20" s="139">
        <f>IF('Final Calculation Sheet'!$Q$20="","",'Final Calculation Sheet'!$Q$20)</f>
        <v>0.02</v>
      </c>
      <c r="CN20">
        <f>IF(CM20="","",COUNTIFS(CM$4:CM$40,"&lt;"&amp;CM20,CM$4:CM$40,"&lt;&gt;"&amp;"")+COUNTIF(CM$4:CM20,CM20))</f>
        <v>36</v>
      </c>
      <c r="CO20" s="139">
        <f>IF(ROW()-3&gt;COUNTIF(CM$4:CM$40,"&lt;&gt;"&amp;""),"",INDEX(CM$4:CM$40,MATCH(ROW()-3,CN$4:CN$40,0)))</f>
        <v>0</v>
      </c>
      <c r="CP20">
        <f>CP19+IF(AND(CO20&lt;&gt;"",COUNTIF(CO$4:CO20,CO20)=1),1,0)</f>
        <v>1</v>
      </c>
      <c r="CQ20" t="str">
        <f>IF(ROW()-3&gt;MAX(CP$4:CP$40),"",INDEX(CO$4:CO$40,MATCH(ROW()-3,CP$4:CP$40,0)))</f>
        <v/>
      </c>
      <c r="CR20" s="55">
        <f>IF('Final Calculation Sheet'!$R$20="","",'Final Calculation Sheet'!$R$20)</f>
        <v>23310</v>
      </c>
      <c r="CS20">
        <f>IF(CR20="","",COUNTIFS(CR$4:CR$40,"&lt;"&amp;CR20,CR$4:CR$40,"&lt;&gt;"&amp;"")+COUNTIF(CR$4:CR20,CR20))</f>
        <v>36</v>
      </c>
      <c r="CT20" s="55">
        <f>IF(ROW()-3&gt;COUNTIF(CR$4:CR$40,"&lt;&gt;"&amp;""),"",INDEX(CR$4:CR$40,MATCH(ROW()-3,CS$4:CS$40,0)))</f>
        <v>0</v>
      </c>
      <c r="CU20">
        <f>CU19+IF(AND(CT20&lt;&gt;"",COUNTIF(CT$4:CT20,CT20)=1),1,0)</f>
        <v>1</v>
      </c>
      <c r="CV20" t="str">
        <f>IF(ROW()-3&gt;MAX(CU$4:CU$40),"",INDEX(CT$4:CT$40,MATCH(ROW()-3,CU$4:CU$40,0)))</f>
        <v/>
      </c>
      <c r="CW20" s="55">
        <f>IF('Final Calculation Sheet'!$S$20="","",'Final Calculation Sheet'!$S$20)</f>
        <v>1347901</v>
      </c>
      <c r="CX20">
        <f>IF(CW20="","",COUNTIFS(CW$4:CW$40,"&lt;"&amp;CW20,CW$4:CW$40,"&lt;&gt;"&amp;"")+COUNTIF(CW$4:CW20,CW20))</f>
        <v>34</v>
      </c>
      <c r="CY20" s="55">
        <f>IF(ROW()-3&gt;COUNTIF(CW$4:CW$40,"&lt;&gt;"&amp;""),"",INDEX(CW$4:CW$40,MATCH(ROW()-3,CX$4:CX$40,0)))</f>
        <v>141191</v>
      </c>
      <c r="CZ20">
        <f>CZ19+IF(AND(CY20&lt;&gt;"",COUNTIF(CY$4:CY20,CY20)=1),1,0)</f>
        <v>17</v>
      </c>
      <c r="DA20" s="55">
        <f>IF(ROW()-3&gt;MAX(CZ$4:CZ$40),"",INDEX(CY$4:CY$40,MATCH(ROW()-3,CZ$4:CZ$40,0)))</f>
        <v>141191</v>
      </c>
      <c r="DB20" s="55">
        <f>IF('Final Calculation Sheet'!$T$20="","",'Final Calculation Sheet'!$T$20)</f>
        <v>291375</v>
      </c>
      <c r="DC20">
        <f>IF(DB20="","",COUNTIFS(DB$4:DB$40,"&lt;"&amp;DB20,DB$4:DB$40,"&lt;&gt;"&amp;"")+COUNTIF(DB$4:DB20,DB20))</f>
        <v>34</v>
      </c>
      <c r="DD20" s="55">
        <f>IF(ROW()-3&gt;COUNTIF(DB$4:DB$40,"&lt;&gt;"&amp;""),"",INDEX(DB$4:DB$40,MATCH(ROW()-3,DC$4:DC$40,0)))</f>
        <v>30002</v>
      </c>
      <c r="DE20">
        <f>DE19+IF(AND(DD20&lt;&gt;"",COUNTIF(DD$4:DD20,DD20)=1),1,0)</f>
        <v>17</v>
      </c>
      <c r="DF20" s="55">
        <f>IF(ROW()-3&gt;MAX(DE$4:DE$40),"",INDEX(DD$4:DD$40,MATCH(ROW()-3,DE$4:DE$40,0)))</f>
        <v>30002</v>
      </c>
      <c r="DG20" s="140">
        <f>IF('Final Calculation Sheet'!$U$20="","",'Final Calculation Sheet'!$U$20)</f>
        <v>291375</v>
      </c>
      <c r="DH20">
        <f>IF(DG20="","",COUNTIFS(DG$4:DG$40,"&lt;"&amp;DG20,DG$4:DG$40,"&lt;&gt;"&amp;"")+COUNTIF(DG$4:DG20,DG20))</f>
        <v>34</v>
      </c>
      <c r="DI20" s="140">
        <f>IF(ROW()-3&gt;COUNTIF(DG$4:DG$40,"&lt;&gt;"&amp;""),"",INDEX(DG$4:DG$40,MATCH(ROW()-3,DH$4:DH$40,0)))</f>
        <v>30002</v>
      </c>
      <c r="DJ20">
        <f>DJ19+IF(AND(DI20&lt;&gt;"",COUNTIF(DI$4:DI20,DI20)=1),1,0)</f>
        <v>17</v>
      </c>
      <c r="DK20" s="140">
        <f>IF(ROW()-3&gt;MAX(DJ$4:DJ$40),"",INDEX(DI$4:DI$40,MATCH(ROW()-3,DJ$4:DJ$40,0)))</f>
        <v>30002</v>
      </c>
      <c r="DL20" t="str">
        <f>IF('Final Calculation Sheet'!$V$20="","",'Final Calculation Sheet'!$V$20)</f>
        <v>10.08.2026</v>
      </c>
      <c r="DM20">
        <f>IF(DL20="","",COUNTIFS(DL$4:DL$40,"&lt;"&amp;DL20,DL$4:DL$40,"&lt;&gt;"&amp;"")+COUNTIF(DL$4:DL20,DL20))</f>
        <v>1</v>
      </c>
      <c r="DN20" t="str">
        <f>IF(ROW()-3&gt;COUNTIF(DL$4:DL$40,"&lt;&gt;"&amp;""),"",INDEX(DL$4:DL$40,MATCH(ROW()-3,DM$4:DM$40,0)))</f>
        <v>13.08.2026</v>
      </c>
      <c r="DO20">
        <f>DO19+IF(AND(DN20&lt;&gt;"",COUNTIF(DN$4:DN20,DN20)=1),1,0)</f>
        <v>3</v>
      </c>
      <c r="DP20" t="str">
        <f>IF(ROW()-3&gt;MAX(DO$4:DO$40),"",INDEX(DN$4:DN$40,MATCH(ROW()-3,DO$4:DO$40,0)))</f>
        <v/>
      </c>
      <c r="DQ20" s="55">
        <f>IF('Final Calculation Sheet'!$W$20="","",'Final Calculation Sheet'!$W$20)</f>
        <v>1056526</v>
      </c>
      <c r="DR20">
        <f>IF(DQ20="","",COUNTIFS(DQ$4:DQ$40,"&lt;"&amp;DQ20,DQ$4:DQ$40,"&lt;&gt;"&amp;"")+COUNTIF(DQ$4:DQ20,DQ20))</f>
        <v>34</v>
      </c>
      <c r="DS20" s="55">
        <f>IF(ROW()-3&gt;COUNTIF(DQ$4:DQ$40,"&lt;&gt;"&amp;""),"",INDEX(DQ$4:DQ$40,MATCH(ROW()-3,DR$4:DR$40,0)))</f>
        <v>111188</v>
      </c>
      <c r="DT20">
        <f>DT19+IF(AND(DS20&lt;&gt;"",COUNTIF(DS$4:DS20,DS20)=1),1,0)</f>
        <v>17</v>
      </c>
      <c r="DU20" s="55">
        <f>IF(ROW()-3&gt;MAX(DT$4:DT$40),"",INDEX(DS$4:DS$40,MATCH(ROW()-3,DT$4:DT$40,0)))</f>
        <v>111188</v>
      </c>
      <c r="DV20" s="55">
        <f>IF('Final Calculation Sheet'!$X$20="","",'Final Calculation Sheet'!$X$20)</f>
        <v>1056525</v>
      </c>
      <c r="DW20">
        <f>IF(DV20="","",COUNTIFS(DV$4:DV$40,"&lt;"&amp;DV20,DV$4:DV$40,"&lt;&gt;"&amp;"")+COUNTIF(DV$4:DV20,DV20))</f>
        <v>31</v>
      </c>
      <c r="DX20" s="55">
        <f>IF(ROW()-3&gt;COUNTIF(DV$4:DV$40,"&lt;&gt;"&amp;""),"",INDEX(DV$4:DV$40,MATCH(ROW()-3,DW$4:DW$40,0)))</f>
        <v>125772</v>
      </c>
      <c r="DY20">
        <f>DY19+IF(AND(DX20&lt;&gt;"",COUNTIF(DX$4:DX20,DX20)=1),1,0)</f>
        <v>17</v>
      </c>
      <c r="DZ20" t="e">
        <f>IF(ROW()-3&gt;MAX(DY$4:DY$40),"",INDEX(DX$4:DX$40,MATCH(ROW()-3,DY$4:DY$40,0)))</f>
        <v>#N/A</v>
      </c>
      <c r="EA20" t="str">
        <f>IF('Final Calculation Sheet'!$Y$20="","",'Final Calculation Sheet'!$Y$20)</f>
        <v>10.08.2026</v>
      </c>
      <c r="EB20">
        <f>IF(EA20="","",COUNTIFS(EA$4:EA$40,"&lt;"&amp;EA20,EA$4:EA$40,"&lt;&gt;"&amp;"")+COUNTIF(EA$4:EA20,EA20))</f>
        <v>3</v>
      </c>
      <c r="EC20" t="str">
        <f>IF(ROW()-3&gt;COUNTIF(EA$4:EA$40,"&lt;&gt;"&amp;""),"",INDEX(EA$4:EA$40,MATCH(ROW()-3,EB$4:EB$40,0)))</f>
        <v>21.08.2026</v>
      </c>
      <c r="ED20">
        <f>ED19+IF(AND(EC20&lt;&gt;"",COUNTIF(EC$4:EC20,EC20)=1),1,0)</f>
        <v>8</v>
      </c>
      <c r="EE20" t="e">
        <f>IF(ROW()-3&gt;MAX(ED$4:ED$40),"",INDEX(EC$4:EC$40,MATCH(ROW()-3,ED$4:ED$40,0)))</f>
        <v>#N/A</v>
      </c>
      <c r="EF20" s="55">
        <f>IF('Final Calculation Sheet'!$Z$20="","",'Final Calculation Sheet'!$Z$20)</f>
        <v>0</v>
      </c>
      <c r="EG20">
        <f>IF(EF20="","",COUNTIFS(EF$4:EF$40,"&lt;"&amp;EF20,EF$4:EF$40,"&lt;&gt;"&amp;"")+COUNTIF(EF$4:EF20,EF20))</f>
        <v>17</v>
      </c>
      <c r="EH20" s="55">
        <f>IF(ROW()-3&gt;COUNTIF(EF$4:EF$40,"&lt;&gt;"&amp;""),"",INDEX(EF$4:EF$40,MATCH(ROW()-3,EG$4:EG$40,0)))</f>
        <v>0</v>
      </c>
      <c r="EI20">
        <f>EI19+IF(AND(EH20&lt;&gt;"",COUNTIF(EH$4:EH20,EH20)=1),1,0)</f>
        <v>1</v>
      </c>
      <c r="EJ20" t="str">
        <f>IF(ROW()-3&gt;MAX(EI$4:EI$40),"",INDEX(EH$4:EH$40,MATCH(ROW()-3,EI$4:EI$40,0)))</f>
        <v/>
      </c>
      <c r="EK20" t="str">
        <f>IF('Final Calculation Sheet'!$AA$20="","",'Final Calculation Sheet'!$AA$20)</f>
        <v/>
      </c>
      <c r="EL20" t="str">
        <f>IF(EK20="","",COUNTIFS(EK$4:EK$40,"&lt;"&amp;EK20,EK$4:EK$40,"&lt;&gt;"&amp;"")+COUNTIF(EK$4:EK20,EK20))</f>
        <v/>
      </c>
      <c r="EM20" t="e">
        <f>IF(ROW()-3&gt;COUNTIF(EK$4:EK$40,"&lt;&gt;"&amp;""),"",INDEX(EK$4:EK$40,MATCH(ROW()-3,EL$4:EL$40,0)))</f>
        <v>#N/A</v>
      </c>
      <c r="EN20" t="e">
        <f>EN19+IF(AND(EM20&lt;&gt;"",COUNTIF(EM$4:EM20,EM20)=1),1,0)</f>
        <v>#N/A</v>
      </c>
      <c r="EO20" t="e">
        <f>IF(ROW()-3&gt;MAX(EN$4:EN$40),"",INDEX(EM$4:EM$40,MATCH(ROW()-3,EN$4:EN$40,0)))</f>
        <v>#N/A</v>
      </c>
      <c r="EP20" t="str">
        <f>IF('Final Calculation Sheet'!$AB$20="","",'Final Calculation Sheet'!$AB$20)</f>
        <v/>
      </c>
      <c r="EQ20" t="str">
        <f>IF(EP20="","",COUNTIFS(EP$4:EP$40,"&lt;"&amp;EP20,EP$4:EP$40,"&lt;&gt;"&amp;"")+COUNTIF(EP$4:EP20,EP20))</f>
        <v/>
      </c>
      <c r="ER20" t="e">
        <f>IF(ROW()-3&gt;COUNTIF(EP$4:EP$40,"&lt;&gt;"&amp;""),"",INDEX(EP$4:EP$40,MATCH(ROW()-3,EQ$4:EQ$40,0)))</f>
        <v>#N/A</v>
      </c>
      <c r="ES20" t="e">
        <f>ES19+IF(AND(ER20&lt;&gt;"",COUNTIF(ER$4:ER20,ER20)=1),1,0)</f>
        <v>#N/A</v>
      </c>
      <c r="ET20" t="e">
        <f>IF(ROW()-3&gt;MAX(ES$4:ES$40),"",INDEX(ER$4:ER$40,MATCH(ROW()-3,ES$4:ES$40,0)))</f>
        <v>#N/A</v>
      </c>
      <c r="EU20" s="55">
        <f>IF('Final Calculation Sheet'!$AC$20="","",'Final Calculation Sheet'!$AC$20)</f>
        <v>1347900</v>
      </c>
      <c r="EV20">
        <f>IF(EU20="","",COUNTIFS(EU$4:EU$40,"&lt;"&amp;EU20,EU$4:EU$40,"&lt;&gt;"&amp;"")+COUNTIF(EU$4:EU20,EU20))</f>
        <v>34</v>
      </c>
      <c r="EW20" s="55">
        <f>IF(ROW()-3&gt;COUNTIF(EU$4:EU$40,"&lt;&gt;"&amp;""),"",INDEX(EU$4:EU$40,MATCH(ROW()-3,EV$4:EV$40,0)))</f>
        <v>100767</v>
      </c>
      <c r="EX20">
        <f>EX19+IF(AND(EW20&lt;&gt;"",COUNTIF(EW$4:EW20,EW20)=1),1,0)</f>
        <v>17</v>
      </c>
      <c r="EY20" s="55">
        <f>IF(ROW()-3&gt;MAX(EX$4:EX$40),"",INDEX(EW$4:EW$40,MATCH(ROW()-3,EX$4:EX$40,0)))</f>
        <v>100767</v>
      </c>
      <c r="EZ20" s="55">
        <f>IF('Final Calculation Sheet'!$AD$20="","",'Final Calculation Sheet'!$AD$20)</f>
        <v>1</v>
      </c>
      <c r="FA20">
        <f>IF(EZ20="","",COUNTIFS(EZ$4:EZ$40,"&lt;"&amp;EZ20,EZ$4:EZ$40,"&lt;&gt;"&amp;"")+COUNTIF(EZ$4:EZ20,EZ20))</f>
        <v>32</v>
      </c>
      <c r="FB20" s="55">
        <f>IF(ROW()-3&gt;COUNTIF(EZ$4:EZ$40,"&lt;&gt;"&amp;""),"",INDEX(EZ$4:EZ$40,MATCH(ROW()-3,FA$4:FA$40,0)))</f>
        <v>0</v>
      </c>
      <c r="FC20" t="e">
        <f>FC19+IF(AND(FB20&lt;&gt;"",COUNTIF(FB$4:FB20,FB20)=1),1,0)</f>
        <v>#N/A</v>
      </c>
      <c r="FD20" t="e">
        <f>IF(ROW()-3&gt;MAX(FC$4:FC$40),"",INDEX(FB$4:FB$40,MATCH(ROW()-3,FC$4:FC$40,0)))</f>
        <v>#N/A</v>
      </c>
      <c r="FE20" t="str">
        <f>IF('Final Calculation Sheet'!$AE$20="","",'Final Calculation Sheet'!$AE$20)</f>
        <v>DR2640100017</v>
      </c>
      <c r="FF20">
        <f>IF(FE20="","",COUNTIFS(FE$4:FE$40,"&lt;"&amp;FE20,FE$4:FE$40,"&lt;&gt;"&amp;"")+COUNTIF(FE$4:FE20,FE20))</f>
        <v>6</v>
      </c>
      <c r="FG20" t="str">
        <f>IF(ROW()-3&gt;COUNTIF(FE$4:FE$40,"&lt;&gt;"&amp;""),"",INDEX(FE$4:FE$40,MATCH(ROW()-3,FF$4:FF$40,0)))</f>
        <v>DR2640100028</v>
      </c>
      <c r="FH20" t="e">
        <f>FH19+IF(AND(FG20&lt;&gt;"",COUNTIF(FG$4:FG20,FG20)=1),1,0)</f>
        <v>#N/A</v>
      </c>
      <c r="FI20" t="e">
        <f>IF(ROW()-3&gt;MAX(FH$4:FH$40),"",INDEX(FG$4:FG$40,MATCH(ROW()-3,FH$4:FH$40,0)))</f>
        <v>#N/A</v>
      </c>
      <c r="FJ20" s="141">
        <f>IF('Final Calculation Sheet'!$AF$20="","",'Final Calculation Sheet'!$AF$20)</f>
        <v>1800003065</v>
      </c>
      <c r="FK20">
        <f>IF(FJ20="","",COUNTIFS(FJ$4:FJ$40,"&lt;"&amp;FJ20,FJ$4:FJ$40,"&lt;&gt;"&amp;"")+COUNTIF(FJ$4:FJ20,FJ20))</f>
        <v>1</v>
      </c>
      <c r="FL20" s="141">
        <f>IF(ROW()-3&gt;COUNTIF(FJ$4:FJ$40,"&lt;&gt;"&amp;""),"",INDEX(FJ$4:FJ$40,MATCH(ROW()-3,FK$4:FK$40,0)))</f>
        <v>1800003305</v>
      </c>
      <c r="FM20">
        <f>FM19+IF(AND(FL20&lt;&gt;"",COUNTIF(FL$4:FL20,FL20)=1),1,0)</f>
        <v>17</v>
      </c>
      <c r="FN20" t="e">
        <f>IF(ROW()-3&gt;MAX(FM$4:FM$40),"",INDEX(FL$4:FL$40,MATCH(ROW()-3,FM$4:FM$40,0)))</f>
        <v>#N/A</v>
      </c>
      <c r="FO20" t="str">
        <f>IF('Final Calculation Sheet'!$AG$20="","",'Final Calculation Sheet'!$AG$20)</f>
        <v>12.08.2026</v>
      </c>
      <c r="FP20">
        <f>IF(FO20="","",COUNTIFS(FO$4:FO$40,"&lt;"&amp;FO20,FO$4:FO$40,"&lt;&gt;"&amp;"")+COUNTIF(FO$4:FO20,FO20))</f>
        <v>6</v>
      </c>
      <c r="FQ20" t="str">
        <f>IF(ROW()-3&gt;COUNTIF(FO$4:FO$40,"&lt;&gt;"&amp;""),"",INDEX(FO$4:FO$40,MATCH(ROW()-3,FP$4:FP$40,0)))</f>
        <v>24.08.2026</v>
      </c>
      <c r="FR20" t="e">
        <f>FR19+IF(AND(FQ20&lt;&gt;"",COUNTIF(FQ$4:FQ20,FQ20)=1),1,0)</f>
        <v>#N/A</v>
      </c>
      <c r="FS20" t="e">
        <f>IF(ROW()-3&gt;MAX(FR$4:FR$40),"",INDEX(FQ$4:FQ$40,MATCH(ROW()-3,FR$4:FR$40,0)))</f>
        <v>#N/A</v>
      </c>
      <c r="FU20" t="str">
        <f>IF(FT20="","",COUNTIFS(FT$4:FT$40,"&lt;"&amp;FT20,FT$4:FT$40,"&lt;&gt;"&amp;"")+COUNTIF(FT$4:FT20,FT20))</f>
        <v/>
      </c>
      <c r="FV20" t="str">
        <f>IF(ROW()-3&gt;COUNTIF(FT$4:FT$40,"&lt;&gt;"&amp;""),"",INDEX(FT$4:FT$40,MATCH(ROW()-3,FU$4:FU$40,0)))</f>
        <v/>
      </c>
      <c r="FW20">
        <f>FW19+IF(AND(FV20&lt;&gt;"",COUNTIF(FV$4:FV20,FV20)=1),1,0)</f>
        <v>2</v>
      </c>
      <c r="FX20" t="str">
        <f>IF(ROW()-3&gt;MAX(FW$4:FW$40),"",INDEX(FV$4:FV$40,MATCH(ROW()-3,FW$4:FW$40,0)))</f>
        <v/>
      </c>
    </row>
    <row r="21">
      <c r="A21">
        <f>IF('Final Calculation Sheet'!$F$21="","",'Final Calculation Sheet'!$F$21)</f>
        <v>2022</v>
      </c>
      <c r="B21">
        <f>IF(A21="","",COUNTIFS(A$4:A$114,"&lt;"&amp;A21,A$4:A$114,"&lt;&gt;"&amp;"")+COUNTIF(A$4:A21,A21))</f>
        <v>18</v>
      </c>
      <c r="C21">
        <f>IF(ROW()-3&gt;COUNTIF(A$4:A$114,"&lt;&gt;"&amp;""),"",INDEX(A$4:A$114,MATCH(ROW()-3,B$4:B$114,0)))</f>
        <v>2022</v>
      </c>
      <c r="D21">
        <f>D20+IF(AND(C21&lt;&gt;"",COUNTIF(C$4:C21,C21)=1),1,0)</f>
        <v>18</v>
      </c>
      <c r="E21" t="e">
        <f>IF(ROW()-3&gt;MAX(D$4:D$114),"",INDEX(C$4:C$114,MATCH(ROW()-3,D$4:D$114,0)))</f>
        <v>#N/A</v>
      </c>
      <c r="F21">
        <f>ROW()-3</f>
        <v>18</v>
      </c>
      <c r="G21">
        <f>IF(F21="","",COUNTIFS(F$4:F$40,"&lt;"&amp;F21,F$4:F$40,"&lt;&gt;"&amp;"")+COUNTIF(F$4:F21,F21))</f>
        <v>18</v>
      </c>
      <c r="H21">
        <f>IF(ROW()-3&gt;COUNTIF(F$4:F$40,"&lt;&gt;"&amp;""),"",INDEX(F$4:F$40,MATCH(ROW()-3,G$4:G$40,0)))</f>
        <v>18</v>
      </c>
      <c r="I21">
        <f>I20+IF(AND(H21&lt;&gt;"",COUNTIF(H$4:H21,H21)=1),1,0)</f>
        <v>18</v>
      </c>
      <c r="J21">
        <f>IF(ROW()-3&gt;MAX(I$4:I$40),"",INDEX(H$4:H$40,MATCH(ROW()-3,I$4:I$40,0)))</f>
        <v>18</v>
      </c>
      <c r="K21">
        <f>IF('Final Calculation Sheet'!$F$21="","",'Final Calculation Sheet'!$F$21)</f>
        <v>2022</v>
      </c>
      <c r="L21">
        <f>IF(K21="","",COUNTIFS(K$4:K$40,"&lt;"&amp;K21,K$4:K$40,"&lt;&gt;"&amp;"")+COUNTIF(K$4:K21,K21))</f>
        <v>18</v>
      </c>
      <c r="M21">
        <f>IF(ROW()-3&gt;COUNTIF(K$4:K$40,"&lt;&gt;"&amp;""),"",INDEX(K$4:K$40,MATCH(ROW()-3,L$4:L$40,0)))</f>
        <v>2022</v>
      </c>
      <c r="N21">
        <f>N20+IF(AND(M21&lt;&gt;"",COUNTIF(M$4:M21,M21)=1),1,0)</f>
        <v>18</v>
      </c>
      <c r="O21">
        <f>IF(ROW()-3&gt;MAX(N$4:N$40),"",INDEX(M$4:M$40,MATCH(ROW()-3,N$4:N$40,0)))</f>
        <v>2022</v>
      </c>
      <c r="P21" t="str">
        <f>IF('Final Calculation Sheet'!$G$21="","",'Final Calculation Sheet'!$G$21)</f>
        <v>NATIONAL SCRAP AND BUILDING MATERIAL SUPPLIER</v>
      </c>
      <c r="Q21">
        <f>IF(P21="","",COUNTIFS(P$4:P$40,"&lt;"&amp;P21,P$4:P$40,"&lt;&gt;"&amp;"")+COUNTIF(P$4:P21,P21))</f>
        <v>20</v>
      </c>
      <c r="R21" t="str">
        <f>IF(ROW()-3&gt;COUNTIF(P$4:P$40,"&lt;&gt;"&amp;""),"",INDEX(P$4:P$40,MATCH(ROW()-3,Q$4:Q$40,0)))</f>
        <v>NATIONAL ENTERPRISES</v>
      </c>
      <c r="S21">
        <f>S20+IF(AND(R21&lt;&gt;"",COUNTIF(R$4:R21,R21)=1),1,0)</f>
        <v>6</v>
      </c>
      <c r="T21" t="str">
        <f>IF(ROW()-3&gt;MAX(S$4:S$40),"",INDEX(R$4:R$40,MATCH(ROW()-3,S$4:S$40,0)))</f>
        <v/>
      </c>
      <c r="U21" t="str">
        <f>IF('Final Calculation Sheet'!$B$21="","",'Final Calculation Sheet'!$B$21)</f>
        <v>Scrap of 132 KV CT</v>
      </c>
      <c r="V21">
        <f>IF(U21="","",COUNTIFS(U$4:U$40,"&lt;"&amp;U21,U$4:U$40,"&lt;&gt;"&amp;"")+COUNTIF(U$4:U21,U21))</f>
        <v>7</v>
      </c>
      <c r="W21" t="str">
        <f>IF(ROW()-3&gt;COUNTIF(U$4:U$40,"&lt;&gt;"&amp;""),"",INDEX(U$4:U$40,MATCH(ROW()-3,V$4:V$40,0)))</f>
        <v>Scrap of 220KV CT</v>
      </c>
      <c r="X21">
        <f>X20+IF(AND(W21&lt;&gt;"",COUNTIF(W$4:W21,W21)=1),1,0)</f>
        <v>11</v>
      </c>
      <c r="Y21" t="str">
        <f>IF(ROW()-3&gt;MAX(X$4:X$40),"",INDEX(W$4:W$40,MATCH(ROW()-3,X$4:X$40,0)))</f>
        <v>Scrap of Copper of faulty AC compressor</v>
      </c>
      <c r="Z21">
        <f>IF('Final Calculation Sheet'!$D$21="","",'Final Calculation Sheet'!$D$21)</f>
        <v>21978</v>
      </c>
      <c r="AA21">
        <f>IF(Z21="","",COUNTIFS(Z$4:Z$40,"&lt;"&amp;Z21,Z$4:Z$40,"&lt;&gt;"&amp;"")+COUNTIF(Z$4:Z21,Z21))</f>
        <v>16</v>
      </c>
      <c r="AB21">
        <f>IF(ROW()-3&gt;COUNTIF(Z$4:Z$40,"&lt;&gt;"&amp;""),"",INDEX(Z$4:Z$40,MATCH(ROW()-3,AA$4:AA$40,0)))</f>
        <v>21978</v>
      </c>
      <c r="AC21">
        <f>AC20+IF(AND(AB21&lt;&gt;"",COUNTIF(AB$4:AB21,AB21)=1),1,0)</f>
        <v>2</v>
      </c>
      <c r="AD21" t="str">
        <f>IF(ROW()-3&gt;MAX(AC$4:AC$40),"",INDEX(AB$4:AB$40,MATCH(ROW()-3,AC$4:AC$40,0)))</f>
        <v/>
      </c>
      <c r="AE21">
        <f>IF('Final Calculation Sheet'!$A$21="","",'Final Calculation Sheet'!$A$21)</f>
        <v>3</v>
      </c>
      <c r="AF21">
        <f>IF(AE21="","",COUNTIFS(AE$4:AE$40,"&lt;"&amp;AE21,AE$4:AE$40,"&lt;&gt;"&amp;"")+COUNTIF(AE$4:AE21,AE21))</f>
        <v>13</v>
      </c>
      <c r="AG21">
        <f>IF(ROW()-3&gt;COUNTIF(AE$4:AE$40,"&lt;&gt;"&amp;""),"",INDEX(AE$4:AE$40,MATCH(ROW()-3,AF$4:AF$40,0)))</f>
        <v>3</v>
      </c>
      <c r="AH21">
        <f>AH20+IF(AND(AG21&lt;&gt;"",COUNTIF(AG$4:AG21,AG21)=1),1,0)</f>
        <v>3</v>
      </c>
      <c r="AI21">
        <f>IF(ROW()-3&gt;MAX(AH$4:AH$40),"",INDEX(AG$4:AG$40,MATCH(ROW()-3,AH$4:AH$40,0)))</f>
        <v>670</v>
      </c>
      <c r="AJ21" t="str">
        <f>IF('Final Calculation Sheet'!$E$21="","",'Final Calculation Sheet'!$E$21)</f>
        <v>NO</v>
      </c>
      <c r="AK21">
        <f>IF(AJ21="","",COUNTIFS(AJ$4:AJ$40,"&lt;"&amp;AJ21,AJ$4:AJ$40,"&lt;&gt;"&amp;"")+COUNTIF(AJ$4:AJ21,AJ21))</f>
        <v>20</v>
      </c>
      <c r="AL21" t="str">
        <f>IF(ROW()-3&gt;COUNTIF(AJ$4:AJ$40,"&lt;&gt;"&amp;""),"",INDEX(AJ$4:AJ$40,MATCH(ROW()-3,AK$4:AK$40,0)))</f>
        <v>NO</v>
      </c>
      <c r="AM21">
        <f>AM20+IF(AND(AL21&lt;&gt;"",COUNTIF(AL$4:AL21,AL21)=1),1,0)</f>
        <v>3</v>
      </c>
      <c r="AN21" t="str">
        <f>IF(ROW()-3&gt;MAX(AM$4:AM$40),"",INDEX(AL$4:AL$40,MATCH(ROW()-3,AM$4:AM$40,0)))</f>
        <v/>
      </c>
      <c r="AO21" s="55">
        <f>IF('Final Calculation Sheet'!$C$21="","",'Final Calculation Sheet'!$C$21)</f>
        <v>110200</v>
      </c>
      <c r="AP21">
        <f>IF(AO21="","",COUNTIFS(AO$4:AO$40,"&lt;"&amp;AO21,AO$4:AO$40,"&lt;&gt;"&amp;"")+COUNTIF(AO$4:AO21,AO21))</f>
        <v>33</v>
      </c>
      <c r="AQ21" s="55">
        <f>IF(ROW()-3&gt;COUNTIF(AO$4:AO$40,"&lt;&gt;"&amp;""),"",INDEX(AO$4:AO$40,MATCH(ROW()-3,AP$4:AP$40,0)))</f>
        <v>15006</v>
      </c>
      <c r="AR21">
        <f>AR20+IF(AND(AQ21&lt;&gt;"",COUNTIF(AQ$4:AQ21,AQ21)=1),1,0)</f>
        <v>16</v>
      </c>
      <c r="AS21" s="55">
        <f>IF(ROW()-3&gt;MAX(AR$4:AR$40),"",INDEX(AQ$4:AQ$40,MATCH(ROW()-3,AR$4:AR$40,0)))</f>
        <v>29502</v>
      </c>
      <c r="AT21" s="55">
        <f>IF('Final Calculation Sheet'!$H$21="","",'Final Calculation Sheet'!$H$21)</f>
        <v>330600</v>
      </c>
      <c r="AU21">
        <f>IF(AT21="","",COUNTIFS(AT$4:AT$40,"&lt;"&amp;AT21,AT$4:AT$40,"&lt;&gt;"&amp;"")+COUNTIF(AT$4:AT21,AT21))</f>
        <v>29</v>
      </c>
      <c r="AV21" s="55">
        <f>IF(ROW()-3&gt;COUNTIF(AT$4:AT$40,"&lt;&gt;"&amp;""),"",INDEX(AT$4:AT$40,MATCH(ROW()-3,AU$4:AU$40,0)))</f>
        <v>135750</v>
      </c>
      <c r="AW21">
        <f>AW20+IF(AND(AV21&lt;&gt;"",COUNTIF(AV$4:AV21,AV21)=1),1,0)</f>
        <v>18</v>
      </c>
      <c r="AX21" s="55">
        <f>IF(ROW()-3&gt;MAX(AW$4:AW$40),"",INDEX(AV$4:AV$40,MATCH(ROW()-3,AW$4:AW$40,0)))</f>
        <v>135750</v>
      </c>
      <c r="AY21" s="55">
        <f>IF('Final Calculation Sheet'!$I$21="","",'Final Calculation Sheet'!$I$21)</f>
        <v>59508</v>
      </c>
      <c r="AZ21">
        <f>IF(AY21="","",COUNTIFS(AY$4:AY$40,"&lt;"&amp;AY21,AY$4:AY$40,"&lt;&gt;"&amp;"")+COUNTIF(AY$4:AY21,AY21))</f>
        <v>29</v>
      </c>
      <c r="BA21" s="55">
        <f>IF(ROW()-3&gt;COUNTIF(AY$4:AY$40,"&lt;&gt;"&amp;""),"",INDEX(AY$4:AY$40,MATCH(ROW()-3,AZ$4:AZ$40,0)))</f>
        <v>24435</v>
      </c>
      <c r="BB21">
        <f>BB20+IF(AND(BA21&lt;&gt;"",COUNTIF(BA$4:BA21,BA21)=1),1,0)</f>
        <v>18</v>
      </c>
      <c r="BC21" s="55">
        <f>IF(ROW()-3&gt;MAX(BB$4:BB$40),"",INDEX(BA$4:BA$40,MATCH(ROW()-3,BB$4:BB$40,0)))</f>
        <v>24435</v>
      </c>
      <c r="BD21" s="55">
        <f>IF('Final Calculation Sheet'!$J$21="","",'Final Calculation Sheet'!$J$21)</f>
        <v>390108</v>
      </c>
      <c r="BE21">
        <f>IF(BD21="","",COUNTIFS(BD$4:BD$40,"&lt;"&amp;BD21,BD$4:BD$40,"&lt;&gt;"&amp;"")+COUNTIF(BD$4:BD21,BD21))</f>
        <v>29</v>
      </c>
      <c r="BF21" s="55">
        <f>IF(ROW()-3&gt;COUNTIF(BD$4:BD$40,"&lt;&gt;"&amp;""),"",INDEX(BD$4:BD$40,MATCH(ROW()-3,BE$4:BE$40,0)))</f>
        <v>160185</v>
      </c>
      <c r="BG21">
        <f>BG20+IF(AND(BF21&lt;&gt;"",COUNTIF(BF$4:BF21,BF21)=1),1,0)</f>
        <v>18</v>
      </c>
      <c r="BH21" s="55">
        <f>IF(ROW()-3&gt;MAX(BG$4:BG$40),"",INDEX(BF$4:BF$40,MATCH(ROW()-3,BG$4:BG$40,0)))</f>
        <v>160185</v>
      </c>
      <c r="BI21" s="55">
        <f>IF('Final Calculation Sheet'!$K$21="","",'Final Calculation Sheet'!$K$21)</f>
        <v>7802</v>
      </c>
      <c r="BJ21">
        <f>IF(BI21="","",COUNTIFS(BI$4:BI$40,"&lt;"&amp;BI21,BI$4:BI$40,"&lt;&gt;"&amp;"")+COUNTIF(BI$4:BI21,BI21))</f>
        <v>29</v>
      </c>
      <c r="BK21" s="55">
        <f>IF(ROW()-3&gt;COUNTIF(BI$4:BI$40,"&lt;&gt;"&amp;""),"",INDEX(BI$4:BI$40,MATCH(ROW()-3,BJ$4:BJ$40,0)))</f>
        <v>3204</v>
      </c>
      <c r="BL21">
        <f>BL20+IF(AND(BK21&lt;&gt;"",COUNTIF(BK$4:BK21,BK21)=1),1,0)</f>
        <v>18</v>
      </c>
      <c r="BM21" s="55">
        <f>IF(ROW()-3&gt;MAX(BL$4:BL$40),"",INDEX(BK$4:BK$40,MATCH(ROW()-3,BL$4:BL$40,0)))</f>
        <v>3204</v>
      </c>
      <c r="BN21" s="55">
        <f>IF('Final Calculation Sheet'!$L$21="","",'Final Calculation Sheet'!$L$21)</f>
        <v>330.6</v>
      </c>
      <c r="BO21">
        <f>IF(BN21="","",COUNTIFS(BN$4:BN$40,"&lt;"&amp;BN21,BN$4:BN$40,"&lt;&gt;"&amp;"")+COUNTIF(BN$4:BN21,BN21))</f>
        <v>29</v>
      </c>
      <c r="BP21" s="55">
        <f>IF(ROW()-3&gt;COUNTIF(BN$4:BN$40,"&lt;&gt;"&amp;""),"",INDEX(BN$4:BN$40,MATCH(ROW()-3,BO$4:BO$40,0)))</f>
        <v>135.75</v>
      </c>
      <c r="BQ21">
        <f>BQ20+IF(AND(BP21&lt;&gt;"",COUNTIF(BP$4:BP21,BP21)=1),1,0)</f>
        <v>18</v>
      </c>
      <c r="BR21" s="55">
        <f>IF(ROW()-3&gt;MAX(BQ$4:BQ$40),"",INDEX(BP$4:BP$40,MATCH(ROW()-3,BQ$4:BQ$40,0)))</f>
        <v>135.75</v>
      </c>
      <c r="BS21" s="55">
        <f>IF('Final Calculation Sheet'!$M$21="","",'Final Calculation Sheet'!$M$21)</f>
        <v>8777.43</v>
      </c>
      <c r="BT21">
        <f>IF(BS21="","",COUNTIFS(BS$4:BS$40,"&lt;"&amp;BS21,BS$4:BS$40,"&lt;&gt;"&amp;"")+COUNTIF(BS$4:BS21,BS21))</f>
        <v>29</v>
      </c>
      <c r="BU21" s="55">
        <f>IF(ROW()-3&gt;COUNTIF(BS$4:BS$40,"&lt;&gt;"&amp;""),"",INDEX(BS$4:BS$40,MATCH(ROW()-3,BT$4:BT$40,0)))</f>
        <v>3604.1624999999999</v>
      </c>
      <c r="BV21">
        <f>BV20+IF(AND(BU21&lt;&gt;"",COUNTIF(BU$4:BU21,BU21)=1),1,0)</f>
        <v>18</v>
      </c>
      <c r="BW21" s="55">
        <f>IF(ROW()-3&gt;MAX(BV$4:BV$40),"",INDEX(BU$4:BU$40,MATCH(ROW()-3,BV$4:BV$40,0)))</f>
        <v>3604.1624999999999</v>
      </c>
      <c r="BX21" s="138">
        <f>IF('Final Calculation Sheet'!$N$21="","",'Final Calculation Sheet'!$N$21)</f>
        <v>148.77000000000001</v>
      </c>
      <c r="BY21">
        <f>IF(BX21="","",COUNTIFS(BX$4:BX$40,"&lt;"&amp;BX21,BX$4:BX$40,"&lt;&gt;"&amp;"")+COUNTIF(BX$4:BX21,BX21))</f>
        <v>29</v>
      </c>
      <c r="BZ21" s="138">
        <f>IF(ROW()-3&gt;COUNTIF(BX$4:BX$40,"&lt;&gt;"&amp;""),"",INDEX(BX$4:BX$40,MATCH(ROW()-3,BY$4:BY$40,0)))</f>
        <v>61.087499999999999</v>
      </c>
      <c r="CA21">
        <f>CA20+IF(AND(BZ21&lt;&gt;"",COUNTIF(BZ$4:BZ21,BZ21)=1),1,0)</f>
        <v>18</v>
      </c>
      <c r="CB21" s="138">
        <f>IF(ROW()-3&gt;MAX(CA$4:CA$40),"",INDEX(BZ$4:BZ$40,MATCH(ROW()-3,CA$4:CA$40,0)))</f>
        <v>61.087499999999999</v>
      </c>
      <c r="CC21" s="55">
        <f>IF('Final Calculation Sheet'!$O$21="","",'Final Calculation Sheet'!$O$21)</f>
        <v>8628.66</v>
      </c>
      <c r="CD21">
        <f>IF(CC21="","",COUNTIFS(CC$4:CC$40,"&lt;"&amp;CC21,CC$4:CC$40,"&lt;&gt;"&amp;"")+COUNTIF(CC$4:CC21,CC21))</f>
        <v>29</v>
      </c>
      <c r="CE21" s="55">
        <f>IF(ROW()-3&gt;COUNTIF(CC$4:CC$40,"&lt;&gt;"&amp;""),"",INDEX(CC$4:CC$40,MATCH(ROW()-3,CD$4:CD$40,0)))</f>
        <v>3543.0749999999998</v>
      </c>
      <c r="CF21">
        <f>CF20+IF(AND(CE21&lt;&gt;"",COUNTIF(CE$4:CE21,CE21)=1),1,0)</f>
        <v>18</v>
      </c>
      <c r="CG21" s="55">
        <f>IF(ROW()-3&gt;MAX(CF$4:CF$40),"",INDEX(CE$4:CE$40,MATCH(ROW()-3,CF$4:CF$40,0)))</f>
        <v>3543.0749999999998</v>
      </c>
      <c r="CH21" s="55">
        <f>IF('Final Calculation Sheet'!$P$21="","",'Final Calculation Sheet'!$P$21)</f>
        <v>8959</v>
      </c>
      <c r="CI21">
        <f>IF(CH21="","",COUNTIFS(CH$4:CH$40,"&lt;"&amp;CH21,CH$4:CH$40,"&lt;&gt;"&amp;"")+COUNTIF(CH$4:CH21,CH21))</f>
        <v>29</v>
      </c>
      <c r="CJ21" s="55">
        <f>IF(ROW()-3&gt;COUNTIF(CH$4:CH$40,"&lt;&gt;"&amp;""),"",INDEX(CH$4:CH$40,MATCH(ROW()-3,CI$4:CI$40,0)))</f>
        <v>3679</v>
      </c>
      <c r="CK21">
        <f>CK20+IF(AND(CJ21&lt;&gt;"",COUNTIF(CJ$4:CJ21,CJ21)=1),1,0)</f>
        <v>18</v>
      </c>
      <c r="CL21" s="55">
        <f>IF(ROW()-3&gt;MAX(CK$4:CK$40),"",INDEX(CJ$4:CJ$40,MATCH(ROW()-3,CK$4:CK$40,0)))</f>
        <v>3679</v>
      </c>
      <c r="CM21" s="139">
        <f>IF('Final Calculation Sheet'!$Q$21="","",'Final Calculation Sheet'!$Q$21)</f>
        <v>0</v>
      </c>
      <c r="CN21">
        <f>IF(CM21="","",COUNTIFS(CM$4:CM$40,"&lt;"&amp;CM21,CM$4:CM$40,"&lt;&gt;"&amp;"")+COUNTIF(CM$4:CM21,CM21))</f>
        <v>15</v>
      </c>
      <c r="CO21" s="139">
        <f>IF(ROW()-3&gt;COUNTIF(CM$4:CM$40,"&lt;&gt;"&amp;""),"",INDEX(CM$4:CM$40,MATCH(ROW()-3,CN$4:CN$40,0)))</f>
        <v>0</v>
      </c>
      <c r="CP21">
        <f>CP20+IF(AND(CO21&lt;&gt;"",COUNTIF(CO$4:CO21,CO21)=1),1,0)</f>
        <v>1</v>
      </c>
      <c r="CQ21" t="str">
        <f>IF(ROW()-3&gt;MAX(CP$4:CP$40),"",INDEX(CO$4:CO$40,MATCH(ROW()-3,CP$4:CP$40,0)))</f>
        <v/>
      </c>
      <c r="CR21" s="55">
        <f>IF('Final Calculation Sheet'!$R$21="","",'Final Calculation Sheet'!$R$21)</f>
        <v>0</v>
      </c>
      <c r="CS21">
        <f>IF(CR21="","",COUNTIFS(CR$4:CR$40,"&lt;"&amp;CR21,CR$4:CR$40,"&lt;&gt;"&amp;"")+COUNTIF(CR$4:CR21,CR21))</f>
        <v>15</v>
      </c>
      <c r="CT21" s="55">
        <f>IF(ROW()-3&gt;COUNTIF(CR$4:CR$40,"&lt;&gt;"&amp;""),"",INDEX(CR$4:CR$40,MATCH(ROW()-3,CS$4:CS$40,0)))</f>
        <v>0</v>
      </c>
      <c r="CU21">
        <f>CU20+IF(AND(CT21&lt;&gt;"",COUNTIF(CT$4:CT21,CT21)=1),1,0)</f>
        <v>1</v>
      </c>
      <c r="CV21" t="str">
        <f>IF(ROW()-3&gt;MAX(CU$4:CU$40),"",INDEX(CT$4:CT$40,MATCH(ROW()-3,CU$4:CU$40,0)))</f>
        <v/>
      </c>
      <c r="CW21" s="55">
        <f>IF('Final Calculation Sheet'!$S$21="","",'Final Calculation Sheet'!$S$21)</f>
        <v>388951</v>
      </c>
      <c r="CX21">
        <f>IF(CW21="","",COUNTIFS(CW$4:CW$40,"&lt;"&amp;CW21,CW$4:CW$40,"&lt;&gt;"&amp;"")+COUNTIF(CW$4:CW21,CW21))</f>
        <v>29</v>
      </c>
      <c r="CY21" s="55">
        <f>IF(ROW()-3&gt;COUNTIF(CW$4:CW$40,"&lt;&gt;"&amp;""),"",INDEX(CW$4:CW$40,MATCH(ROW()-3,CX$4:CX$40,0)))</f>
        <v>159710</v>
      </c>
      <c r="CZ21">
        <f>CZ20+IF(AND(CY21&lt;&gt;"",COUNTIF(CY$4:CY21,CY21)=1),1,0)</f>
        <v>18</v>
      </c>
      <c r="DA21" s="55">
        <f>IF(ROW()-3&gt;MAX(CZ$4:CZ$40),"",INDEX(CY$4:CY$40,MATCH(ROW()-3,CZ$4:CZ$40,0)))</f>
        <v>159710</v>
      </c>
      <c r="DB21" s="55">
        <f>IF('Final Calculation Sheet'!$T$21="","",'Final Calculation Sheet'!$T$21)</f>
        <v>82650</v>
      </c>
      <c r="DC21">
        <f>IF(DB21="","",COUNTIFS(DB$4:DB$40,"&lt;"&amp;DB21,DB$4:DB$40,"&lt;&gt;"&amp;"")+COUNTIF(DB$4:DB21,DB21))</f>
        <v>29</v>
      </c>
      <c r="DD21" s="55">
        <f>IF(ROW()-3&gt;COUNTIF(DB$4:DB$40,"&lt;&gt;"&amp;""),"",INDEX(DB$4:DB$40,MATCH(ROW()-3,DC$4:DC$40,0)))</f>
        <v>33938</v>
      </c>
      <c r="DE21">
        <f>DE20+IF(AND(DD21&lt;&gt;"",COUNTIF(DD$4:DD21,DD21)=1),1,0)</f>
        <v>18</v>
      </c>
      <c r="DF21" s="55">
        <f>IF(ROW()-3&gt;MAX(DE$4:DE$40),"",INDEX(DD$4:DD$40,MATCH(ROW()-3,DE$4:DE$40,0)))</f>
        <v>33938</v>
      </c>
      <c r="DG21" s="140">
        <f>IF('Final Calculation Sheet'!$U$21="","",'Final Calculation Sheet'!$U$21)</f>
        <v>82650</v>
      </c>
      <c r="DH21">
        <f>IF(DG21="","",COUNTIFS(DG$4:DG$40,"&lt;"&amp;DG21,DG$4:DG$40,"&lt;&gt;"&amp;"")+COUNTIF(DG$4:DG21,DG21))</f>
        <v>29</v>
      </c>
      <c r="DI21" s="140">
        <f>IF(ROW()-3&gt;COUNTIF(DG$4:DG$40,"&lt;&gt;"&amp;""),"",INDEX(DG$4:DG$40,MATCH(ROW()-3,DH$4:DH$40,0)))</f>
        <v>33938</v>
      </c>
      <c r="DJ21">
        <f>DJ20+IF(AND(DI21&lt;&gt;"",COUNTIF(DI$4:DI21,DI21)=1),1,0)</f>
        <v>18</v>
      </c>
      <c r="DK21" s="140">
        <f>IF(ROW()-3&gt;MAX(DJ$4:DJ$40),"",INDEX(DI$4:DI$40,MATCH(ROW()-3,DJ$4:DJ$40,0)))</f>
        <v>33938</v>
      </c>
      <c r="DL21" t="str">
        <f>IF('Final Calculation Sheet'!$V$21="","",'Final Calculation Sheet'!$V$21)</f>
        <v>14.08.2026</v>
      </c>
      <c r="DM21">
        <f>IF(DL21="","",COUNTIFS(DL$4:DL$40,"&lt;"&amp;DL21,DL$4:DL$40,"&lt;&gt;"&amp;"")+COUNTIF(DL$4:DL21,DL21))</f>
        <v>29</v>
      </c>
      <c r="DN21" t="str">
        <f>IF(ROW()-3&gt;COUNTIF(DL$4:DL$40,"&lt;&gt;"&amp;""),"",INDEX(DL$4:DL$40,MATCH(ROW()-3,DM$4:DM$40,0)))</f>
        <v>13.08.2026</v>
      </c>
      <c r="DO21">
        <f>DO20+IF(AND(DN21&lt;&gt;"",COUNTIF(DN$4:DN21,DN21)=1),1,0)</f>
        <v>3</v>
      </c>
      <c r="DP21" t="str">
        <f>IF(ROW()-3&gt;MAX(DO$4:DO$40),"",INDEX(DN$4:DN$40,MATCH(ROW()-3,DO$4:DO$40,0)))</f>
        <v/>
      </c>
      <c r="DQ21" s="55">
        <f>IF('Final Calculation Sheet'!$W$21="","",'Final Calculation Sheet'!$W$21)</f>
        <v>306301</v>
      </c>
      <c r="DR21">
        <f>IF(DQ21="","",COUNTIFS(DQ$4:DQ$40,"&lt;"&amp;DQ21,DQ$4:DQ$40,"&lt;&gt;"&amp;"")+COUNTIF(DQ$4:DQ21,DQ21))</f>
        <v>29</v>
      </c>
      <c r="DS21" s="55">
        <f>IF(ROW()-3&gt;COUNTIF(DQ$4:DQ$40,"&lt;&gt;"&amp;""),"",INDEX(DQ$4:DQ$40,MATCH(ROW()-3,DR$4:DR$40,0)))</f>
        <v>125772</v>
      </c>
      <c r="DT21">
        <f>DT20+IF(AND(DS21&lt;&gt;"",COUNTIF(DS$4:DS21,DS21)=1),1,0)</f>
        <v>18</v>
      </c>
      <c r="DU21" s="55">
        <f>IF(ROW()-3&gt;MAX(DT$4:DT$40),"",INDEX(DS$4:DS$40,MATCH(ROW()-3,DT$4:DT$40,0)))</f>
        <v>125772</v>
      </c>
      <c r="DV21" s="55">
        <f>IF('Final Calculation Sheet'!$X$21="","",'Final Calculation Sheet'!$X$21)</f>
        <v>306301</v>
      </c>
      <c r="DW21">
        <f>IF(DV21="","",COUNTIFS(DV$4:DV$40,"&lt;"&amp;DV21,DV$4:DV$40,"&lt;&gt;"&amp;"")+COUNTIF(DV$4:DV21,DV21))</f>
        <v>27</v>
      </c>
      <c r="DX21" s="55">
        <f>IF(ROW()-3&gt;COUNTIF(DV$4:DV$40,"&lt;&gt;"&amp;""),"",INDEX(DV$4:DV$40,MATCH(ROW()-3,DW$4:DW$40,0)))</f>
        <v>145090</v>
      </c>
      <c r="DY21">
        <f>DY20+IF(AND(DX21&lt;&gt;"",COUNTIF(DX$4:DX21,DX21)=1),1,0)</f>
        <v>18</v>
      </c>
      <c r="DZ21" t="e">
        <f>IF(ROW()-3&gt;MAX(DY$4:DY$40),"",INDEX(DX$4:DX$40,MATCH(ROW()-3,DY$4:DY$40,0)))</f>
        <v>#N/A</v>
      </c>
      <c r="EA21" t="str">
        <f>IF('Final Calculation Sheet'!$Y$21="","",'Final Calculation Sheet'!$Y$21)</f>
        <v>21.08.2026</v>
      </c>
      <c r="EB21">
        <f>IF(EA21="","",COUNTIFS(EA$4:EA$40,"&lt;"&amp;EA21,EA$4:EA$40,"&lt;&gt;"&amp;"")+COUNTIF(EA$4:EA21,EA21))</f>
        <v>17</v>
      </c>
      <c r="EC21" t="str">
        <f>IF(ROW()-3&gt;COUNTIF(EA$4:EA$40,"&lt;&gt;"&amp;""),"",INDEX(EA$4:EA$40,MATCH(ROW()-3,EB$4:EB$40,0)))</f>
        <v>21.08.2026</v>
      </c>
      <c r="ED21">
        <f>ED20+IF(AND(EC21&lt;&gt;"",COUNTIF(EC$4:EC21,EC21)=1),1,0)</f>
        <v>8</v>
      </c>
      <c r="EE21" t="e">
        <f>IF(ROW()-3&gt;MAX(ED$4:ED$40),"",INDEX(EC$4:EC$40,MATCH(ROW()-3,ED$4:ED$40,0)))</f>
        <v>#N/A</v>
      </c>
      <c r="EF21" s="55">
        <f>IF('Final Calculation Sheet'!$Z$21="","",'Final Calculation Sheet'!$Z$21)</f>
        <v>0</v>
      </c>
      <c r="EG21">
        <f>IF(EF21="","",COUNTIFS(EF$4:EF$40,"&lt;"&amp;EF21,EF$4:EF$40,"&lt;&gt;"&amp;"")+COUNTIF(EF$4:EF21,EF21))</f>
        <v>18</v>
      </c>
      <c r="EH21" s="55">
        <f>IF(ROW()-3&gt;COUNTIF(EF$4:EF$40,"&lt;&gt;"&amp;""),"",INDEX(EF$4:EF$40,MATCH(ROW()-3,EG$4:EG$40,0)))</f>
        <v>0</v>
      </c>
      <c r="EI21">
        <f>EI20+IF(AND(EH21&lt;&gt;"",COUNTIF(EH$4:EH21,EH21)=1),1,0)</f>
        <v>1</v>
      </c>
      <c r="EJ21" t="str">
        <f>IF(ROW()-3&gt;MAX(EI$4:EI$40),"",INDEX(EH$4:EH$40,MATCH(ROW()-3,EI$4:EI$40,0)))</f>
        <v/>
      </c>
      <c r="EK21" t="str">
        <f>IF('Final Calculation Sheet'!$AA$21="","",'Final Calculation Sheet'!$AA$21)</f>
        <v/>
      </c>
      <c r="EL21" t="str">
        <f>IF(EK21="","",COUNTIFS(EK$4:EK$40,"&lt;"&amp;EK21,EK$4:EK$40,"&lt;&gt;"&amp;"")+COUNTIF(EK$4:EK21,EK21))</f>
        <v/>
      </c>
      <c r="EM21" t="e">
        <f>IF(ROW()-3&gt;COUNTIF(EK$4:EK$40,"&lt;&gt;"&amp;""),"",INDEX(EK$4:EK$40,MATCH(ROW()-3,EL$4:EL$40,0)))</f>
        <v>#N/A</v>
      </c>
      <c r="EN21" t="e">
        <f>EN20+IF(AND(EM21&lt;&gt;"",COUNTIF(EM$4:EM21,EM21)=1),1,0)</f>
        <v>#N/A</v>
      </c>
      <c r="EO21" t="e">
        <f>IF(ROW()-3&gt;MAX(EN$4:EN$40),"",INDEX(EM$4:EM$40,MATCH(ROW()-3,EN$4:EN$40,0)))</f>
        <v>#N/A</v>
      </c>
      <c r="EP21" t="str">
        <f>IF('Final Calculation Sheet'!$AB$21="","",'Final Calculation Sheet'!$AB$21)</f>
        <v/>
      </c>
      <c r="EQ21" t="str">
        <f>IF(EP21="","",COUNTIFS(EP$4:EP$40,"&lt;"&amp;EP21,EP$4:EP$40,"&lt;&gt;"&amp;"")+COUNTIF(EP$4:EP21,EP21))</f>
        <v/>
      </c>
      <c r="ER21" t="e">
        <f>IF(ROW()-3&gt;COUNTIF(EP$4:EP$40,"&lt;&gt;"&amp;""),"",INDEX(EP$4:EP$40,MATCH(ROW()-3,EQ$4:EQ$40,0)))</f>
        <v>#N/A</v>
      </c>
      <c r="ES21" t="e">
        <f>ES20+IF(AND(ER21&lt;&gt;"",COUNTIF(ER$4:ER21,ER21)=1),1,0)</f>
        <v>#N/A</v>
      </c>
      <c r="ET21" t="e">
        <f>IF(ROW()-3&gt;MAX(ES$4:ES$40),"",INDEX(ER$4:ER$40,MATCH(ROW()-3,ES$4:ES$40,0)))</f>
        <v>#N/A</v>
      </c>
      <c r="EU21" s="55">
        <f>IF('Final Calculation Sheet'!$AC$21="","",'Final Calculation Sheet'!$AC$21)</f>
        <v>388951</v>
      </c>
      <c r="EV21">
        <f>IF(EU21="","",COUNTIFS(EU$4:EU$40,"&lt;"&amp;EU21,EU$4:EU$40,"&lt;&gt;"&amp;"")+COUNTIF(EU$4:EU21,EU21))</f>
        <v>30</v>
      </c>
      <c r="EW21" s="55">
        <f>IF(ROW()-3&gt;COUNTIF(EU$4:EU$40,"&lt;&gt;"&amp;""),"",INDEX(EU$4:EU$40,MATCH(ROW()-3,EV$4:EV$40,0)))</f>
        <v>137350</v>
      </c>
      <c r="EX21">
        <f>EX20+IF(AND(EW21&lt;&gt;"",COUNTIF(EW$4:EW21,EW21)=1),1,0)</f>
        <v>18</v>
      </c>
      <c r="EY21" s="55">
        <f>IF(ROW()-3&gt;MAX(EX$4:EX$40),"",INDEX(EW$4:EW$40,MATCH(ROW()-3,EX$4:EX$40,0)))</f>
        <v>137350</v>
      </c>
      <c r="EZ21" s="55">
        <f>IF('Final Calculation Sheet'!$AD$21="","",'Final Calculation Sheet'!$AD$21)</f>
        <v>0</v>
      </c>
      <c r="FA21">
        <f>IF(EZ21="","",COUNTIFS(EZ$4:EZ$40,"&lt;"&amp;EZ21,EZ$4:EZ$40,"&lt;&gt;"&amp;"")+COUNTIF(EZ$4:EZ21,EZ21))</f>
        <v>18</v>
      </c>
      <c r="FB21" s="55">
        <f>IF(ROW()-3&gt;COUNTIF(EZ$4:EZ$40,"&lt;&gt;"&amp;""),"",INDEX(EZ$4:EZ$40,MATCH(ROW()-3,FA$4:FA$40,0)))</f>
        <v>0</v>
      </c>
      <c r="FC21" t="e">
        <f>FC20+IF(AND(FB21&lt;&gt;"",COUNTIF(FB$4:FB21,FB21)=1),1,0)</f>
        <v>#N/A</v>
      </c>
      <c r="FD21" t="e">
        <f>IF(ROW()-3&gt;MAX(FC$4:FC$40),"",INDEX(FB$4:FB$40,MATCH(ROW()-3,FC$4:FC$40,0)))</f>
        <v>#N/A</v>
      </c>
      <c r="FE21" t="str">
        <f>IF('Final Calculation Sheet'!$AE$21="","",'Final Calculation Sheet'!$AE$21)</f>
        <v>DR2640100028</v>
      </c>
      <c r="FF21">
        <f>IF(FE21="","",COUNTIFS(FE$4:FE$40,"&lt;"&amp;FE21,FE$4:FE$40,"&lt;&gt;"&amp;"")+COUNTIF(FE$4:FE21,FE21))</f>
        <v>17</v>
      </c>
      <c r="FG21" t="str">
        <f>IF(ROW()-3&gt;COUNTIF(FE$4:FE$40,"&lt;&gt;"&amp;""),"",INDEX(FE$4:FE$40,MATCH(ROW()-3,FF$4:FF$40,0)))</f>
        <v>DR2640100029</v>
      </c>
      <c r="FH21" t="e">
        <f>FH20+IF(AND(FG21&lt;&gt;"",COUNTIF(FG$4:FG21,FG21)=1),1,0)</f>
        <v>#N/A</v>
      </c>
      <c r="FI21" t="e">
        <f>IF(ROW()-3&gt;MAX(FH$4:FH$40),"",INDEX(FG$4:FG$40,MATCH(ROW()-3,FH$4:FH$40,0)))</f>
        <v>#N/A</v>
      </c>
      <c r="FJ21" s="141">
        <f>IF('Final Calculation Sheet'!$AF$21="","",'Final Calculation Sheet'!$AF$21)</f>
        <v>1800003269</v>
      </c>
      <c r="FK21">
        <f>IF(FJ21="","",COUNTIFS(FJ$4:FJ$40,"&lt;"&amp;FJ21,FJ$4:FJ$40,"&lt;&gt;"&amp;"")+COUNTIF(FJ$4:FJ21,FJ21))</f>
        <v>12</v>
      </c>
      <c r="FL21" s="141">
        <f>IF(ROW()-3&gt;COUNTIF(FJ$4:FJ$40,"&lt;&gt;"&amp;""),"",INDEX(FJ$4:FJ$40,MATCH(ROW()-3,FK$4:FK$40,0)))</f>
        <v>1800003306</v>
      </c>
      <c r="FM21">
        <f>FM20+IF(AND(FL21&lt;&gt;"",COUNTIF(FL$4:FL21,FL21)=1),1,0)</f>
        <v>18</v>
      </c>
      <c r="FN21" t="e">
        <f>IF(ROW()-3&gt;MAX(FM$4:FM$40),"",INDEX(FL$4:FL$40,MATCH(ROW()-3,FM$4:FM$40,0)))</f>
        <v>#N/A</v>
      </c>
      <c r="FO21" t="str">
        <f>IF('Final Calculation Sheet'!$AG$21="","",'Final Calculation Sheet'!$AG$21)</f>
        <v>24.08.2026</v>
      </c>
      <c r="FP21">
        <f>IF(FO21="","",COUNTIFS(FO$4:FO$40,"&lt;"&amp;FO21,FO$4:FO$40,"&lt;&gt;"&amp;"")+COUNTIF(FO$4:FO21,FO21))</f>
        <v>18</v>
      </c>
      <c r="FQ21" t="str">
        <f>IF(ROW()-3&gt;COUNTIF(FO$4:FO$40,"&lt;&gt;"&amp;""),"",INDEX(FO$4:FO$40,MATCH(ROW()-3,FP$4:FP$40,0)))</f>
        <v>24.08.2026</v>
      </c>
      <c r="FR21" t="e">
        <f>FR20+IF(AND(FQ21&lt;&gt;"",COUNTIF(FQ$4:FQ21,FQ21)=1),1,0)</f>
        <v>#N/A</v>
      </c>
      <c r="FS21" t="e">
        <f>IF(ROW()-3&gt;MAX(FR$4:FR$40),"",INDEX(FQ$4:FQ$40,MATCH(ROW()-3,FR$4:FR$40,0)))</f>
        <v>#N/A</v>
      </c>
      <c r="FU21" t="str">
        <f>IF(FT21="","",COUNTIFS(FT$4:FT$40,"&lt;"&amp;FT21,FT$4:FT$40,"&lt;&gt;"&amp;"")+COUNTIF(FT$4:FT21,FT21))</f>
        <v/>
      </c>
      <c r="FV21" t="str">
        <f>IF(ROW()-3&gt;COUNTIF(FT$4:FT$40,"&lt;&gt;"&amp;""),"",INDEX(FT$4:FT$40,MATCH(ROW()-3,FU$4:FU$40,0)))</f>
        <v/>
      </c>
      <c r="FW21">
        <f>FW20+IF(AND(FV21&lt;&gt;"",COUNTIF(FV$4:FV21,FV21)=1),1,0)</f>
        <v>2</v>
      </c>
      <c r="FX21" t="str">
        <f>IF(ROW()-3&gt;MAX(FW$4:FW$40),"",INDEX(FV$4:FV$40,MATCH(ROW()-3,FW$4:FW$40,0)))</f>
        <v/>
      </c>
    </row>
    <row r="22">
      <c r="A22">
        <f>IF('Final Calculation Sheet'!$F$22="","",'Final Calculation Sheet'!$F$22)</f>
        <v>2023</v>
      </c>
      <c r="B22">
        <f>IF(A22="","",COUNTIFS(A$4:A$114,"&lt;"&amp;A22,A$4:A$114,"&lt;&gt;"&amp;"")+COUNTIF(A$4:A22,A22))</f>
        <v>19</v>
      </c>
      <c r="C22">
        <f>IF(ROW()-3&gt;COUNTIF(A$4:A$114,"&lt;&gt;"&amp;""),"",INDEX(A$4:A$114,MATCH(ROW()-3,B$4:B$114,0)))</f>
        <v>2023</v>
      </c>
      <c r="D22">
        <f>D21+IF(AND(C22&lt;&gt;"",COUNTIF(C$4:C22,C22)=1),1,0)</f>
        <v>19</v>
      </c>
      <c r="E22" t="e">
        <f>IF(ROW()-3&gt;MAX(D$4:D$114),"",INDEX(C$4:C$114,MATCH(ROW()-3,D$4:D$114,0)))</f>
        <v>#N/A</v>
      </c>
      <c r="F22">
        <f>ROW()-3</f>
        <v>19</v>
      </c>
      <c r="G22">
        <f>IF(F22="","",COUNTIFS(F$4:F$40,"&lt;"&amp;F22,F$4:F$40,"&lt;&gt;"&amp;"")+COUNTIF(F$4:F22,F22))</f>
        <v>19</v>
      </c>
      <c r="H22">
        <f>IF(ROW()-3&gt;COUNTIF(F$4:F$40,"&lt;&gt;"&amp;""),"",INDEX(F$4:F$40,MATCH(ROW()-3,G$4:G$40,0)))</f>
        <v>19</v>
      </c>
      <c r="I22">
        <f>I21+IF(AND(H22&lt;&gt;"",COUNTIF(H$4:H22,H22)=1),1,0)</f>
        <v>19</v>
      </c>
      <c r="J22">
        <f>IF(ROW()-3&gt;MAX(I$4:I$40),"",INDEX(H$4:H$40,MATCH(ROW()-3,I$4:I$40,0)))</f>
        <v>19</v>
      </c>
      <c r="K22">
        <f>IF('Final Calculation Sheet'!$F$22="","",'Final Calculation Sheet'!$F$22)</f>
        <v>2023</v>
      </c>
      <c r="L22">
        <f>IF(K22="","",COUNTIFS(K$4:K$40,"&lt;"&amp;K22,K$4:K$40,"&lt;&gt;"&amp;"")+COUNTIF(K$4:K22,K22))</f>
        <v>19</v>
      </c>
      <c r="M22">
        <f>IF(ROW()-3&gt;COUNTIF(K$4:K$40,"&lt;&gt;"&amp;""),"",INDEX(K$4:K$40,MATCH(ROW()-3,L$4:L$40,0)))</f>
        <v>2023</v>
      </c>
      <c r="N22">
        <f>N21+IF(AND(M22&lt;&gt;"",COUNTIF(M$4:M22,M22)=1),1,0)</f>
        <v>19</v>
      </c>
      <c r="O22">
        <f>IF(ROW()-3&gt;MAX(N$4:N$40),"",INDEX(M$4:M$40,MATCH(ROW()-3,N$4:N$40,0)))</f>
        <v>2023</v>
      </c>
      <c r="P22" t="str">
        <f>IF('Final Calculation Sheet'!$G$22="","",'Final Calculation Sheet'!$G$22)</f>
        <v>NATIONAL ENTERPRISES</v>
      </c>
      <c r="Q22">
        <f>IF(P22="","",COUNTIFS(P$4:P$40,"&lt;"&amp;P22,P$4:P$40,"&lt;&gt;"&amp;"")+COUNTIF(P$4:P22,P22))</f>
        <v>13</v>
      </c>
      <c r="R22" t="str">
        <f>IF(ROW()-3&gt;COUNTIF(P$4:P$40,"&lt;&gt;"&amp;""),"",INDEX(P$4:P$40,MATCH(ROW()-3,Q$4:Q$40,0)))</f>
        <v>NATIONAL ENTERPRISES</v>
      </c>
      <c r="S22">
        <f>S21+IF(AND(R22&lt;&gt;"",COUNTIF(R$4:R22,R22)=1),1,0)</f>
        <v>6</v>
      </c>
      <c r="T22" t="str">
        <f>IF(ROW()-3&gt;MAX(S$4:S$40),"",INDEX(R$4:R$40,MATCH(ROW()-3,S$4:S$40,0)))</f>
        <v/>
      </c>
      <c r="U22" t="str">
        <f>IF('Final Calculation Sheet'!$B$22="","",'Final Calculation Sheet'!$B$22)</f>
        <v>Scrap of 132 KV CT</v>
      </c>
      <c r="V22">
        <f>IF(U22="","",COUNTIFS(U$4:U$40,"&lt;"&amp;U22,U$4:U$40,"&lt;&gt;"&amp;"")+COUNTIF(U$4:U22,U22))</f>
        <v>8</v>
      </c>
      <c r="W22" t="str">
        <f>IF(ROW()-3&gt;COUNTIF(U$4:U$40,"&lt;&gt;"&amp;""),"",INDEX(U$4:U$40,MATCH(ROW()-3,V$4:V$40,0)))</f>
        <v>Scrap of 33 KV CB</v>
      </c>
      <c r="X22">
        <f>X21+IF(AND(W22&lt;&gt;"",COUNTIF(W$4:W22,W22)=1),1,0)</f>
        <v>12</v>
      </c>
      <c r="Y22" t="str">
        <f>IF(ROW()-3&gt;MAX(X$4:X$40),"",INDEX(W$4:W$40,MATCH(ROW()-3,X$4:X$40,0)))</f>
        <v>Scrap of empty oil Barrel</v>
      </c>
      <c r="Z22">
        <f>IF('Final Calculation Sheet'!$D$22="","",'Final Calculation Sheet'!$D$22)</f>
        <v>21978</v>
      </c>
      <c r="AA22">
        <f>IF(Z22="","",COUNTIFS(Z$4:Z$40,"&lt;"&amp;Z22,Z$4:Z$40,"&lt;&gt;"&amp;"")+COUNTIF(Z$4:Z22,Z22))</f>
        <v>17</v>
      </c>
      <c r="AB22">
        <f>IF(ROW()-3&gt;COUNTIF(Z$4:Z$40,"&lt;&gt;"&amp;""),"",INDEX(Z$4:Z$40,MATCH(ROW()-3,AA$4:AA$40,0)))</f>
        <v>21978</v>
      </c>
      <c r="AC22">
        <f>AC21+IF(AND(AB22&lt;&gt;"",COUNTIF(AB$4:AB22,AB22)=1),1,0)</f>
        <v>2</v>
      </c>
      <c r="AD22" t="str">
        <f>IF(ROW()-3&gt;MAX(AC$4:AC$40),"",INDEX(AB$4:AB$40,MATCH(ROW()-3,AC$4:AC$40,0)))</f>
        <v/>
      </c>
      <c r="AE22">
        <f>IF('Final Calculation Sheet'!$A$22="","",'Final Calculation Sheet'!$A$22)</f>
        <v>3</v>
      </c>
      <c r="AF22">
        <f>IF(AE22="","",COUNTIFS(AE$4:AE$40,"&lt;"&amp;AE22,AE$4:AE$40,"&lt;&gt;"&amp;"")+COUNTIF(AE$4:AE22,AE22))</f>
        <v>14</v>
      </c>
      <c r="AG22">
        <f>IF(ROW()-3&gt;COUNTIF(AE$4:AE$40,"&lt;&gt;"&amp;""),"",INDEX(AE$4:AE$40,MATCH(ROW()-3,AF$4:AF$40,0)))</f>
        <v>4</v>
      </c>
      <c r="AH22">
        <f>AH21+IF(AND(AG22&lt;&gt;"",COUNTIF(AG$4:AG22,AG22)=1),1,0)</f>
        <v>4</v>
      </c>
      <c r="AI22">
        <f>IF(ROW()-3&gt;MAX(AH$4:AH$40),"",INDEX(AG$4:AG$40,MATCH(ROW()-3,AH$4:AH$40,0)))</f>
        <v>1000</v>
      </c>
      <c r="AJ22" t="str">
        <f>IF('Final Calculation Sheet'!$E$22="","",'Final Calculation Sheet'!$E$22)</f>
        <v>NO</v>
      </c>
      <c r="AK22">
        <f>IF(AJ22="","",COUNTIFS(AJ$4:AJ$40,"&lt;"&amp;AJ22,AJ$4:AJ$40,"&lt;&gt;"&amp;"")+COUNTIF(AJ$4:AJ22,AJ22))</f>
        <v>21</v>
      </c>
      <c r="AL22" t="str">
        <f>IF(ROW()-3&gt;COUNTIF(AJ$4:AJ$40,"&lt;&gt;"&amp;""),"",INDEX(AJ$4:AJ$40,MATCH(ROW()-3,AK$4:AK$40,0)))</f>
        <v>NO</v>
      </c>
      <c r="AM22">
        <f>AM21+IF(AND(AL22&lt;&gt;"",COUNTIF(AL$4:AL22,AL22)=1),1,0)</f>
        <v>3</v>
      </c>
      <c r="AN22" t="str">
        <f>IF(ROW()-3&gt;MAX(AM$4:AM$40),"",INDEX(AL$4:AL$40,MATCH(ROW()-3,AM$4:AM$40,0)))</f>
        <v/>
      </c>
      <c r="AO22" s="55">
        <f>IF('Final Calculation Sheet'!$C$22="","",'Final Calculation Sheet'!$C$22)</f>
        <v>83743</v>
      </c>
      <c r="AP22">
        <f>IF(AO22="","",COUNTIFS(AO$4:AO$40,"&lt;"&amp;AO22,AO$4:AO$40,"&lt;&gt;"&amp;"")+COUNTIF(AO$4:AO22,AO22))</f>
        <v>31</v>
      </c>
      <c r="AQ22" s="55">
        <f>IF(ROW()-3&gt;COUNTIF(AO$4:AO$40,"&lt;&gt;"&amp;""),"",INDEX(AO$4:AO$40,MATCH(ROW()-3,AP$4:AP$40,0)))</f>
        <v>25001</v>
      </c>
      <c r="AR22">
        <f>AR21+IF(AND(AQ22&lt;&gt;"",COUNTIF(AQ$4:AQ22,AQ22)=1),1,0)</f>
        <v>17</v>
      </c>
      <c r="AS22" s="55">
        <f>IF(ROW()-3&gt;MAX(AR$4:AR$40),"",INDEX(AQ$4:AQ$40,MATCH(ROW()-3,AR$4:AR$40,0)))</f>
        <v>40003</v>
      </c>
      <c r="AT22" s="55">
        <f>IF('Final Calculation Sheet'!$H$22="","",'Final Calculation Sheet'!$H$22)</f>
        <v>251229</v>
      </c>
      <c r="AU22">
        <f>IF(AT22="","",COUNTIFS(AT$4:AT$40,"&lt;"&amp;AT22,AT$4:AT$40,"&lt;&gt;"&amp;"")+COUNTIF(AT$4:AT22,AT22))</f>
        <v>27</v>
      </c>
      <c r="AV22" s="55">
        <f>IF(ROW()-3&gt;COUNTIF(AT$4:AT$40,"&lt;&gt;"&amp;""),"",INDEX(AT$4:AT$40,MATCH(ROW()-3,AU$4:AU$40,0)))</f>
        <v>156600</v>
      </c>
      <c r="AW22">
        <f>AW21+IF(AND(AV22&lt;&gt;"",COUNTIF(AV$4:AV22,AV22)=1),1,0)</f>
        <v>19</v>
      </c>
      <c r="AX22" s="55">
        <f>IF(ROW()-3&gt;MAX(AW$4:AW$40),"",INDEX(AV$4:AV$40,MATCH(ROW()-3,AW$4:AW$40,0)))</f>
        <v>156600</v>
      </c>
      <c r="AY22" s="55">
        <f>IF('Final Calculation Sheet'!$I$22="","",'Final Calculation Sheet'!$I$22)</f>
        <v>45221</v>
      </c>
      <c r="AZ22">
        <f>IF(AY22="","",COUNTIFS(AY$4:AY$40,"&lt;"&amp;AY22,AY$4:AY$40,"&lt;&gt;"&amp;"")+COUNTIF(AY$4:AY22,AY22))</f>
        <v>27</v>
      </c>
      <c r="BA22" s="55">
        <f>IF(ROW()-3&gt;COUNTIF(AY$4:AY$40,"&lt;&gt;"&amp;""),"",INDEX(AY$4:AY$40,MATCH(ROW()-3,AZ$4:AZ$40,0)))</f>
        <v>28188</v>
      </c>
      <c r="BB22">
        <f>BB21+IF(AND(BA22&lt;&gt;"",COUNTIF(BA$4:BA22,BA22)=1),1,0)</f>
        <v>19</v>
      </c>
      <c r="BC22" s="55">
        <f>IF(ROW()-3&gt;MAX(BB$4:BB$40),"",INDEX(BA$4:BA$40,MATCH(ROW()-3,BB$4:BB$40,0)))</f>
        <v>28188</v>
      </c>
      <c r="BD22" s="55">
        <f>IF('Final Calculation Sheet'!$J$22="","",'Final Calculation Sheet'!$J$22)</f>
        <v>296450</v>
      </c>
      <c r="BE22">
        <f>IF(BD22="","",COUNTIFS(BD$4:BD$40,"&lt;"&amp;BD22,BD$4:BD$40,"&lt;&gt;"&amp;"")+COUNTIF(BD$4:BD22,BD22))</f>
        <v>27</v>
      </c>
      <c r="BF22" s="55">
        <f>IF(ROW()-3&gt;COUNTIF(BD$4:BD$40,"&lt;&gt;"&amp;""),"",INDEX(BD$4:BD$40,MATCH(ROW()-3,BE$4:BE$40,0)))</f>
        <v>184788</v>
      </c>
      <c r="BG22">
        <f>BG21+IF(AND(BF22&lt;&gt;"",COUNTIF(BF$4:BF22,BF22)=1),1,0)</f>
        <v>19</v>
      </c>
      <c r="BH22" s="55">
        <f>IF(ROW()-3&gt;MAX(BG$4:BG$40),"",INDEX(BF$4:BF$40,MATCH(ROW()-3,BG$4:BG$40,0)))</f>
        <v>184788</v>
      </c>
      <c r="BI22" s="55">
        <f>IF('Final Calculation Sheet'!$K$22="","",'Final Calculation Sheet'!$K$22)</f>
        <v>5929</v>
      </c>
      <c r="BJ22">
        <f>IF(BI22="","",COUNTIFS(BI$4:BI$40,"&lt;"&amp;BI22,BI$4:BI$40,"&lt;&gt;"&amp;"")+COUNTIF(BI$4:BI22,BI22))</f>
        <v>27</v>
      </c>
      <c r="BK22" s="55">
        <f>IF(ROW()-3&gt;COUNTIF(BI$4:BI$40,"&lt;&gt;"&amp;""),"",INDEX(BI$4:BI$40,MATCH(ROW()-3,BJ$4:BJ$40,0)))</f>
        <v>3696</v>
      </c>
      <c r="BL22">
        <f>BL21+IF(AND(BK22&lt;&gt;"",COUNTIF(BK$4:BK22,BK22)=1),1,0)</f>
        <v>19</v>
      </c>
      <c r="BM22" s="55">
        <f>IF(ROW()-3&gt;MAX(BL$4:BL$40),"",INDEX(BK$4:BK$40,MATCH(ROW()-3,BL$4:BL$40,0)))</f>
        <v>3696</v>
      </c>
      <c r="BN22" s="55">
        <f>IF('Final Calculation Sheet'!$L$22="","",'Final Calculation Sheet'!$L$22)</f>
        <v>251.22900000000001</v>
      </c>
      <c r="BO22">
        <f>IF(BN22="","",COUNTIFS(BN$4:BN$40,"&lt;"&amp;BN22,BN$4:BN$40,"&lt;&gt;"&amp;"")+COUNTIF(BN$4:BN22,BN22))</f>
        <v>27</v>
      </c>
      <c r="BP22" s="55">
        <f>IF(ROW()-3&gt;COUNTIF(BN$4:BN$40,"&lt;&gt;"&amp;""),"",INDEX(BN$4:BN$40,MATCH(ROW()-3,BO$4:BO$40,0)))</f>
        <v>156.6</v>
      </c>
      <c r="BQ22">
        <f>BQ21+IF(AND(BP22&lt;&gt;"",COUNTIF(BP$4:BP22,BP22)=1),1,0)</f>
        <v>19</v>
      </c>
      <c r="BR22" s="55">
        <f>IF(ROW()-3&gt;MAX(BQ$4:BQ$40),"",INDEX(BP$4:BP$40,MATCH(ROW()-3,BQ$4:BQ$40,0)))</f>
        <v>156.6</v>
      </c>
      <c r="BS22" s="55">
        <f>IF('Final Calculation Sheet'!$M$22="","",'Final Calculation Sheet'!$M$22)</f>
        <v>6670.1299499999996</v>
      </c>
      <c r="BT22">
        <f>IF(BS22="","",COUNTIFS(BS$4:BS$40,"&lt;"&amp;BS22,BS$4:BS$40,"&lt;&gt;"&amp;"")+COUNTIF(BS$4:BS22,BS22))</f>
        <v>27</v>
      </c>
      <c r="BU22" s="55">
        <f>IF(ROW()-3&gt;COUNTIF(BS$4:BS$40,"&lt;&gt;"&amp;""),"",INDEX(BS$4:BS$40,MATCH(ROW()-3,BT$4:BT$40,0)))</f>
        <v>4157.7299999999996</v>
      </c>
      <c r="BV22">
        <f>BV21+IF(AND(BU22&lt;&gt;"",COUNTIF(BU$4:BU22,BU22)=1),1,0)</f>
        <v>19</v>
      </c>
      <c r="BW22" s="55">
        <f>IF(ROW()-3&gt;MAX(BV$4:BV$40),"",INDEX(BU$4:BU$40,MATCH(ROW()-3,BV$4:BV$40,0)))</f>
        <v>4157.7299999999996</v>
      </c>
      <c r="BX22" s="138">
        <f>IF('Final Calculation Sheet'!$N$22="","",'Final Calculation Sheet'!$N$22)</f>
        <v>113.05305</v>
      </c>
      <c r="BY22">
        <f>IF(BX22="","",COUNTIFS(BX$4:BX$40,"&lt;"&amp;BX22,BX$4:BX$40,"&lt;&gt;"&amp;"")+COUNTIF(BX$4:BX22,BX22))</f>
        <v>27</v>
      </c>
      <c r="BZ22" s="138">
        <f>IF(ROW()-3&gt;COUNTIF(BX$4:BX$40,"&lt;&gt;"&amp;""),"",INDEX(BX$4:BX$40,MATCH(ROW()-3,BY$4:BY$40,0)))</f>
        <v>70.47</v>
      </c>
      <c r="CA22">
        <f>CA21+IF(AND(BZ22&lt;&gt;"",COUNTIF(BZ$4:BZ22,BZ22)=1),1,0)</f>
        <v>19</v>
      </c>
      <c r="CB22" s="138">
        <f>IF(ROW()-3&gt;MAX(CA$4:CA$40),"",INDEX(BZ$4:BZ$40,MATCH(ROW()-3,CA$4:CA$40,0)))</f>
        <v>70.47</v>
      </c>
      <c r="CC22" s="55">
        <f>IF('Final Calculation Sheet'!$O$22="","",'Final Calculation Sheet'!$O$22)</f>
        <v>6557.0768999999991</v>
      </c>
      <c r="CD22">
        <f>IF(CC22="","",COUNTIFS(CC$4:CC$40,"&lt;"&amp;CC22,CC$4:CC$40,"&lt;&gt;"&amp;"")+COUNTIF(CC$4:CC22,CC22))</f>
        <v>27</v>
      </c>
      <c r="CE22" s="55">
        <f>IF(ROW()-3&gt;COUNTIF(CC$4:CC$40,"&lt;&gt;"&amp;""),"",INDEX(CC$4:CC$40,MATCH(ROW()-3,CD$4:CD$40,0)))</f>
        <v>4087.2599999999998</v>
      </c>
      <c r="CF22">
        <f>CF21+IF(AND(CE22&lt;&gt;"",COUNTIF(CE$4:CE22,CE22)=1),1,0)</f>
        <v>19</v>
      </c>
      <c r="CG22" s="55">
        <f>IF(ROW()-3&gt;MAX(CF$4:CF$40),"",INDEX(CE$4:CE$40,MATCH(ROW()-3,CF$4:CF$40,0)))</f>
        <v>4087.2599999999998</v>
      </c>
      <c r="CH22" s="55">
        <f>IF('Final Calculation Sheet'!$P$22="","",'Final Calculation Sheet'!$P$22)</f>
        <v>6808</v>
      </c>
      <c r="CI22">
        <f>IF(CH22="","",COUNTIFS(CH$4:CH$40,"&lt;"&amp;CH22,CH$4:CH$40,"&lt;&gt;"&amp;"")+COUNTIF(CH$4:CH22,CH22))</f>
        <v>27</v>
      </c>
      <c r="CJ22" s="55">
        <f>IF(ROW()-3&gt;COUNTIF(CH$4:CH$40,"&lt;&gt;"&amp;""),"",INDEX(CH$4:CH$40,MATCH(ROW()-3,CI$4:CI$40,0)))</f>
        <v>4244</v>
      </c>
      <c r="CK22">
        <f>CK21+IF(AND(CJ22&lt;&gt;"",COUNTIF(CJ$4:CJ22,CJ22)=1),1,0)</f>
        <v>19</v>
      </c>
      <c r="CL22" s="55">
        <f>IF(ROW()-3&gt;MAX(CK$4:CK$40),"",INDEX(CJ$4:CJ$40,MATCH(ROW()-3,CK$4:CK$40,0)))</f>
        <v>4244</v>
      </c>
      <c r="CM22" s="139">
        <f>IF('Final Calculation Sheet'!$Q$22="","",'Final Calculation Sheet'!$Q$22)</f>
        <v>0</v>
      </c>
      <c r="CN22">
        <f>IF(CM22="","",COUNTIFS(CM$4:CM$40,"&lt;"&amp;CM22,CM$4:CM$40,"&lt;&gt;"&amp;"")+COUNTIF(CM$4:CM22,CM22))</f>
        <v>16</v>
      </c>
      <c r="CO22" s="139">
        <f>IF(ROW()-3&gt;COUNTIF(CM$4:CM$40,"&lt;&gt;"&amp;""),"",INDEX(CM$4:CM$40,MATCH(ROW()-3,CN$4:CN$40,0)))</f>
        <v>0</v>
      </c>
      <c r="CP22">
        <f>CP21+IF(AND(CO22&lt;&gt;"",COUNTIF(CO$4:CO22,CO22)=1),1,0)</f>
        <v>1</v>
      </c>
      <c r="CQ22" t="str">
        <f>IF(ROW()-3&gt;MAX(CP$4:CP$40),"",INDEX(CO$4:CO$40,MATCH(ROW()-3,CP$4:CP$40,0)))</f>
        <v/>
      </c>
      <c r="CR22" s="55">
        <f>IF('Final Calculation Sheet'!$R$22="","",'Final Calculation Sheet'!$R$22)</f>
        <v>0</v>
      </c>
      <c r="CS22">
        <f>IF(CR22="","",COUNTIFS(CR$4:CR$40,"&lt;"&amp;CR22,CR$4:CR$40,"&lt;&gt;"&amp;"")+COUNTIF(CR$4:CR22,CR22))</f>
        <v>16</v>
      </c>
      <c r="CT22" s="55">
        <f>IF(ROW()-3&gt;COUNTIF(CR$4:CR$40,"&lt;&gt;"&amp;""),"",INDEX(CR$4:CR$40,MATCH(ROW()-3,CS$4:CS$40,0)))</f>
        <v>0</v>
      </c>
      <c r="CU22">
        <f>CU21+IF(AND(CT22&lt;&gt;"",COUNTIF(CT$4:CT22,CT22)=1),1,0)</f>
        <v>1</v>
      </c>
      <c r="CV22" t="str">
        <f>IF(ROW()-3&gt;MAX(CU$4:CU$40),"",INDEX(CT$4:CT$40,MATCH(ROW()-3,CU$4:CU$40,0)))</f>
        <v/>
      </c>
      <c r="CW22" s="55">
        <f>IF('Final Calculation Sheet'!$S$22="","",'Final Calculation Sheet'!$S$22)</f>
        <v>295571</v>
      </c>
      <c r="CX22">
        <f>IF(CW22="","",COUNTIFS(CW$4:CW$40,"&lt;"&amp;CW22,CW$4:CW$40,"&lt;&gt;"&amp;"")+COUNTIF(CW$4:CW22,CW22))</f>
        <v>27</v>
      </c>
      <c r="CY22" s="55">
        <f>IF(ROW()-3&gt;COUNTIF(CW$4:CW$40,"&lt;&gt;"&amp;""),"",INDEX(CW$4:CW$40,MATCH(ROW()-3,CX$4:CX$40,0)))</f>
        <v>184240</v>
      </c>
      <c r="CZ22">
        <f>CZ21+IF(AND(CY22&lt;&gt;"",COUNTIF(CY$4:CY22,CY22)=1),1,0)</f>
        <v>19</v>
      </c>
      <c r="DA22" s="55">
        <f>IF(ROW()-3&gt;MAX(CZ$4:CZ$40),"",INDEX(CY$4:CY$40,MATCH(ROW()-3,CZ$4:CZ$40,0)))</f>
        <v>184240</v>
      </c>
      <c r="DB22" s="55">
        <f>IF('Final Calculation Sheet'!$T$22="","",'Final Calculation Sheet'!$T$22)</f>
        <v>62807</v>
      </c>
      <c r="DC22">
        <f>IF(DB22="","",COUNTIFS(DB$4:DB$40,"&lt;"&amp;DB22,DB$4:DB$40,"&lt;&gt;"&amp;"")+COUNTIF(DB$4:DB22,DB22))</f>
        <v>27</v>
      </c>
      <c r="DD22" s="55">
        <f>IF(ROW()-3&gt;COUNTIF(DB$4:DB$40,"&lt;&gt;"&amp;""),"",INDEX(DB$4:DB$40,MATCH(ROW()-3,DC$4:DC$40,0)))</f>
        <v>39150</v>
      </c>
      <c r="DE22">
        <f>DE21+IF(AND(DD22&lt;&gt;"",COUNTIF(DD$4:DD22,DD22)=1),1,0)</f>
        <v>19</v>
      </c>
      <c r="DF22" s="55">
        <f>IF(ROW()-3&gt;MAX(DE$4:DE$40),"",INDEX(DD$4:DD$40,MATCH(ROW()-3,DE$4:DE$40,0)))</f>
        <v>39150</v>
      </c>
      <c r="DG22" s="140">
        <f>IF('Final Calculation Sheet'!$U$22="","",'Final Calculation Sheet'!$U$22)</f>
        <v>62807</v>
      </c>
      <c r="DH22">
        <f>IF(DG22="","",COUNTIFS(DG$4:DG$40,"&lt;"&amp;DG22,DG$4:DG$40,"&lt;&gt;"&amp;"")+COUNTIF(DG$4:DG22,DG22))</f>
        <v>27</v>
      </c>
      <c r="DI22" s="140">
        <f>IF(ROW()-3&gt;COUNTIF(DG$4:DG$40,"&lt;&gt;"&amp;""),"",INDEX(DG$4:DG$40,MATCH(ROW()-3,DH$4:DH$40,0)))</f>
        <v>39150</v>
      </c>
      <c r="DJ22">
        <f>DJ21+IF(AND(DI22&lt;&gt;"",COUNTIF(DI$4:DI22,DI22)=1),1,0)</f>
        <v>19</v>
      </c>
      <c r="DK22" s="140">
        <f>IF(ROW()-3&gt;MAX(DJ$4:DJ$40),"",INDEX(DI$4:DI$40,MATCH(ROW()-3,DJ$4:DJ$40,0)))</f>
        <v>39150</v>
      </c>
      <c r="DL22" t="str">
        <f>IF('Final Calculation Sheet'!$V$22="","",'Final Calculation Sheet'!$V$22)</f>
        <v>13.08.2026</v>
      </c>
      <c r="DM22">
        <f>IF(DL22="","",COUNTIFS(DL$4:DL$40,"&lt;"&amp;DL22,DL$4:DL$40,"&lt;&gt;"&amp;"")+COUNTIF(DL$4:DL22,DL22))</f>
        <v>20</v>
      </c>
      <c r="DN22" t="str">
        <f>IF(ROW()-3&gt;COUNTIF(DL$4:DL$40,"&lt;&gt;"&amp;""),"",INDEX(DL$4:DL$40,MATCH(ROW()-3,DM$4:DM$40,0)))</f>
        <v>13.08.2026</v>
      </c>
      <c r="DO22">
        <f>DO21+IF(AND(DN22&lt;&gt;"",COUNTIF(DN$4:DN22,DN22)=1),1,0)</f>
        <v>3</v>
      </c>
      <c r="DP22" t="str">
        <f>IF(ROW()-3&gt;MAX(DO$4:DO$40),"",INDEX(DN$4:DN$40,MATCH(ROW()-3,DO$4:DO$40,0)))</f>
        <v/>
      </c>
      <c r="DQ22" s="55">
        <f>IF('Final Calculation Sheet'!$W$22="","",'Final Calculation Sheet'!$W$22)</f>
        <v>232764</v>
      </c>
      <c r="DR22">
        <f>IF(DQ22="","",COUNTIFS(DQ$4:DQ$40,"&lt;"&amp;DQ22,DQ$4:DQ$40,"&lt;&gt;"&amp;"")+COUNTIF(DQ$4:DQ22,DQ22))</f>
        <v>27</v>
      </c>
      <c r="DS22" s="55">
        <f>IF(ROW()-3&gt;COUNTIF(DQ$4:DQ$40,"&lt;&gt;"&amp;""),"",INDEX(DQ$4:DQ$40,MATCH(ROW()-3,DR$4:DR$40,0)))</f>
        <v>145090</v>
      </c>
      <c r="DT22">
        <f>DT21+IF(AND(DS22&lt;&gt;"",COUNTIF(DS$4:DS22,DS22)=1),1,0)</f>
        <v>19</v>
      </c>
      <c r="DU22" s="55">
        <f>IF(ROW()-3&gt;MAX(DT$4:DT$40),"",INDEX(DS$4:DS$40,MATCH(ROW()-3,DT$4:DT$40,0)))</f>
        <v>145090</v>
      </c>
      <c r="DV22" s="55">
        <f>IF('Final Calculation Sheet'!$X$22="","",'Final Calculation Sheet'!$X$22)</f>
        <v>232764</v>
      </c>
      <c r="DW22">
        <f>IF(DV22="","",COUNTIFS(DV$4:DV$40,"&lt;"&amp;DV22,DV$4:DV$40,"&lt;&gt;"&amp;"")+COUNTIF(DV$4:DV22,DV22))</f>
        <v>26</v>
      </c>
      <c r="DX22" s="55">
        <f>IF(ROW()-3&gt;COUNTIF(DV$4:DV$40,"&lt;&gt;"&amp;""),"",INDEX(DV$4:DV$40,MATCH(ROW()-3,DW$4:DW$40,0)))</f>
        <v>148251</v>
      </c>
      <c r="DY22">
        <f>DY21+IF(AND(DX22&lt;&gt;"",COUNTIF(DX$4:DX22,DX22)=1),1,0)</f>
        <v>19</v>
      </c>
      <c r="DZ22" t="e">
        <f>IF(ROW()-3&gt;MAX(DY$4:DY$40),"",INDEX(DX$4:DX$40,MATCH(ROW()-3,DY$4:DY$40,0)))</f>
        <v>#N/A</v>
      </c>
      <c r="EA22" t="str">
        <f>IF('Final Calculation Sheet'!$Y$22="","",'Final Calculation Sheet'!$Y$22)</f>
        <v>24.08.2026</v>
      </c>
      <c r="EB22">
        <f>IF(EA22="","",COUNTIFS(EA$4:EA$40,"&lt;"&amp;EA22,EA$4:EA$40,"&lt;&gt;"&amp;"")+COUNTIF(EA$4:EA22,EA22))</f>
        <v>28</v>
      </c>
      <c r="EC22" t="str">
        <f>IF(ROW()-3&gt;COUNTIF(EA$4:EA$40,"&lt;&gt;"&amp;""),"",INDEX(EA$4:EA$40,MATCH(ROW()-3,EB$4:EB$40,0)))</f>
        <v>21.08.2026</v>
      </c>
      <c r="ED22">
        <f>ED21+IF(AND(EC22&lt;&gt;"",COUNTIF(EC$4:EC22,EC22)=1),1,0)</f>
        <v>8</v>
      </c>
      <c r="EE22" t="e">
        <f>IF(ROW()-3&gt;MAX(ED$4:ED$40),"",INDEX(EC$4:EC$40,MATCH(ROW()-3,ED$4:ED$40,0)))</f>
        <v>#N/A</v>
      </c>
      <c r="EF22" s="55">
        <f>IF('Final Calculation Sheet'!$Z$22="","",'Final Calculation Sheet'!$Z$22)</f>
        <v>0</v>
      </c>
      <c r="EG22">
        <f>IF(EF22="","",COUNTIFS(EF$4:EF$40,"&lt;"&amp;EF22,EF$4:EF$40,"&lt;&gt;"&amp;"")+COUNTIF(EF$4:EF22,EF22))</f>
        <v>19</v>
      </c>
      <c r="EH22" s="55">
        <f>IF(ROW()-3&gt;COUNTIF(EF$4:EF$40,"&lt;&gt;"&amp;""),"",INDEX(EF$4:EF$40,MATCH(ROW()-3,EG$4:EG$40,0)))</f>
        <v>0</v>
      </c>
      <c r="EI22">
        <f>EI21+IF(AND(EH22&lt;&gt;"",COUNTIF(EH$4:EH22,EH22)=1),1,0)</f>
        <v>1</v>
      </c>
      <c r="EJ22" t="str">
        <f>IF(ROW()-3&gt;MAX(EI$4:EI$40),"",INDEX(EH$4:EH$40,MATCH(ROW()-3,EI$4:EI$40,0)))</f>
        <v/>
      </c>
      <c r="EK22" t="str">
        <f>IF('Final Calculation Sheet'!$AA$22="","",'Final Calculation Sheet'!$AA$22)</f>
        <v/>
      </c>
      <c r="EL22" t="str">
        <f>IF(EK22="","",COUNTIFS(EK$4:EK$40,"&lt;"&amp;EK22,EK$4:EK$40,"&lt;&gt;"&amp;"")+COUNTIF(EK$4:EK22,EK22))</f>
        <v/>
      </c>
      <c r="EM22" t="e">
        <f>IF(ROW()-3&gt;COUNTIF(EK$4:EK$40,"&lt;&gt;"&amp;""),"",INDEX(EK$4:EK$40,MATCH(ROW()-3,EL$4:EL$40,0)))</f>
        <v>#N/A</v>
      </c>
      <c r="EN22" t="e">
        <f>EN21+IF(AND(EM22&lt;&gt;"",COUNTIF(EM$4:EM22,EM22)=1),1,0)</f>
        <v>#N/A</v>
      </c>
      <c r="EO22" t="e">
        <f>IF(ROW()-3&gt;MAX(EN$4:EN$40),"",INDEX(EM$4:EM$40,MATCH(ROW()-3,EN$4:EN$40,0)))</f>
        <v>#N/A</v>
      </c>
      <c r="EP22" t="str">
        <f>IF('Final Calculation Sheet'!$AB$22="","",'Final Calculation Sheet'!$AB$22)</f>
        <v/>
      </c>
      <c r="EQ22" t="str">
        <f>IF(EP22="","",COUNTIFS(EP$4:EP$40,"&lt;"&amp;EP22,EP$4:EP$40,"&lt;&gt;"&amp;"")+COUNTIF(EP$4:EP22,EP22))</f>
        <v/>
      </c>
      <c r="ER22" t="e">
        <f>IF(ROW()-3&gt;COUNTIF(EP$4:EP$40,"&lt;&gt;"&amp;""),"",INDEX(EP$4:EP$40,MATCH(ROW()-3,EQ$4:EQ$40,0)))</f>
        <v>#N/A</v>
      </c>
      <c r="ES22" t="e">
        <f>ES21+IF(AND(ER22&lt;&gt;"",COUNTIF(ER$4:ER22,ER22)=1),1,0)</f>
        <v>#N/A</v>
      </c>
      <c r="ET22" t="e">
        <f>IF(ROW()-3&gt;MAX(ES$4:ES$40),"",INDEX(ER$4:ER$40,MATCH(ROW()-3,ES$4:ES$40,0)))</f>
        <v>#N/A</v>
      </c>
      <c r="EU22" s="55">
        <f>IF('Final Calculation Sheet'!$AC$22="","",'Final Calculation Sheet'!$AC$22)</f>
        <v>295571</v>
      </c>
      <c r="EV22">
        <f>IF(EU22="","",COUNTIFS(EU$4:EU$40,"&lt;"&amp;EU22,EU$4:EU$40,"&lt;&gt;"&amp;"")+COUNTIF(EU$4:EU22,EU22))</f>
        <v>29</v>
      </c>
      <c r="EW22" s="55">
        <f>IF(ROW()-3&gt;COUNTIF(EU$4:EU$40,"&lt;&gt;"&amp;""),"",INDEX(EU$4:EU$40,MATCH(ROW()-3,EV$4:EV$40,0)))</f>
        <v>144023</v>
      </c>
      <c r="EX22">
        <f>EX21+IF(AND(EW22&lt;&gt;"",COUNTIF(EW$4:EW22,EW22)=1),1,0)</f>
        <v>19</v>
      </c>
      <c r="EY22" s="55">
        <f>IF(ROW()-3&gt;MAX(EX$4:EX$40),"",INDEX(EW$4:EW$40,MATCH(ROW()-3,EX$4:EX$40,0)))</f>
        <v>144023</v>
      </c>
      <c r="EZ22" s="55">
        <f>IF('Final Calculation Sheet'!$AD$22="","",'Final Calculation Sheet'!$AD$22)</f>
        <v>0</v>
      </c>
      <c r="FA22">
        <f>IF(EZ22="","",COUNTIFS(EZ$4:EZ$40,"&lt;"&amp;EZ22,EZ$4:EZ$40,"&lt;&gt;"&amp;"")+COUNTIF(EZ$4:EZ22,EZ22))</f>
        <v>19</v>
      </c>
      <c r="FB22" s="55">
        <f>IF(ROW()-3&gt;COUNTIF(EZ$4:EZ$40,"&lt;&gt;"&amp;""),"",INDEX(EZ$4:EZ$40,MATCH(ROW()-3,FA$4:FA$40,0)))</f>
        <v>0</v>
      </c>
      <c r="FC22" t="e">
        <f>FC21+IF(AND(FB22&lt;&gt;"",COUNTIF(FB$4:FB22,FB22)=1),1,0)</f>
        <v>#N/A</v>
      </c>
      <c r="FD22" t="e">
        <f>IF(ROW()-3&gt;MAX(FC$4:FC$40),"",INDEX(FB$4:FB$40,MATCH(ROW()-3,FC$4:FC$40,0)))</f>
        <v>#N/A</v>
      </c>
      <c r="FE22" t="str">
        <f>IF('Final Calculation Sheet'!$AE$22="","",'Final Calculation Sheet'!$AE$22)</f>
        <v>DR2640100044</v>
      </c>
      <c r="FF22">
        <f>IF(FE22="","",COUNTIFS(FE$4:FE$40,"&lt;"&amp;FE22,FE$4:FE$40,"&lt;&gt;"&amp;"")+COUNTIF(FE$4:FE22,FE22))</f>
        <v>33</v>
      </c>
      <c r="FG22" t="str">
        <f>IF(ROW()-3&gt;COUNTIF(FE$4:FE$40,"&lt;&gt;"&amp;""),"",INDEX(FE$4:FE$40,MATCH(ROW()-3,FF$4:FF$40,0)))</f>
        <v>DR2640100030</v>
      </c>
      <c r="FH22" t="e">
        <f>FH21+IF(AND(FG22&lt;&gt;"",COUNTIF(FG$4:FG22,FG22)=1),1,0)</f>
        <v>#N/A</v>
      </c>
      <c r="FI22" t="e">
        <f>IF(ROW()-3&gt;MAX(FH$4:FH$40),"",INDEX(FG$4:FG$40,MATCH(ROW()-3,FH$4:FH$40,0)))</f>
        <v>#N/A</v>
      </c>
      <c r="FJ22" s="141">
        <f>IF('Final Calculation Sheet'!$AF$22="","",'Final Calculation Sheet'!$AF$22)</f>
        <v>1800003308</v>
      </c>
      <c r="FK22">
        <f>IF(FJ22="","",COUNTIFS(FJ$4:FJ$40,"&lt;"&amp;FJ22,FJ$4:FJ$40,"&lt;&gt;"&amp;"")+COUNTIF(FJ$4:FJ22,FJ22))</f>
        <v>20</v>
      </c>
      <c r="FL22" s="141">
        <f>IF(ROW()-3&gt;COUNTIF(FJ$4:FJ$40,"&lt;&gt;"&amp;""),"",INDEX(FJ$4:FJ$40,MATCH(ROW()-3,FK$4:FK$40,0)))</f>
        <v>1800003307</v>
      </c>
      <c r="FM22">
        <f>FM21+IF(AND(FL22&lt;&gt;"",COUNTIF(FL$4:FL22,FL22)=1),1,0)</f>
        <v>19</v>
      </c>
      <c r="FN22" t="e">
        <f>IF(ROW()-3&gt;MAX(FM$4:FM$40),"",INDEX(FL$4:FL$40,MATCH(ROW()-3,FM$4:FM$40,0)))</f>
        <v>#N/A</v>
      </c>
      <c r="FO22" t="str">
        <f>IF('Final Calculation Sheet'!$AG$22="","",'Final Calculation Sheet'!$AG$22)</f>
        <v>27.08.2026</v>
      </c>
      <c r="FP22">
        <f>IF(FO22="","",COUNTIFS(FO$4:FO$40,"&lt;"&amp;FO22,FO$4:FO$40,"&lt;&gt;"&amp;"")+COUNTIF(FO$4:FO22,FO22))</f>
        <v>28</v>
      </c>
      <c r="FQ22" t="str">
        <f>IF(ROW()-3&gt;COUNTIF(FO$4:FO$40,"&lt;&gt;"&amp;""),"",INDEX(FO$4:FO$40,MATCH(ROW()-3,FP$4:FP$40,0)))</f>
        <v>27.08.2026</v>
      </c>
      <c r="FR22" t="e">
        <f>FR21+IF(AND(FQ22&lt;&gt;"",COUNTIF(FQ$4:FQ22,FQ22)=1),1,0)</f>
        <v>#N/A</v>
      </c>
      <c r="FS22" t="e">
        <f>IF(ROW()-3&gt;MAX(FR$4:FR$40),"",INDEX(FQ$4:FQ$40,MATCH(ROW()-3,FR$4:FR$40,0)))</f>
        <v>#N/A</v>
      </c>
      <c r="FU22" t="str">
        <f>IF(FT22="","",COUNTIFS(FT$4:FT$40,"&lt;"&amp;FT22,FT$4:FT$40,"&lt;&gt;"&amp;"")+COUNTIF(FT$4:FT22,FT22))</f>
        <v/>
      </c>
      <c r="FV22" t="str">
        <f>IF(ROW()-3&gt;COUNTIF(FT$4:FT$40,"&lt;&gt;"&amp;""),"",INDEX(FT$4:FT$40,MATCH(ROW()-3,FU$4:FU$40,0)))</f>
        <v/>
      </c>
      <c r="FW22">
        <f>FW21+IF(AND(FV22&lt;&gt;"",COUNTIF(FV$4:FV22,FV22)=1),1,0)</f>
        <v>2</v>
      </c>
      <c r="FX22" t="str">
        <f>IF(ROW()-3&gt;MAX(FW$4:FW$40),"",INDEX(FV$4:FV$40,MATCH(ROW()-3,FW$4:FW$40,0)))</f>
        <v/>
      </c>
    </row>
    <row r="23">
      <c r="A23">
        <f>IF('Final Calculation Sheet'!$F$23="","",'Final Calculation Sheet'!$F$23)</f>
        <v>2025</v>
      </c>
      <c r="B23">
        <f>IF(A23="","",COUNTIFS(A$4:A$114,"&lt;"&amp;A23,A$4:A$114,"&lt;&gt;"&amp;"")+COUNTIF(A$4:A23,A23))</f>
        <v>20</v>
      </c>
      <c r="C23">
        <f>IF(ROW()-3&gt;COUNTIF(A$4:A$114,"&lt;&gt;"&amp;""),"",INDEX(A$4:A$114,MATCH(ROW()-3,B$4:B$114,0)))</f>
        <v>2025</v>
      </c>
      <c r="D23">
        <f>D22+IF(AND(C23&lt;&gt;"",COUNTIF(C$4:C23,C23)=1),1,0)</f>
        <v>20</v>
      </c>
      <c r="E23" t="e">
        <f>IF(ROW()-3&gt;MAX(D$4:D$114),"",INDEX(C$4:C$114,MATCH(ROW()-3,D$4:D$114,0)))</f>
        <v>#N/A</v>
      </c>
      <c r="F23">
        <f>ROW()-3</f>
        <v>20</v>
      </c>
      <c r="G23">
        <f>IF(F23="","",COUNTIFS(F$4:F$40,"&lt;"&amp;F23,F$4:F$40,"&lt;&gt;"&amp;"")+COUNTIF(F$4:F23,F23))</f>
        <v>20</v>
      </c>
      <c r="H23">
        <f>IF(ROW()-3&gt;COUNTIF(F$4:F$40,"&lt;&gt;"&amp;""),"",INDEX(F$4:F$40,MATCH(ROW()-3,G$4:G$40,0)))</f>
        <v>20</v>
      </c>
      <c r="I23">
        <f>I22+IF(AND(H23&lt;&gt;"",COUNTIF(H$4:H23,H23)=1),1,0)</f>
        <v>20</v>
      </c>
      <c r="J23">
        <f>IF(ROW()-3&gt;MAX(I$4:I$40),"",INDEX(H$4:H$40,MATCH(ROW()-3,I$4:I$40,0)))</f>
        <v>20</v>
      </c>
      <c r="K23">
        <f>IF('Final Calculation Sheet'!$F$23="","",'Final Calculation Sheet'!$F$23)</f>
        <v>2025</v>
      </c>
      <c r="L23">
        <f>IF(K23="","",COUNTIFS(K$4:K$40,"&lt;"&amp;K23,K$4:K$40,"&lt;&gt;"&amp;"")+COUNTIF(K$4:K23,K23))</f>
        <v>20</v>
      </c>
      <c r="M23">
        <f>IF(ROW()-3&gt;COUNTIF(K$4:K$40,"&lt;&gt;"&amp;""),"",INDEX(K$4:K$40,MATCH(ROW()-3,L$4:L$40,0)))</f>
        <v>2025</v>
      </c>
      <c r="N23">
        <f>N22+IF(AND(M23&lt;&gt;"",COUNTIF(M$4:M23,M23)=1),1,0)</f>
        <v>20</v>
      </c>
      <c r="O23">
        <f>IF(ROW()-3&gt;MAX(N$4:N$40),"",INDEX(M$4:M$40,MATCH(ROW()-3,N$4:N$40,0)))</f>
        <v>2025</v>
      </c>
      <c r="P23" t="str">
        <f>IF('Final Calculation Sheet'!$G$23="","",'Final Calculation Sheet'!$G$23)</f>
        <v>STERLING ENTERPRISES</v>
      </c>
      <c r="Q23">
        <f>IF(P23="","",COUNTIFS(P$4:P$40,"&lt;"&amp;P23,P$4:P$40,"&lt;&gt;"&amp;"")+COUNTIF(P$4:P23,P23))</f>
        <v>31</v>
      </c>
      <c r="R23" t="str">
        <f>IF(ROW()-3&gt;COUNTIF(P$4:P$40,"&lt;&gt;"&amp;""),"",INDEX(P$4:P$40,MATCH(ROW()-3,Q$4:Q$40,0)))</f>
        <v>NATIONAL SCRAP AND BUILDING MATERIAL SUPPLIER</v>
      </c>
      <c r="S23">
        <f>S22+IF(AND(R23&lt;&gt;"",COUNTIF(R$4:R23,R23)=1),1,0)</f>
        <v>7</v>
      </c>
      <c r="T23" t="str">
        <f>IF(ROW()-3&gt;MAX(S$4:S$40),"",INDEX(R$4:R$40,MATCH(ROW()-3,S$4:S$40,0)))</f>
        <v/>
      </c>
      <c r="U23" t="str">
        <f>IF('Final Calculation Sheet'!$B$23="","",'Final Calculation Sheet'!$B$23)</f>
        <v>Scrap of empty oil Barrels</v>
      </c>
      <c r="V23">
        <f>IF(U23="","",COUNTIFS(U$4:U$40,"&lt;"&amp;U23,U$4:U$40,"&lt;&gt;"&amp;"")+COUNTIF(U$4:U23,U23))</f>
        <v>28</v>
      </c>
      <c r="W23" t="str">
        <f>IF(ROW()-3&gt;COUNTIF(U$4:U$40,"&lt;&gt;"&amp;""),"",INDEX(U$4:U$40,MATCH(ROW()-3,V$4:V$40,0)))</f>
        <v>Scrap of 33 KV CT</v>
      </c>
      <c r="X23">
        <f>X22+IF(AND(W23&lt;&gt;"",COUNTIF(W$4:W23,W23)=1),1,0)</f>
        <v>13</v>
      </c>
      <c r="Y23" t="str">
        <f>IF(ROW()-3&gt;MAX(X$4:X$40),"",INDEX(W$4:W$40,MATCH(ROW()-3,X$4:X$40,0)))</f>
        <v>Scrap of empty oil Barrels</v>
      </c>
      <c r="Z23">
        <f>IF('Final Calculation Sheet'!$D$23="","",'Final Calculation Sheet'!$D$23)</f>
        <v>21978</v>
      </c>
      <c r="AA23">
        <f>IF(Z23="","",COUNTIFS(Z$4:Z$40,"&lt;"&amp;Z23,Z$4:Z$40,"&lt;&gt;"&amp;"")+COUNTIF(Z$4:Z23,Z23))</f>
        <v>18</v>
      </c>
      <c r="AB23">
        <f>IF(ROW()-3&gt;COUNTIF(Z$4:Z$40,"&lt;&gt;"&amp;""),"",INDEX(Z$4:Z$40,MATCH(ROW()-3,AA$4:AA$40,0)))</f>
        <v>21978</v>
      </c>
      <c r="AC23">
        <f>AC22+IF(AND(AB23&lt;&gt;"",COUNTIF(AB$4:AB23,AB23)=1),1,0)</f>
        <v>2</v>
      </c>
      <c r="AD23" t="str">
        <f>IF(ROW()-3&gt;MAX(AC$4:AC$40),"",INDEX(AB$4:AB$40,MATCH(ROW()-3,AC$4:AC$40,0)))</f>
        <v/>
      </c>
      <c r="AE23">
        <f>IF('Final Calculation Sheet'!$A$23="","",'Final Calculation Sheet'!$A$23)</f>
        <v>90</v>
      </c>
      <c r="AF23">
        <f>IF(AE23="","",COUNTIFS(AE$4:AE$40,"&lt;"&amp;AE23,AE$4:AE$40,"&lt;&gt;"&amp;"")+COUNTIF(AE$4:AE23,AE23))</f>
        <v>27</v>
      </c>
      <c r="AG23">
        <f>IF(ROW()-3&gt;COUNTIF(AE$4:AE$40,"&lt;&gt;"&amp;""),"",INDEX(AE$4:AE$40,MATCH(ROW()-3,AF$4:AF$40,0)))</f>
        <v>5</v>
      </c>
      <c r="AH23">
        <f>AH22+IF(AND(AG23&lt;&gt;"",COUNTIF(AG$4:AG23,AG23)=1),1,0)</f>
        <v>5</v>
      </c>
      <c r="AI23">
        <f>IF(ROW()-3&gt;MAX(AH$4:AH$40),"",INDEX(AG$4:AG$40,MATCH(ROW()-3,AH$4:AH$40,0)))</f>
        <v>3000</v>
      </c>
      <c r="AJ23" t="str">
        <f>IF('Final Calculation Sheet'!$E$23="","",'Final Calculation Sheet'!$E$23)</f>
        <v>NO</v>
      </c>
      <c r="AK23">
        <f>IF(AJ23="","",COUNTIFS(AJ$4:AJ$40,"&lt;"&amp;AJ23,AJ$4:AJ$40,"&lt;&gt;"&amp;"")+COUNTIF(AJ$4:AJ23,AJ23))</f>
        <v>22</v>
      </c>
      <c r="AL23" t="str">
        <f>IF(ROW()-3&gt;COUNTIF(AJ$4:AJ$40,"&lt;&gt;"&amp;""),"",INDEX(AJ$4:AJ$40,MATCH(ROW()-3,AK$4:AK$40,0)))</f>
        <v>NO</v>
      </c>
      <c r="AM23">
        <f>AM22+IF(AND(AL23&lt;&gt;"",COUNTIF(AL$4:AL23,AL23)=1),1,0)</f>
        <v>3</v>
      </c>
      <c r="AN23" t="str">
        <f>IF(ROW()-3&gt;MAX(AM$4:AM$40),"",INDEX(AL$4:AL$40,MATCH(ROW()-3,AM$4:AM$40,0)))</f>
        <v/>
      </c>
      <c r="AO23" s="55">
        <f>IF('Final Calculation Sheet'!$C$23="","",'Final Calculation Sheet'!$C$23)</f>
        <v>700</v>
      </c>
      <c r="AP23">
        <f>IF(AO23="","",COUNTIFS(AO$4:AO$40,"&lt;"&amp;AO23,AO$4:AO$40,"&lt;&gt;"&amp;"")+COUNTIF(AO$4:AO23,AO23))</f>
        <v>12</v>
      </c>
      <c r="AQ23" s="55">
        <f>IF(ROW()-3&gt;COUNTIF(AO$4:AO$40,"&lt;&gt;"&amp;""),"",INDEX(AO$4:AO$40,MATCH(ROW()-3,AP$4:AP$40,0)))</f>
        <v>29502</v>
      </c>
      <c r="AR23">
        <f>AR22+IF(AND(AQ23&lt;&gt;"",COUNTIF(AQ$4:AQ23,AQ23)=1),1,0)</f>
        <v>18</v>
      </c>
      <c r="AS23" s="55">
        <f>IF(ROW()-3&gt;MAX(AR$4:AR$40),"",INDEX(AQ$4:AQ$40,MATCH(ROW()-3,AR$4:AR$40,0)))</f>
        <v>50003</v>
      </c>
      <c r="AT23" s="55">
        <f>IF('Final Calculation Sheet'!$H$23="","",'Final Calculation Sheet'!$H$23)</f>
        <v>63000</v>
      </c>
      <c r="AU23">
        <f>IF(AT23="","",COUNTIFS(AT$4:AT$40,"&lt;"&amp;AT23,AT$4:AT$40,"&lt;&gt;"&amp;"")+COUNTIF(AT$4:AT23,AT23))</f>
        <v>11</v>
      </c>
      <c r="AV23" s="55">
        <f>IF(ROW()-3&gt;COUNTIF(AT$4:AT$40,"&lt;&gt;"&amp;""),"",INDEX(AT$4:AT$40,MATCH(ROW()-3,AU$4:AU$40,0)))</f>
        <v>160012</v>
      </c>
      <c r="AW23">
        <f>AW22+IF(AND(AV23&lt;&gt;"",COUNTIF(AV$4:AV23,AV23)=1),1,0)</f>
        <v>20</v>
      </c>
      <c r="AX23" s="55">
        <f>IF(ROW()-3&gt;MAX(AW$4:AW$40),"",INDEX(AV$4:AV$40,MATCH(ROW()-3,AW$4:AW$40,0)))</f>
        <v>160012</v>
      </c>
      <c r="AY23" s="55">
        <f>IF('Final Calculation Sheet'!$I$23="","",'Final Calculation Sheet'!$I$23)</f>
        <v>11340</v>
      </c>
      <c r="AZ23">
        <f>IF(AY23="","",COUNTIFS(AY$4:AY$40,"&lt;"&amp;AY23,AY$4:AY$40,"&lt;&gt;"&amp;"")+COUNTIF(AY$4:AY23,AY23))</f>
        <v>11</v>
      </c>
      <c r="BA23" s="55">
        <f>IF(ROW()-3&gt;COUNTIF(AY$4:AY$40,"&lt;&gt;"&amp;""),"",INDEX(AY$4:AY$40,MATCH(ROW()-3,AZ$4:AZ$40,0)))</f>
        <v>28802</v>
      </c>
      <c r="BB23">
        <f>BB22+IF(AND(BA23&lt;&gt;"",COUNTIF(BA$4:BA23,BA23)=1),1,0)</f>
        <v>20</v>
      </c>
      <c r="BC23" s="55">
        <f>IF(ROW()-3&gt;MAX(BB$4:BB$40),"",INDEX(BA$4:BA$40,MATCH(ROW()-3,BB$4:BB$40,0)))</f>
        <v>28802</v>
      </c>
      <c r="BD23" s="55">
        <f>IF('Final Calculation Sheet'!$J$23="","",'Final Calculation Sheet'!$J$23)</f>
        <v>74340</v>
      </c>
      <c r="BE23">
        <f>IF(BD23="","",COUNTIFS(BD$4:BD$40,"&lt;"&amp;BD23,BD$4:BD$40,"&lt;&gt;"&amp;"")+COUNTIF(BD$4:BD23,BD23))</f>
        <v>11</v>
      </c>
      <c r="BF23" s="55">
        <f>IF(ROW()-3&gt;COUNTIF(BD$4:BD$40,"&lt;&gt;"&amp;""),"",INDEX(BD$4:BD$40,MATCH(ROW()-3,BE$4:BE$40,0)))</f>
        <v>188814</v>
      </c>
      <c r="BG23">
        <f>BG22+IF(AND(BF23&lt;&gt;"",COUNTIF(BF$4:BF23,BF23)=1),1,0)</f>
        <v>20</v>
      </c>
      <c r="BH23" s="55">
        <f>IF(ROW()-3&gt;MAX(BG$4:BG$40),"",INDEX(BF$4:BF$40,MATCH(ROW()-3,BG$4:BG$40,0)))</f>
        <v>188814</v>
      </c>
      <c r="BI23" s="55">
        <f>IF('Final Calculation Sheet'!$K$23="","",'Final Calculation Sheet'!$K$23)</f>
        <v>1487</v>
      </c>
      <c r="BJ23">
        <f>IF(BI23="","",COUNTIFS(BI$4:BI$40,"&lt;"&amp;BI23,BI$4:BI$40,"&lt;&gt;"&amp;"")+COUNTIF(BI$4:BI23,BI23))</f>
        <v>11</v>
      </c>
      <c r="BK23" s="55">
        <f>IF(ROW()-3&gt;COUNTIF(BI$4:BI$40,"&lt;&gt;"&amp;""),"",INDEX(BI$4:BI$40,MATCH(ROW()-3,BJ$4:BJ$40,0)))</f>
        <v>3776</v>
      </c>
      <c r="BL23">
        <f>BL22+IF(AND(BK23&lt;&gt;"",COUNTIF(BK$4:BK23,BK23)=1),1,0)</f>
        <v>20</v>
      </c>
      <c r="BM23" s="55">
        <f>IF(ROW()-3&gt;MAX(BL$4:BL$40),"",INDEX(BK$4:BK$40,MATCH(ROW()-3,BL$4:BL$40,0)))</f>
        <v>3776</v>
      </c>
      <c r="BN23" s="55">
        <f>IF('Final Calculation Sheet'!$L$23="","",'Final Calculation Sheet'!$L$23)</f>
        <v>63</v>
      </c>
      <c r="BO23">
        <f>IF(BN23="","",COUNTIFS(BN$4:BN$40,"&lt;"&amp;BN23,BN$4:BN$40,"&lt;&gt;"&amp;"")+COUNTIF(BN$4:BN23,BN23))</f>
        <v>11</v>
      </c>
      <c r="BP23" s="55">
        <f>IF(ROW()-3&gt;COUNTIF(BN$4:BN$40,"&lt;&gt;"&amp;""),"",INDEX(BN$4:BN$40,MATCH(ROW()-3,BO$4:BO$40,0)))</f>
        <v>160.012</v>
      </c>
      <c r="BQ23">
        <f>BQ22+IF(AND(BP23&lt;&gt;"",COUNTIF(BP$4:BP23,BP23)=1),1,0)</f>
        <v>20</v>
      </c>
      <c r="BR23" s="55">
        <f>IF(ROW()-3&gt;MAX(BQ$4:BQ$40),"",INDEX(BP$4:BP$40,MATCH(ROW()-3,BQ$4:BQ$40,0)))</f>
        <v>160.012</v>
      </c>
      <c r="BS23" s="55">
        <f>IF('Final Calculation Sheet'!$M$23="","",'Final Calculation Sheet'!$M$23)</f>
        <v>1672.6499999999999</v>
      </c>
      <c r="BT23">
        <f>IF(BS23="","",COUNTIFS(BS$4:BS$40,"&lt;"&amp;BS23,BS$4:BS$40,"&lt;&gt;"&amp;"")+COUNTIF(BS$4:BS23,BS23))</f>
        <v>11</v>
      </c>
      <c r="BU23" s="55">
        <f>IF(ROW()-3&gt;COUNTIF(BS$4:BS$40,"&lt;&gt;"&amp;""),"",INDEX(BS$4:BS$40,MATCH(ROW()-3,BT$4:BT$40,0)))</f>
        <v>4248.3185999999996</v>
      </c>
      <c r="BV23">
        <f>BV22+IF(AND(BU23&lt;&gt;"",COUNTIF(BU$4:BU23,BU23)=1),1,0)</f>
        <v>20</v>
      </c>
      <c r="BW23" s="55">
        <f>IF(ROW()-3&gt;MAX(BV$4:BV$40),"",INDEX(BU$4:BU$40,MATCH(ROW()-3,BV$4:BV$40,0)))</f>
        <v>4248.3185999999996</v>
      </c>
      <c r="BX23" s="138">
        <f>IF('Final Calculation Sheet'!$N$23="","",'Final Calculation Sheet'!$N$23)</f>
        <v>28.35</v>
      </c>
      <c r="BY23">
        <f>IF(BX23="","",COUNTIFS(BX$4:BX$40,"&lt;"&amp;BX23,BX$4:BX$40,"&lt;&gt;"&amp;"")+COUNTIF(BX$4:BX23,BX23))</f>
        <v>11</v>
      </c>
      <c r="BZ23" s="138">
        <f>IF(ROW()-3&gt;COUNTIF(BX$4:BX$40,"&lt;&gt;"&amp;""),"",INDEX(BX$4:BX$40,MATCH(ROW()-3,BY$4:BY$40,0)))</f>
        <v>72.005399999999995</v>
      </c>
      <c r="CA23">
        <f>CA22+IF(AND(BZ23&lt;&gt;"",COUNTIF(BZ$4:BZ23,BZ23)=1),1,0)</f>
        <v>20</v>
      </c>
      <c r="CB23" s="138">
        <f>IF(ROW()-3&gt;MAX(CA$4:CA$40),"",INDEX(BZ$4:BZ$40,MATCH(ROW()-3,CA$4:CA$40,0)))</f>
        <v>72.005399999999995</v>
      </c>
      <c r="CC23" s="55">
        <f>IF('Final Calculation Sheet'!$O$23="","",'Final Calculation Sheet'!$O$23)</f>
        <v>1644.3</v>
      </c>
      <c r="CD23">
        <f>IF(CC23="","",COUNTIFS(CC$4:CC$40,"&lt;"&amp;CC23,CC$4:CC$40,"&lt;&gt;"&amp;"")+COUNTIF(CC$4:CC23,CC23))</f>
        <v>11</v>
      </c>
      <c r="CE23" s="55">
        <f>IF(ROW()-3&gt;COUNTIF(CC$4:CC$40,"&lt;&gt;"&amp;""),"",INDEX(CC$4:CC$40,MATCH(ROW()-3,CD$4:CD$40,0)))</f>
        <v>4176.3131999999996</v>
      </c>
      <c r="CF23">
        <f>CF22+IF(AND(CE23&lt;&gt;"",COUNTIF(CE$4:CE23,CE23)=1),1,0)</f>
        <v>20</v>
      </c>
      <c r="CG23" s="55">
        <f>IF(ROW()-3&gt;MAX(CF$4:CF$40),"",INDEX(CE$4:CE$40,MATCH(ROW()-3,CF$4:CF$40,0)))</f>
        <v>4176.3131999999996</v>
      </c>
      <c r="CH23" s="55">
        <f>IF('Final Calculation Sheet'!$P$23="","",'Final Calculation Sheet'!$P$23)</f>
        <v>1707</v>
      </c>
      <c r="CI23">
        <f>IF(CH23="","",COUNTIFS(CH$4:CH$40,"&lt;"&amp;CH23,CH$4:CH$40,"&lt;&gt;"&amp;"")+COUNTIF(CH$4:CH23,CH23))</f>
        <v>11</v>
      </c>
      <c r="CJ23" s="55">
        <f>IF(ROW()-3&gt;COUNTIF(CH$4:CH$40,"&lt;&gt;"&amp;""),"",INDEX(CH$4:CH$40,MATCH(ROW()-3,CI$4:CI$40,0)))</f>
        <v>4336</v>
      </c>
      <c r="CK23">
        <f>CK22+IF(AND(CJ23&lt;&gt;"",COUNTIF(CJ$4:CJ23,CJ23)=1),1,0)</f>
        <v>20</v>
      </c>
      <c r="CL23" s="55">
        <f>IF(ROW()-3&gt;MAX(CK$4:CK$40),"",INDEX(CJ$4:CJ$40,MATCH(ROW()-3,CK$4:CK$40,0)))</f>
        <v>4336</v>
      </c>
      <c r="CM23" s="139">
        <f>IF('Final Calculation Sheet'!$Q$23="","",'Final Calculation Sheet'!$Q$23)</f>
        <v>0</v>
      </c>
      <c r="CN23">
        <f>IF(CM23="","",COUNTIFS(CM$4:CM$40,"&lt;"&amp;CM23,CM$4:CM$40,"&lt;&gt;"&amp;"")+COUNTIF(CM$4:CM23,CM23))</f>
        <v>17</v>
      </c>
      <c r="CO23" s="139">
        <f>IF(ROW()-3&gt;COUNTIF(CM$4:CM$40,"&lt;&gt;"&amp;""),"",INDEX(CM$4:CM$40,MATCH(ROW()-3,CN$4:CN$40,0)))</f>
        <v>0</v>
      </c>
      <c r="CP23">
        <f>CP22+IF(AND(CO23&lt;&gt;"",COUNTIF(CO$4:CO23,CO23)=1),1,0)</f>
        <v>1</v>
      </c>
      <c r="CQ23" t="str">
        <f>IF(ROW()-3&gt;MAX(CP$4:CP$40),"",INDEX(CO$4:CO$40,MATCH(ROW()-3,CP$4:CP$40,0)))</f>
        <v/>
      </c>
      <c r="CR23" s="55">
        <f>IF('Final Calculation Sheet'!$R$23="","",'Final Calculation Sheet'!$R$23)</f>
        <v>0</v>
      </c>
      <c r="CS23">
        <f>IF(CR23="","",COUNTIFS(CR$4:CR$40,"&lt;"&amp;CR23,CR$4:CR$40,"&lt;&gt;"&amp;"")+COUNTIF(CR$4:CR23,CR23))</f>
        <v>17</v>
      </c>
      <c r="CT23" s="55">
        <f>IF(ROW()-3&gt;COUNTIF(CR$4:CR$40,"&lt;&gt;"&amp;""),"",INDEX(CR$4:CR$40,MATCH(ROW()-3,CS$4:CS$40,0)))</f>
        <v>0</v>
      </c>
      <c r="CU23">
        <f>CU22+IF(AND(CT23&lt;&gt;"",COUNTIF(CT$4:CT23,CT23)=1),1,0)</f>
        <v>1</v>
      </c>
      <c r="CV23" t="str">
        <f>IF(ROW()-3&gt;MAX(CU$4:CU$40),"",INDEX(CT$4:CT$40,MATCH(ROW()-3,CU$4:CU$40,0)))</f>
        <v/>
      </c>
      <c r="CW23" s="55">
        <f>IF('Final Calculation Sheet'!$S$23="","",'Final Calculation Sheet'!$S$23)</f>
        <v>74120</v>
      </c>
      <c r="CX23">
        <f>IF(CW23="","",COUNTIFS(CW$4:CW$40,"&lt;"&amp;CW23,CW$4:CW$40,"&lt;&gt;"&amp;"")+COUNTIF(CW$4:CW23,CW23))</f>
        <v>11</v>
      </c>
      <c r="CY23" s="55">
        <f>IF(ROW()-3&gt;COUNTIF(CW$4:CW$40,"&lt;&gt;"&amp;""),"",INDEX(CW$4:CW$40,MATCH(ROW()-3,CX$4:CX$40,0)))</f>
        <v>188254</v>
      </c>
      <c r="CZ23">
        <f>CZ22+IF(AND(CY23&lt;&gt;"",COUNTIF(CY$4:CY23,CY23)=1),1,0)</f>
        <v>20</v>
      </c>
      <c r="DA23" s="55">
        <f>IF(ROW()-3&gt;MAX(CZ$4:CZ$40),"",INDEX(CY$4:CY$40,MATCH(ROW()-3,CZ$4:CZ$40,0)))</f>
        <v>188254</v>
      </c>
      <c r="DB23" s="55">
        <f>IF('Final Calculation Sheet'!$T$23="","",'Final Calculation Sheet'!$T$23)</f>
        <v>15750</v>
      </c>
      <c r="DC23">
        <f>IF(DB23="","",COUNTIFS(DB$4:DB$40,"&lt;"&amp;DB23,DB$4:DB$40,"&lt;&gt;"&amp;"")+COUNTIF(DB$4:DB23,DB23))</f>
        <v>11</v>
      </c>
      <c r="DD23" s="55">
        <f>IF(ROW()-3&gt;COUNTIF(DB$4:DB$40,"&lt;&gt;"&amp;""),"",INDEX(DB$4:DB$40,MATCH(ROW()-3,DC$4:DC$40,0)))</f>
        <v>40003</v>
      </c>
      <c r="DE23">
        <f>DE22+IF(AND(DD23&lt;&gt;"",COUNTIF(DD$4:DD23,DD23)=1),1,0)</f>
        <v>20</v>
      </c>
      <c r="DF23" s="55">
        <f>IF(ROW()-3&gt;MAX(DE$4:DE$40),"",INDEX(DD$4:DD$40,MATCH(ROW()-3,DE$4:DE$40,0)))</f>
        <v>40003</v>
      </c>
      <c r="DG23" s="140">
        <f>IF('Final Calculation Sheet'!$U$23="","",'Final Calculation Sheet'!$U$23)</f>
        <v>15750</v>
      </c>
      <c r="DH23">
        <f>IF(DG23="","",COUNTIFS(DG$4:DG$40,"&lt;"&amp;DG23,DG$4:DG$40,"&lt;&gt;"&amp;"")+COUNTIF(DG$4:DG23,DG23))</f>
        <v>11</v>
      </c>
      <c r="DI23" s="140">
        <f>IF(ROW()-3&gt;COUNTIF(DG$4:DG$40,"&lt;&gt;"&amp;""),"",INDEX(DG$4:DG$40,MATCH(ROW()-3,DH$4:DH$40,0)))</f>
        <v>40003</v>
      </c>
      <c r="DJ23">
        <f>DJ22+IF(AND(DI23&lt;&gt;"",COUNTIF(DI$4:DI23,DI23)=1),1,0)</f>
        <v>20</v>
      </c>
      <c r="DK23" s="140">
        <f>IF(ROW()-3&gt;MAX(DJ$4:DJ$40),"",INDEX(DI$4:DI$40,MATCH(ROW()-3,DJ$4:DJ$40,0)))</f>
        <v>40003</v>
      </c>
      <c r="DL23" t="str">
        <f>IF('Final Calculation Sheet'!$V$23="","",'Final Calculation Sheet'!$V$23)</f>
        <v>11.08.2026</v>
      </c>
      <c r="DM23">
        <f>IF(DL23="","",COUNTIFS(DL$4:DL$40,"&lt;"&amp;DL23,DL$4:DL$40,"&lt;&gt;"&amp;"")+COUNTIF(DL$4:DL23,DL23))</f>
        <v>7</v>
      </c>
      <c r="DN23" t="str">
        <f>IF(ROW()-3&gt;COUNTIF(DL$4:DL$40,"&lt;&gt;"&amp;""),"",INDEX(DL$4:DL$40,MATCH(ROW()-3,DM$4:DM$40,0)))</f>
        <v>13.08.2026</v>
      </c>
      <c r="DO23">
        <f>DO22+IF(AND(DN23&lt;&gt;"",COUNTIF(DN$4:DN23,DN23)=1),1,0)</f>
        <v>3</v>
      </c>
      <c r="DP23" t="str">
        <f>IF(ROW()-3&gt;MAX(DO$4:DO$40),"",INDEX(DN$4:DN$40,MATCH(ROW()-3,DO$4:DO$40,0)))</f>
        <v/>
      </c>
      <c r="DQ23" s="55">
        <f>IF('Final Calculation Sheet'!$W$23="","",'Final Calculation Sheet'!$W$23)</f>
        <v>58370</v>
      </c>
      <c r="DR23">
        <f>IF(DQ23="","",COUNTIFS(DQ$4:DQ$40,"&lt;"&amp;DQ23,DQ$4:DQ$40,"&lt;&gt;"&amp;"")+COUNTIF(DQ$4:DQ23,DQ23))</f>
        <v>11</v>
      </c>
      <c r="DS23" s="55">
        <f>IF(ROW()-3&gt;COUNTIF(DQ$4:DQ$40,"&lt;&gt;"&amp;""),"",INDEX(DQ$4:DQ$40,MATCH(ROW()-3,DR$4:DR$40,0)))</f>
        <v>148251</v>
      </c>
      <c r="DT23">
        <f>DT22+IF(AND(DS23&lt;&gt;"",COUNTIF(DS$4:DS23,DS23)=1),1,0)</f>
        <v>20</v>
      </c>
      <c r="DU23" s="55">
        <f>IF(ROW()-3&gt;MAX(DT$4:DT$40),"",INDEX(DS$4:DS$40,MATCH(ROW()-3,DT$4:DT$40,0)))</f>
        <v>148251</v>
      </c>
      <c r="DV23" s="55">
        <f>IF('Final Calculation Sheet'!$X$23="","",'Final Calculation Sheet'!$X$23)</f>
        <v>58418</v>
      </c>
      <c r="DW23">
        <f>IF(DV23="","",COUNTIFS(DV$4:DV$40,"&lt;"&amp;DV23,DV$4:DV$40,"&lt;&gt;"&amp;"")+COUNTIF(DV$4:DV23,DV23))</f>
        <v>10</v>
      </c>
      <c r="DX23" s="55">
        <f>IF(ROW()-3&gt;COUNTIF(DV$4:DV$40,"&lt;&gt;"&amp;""),"",INDEX(DV$4:DV$40,MATCH(ROW()-3,DW$4:DW$40,0)))</f>
        <v>183446</v>
      </c>
      <c r="DY23">
        <f>DY22+IF(AND(DX23&lt;&gt;"",COUNTIF(DX$4:DX23,DX23)=1),1,0)</f>
        <v>20</v>
      </c>
      <c r="DZ23" t="e">
        <f>IF(ROW()-3&gt;MAX(DY$4:DY$40),"",INDEX(DX$4:DX$40,MATCH(ROW()-3,DY$4:DY$40,0)))</f>
        <v>#N/A</v>
      </c>
      <c r="EA23" t="str">
        <f>IF('Final Calculation Sheet'!$Y$23="","",'Final Calculation Sheet'!$Y$23)</f>
        <v>11.08.2026</v>
      </c>
      <c r="EB23">
        <f>IF(EA23="","",COUNTIFS(EA$4:EA$40,"&lt;"&amp;EA23,EA$4:EA$40,"&lt;&gt;"&amp;"")+COUNTIF(EA$4:EA23,EA23))</f>
        <v>7</v>
      </c>
      <c r="EC23" t="str">
        <f>IF(ROW()-3&gt;COUNTIF(EA$4:EA$40,"&lt;&gt;"&amp;""),"",INDEX(EA$4:EA$40,MATCH(ROW()-3,EB$4:EB$40,0)))</f>
        <v>21.08.2026</v>
      </c>
      <c r="ED23">
        <f>ED22+IF(AND(EC23&lt;&gt;"",COUNTIF(EC$4:EC23,EC23)=1),1,0)</f>
        <v>8</v>
      </c>
      <c r="EE23" t="e">
        <f>IF(ROW()-3&gt;MAX(ED$4:ED$40),"",INDEX(EC$4:EC$40,MATCH(ROW()-3,ED$4:ED$40,0)))</f>
        <v>#N/A</v>
      </c>
      <c r="EF23" s="55">
        <f>IF('Final Calculation Sheet'!$Z$23="","",'Final Calculation Sheet'!$Z$23)</f>
        <v>0</v>
      </c>
      <c r="EG23">
        <f>IF(EF23="","",COUNTIFS(EF$4:EF$40,"&lt;"&amp;EF23,EF$4:EF$40,"&lt;&gt;"&amp;"")+COUNTIF(EF$4:EF23,EF23))</f>
        <v>20</v>
      </c>
      <c r="EH23" s="55">
        <f>IF(ROW()-3&gt;COUNTIF(EF$4:EF$40,"&lt;&gt;"&amp;""),"",INDEX(EF$4:EF$40,MATCH(ROW()-3,EG$4:EG$40,0)))</f>
        <v>0</v>
      </c>
      <c r="EI23">
        <f>EI22+IF(AND(EH23&lt;&gt;"",COUNTIF(EH$4:EH23,EH23)=1),1,0)</f>
        <v>1</v>
      </c>
      <c r="EJ23" t="str">
        <f>IF(ROW()-3&gt;MAX(EI$4:EI$40),"",INDEX(EH$4:EH$40,MATCH(ROW()-3,EI$4:EI$40,0)))</f>
        <v/>
      </c>
      <c r="EK23" t="str">
        <f>IF('Final Calculation Sheet'!$AA$23="","",'Final Calculation Sheet'!$AA$23)</f>
        <v/>
      </c>
      <c r="EL23" t="str">
        <f>IF(EK23="","",COUNTIFS(EK$4:EK$40,"&lt;"&amp;EK23,EK$4:EK$40,"&lt;&gt;"&amp;"")+COUNTIF(EK$4:EK23,EK23))</f>
        <v/>
      </c>
      <c r="EM23" t="e">
        <f>IF(ROW()-3&gt;COUNTIF(EK$4:EK$40,"&lt;&gt;"&amp;""),"",INDEX(EK$4:EK$40,MATCH(ROW()-3,EL$4:EL$40,0)))</f>
        <v>#N/A</v>
      </c>
      <c r="EN23" t="e">
        <f>EN22+IF(AND(EM23&lt;&gt;"",COUNTIF(EM$4:EM23,EM23)=1),1,0)</f>
        <v>#N/A</v>
      </c>
      <c r="EO23" t="e">
        <f>IF(ROW()-3&gt;MAX(EN$4:EN$40),"",INDEX(EM$4:EM$40,MATCH(ROW()-3,EN$4:EN$40,0)))</f>
        <v>#N/A</v>
      </c>
      <c r="EP23" t="str">
        <f>IF('Final Calculation Sheet'!$AB$23="","",'Final Calculation Sheet'!$AB$23)</f>
        <v/>
      </c>
      <c r="EQ23" t="str">
        <f>IF(EP23="","",COUNTIFS(EP$4:EP$40,"&lt;"&amp;EP23,EP$4:EP$40,"&lt;&gt;"&amp;"")+COUNTIF(EP$4:EP23,EP23))</f>
        <v/>
      </c>
      <c r="ER23" t="e">
        <f>IF(ROW()-3&gt;COUNTIF(EP$4:EP$40,"&lt;&gt;"&amp;""),"",INDEX(EP$4:EP$40,MATCH(ROW()-3,EQ$4:EQ$40,0)))</f>
        <v>#N/A</v>
      </c>
      <c r="ES23" t="e">
        <f>ES22+IF(AND(ER23&lt;&gt;"",COUNTIF(ER$4:ER23,ER23)=1),1,0)</f>
        <v>#N/A</v>
      </c>
      <c r="ET23" t="e">
        <f>IF(ROW()-3&gt;MAX(ES$4:ES$40),"",INDEX(ER$4:ER$40,MATCH(ROW()-3,ES$4:ES$40,0)))</f>
        <v>#N/A</v>
      </c>
      <c r="EU23" s="55">
        <f>IF('Final Calculation Sheet'!$AC$23="","",'Final Calculation Sheet'!$AC$23)</f>
        <v>74168</v>
      </c>
      <c r="EV23">
        <f>IF(EU23="","",COUNTIFS(EU$4:EU$40,"&lt;"&amp;EU23,EU$4:EU$40,"&lt;&gt;"&amp;"")+COUNTIF(EU$4:EU23,EU23))</f>
        <v>12</v>
      </c>
      <c r="EW23" s="55">
        <f>IF(ROW()-3&gt;COUNTIF(EU$4:EU$40,"&lt;&gt;"&amp;""),"",INDEX(EU$4:EU$40,MATCH(ROW()-3,EV$4:EV$40,0)))</f>
        <v>159710</v>
      </c>
      <c r="EX23">
        <f>EX22+IF(AND(EW23&lt;&gt;"",COUNTIF(EW$4:EW23,EW23)=1),1,0)</f>
        <v>20</v>
      </c>
      <c r="EY23" s="55">
        <f>IF(ROW()-3&gt;MAX(EX$4:EX$40),"",INDEX(EW$4:EW$40,MATCH(ROW()-3,EX$4:EX$40,0)))</f>
        <v>159710</v>
      </c>
      <c r="EZ23" s="55">
        <f>IF('Final Calculation Sheet'!$AD$23="","",'Final Calculation Sheet'!$AD$23)</f>
        <v>-48</v>
      </c>
      <c r="FA23">
        <f>IF(EZ23="","",COUNTIFS(EZ$4:EZ$40,"&lt;"&amp;EZ23,EZ$4:EZ$40,"&lt;&gt;"&amp;"")+COUNTIF(EZ$4:EZ23,EZ23))</f>
        <v>3</v>
      </c>
      <c r="FB23" s="55">
        <f>IF(ROW()-3&gt;COUNTIF(EZ$4:EZ$40,"&lt;&gt;"&amp;""),"",INDEX(EZ$4:EZ$40,MATCH(ROW()-3,FA$4:FA$40,0)))</f>
        <v>0</v>
      </c>
      <c r="FC23" t="e">
        <f>FC22+IF(AND(FB23&lt;&gt;"",COUNTIF(FB$4:FB23,FB23)=1),1,0)</f>
        <v>#N/A</v>
      </c>
      <c r="FD23" t="e">
        <f>IF(ROW()-3&gt;MAX(FC$4:FC$40),"",INDEX(FB$4:FB$40,MATCH(ROW()-3,FC$4:FC$40,0)))</f>
        <v>#N/A</v>
      </c>
      <c r="FE23" t="str">
        <f>IF('Final Calculation Sheet'!$AE$23="","",'Final Calculation Sheet'!$AE$23)</f>
        <v>DR2640100021</v>
      </c>
      <c r="FF23">
        <f>IF(FE23="","",COUNTIFS(FE$4:FE$40,"&lt;"&amp;FE23,FE$4:FE$40,"&lt;&gt;"&amp;"")+COUNTIF(FE$4:FE23,FE23))</f>
        <v>10</v>
      </c>
      <c r="FG23" t="str">
        <f>IF(ROW()-3&gt;COUNTIF(FE$4:FE$40,"&lt;&gt;"&amp;""),"",INDEX(FE$4:FE$40,MATCH(ROW()-3,FF$4:FF$40,0)))</f>
        <v>DR2640100031</v>
      </c>
      <c r="FH23" t="e">
        <f>FH22+IF(AND(FG23&lt;&gt;"",COUNTIF(FG$4:FG23,FG23)=1),1,0)</f>
        <v>#N/A</v>
      </c>
      <c r="FI23" t="e">
        <f>IF(ROW()-3&gt;MAX(FH$4:FH$40),"",INDEX(FG$4:FG$40,MATCH(ROW()-3,FH$4:FH$40,0)))</f>
        <v>#N/A</v>
      </c>
      <c r="FJ23" s="141">
        <f>IF('Final Calculation Sheet'!$AF$23="","",'Final Calculation Sheet'!$AF$23)</f>
        <v>1800003160</v>
      </c>
      <c r="FK23">
        <f>IF(FJ23="","",COUNTIFS(FJ$4:FJ$40,"&lt;"&amp;FJ23,FJ$4:FJ$40,"&lt;&gt;"&amp;"")+COUNTIF(FJ$4:FJ23,FJ23))</f>
        <v>5</v>
      </c>
      <c r="FL23" s="141">
        <f>IF(ROW()-3&gt;COUNTIF(FJ$4:FJ$40,"&lt;&gt;"&amp;""),"",INDEX(FJ$4:FJ$40,MATCH(ROW()-3,FK$4:FK$40,0)))</f>
        <v>1800003308</v>
      </c>
      <c r="FM23">
        <f>FM22+IF(AND(FL23&lt;&gt;"",COUNTIF(FL$4:FL23,FL23)=1),1,0)</f>
        <v>20</v>
      </c>
      <c r="FN23" t="e">
        <f>IF(ROW()-3&gt;MAX(FM$4:FM$40),"",INDEX(FL$4:FL$40,MATCH(ROW()-3,FM$4:FM$40,0)))</f>
        <v>#N/A</v>
      </c>
      <c r="FO23" t="str">
        <f>IF('Final Calculation Sheet'!$AG$23="","",'Final Calculation Sheet'!$AG$23)</f>
        <v>14.08.2026</v>
      </c>
      <c r="FP23">
        <f>IF(FO23="","",COUNTIFS(FO$4:FO$40,"&lt;"&amp;FO23,FO$4:FO$40,"&lt;&gt;"&amp;"")+COUNTIF(FO$4:FO23,FO23))</f>
        <v>10</v>
      </c>
      <c r="FQ23" t="str">
        <f>IF(ROW()-3&gt;COUNTIF(FO$4:FO$40,"&lt;&gt;"&amp;""),"",INDEX(FO$4:FO$40,MATCH(ROW()-3,FP$4:FP$40,0)))</f>
        <v>27.08.2026</v>
      </c>
      <c r="FR23" t="e">
        <f>FR22+IF(AND(FQ23&lt;&gt;"",COUNTIF(FQ$4:FQ23,FQ23)=1),1,0)</f>
        <v>#N/A</v>
      </c>
      <c r="FS23" t="e">
        <f>IF(ROW()-3&gt;MAX(FR$4:FR$40),"",INDEX(FQ$4:FQ$40,MATCH(ROW()-3,FR$4:FR$40,0)))</f>
        <v>#N/A</v>
      </c>
      <c r="FU23" t="str">
        <f>IF(FT23="","",COUNTIFS(FT$4:FT$40,"&lt;"&amp;FT23,FT$4:FT$40,"&lt;&gt;"&amp;"")+COUNTIF(FT$4:FT23,FT23))</f>
        <v/>
      </c>
      <c r="FV23" t="str">
        <f>IF(ROW()-3&gt;COUNTIF(FT$4:FT$40,"&lt;&gt;"&amp;""),"",INDEX(FT$4:FT$40,MATCH(ROW()-3,FU$4:FU$40,0)))</f>
        <v/>
      </c>
      <c r="FW23">
        <f>FW22+IF(AND(FV23&lt;&gt;"",COUNTIF(FV$4:FV23,FV23)=1),1,0)</f>
        <v>2</v>
      </c>
      <c r="FX23" t="str">
        <f>IF(ROW()-3&gt;MAX(FW$4:FW$40),"",INDEX(FV$4:FV$40,MATCH(ROW()-3,FW$4:FW$40,0)))</f>
        <v/>
      </c>
    </row>
    <row r="24">
      <c r="A24">
        <f>IF('Final Calculation Sheet'!$F$24="","",'Final Calculation Sheet'!$F$24)</f>
        <v>2027</v>
      </c>
      <c r="B24">
        <f>IF(A24="","",COUNTIFS(A$4:A$114,"&lt;"&amp;A24,A$4:A$114,"&lt;&gt;"&amp;"")+COUNTIF(A$4:A24,A24))</f>
        <v>21</v>
      </c>
      <c r="C24">
        <f>IF(ROW()-3&gt;COUNTIF(A$4:A$114,"&lt;&gt;"&amp;""),"",INDEX(A$4:A$114,MATCH(ROW()-3,B$4:B$114,0)))</f>
        <v>2027</v>
      </c>
      <c r="D24">
        <f>D23+IF(AND(C24&lt;&gt;"",COUNTIF(C$4:C24,C24)=1),1,0)</f>
        <v>21</v>
      </c>
      <c r="E24" t="e">
        <f>IF(ROW()-3&gt;MAX(D$4:D$114),"",INDEX(C$4:C$114,MATCH(ROW()-3,D$4:D$114,0)))</f>
        <v>#N/A</v>
      </c>
      <c r="F24">
        <f>ROW()-3</f>
        <v>21</v>
      </c>
      <c r="G24">
        <f>IF(F24="","",COUNTIFS(F$4:F$40,"&lt;"&amp;F24,F$4:F$40,"&lt;&gt;"&amp;"")+COUNTIF(F$4:F24,F24))</f>
        <v>21</v>
      </c>
      <c r="H24">
        <f>IF(ROW()-3&gt;COUNTIF(F$4:F$40,"&lt;&gt;"&amp;""),"",INDEX(F$4:F$40,MATCH(ROW()-3,G$4:G$40,0)))</f>
        <v>21</v>
      </c>
      <c r="I24">
        <f>I23+IF(AND(H24&lt;&gt;"",COUNTIF(H$4:H24,H24)=1),1,0)</f>
        <v>21</v>
      </c>
      <c r="J24">
        <f>IF(ROW()-3&gt;MAX(I$4:I$40),"",INDEX(H$4:H$40,MATCH(ROW()-3,I$4:I$40,0)))</f>
        <v>21</v>
      </c>
      <c r="K24">
        <f>IF('Final Calculation Sheet'!$F$24="","",'Final Calculation Sheet'!$F$24)</f>
        <v>2027</v>
      </c>
      <c r="L24">
        <f>IF(K24="","",COUNTIFS(K$4:K$40,"&lt;"&amp;K24,K$4:K$40,"&lt;&gt;"&amp;"")+COUNTIF(K$4:K24,K24))</f>
        <v>21</v>
      </c>
      <c r="M24">
        <f>IF(ROW()-3&gt;COUNTIF(K$4:K$40,"&lt;&gt;"&amp;""),"",INDEX(K$4:K$40,MATCH(ROW()-3,L$4:L$40,0)))</f>
        <v>2027</v>
      </c>
      <c r="N24">
        <f>N23+IF(AND(M24&lt;&gt;"",COUNTIF(M$4:M24,M24)=1),1,0)</f>
        <v>21</v>
      </c>
      <c r="O24">
        <f>IF(ROW()-3&gt;MAX(N$4:N$40),"",INDEX(M$4:M$40,MATCH(ROW()-3,N$4:N$40,0)))</f>
        <v>2027</v>
      </c>
      <c r="P24" t="str">
        <f>IF('Final Calculation Sheet'!$G$24="","",'Final Calculation Sheet'!$G$24)</f>
        <v>NATIONAL ENTERPRISES</v>
      </c>
      <c r="Q24">
        <f>IF(P24="","",COUNTIFS(P$4:P$40,"&lt;"&amp;P24,P$4:P$40,"&lt;&gt;"&amp;"")+COUNTIF(P$4:P24,P24))</f>
        <v>14</v>
      </c>
      <c r="R24" t="str">
        <f>IF(ROW()-3&gt;COUNTIF(P$4:P$40,"&lt;&gt;"&amp;""),"",INDEX(P$4:P$40,MATCH(ROW()-3,Q$4:Q$40,0)))</f>
        <v>OMKAR STEELS</v>
      </c>
      <c r="S24">
        <f>S23+IF(AND(R24&lt;&gt;"",COUNTIF(R$4:R24,R24)=1),1,0)</f>
        <v>8</v>
      </c>
      <c r="T24" t="str">
        <f>IF(ROW()-3&gt;MAX(S$4:S$40),"",INDEX(R$4:R$40,MATCH(ROW()-3,S$4:S$40,0)))</f>
        <v/>
      </c>
      <c r="U24" t="str">
        <f>IF('Final Calculation Sheet'!$B$24="","",'Final Calculation Sheet'!$B$24)</f>
        <v>Scrap of 132 KV CT</v>
      </c>
      <c r="V24">
        <f>IF(U24="","",COUNTIFS(U$4:U$40,"&lt;"&amp;U24,U$4:U$40,"&lt;&gt;"&amp;"")+COUNTIF(U$4:U24,U24))</f>
        <v>9</v>
      </c>
      <c r="W24" t="str">
        <f>IF(ROW()-3&gt;COUNTIF(U$4:U$40,"&lt;&gt;"&amp;""),"",INDEX(U$4:U$40,MATCH(ROW()-3,V$4:V$40,0)))</f>
        <v>Scrap of 33 KV GCB</v>
      </c>
      <c r="X24">
        <f>X23+IF(AND(W24&lt;&gt;"",COUNTIF(W$4:W24,W24)=1),1,0)</f>
        <v>14</v>
      </c>
      <c r="Y24" t="str">
        <f>IF(ROW()-3&gt;MAX(X$4:X$40),"",INDEX(W$4:W$40,MATCH(ROW()-3,X$4:X$40,0)))</f>
        <v>Scrap of empty oil Druam</v>
      </c>
      <c r="Z24">
        <f>IF('Final Calculation Sheet'!$D$24="","",'Final Calculation Sheet'!$D$24)</f>
        <v>21978</v>
      </c>
      <c r="AA24">
        <f>IF(Z24="","",COUNTIFS(Z$4:Z$40,"&lt;"&amp;Z24,Z$4:Z$40,"&lt;&gt;"&amp;"")+COUNTIF(Z$4:Z24,Z24))</f>
        <v>19</v>
      </c>
      <c r="AB24">
        <f>IF(ROW()-3&gt;COUNTIF(Z$4:Z$40,"&lt;&gt;"&amp;""),"",INDEX(Z$4:Z$40,MATCH(ROW()-3,AA$4:AA$40,0)))</f>
        <v>21978</v>
      </c>
      <c r="AC24">
        <f>AC23+IF(AND(AB24&lt;&gt;"",COUNTIF(AB$4:AB24,AB24)=1),1,0)</f>
        <v>2</v>
      </c>
      <c r="AD24" t="str">
        <f>IF(ROW()-3&gt;MAX(AC$4:AC$40),"",INDEX(AB$4:AB$40,MATCH(ROW()-3,AC$4:AC$40,0)))</f>
        <v/>
      </c>
      <c r="AE24">
        <f>IF('Final Calculation Sheet'!$A$24="","",'Final Calculation Sheet'!$A$24)</f>
        <v>1</v>
      </c>
      <c r="AF24">
        <f>IF(AE24="","",COUNTIFS(AE$4:AE$40,"&lt;"&amp;AE24,AE$4:AE$40,"&lt;&gt;"&amp;"")+COUNTIF(AE$4:AE24,AE24))</f>
        <v>7</v>
      </c>
      <c r="AG24">
        <f>IF(ROW()-3&gt;COUNTIF(AE$4:AE$40,"&lt;&gt;"&amp;""),"",INDEX(AE$4:AE$40,MATCH(ROW()-3,AF$4:AF$40,0)))</f>
        <v>8.1999999999999993</v>
      </c>
      <c r="AH24">
        <f>AH23+IF(AND(AG24&lt;&gt;"",COUNTIF(AG$4:AG24,AG24)=1),1,0)</f>
        <v>6</v>
      </c>
      <c r="AI24">
        <f>IF(ROW()-3&gt;MAX(AH$4:AH$40),"",INDEX(AG$4:AG$40,MATCH(ROW()-3,AH$4:AH$40,0)))</f>
        <v>3500</v>
      </c>
      <c r="AJ24" t="str">
        <f>IF('Final Calculation Sheet'!$E$24="","",'Final Calculation Sheet'!$E$24)</f>
        <v>NO</v>
      </c>
      <c r="AK24">
        <f>IF(AJ24="","",COUNTIFS(AJ$4:AJ$40,"&lt;"&amp;AJ24,AJ$4:AJ$40,"&lt;&gt;"&amp;"")+COUNTIF(AJ$4:AJ24,AJ24))</f>
        <v>23</v>
      </c>
      <c r="AL24" t="str">
        <f>IF(ROW()-3&gt;COUNTIF(AJ$4:AJ$40,"&lt;&gt;"&amp;""),"",INDEX(AJ$4:AJ$40,MATCH(ROW()-3,AK$4:AK$40,0)))</f>
        <v>NO</v>
      </c>
      <c r="AM24">
        <f>AM23+IF(AND(AL24&lt;&gt;"",COUNTIF(AL$4:AL24,AL24)=1),1,0)</f>
        <v>3</v>
      </c>
      <c r="AN24" t="str">
        <f>IF(ROW()-3&gt;MAX(AM$4:AM$40),"",INDEX(AL$4:AL$40,MATCH(ROW()-3,AM$4:AM$40,0)))</f>
        <v/>
      </c>
      <c r="AO24" s="55">
        <f>IF('Final Calculation Sheet'!$C$24="","",'Final Calculation Sheet'!$C$24)</f>
        <v>50003</v>
      </c>
      <c r="AP24">
        <f>IF(AO24="","",COUNTIFS(AO$4:AO$40,"&lt;"&amp;AO24,AO$4:AO$40,"&lt;&gt;"&amp;"")+COUNTIF(AO$4:AO24,AO24))</f>
        <v>22</v>
      </c>
      <c r="AQ24" s="55">
        <f>IF(ROW()-3&gt;COUNTIF(AO$4:AO$40,"&lt;&gt;"&amp;""),"",INDEX(AO$4:AO$40,MATCH(ROW()-3,AP$4:AP$40,0)))</f>
        <v>40003</v>
      </c>
      <c r="AR24">
        <f>AR23+IF(AND(AQ24&lt;&gt;"",COUNTIF(AQ$4:AQ24,AQ24)=1),1,0)</f>
        <v>19</v>
      </c>
      <c r="AS24" s="55">
        <f>IF(ROW()-3&gt;MAX(AR$4:AR$40),"",INDEX(AQ$4:AQ$40,MATCH(ROW()-3,AR$4:AR$40,0)))</f>
        <v>51511</v>
      </c>
      <c r="AT24" s="55">
        <f>IF('Final Calculation Sheet'!$H$24="","",'Final Calculation Sheet'!$H$24)</f>
        <v>50003</v>
      </c>
      <c r="AU24">
        <f>IF(AT24="","",COUNTIFS(AT$4:AT$40,"&lt;"&amp;AT24,AT$4:AT$40,"&lt;&gt;"&amp;"")+COUNTIF(AT$4:AT24,AT24))</f>
        <v>9</v>
      </c>
      <c r="AV24" s="55">
        <f>IF(ROW()-3&gt;COUNTIF(AT$4:AT$40,"&lt;&gt;"&amp;""),"",INDEX(AT$4:AT$40,MATCH(ROW()-3,AU$4:AU$40,0)))</f>
        <v>198000</v>
      </c>
      <c r="AW24">
        <f>AW23+IF(AND(AV24&lt;&gt;"",COUNTIF(AV$4:AV24,AV24)=1),1,0)</f>
        <v>21</v>
      </c>
      <c r="AX24" s="55">
        <f>IF(ROW()-3&gt;MAX(AW$4:AW$40),"",INDEX(AV$4:AV$40,MATCH(ROW()-3,AW$4:AW$40,0)))</f>
        <v>198000</v>
      </c>
      <c r="AY24" s="55">
        <f>IF('Final Calculation Sheet'!$I$24="","",'Final Calculation Sheet'!$I$24)</f>
        <v>9001</v>
      </c>
      <c r="AZ24">
        <f>IF(AY24="","",COUNTIFS(AY$4:AY$40,"&lt;"&amp;AY24,AY$4:AY$40,"&lt;&gt;"&amp;"")+COUNTIF(AY$4:AY24,AY24))</f>
        <v>9</v>
      </c>
      <c r="BA24" s="55">
        <f>IF(ROW()-3&gt;COUNTIF(AY$4:AY$40,"&lt;&gt;"&amp;""),"",INDEX(AY$4:AY$40,MATCH(ROW()-3,AZ$4:AZ$40,0)))</f>
        <v>35640</v>
      </c>
      <c r="BB24">
        <f>BB23+IF(AND(BA24&lt;&gt;"",COUNTIF(BA$4:BA24,BA24)=1),1,0)</f>
        <v>21</v>
      </c>
      <c r="BC24" s="55">
        <f>IF(ROW()-3&gt;MAX(BB$4:BB$40),"",INDEX(BA$4:BA$40,MATCH(ROW()-3,BB$4:BB$40,0)))</f>
        <v>35640</v>
      </c>
      <c r="BD24" s="55">
        <f>IF('Final Calculation Sheet'!$J$24="","",'Final Calculation Sheet'!$J$24)</f>
        <v>59004</v>
      </c>
      <c r="BE24">
        <f>IF(BD24="","",COUNTIFS(BD$4:BD$40,"&lt;"&amp;BD24,BD$4:BD$40,"&lt;&gt;"&amp;"")+COUNTIF(BD$4:BD24,BD24))</f>
        <v>9</v>
      </c>
      <c r="BF24" s="55">
        <f>IF(ROW()-3&gt;COUNTIF(BD$4:BD$40,"&lt;&gt;"&amp;""),"",INDEX(BD$4:BD$40,MATCH(ROW()-3,BE$4:BE$40,0)))</f>
        <v>233640</v>
      </c>
      <c r="BG24">
        <f>BG23+IF(AND(BF24&lt;&gt;"",COUNTIF(BF$4:BF24,BF24)=1),1,0)</f>
        <v>21</v>
      </c>
      <c r="BH24" s="55">
        <f>IF(ROW()-3&gt;MAX(BG$4:BG$40),"",INDEX(BF$4:BF$40,MATCH(ROW()-3,BG$4:BG$40,0)))</f>
        <v>233640</v>
      </c>
      <c r="BI24" s="55">
        <f>IF('Final Calculation Sheet'!$K$24="","",'Final Calculation Sheet'!$K$24)</f>
        <v>1180</v>
      </c>
      <c r="BJ24">
        <f>IF(BI24="","",COUNTIFS(BI$4:BI$40,"&lt;"&amp;BI24,BI$4:BI$40,"&lt;&gt;"&amp;"")+COUNTIF(BI$4:BI24,BI24))</f>
        <v>9</v>
      </c>
      <c r="BK24" s="55">
        <f>IF(ROW()-3&gt;COUNTIF(BI$4:BI$40,"&lt;&gt;"&amp;""),"",INDEX(BI$4:BI$40,MATCH(ROW()-3,BJ$4:BJ$40,0)))</f>
        <v>4673</v>
      </c>
      <c r="BL24">
        <f>BL23+IF(AND(BK24&lt;&gt;"",COUNTIF(BK$4:BK24,BK24)=1),1,0)</f>
        <v>21</v>
      </c>
      <c r="BM24" s="55">
        <f>IF(ROW()-3&gt;MAX(BL$4:BL$40),"",INDEX(BK$4:BK$40,MATCH(ROW()-3,BL$4:BL$40,0)))</f>
        <v>4673</v>
      </c>
      <c r="BN24" s="55">
        <f>IF('Final Calculation Sheet'!$L$24="","",'Final Calculation Sheet'!$L$24)</f>
        <v>50.003</v>
      </c>
      <c r="BO24">
        <f>IF(BN24="","",COUNTIFS(BN$4:BN$40,"&lt;"&amp;BN24,BN$4:BN$40,"&lt;&gt;"&amp;"")+COUNTIF(BN$4:BN24,BN24))</f>
        <v>9</v>
      </c>
      <c r="BP24" s="55">
        <f>IF(ROW()-3&gt;COUNTIF(BN$4:BN$40,"&lt;&gt;"&amp;""),"",INDEX(BN$4:BN$40,MATCH(ROW()-3,BO$4:BO$40,0)))</f>
        <v>198</v>
      </c>
      <c r="BQ24">
        <f>BQ23+IF(AND(BP24&lt;&gt;"",COUNTIF(BP$4:BP24,BP24)=1),1,0)</f>
        <v>21</v>
      </c>
      <c r="BR24" s="55">
        <f>IF(ROW()-3&gt;MAX(BQ$4:BQ$40),"",INDEX(BP$4:BP$40,MATCH(ROW()-3,BQ$4:BQ$40,0)))</f>
        <v>198</v>
      </c>
      <c r="BS24" s="55">
        <f>IF('Final Calculation Sheet'!$M$24="","",'Final Calculation Sheet'!$M$24)</f>
        <v>1327.5796499999999</v>
      </c>
      <c r="BT24">
        <f>IF(BS24="","",COUNTIFS(BS$4:BS$40,"&lt;"&amp;BS24,BS$4:BS$40,"&lt;&gt;"&amp;"")+COUNTIF(BS$4:BS24,BS24))</f>
        <v>9</v>
      </c>
      <c r="BU24" s="55">
        <f>IF(ROW()-3&gt;COUNTIF(BS$4:BS$40,"&lt;&gt;"&amp;""),"",INDEX(BS$4:BS$40,MATCH(ROW()-3,BT$4:BT$40,0)))</f>
        <v>5256.9</v>
      </c>
      <c r="BV24">
        <f>BV23+IF(AND(BU24&lt;&gt;"",COUNTIF(BU$4:BU24,BU24)=1),1,0)</f>
        <v>21</v>
      </c>
      <c r="BW24" s="55">
        <f>IF(ROW()-3&gt;MAX(BV$4:BV$40),"",INDEX(BU$4:BU$40,MATCH(ROW()-3,BV$4:BV$40,0)))</f>
        <v>5256.9</v>
      </c>
      <c r="BX24" s="138">
        <f>IF('Final Calculation Sheet'!$N$24="","",'Final Calculation Sheet'!$N$24)</f>
        <v>22.501349999999999</v>
      </c>
      <c r="BY24">
        <f>IF(BX24="","",COUNTIFS(BX$4:BX$40,"&lt;"&amp;BX24,BX$4:BX$40,"&lt;&gt;"&amp;"")+COUNTIF(BX$4:BX24,BX24))</f>
        <v>9</v>
      </c>
      <c r="BZ24" s="138">
        <f>IF(ROW()-3&gt;COUNTIF(BX$4:BX$40,"&lt;&gt;"&amp;""),"",INDEX(BX$4:BX$40,MATCH(ROW()-3,BY$4:BY$40,0)))</f>
        <v>89.100000000000009</v>
      </c>
      <c r="CA24">
        <f>CA23+IF(AND(BZ24&lt;&gt;"",COUNTIF(BZ$4:BZ24,BZ24)=1),1,0)</f>
        <v>21</v>
      </c>
      <c r="CB24" s="138">
        <f>IF(ROW()-3&gt;MAX(CA$4:CA$40),"",INDEX(BZ$4:BZ$40,MATCH(ROW()-3,CA$4:CA$40,0)))</f>
        <v>89.100000000000009</v>
      </c>
      <c r="CC24" s="55">
        <f>IF('Final Calculation Sheet'!$O$24="","",'Final Calculation Sheet'!$O$24)</f>
        <v>1305.0782999999999</v>
      </c>
      <c r="CD24">
        <f>IF(CC24="","",COUNTIFS(CC$4:CC$40,"&lt;"&amp;CC24,CC$4:CC$40,"&lt;&gt;"&amp;"")+COUNTIF(CC$4:CC24,CC24))</f>
        <v>9</v>
      </c>
      <c r="CE24" s="55">
        <f>IF(ROW()-3&gt;COUNTIF(CC$4:CC$40,"&lt;&gt;"&amp;""),"",INDEX(CC$4:CC$40,MATCH(ROW()-3,CD$4:CD$40,0)))</f>
        <v>5167.7999999999993</v>
      </c>
      <c r="CF24">
        <f>CF23+IF(AND(CE24&lt;&gt;"",COUNTIF(CE$4:CE24,CE24)=1),1,0)</f>
        <v>21</v>
      </c>
      <c r="CG24" s="55">
        <f>IF(ROW()-3&gt;MAX(CF$4:CF$40),"",INDEX(CE$4:CE$40,MATCH(ROW()-3,CF$4:CF$40,0)))</f>
        <v>5167.7999999999993</v>
      </c>
      <c r="CH24" s="55">
        <f>IF('Final Calculation Sheet'!$P$24="","",'Final Calculation Sheet'!$P$24)</f>
        <v>1355</v>
      </c>
      <c r="CI24">
        <f>IF(CH24="","",COUNTIFS(CH$4:CH$40,"&lt;"&amp;CH24,CH$4:CH$40,"&lt;&gt;"&amp;"")+COUNTIF(CH$4:CH24,CH24))</f>
        <v>9</v>
      </c>
      <c r="CJ24" s="55">
        <f>IF(ROW()-3&gt;COUNTIF(CH$4:CH$40,"&lt;&gt;"&amp;""),"",INDEX(CH$4:CH$40,MATCH(ROW()-3,CI$4:CI$40,0)))</f>
        <v>5366</v>
      </c>
      <c r="CK24">
        <f>CK23+IF(AND(CJ24&lt;&gt;"",COUNTIF(CJ$4:CJ24,CJ24)=1),1,0)</f>
        <v>21</v>
      </c>
      <c r="CL24" s="55">
        <f>IF(ROW()-3&gt;MAX(CK$4:CK$40),"",INDEX(CJ$4:CJ$40,MATCH(ROW()-3,CK$4:CK$40,0)))</f>
        <v>5366</v>
      </c>
      <c r="CM24" s="139">
        <f>IF('Final Calculation Sheet'!$Q$24="","",'Final Calculation Sheet'!$Q$24)</f>
        <v>0</v>
      </c>
      <c r="CN24">
        <f>IF(CM24="","",COUNTIFS(CM$4:CM$40,"&lt;"&amp;CM24,CM$4:CM$40,"&lt;&gt;"&amp;"")+COUNTIF(CM$4:CM24,CM24))</f>
        <v>18</v>
      </c>
      <c r="CO24" s="139">
        <f>IF(ROW()-3&gt;COUNTIF(CM$4:CM$40,"&lt;&gt;"&amp;""),"",INDEX(CM$4:CM$40,MATCH(ROW()-3,CN$4:CN$40,0)))</f>
        <v>0</v>
      </c>
      <c r="CP24">
        <f>CP23+IF(AND(CO24&lt;&gt;"",COUNTIF(CO$4:CO24,CO24)=1),1,0)</f>
        <v>1</v>
      </c>
      <c r="CQ24" t="str">
        <f>IF(ROW()-3&gt;MAX(CP$4:CP$40),"",INDEX(CO$4:CO$40,MATCH(ROW()-3,CP$4:CP$40,0)))</f>
        <v/>
      </c>
      <c r="CR24" s="55">
        <f>IF('Final Calculation Sheet'!$R$24="","",'Final Calculation Sheet'!$R$24)</f>
        <v>0</v>
      </c>
      <c r="CS24">
        <f>IF(CR24="","",COUNTIFS(CR$4:CR$40,"&lt;"&amp;CR24,CR$4:CR$40,"&lt;&gt;"&amp;"")+COUNTIF(CR$4:CR24,CR24))</f>
        <v>18</v>
      </c>
      <c r="CT24" s="55">
        <f>IF(ROW()-3&gt;COUNTIF(CR$4:CR$40,"&lt;&gt;"&amp;""),"",INDEX(CR$4:CR$40,MATCH(ROW()-3,CS$4:CS$40,0)))</f>
        <v>0</v>
      </c>
      <c r="CU24">
        <f>CU23+IF(AND(CT24&lt;&gt;"",COUNTIF(CT$4:CT24,CT24)=1),1,0)</f>
        <v>1</v>
      </c>
      <c r="CV24" t="str">
        <f>IF(ROW()-3&gt;MAX(CU$4:CU$40),"",INDEX(CT$4:CT$40,MATCH(ROW()-3,CU$4:CU$40,0)))</f>
        <v/>
      </c>
      <c r="CW24" s="55">
        <f>IF('Final Calculation Sheet'!$S$24="","",'Final Calculation Sheet'!$S$24)</f>
        <v>58829</v>
      </c>
      <c r="CX24">
        <f>IF(CW24="","",COUNTIFS(CW$4:CW$40,"&lt;"&amp;CW24,CW$4:CW$40,"&lt;&gt;"&amp;"")+COUNTIF(CW$4:CW24,CW24))</f>
        <v>9</v>
      </c>
      <c r="CY24" s="55">
        <f>IF(ROW()-3&gt;COUNTIF(CW$4:CW$40,"&lt;&gt;"&amp;""),"",INDEX(CW$4:CW$40,MATCH(ROW()-3,CX$4:CX$40,0)))</f>
        <v>232947</v>
      </c>
      <c r="CZ24">
        <f>CZ23+IF(AND(CY24&lt;&gt;"",COUNTIF(CY$4:CY24,CY24)=1),1,0)</f>
        <v>21</v>
      </c>
      <c r="DA24" s="55">
        <f>IF(ROW()-3&gt;MAX(CZ$4:CZ$40),"",INDEX(CY$4:CY$40,MATCH(ROW()-3,CZ$4:CZ$40,0)))</f>
        <v>232947</v>
      </c>
      <c r="DB24" s="55">
        <f>IF('Final Calculation Sheet'!$T$24="","",'Final Calculation Sheet'!$T$24)</f>
        <v>12501</v>
      </c>
      <c r="DC24">
        <f>IF(DB24="","",COUNTIFS(DB$4:DB$40,"&lt;"&amp;DB24,DB$4:DB$40,"&lt;&gt;"&amp;"")+COUNTIF(DB$4:DB24,DB24))</f>
        <v>9</v>
      </c>
      <c r="DD24" s="55">
        <f>IF(ROW()-3&gt;COUNTIF(DB$4:DB$40,"&lt;&gt;"&amp;""),"",INDEX(DB$4:DB$40,MATCH(ROW()-3,DC$4:DC$40,0)))</f>
        <v>49500</v>
      </c>
      <c r="DE24">
        <f>DE23+IF(AND(DD24&lt;&gt;"",COUNTIF(DD$4:DD24,DD24)=1),1,0)</f>
        <v>21</v>
      </c>
      <c r="DF24" s="55">
        <f>IF(ROW()-3&gt;MAX(DE$4:DE$40),"",INDEX(DD$4:DD$40,MATCH(ROW()-3,DE$4:DE$40,0)))</f>
        <v>49500</v>
      </c>
      <c r="DG24" s="140">
        <f>IF('Final Calculation Sheet'!$U$24="","",'Final Calculation Sheet'!$U$24)</f>
        <v>12501</v>
      </c>
      <c r="DH24">
        <f>IF(DG24="","",COUNTIFS(DG$4:DG$40,"&lt;"&amp;DG24,DG$4:DG$40,"&lt;&gt;"&amp;"")+COUNTIF(DG$4:DG24,DG24))</f>
        <v>9</v>
      </c>
      <c r="DI24" s="140">
        <f>IF(ROW()-3&gt;COUNTIF(DG$4:DG$40,"&lt;&gt;"&amp;""),"",INDEX(DG$4:DG$40,MATCH(ROW()-3,DH$4:DH$40,0)))</f>
        <v>49500</v>
      </c>
      <c r="DJ24">
        <f>DJ23+IF(AND(DI24&lt;&gt;"",COUNTIF(DI$4:DI24,DI24)=1),1,0)</f>
        <v>21</v>
      </c>
      <c r="DK24" s="140">
        <f>IF(ROW()-3&gt;MAX(DJ$4:DJ$40),"",INDEX(DI$4:DI$40,MATCH(ROW()-3,DJ$4:DJ$40,0)))</f>
        <v>49500</v>
      </c>
      <c r="DL24" t="str">
        <f>IF('Final Calculation Sheet'!$V$24="","",'Final Calculation Sheet'!$V$24)</f>
        <v>13.08.2026</v>
      </c>
      <c r="DM24">
        <f>IF(DL24="","",COUNTIFS(DL$4:DL$40,"&lt;"&amp;DL24,DL$4:DL$40,"&lt;&gt;"&amp;"")+COUNTIF(DL$4:DL24,DL24))</f>
        <v>21</v>
      </c>
      <c r="DN24" t="str">
        <f>IF(ROW()-3&gt;COUNTIF(DL$4:DL$40,"&lt;&gt;"&amp;""),"",INDEX(DL$4:DL$40,MATCH(ROW()-3,DM$4:DM$40,0)))</f>
        <v>13.08.2026</v>
      </c>
      <c r="DO24">
        <f>DO23+IF(AND(DN24&lt;&gt;"",COUNTIF(DN$4:DN24,DN24)=1),1,0)</f>
        <v>3</v>
      </c>
      <c r="DP24" t="str">
        <f>IF(ROW()-3&gt;MAX(DO$4:DO$40),"",INDEX(DN$4:DN$40,MATCH(ROW()-3,DO$4:DO$40,0)))</f>
        <v/>
      </c>
      <c r="DQ24" s="55">
        <f>IF('Final Calculation Sheet'!$W$24="","",'Final Calculation Sheet'!$W$24)</f>
        <v>46328</v>
      </c>
      <c r="DR24">
        <f>IF(DQ24="","",COUNTIFS(DQ$4:DQ$40,"&lt;"&amp;DQ24,DQ$4:DQ$40,"&lt;&gt;"&amp;"")+COUNTIF(DQ$4:DQ24,DQ24))</f>
        <v>9</v>
      </c>
      <c r="DS24" s="55">
        <f>IF(ROW()-3&gt;COUNTIF(DQ$4:DQ$40,"&lt;&gt;"&amp;""),"",INDEX(DQ$4:DQ$40,MATCH(ROW()-3,DR$4:DR$40,0)))</f>
        <v>183447</v>
      </c>
      <c r="DT24">
        <f>DT23+IF(AND(DS24&lt;&gt;"",COUNTIF(DS$4:DS24,DS24)=1),1,0)</f>
        <v>21</v>
      </c>
      <c r="DU24" s="55">
        <f>IF(ROW()-3&gt;MAX(DT$4:DT$40),"",INDEX(DS$4:DS$40,MATCH(ROW()-3,DT$4:DT$40,0)))</f>
        <v>183447</v>
      </c>
      <c r="DV24" s="55">
        <f>IF('Final Calculation Sheet'!$X$24="","",'Final Calculation Sheet'!$X$24)</f>
        <v>46328</v>
      </c>
      <c r="DW24">
        <f>IF(DV24="","",COUNTIFS(DV$4:DV$40,"&lt;"&amp;DV24,DV$4:DV$40,"&lt;&gt;"&amp;"")+COUNTIF(DV$4:DV24,DV24))</f>
        <v>9</v>
      </c>
      <c r="DX24" s="55">
        <f>IF(ROW()-3&gt;COUNTIF(DV$4:DV$40,"&lt;&gt;"&amp;""),"",INDEX(DV$4:DV$40,MATCH(ROW()-3,DW$4:DW$40,0)))</f>
        <v>190900</v>
      </c>
      <c r="DY24">
        <f>DY23+IF(AND(DX24&lt;&gt;"",COUNTIF(DX$4:DX24,DX24)=1),1,0)</f>
        <v>21</v>
      </c>
      <c r="DZ24" t="e">
        <f>IF(ROW()-3&gt;MAX(DY$4:DY$40),"",INDEX(DX$4:DX$40,MATCH(ROW()-3,DY$4:DY$40,0)))</f>
        <v>#N/A</v>
      </c>
      <c r="EA24" t="str">
        <f>IF('Final Calculation Sheet'!$Y$24="","",'Final Calculation Sheet'!$Y$24)</f>
        <v>24.08.2026</v>
      </c>
      <c r="EB24">
        <f>IF(EA24="","",COUNTIFS(EA$4:EA$40,"&lt;"&amp;EA24,EA$4:EA$40,"&lt;&gt;"&amp;"")+COUNTIF(EA$4:EA24,EA24))</f>
        <v>29</v>
      </c>
      <c r="EC24" t="str">
        <f>IF(ROW()-3&gt;COUNTIF(EA$4:EA$40,"&lt;&gt;"&amp;""),"",INDEX(EA$4:EA$40,MATCH(ROW()-3,EB$4:EB$40,0)))</f>
        <v>24.08.2026</v>
      </c>
      <c r="ED24">
        <f>ED23+IF(AND(EC24&lt;&gt;"",COUNTIF(EC$4:EC24,EC24)=1),1,0)</f>
        <v>9</v>
      </c>
      <c r="EE24" t="e">
        <f>IF(ROW()-3&gt;MAX(ED$4:ED$40),"",INDEX(EC$4:EC$40,MATCH(ROW()-3,ED$4:ED$40,0)))</f>
        <v>#N/A</v>
      </c>
      <c r="EF24" s="55">
        <f>IF('Final Calculation Sheet'!$Z$24="","",'Final Calculation Sheet'!$Z$24)</f>
        <v>0</v>
      </c>
      <c r="EG24">
        <f>IF(EF24="","",COUNTIFS(EF$4:EF$40,"&lt;"&amp;EF24,EF$4:EF$40,"&lt;&gt;"&amp;"")+COUNTIF(EF$4:EF24,EF24))</f>
        <v>21</v>
      </c>
      <c r="EH24" s="55">
        <f>IF(ROW()-3&gt;COUNTIF(EF$4:EF$40,"&lt;&gt;"&amp;""),"",INDEX(EF$4:EF$40,MATCH(ROW()-3,EG$4:EG$40,0)))</f>
        <v>0</v>
      </c>
      <c r="EI24">
        <f>EI23+IF(AND(EH24&lt;&gt;"",COUNTIF(EH$4:EH24,EH24)=1),1,0)</f>
        <v>1</v>
      </c>
      <c r="EJ24" t="str">
        <f>IF(ROW()-3&gt;MAX(EI$4:EI$40),"",INDEX(EH$4:EH$40,MATCH(ROW()-3,EI$4:EI$40,0)))</f>
        <v/>
      </c>
      <c r="EK24" t="str">
        <f>IF('Final Calculation Sheet'!$AA$24="","",'Final Calculation Sheet'!$AA$24)</f>
        <v/>
      </c>
      <c r="EL24" t="str">
        <f>IF(EK24="","",COUNTIFS(EK$4:EK$40,"&lt;"&amp;EK24,EK$4:EK$40,"&lt;&gt;"&amp;"")+COUNTIF(EK$4:EK24,EK24))</f>
        <v/>
      </c>
      <c r="EM24" t="e">
        <f>IF(ROW()-3&gt;COUNTIF(EK$4:EK$40,"&lt;&gt;"&amp;""),"",INDEX(EK$4:EK$40,MATCH(ROW()-3,EL$4:EL$40,0)))</f>
        <v>#N/A</v>
      </c>
      <c r="EN24" t="e">
        <f>EN23+IF(AND(EM24&lt;&gt;"",COUNTIF(EM$4:EM24,EM24)=1),1,0)</f>
        <v>#N/A</v>
      </c>
      <c r="EO24" t="e">
        <f>IF(ROW()-3&gt;MAX(EN$4:EN$40),"",INDEX(EM$4:EM$40,MATCH(ROW()-3,EN$4:EN$40,0)))</f>
        <v>#N/A</v>
      </c>
      <c r="EP24" t="str">
        <f>IF('Final Calculation Sheet'!$AB$24="","",'Final Calculation Sheet'!$AB$24)</f>
        <v/>
      </c>
      <c r="EQ24" t="str">
        <f>IF(EP24="","",COUNTIFS(EP$4:EP$40,"&lt;"&amp;EP24,EP$4:EP$40,"&lt;&gt;"&amp;"")+COUNTIF(EP$4:EP24,EP24))</f>
        <v/>
      </c>
      <c r="ER24" t="e">
        <f>IF(ROW()-3&gt;COUNTIF(EP$4:EP$40,"&lt;&gt;"&amp;""),"",INDEX(EP$4:EP$40,MATCH(ROW()-3,EQ$4:EQ$40,0)))</f>
        <v>#N/A</v>
      </c>
      <c r="ES24" t="e">
        <f>ES23+IF(AND(ER24&lt;&gt;"",COUNTIF(ER$4:ER24,ER24)=1),1,0)</f>
        <v>#N/A</v>
      </c>
      <c r="ET24" t="e">
        <f>IF(ROW()-3&gt;MAX(ES$4:ES$40),"",INDEX(ER$4:ER$40,MATCH(ROW()-3,ES$4:ES$40,0)))</f>
        <v>#N/A</v>
      </c>
      <c r="EU24" s="55">
        <f>IF('Final Calculation Sheet'!$AC$24="","",'Final Calculation Sheet'!$AC$24)</f>
        <v>58829</v>
      </c>
      <c r="EV24">
        <f>IF(EU24="","",COUNTIFS(EU$4:EU$40,"&lt;"&amp;EU24,EU$4:EU$40,"&lt;&gt;"&amp;"")+COUNTIF(EU$4:EU24,EU24))</f>
        <v>10</v>
      </c>
      <c r="EW24" s="55">
        <f>IF(ROW()-3&gt;COUNTIF(EU$4:EU$40,"&lt;&gt;"&amp;""),"",INDEX(EU$4:EU$40,MATCH(ROW()-3,EV$4:EV$40,0)))</f>
        <v>184240</v>
      </c>
      <c r="EX24">
        <f>EX23+IF(AND(EW24&lt;&gt;"",COUNTIF(EW$4:EW24,EW24)=1),1,0)</f>
        <v>21</v>
      </c>
      <c r="EY24" s="55">
        <f>IF(ROW()-3&gt;MAX(EX$4:EX$40),"",INDEX(EW$4:EW$40,MATCH(ROW()-3,EX$4:EX$40,0)))</f>
        <v>184240</v>
      </c>
      <c r="EZ24" s="55">
        <f>IF('Final Calculation Sheet'!$AD$24="","",'Final Calculation Sheet'!$AD$24)</f>
        <v>0</v>
      </c>
      <c r="FA24">
        <f>IF(EZ24="","",COUNTIFS(EZ$4:EZ$40,"&lt;"&amp;EZ24,EZ$4:EZ$40,"&lt;&gt;"&amp;"")+COUNTIF(EZ$4:EZ24,EZ24))</f>
        <v>20</v>
      </c>
      <c r="FB24" s="55">
        <f>IF(ROW()-3&gt;COUNTIF(EZ$4:EZ$40,"&lt;&gt;"&amp;""),"",INDEX(EZ$4:EZ$40,MATCH(ROW()-3,FA$4:FA$40,0)))</f>
        <v>0</v>
      </c>
      <c r="FC24" t="e">
        <f>FC23+IF(AND(FB24&lt;&gt;"",COUNTIF(FB$4:FB24,FB24)=1),1,0)</f>
        <v>#N/A</v>
      </c>
      <c r="FD24" t="e">
        <f>IF(ROW()-3&gt;MAX(FC$4:FC$40),"",INDEX(FB$4:FB$40,MATCH(ROW()-3,FC$4:FC$40,0)))</f>
        <v>#N/A</v>
      </c>
      <c r="FE24" t="str">
        <f>IF('Final Calculation Sheet'!$AE$24="","",'Final Calculation Sheet'!$AE$24)</f>
        <v>DR2640100036</v>
      </c>
      <c r="FF24">
        <f>IF(FE24="","",COUNTIFS(FE$4:FE$40,"&lt;"&amp;FE24,FE$4:FE$40,"&lt;&gt;"&amp;"")+COUNTIF(FE$4:FE24,FE24))</f>
        <v>25</v>
      </c>
      <c r="FG24" t="str">
        <f>IF(ROW()-3&gt;COUNTIF(FE$4:FE$40,"&lt;&gt;"&amp;""),"",INDEX(FE$4:FE$40,MATCH(ROW()-3,FF$4:FF$40,0)))</f>
        <v>DR2640100032</v>
      </c>
      <c r="FH24" t="e">
        <f>FH23+IF(AND(FG24&lt;&gt;"",COUNTIF(FG$4:FG24,FG24)=1),1,0)</f>
        <v>#N/A</v>
      </c>
      <c r="FI24" t="e">
        <f>IF(ROW()-3&gt;MAX(FH$4:FH$40),"",INDEX(FG$4:FG$40,MATCH(ROW()-3,FH$4:FH$40,0)))</f>
        <v>#N/A</v>
      </c>
      <c r="FJ24" s="141">
        <f>IF('Final Calculation Sheet'!$AF$24="","",'Final Calculation Sheet'!$AF$24)</f>
        <v>1800003309</v>
      </c>
      <c r="FK24">
        <f>IF(FJ24="","",COUNTIFS(FJ$4:FJ$40,"&lt;"&amp;FJ24,FJ$4:FJ$40,"&lt;&gt;"&amp;"")+COUNTIF(FJ$4:FJ24,FJ24))</f>
        <v>21</v>
      </c>
      <c r="FL24" s="141">
        <f>IF(ROW()-3&gt;COUNTIF(FJ$4:FJ$40,"&lt;&gt;"&amp;""),"",INDEX(FJ$4:FJ$40,MATCH(ROW()-3,FK$4:FK$40,0)))</f>
        <v>1800003309</v>
      </c>
      <c r="FM24">
        <f>FM23+IF(AND(FL24&lt;&gt;"",COUNTIF(FL$4:FL24,FL24)=1),1,0)</f>
        <v>21</v>
      </c>
      <c r="FN24" t="e">
        <f>IF(ROW()-3&gt;MAX(FM$4:FM$40),"",INDEX(FL$4:FL$40,MATCH(ROW()-3,FM$4:FM$40,0)))</f>
        <v>#N/A</v>
      </c>
      <c r="FO24" t="str">
        <f>IF('Final Calculation Sheet'!$AG$24="","",'Final Calculation Sheet'!$AG$24)</f>
        <v>27.08.2026</v>
      </c>
      <c r="FP24">
        <f>IF(FO24="","",COUNTIFS(FO$4:FO$40,"&lt;"&amp;FO24,FO$4:FO$40,"&lt;&gt;"&amp;"")+COUNTIF(FO$4:FO24,FO24))</f>
        <v>29</v>
      </c>
      <c r="FQ24" t="str">
        <f>IF(ROW()-3&gt;COUNTIF(FO$4:FO$40,"&lt;&gt;"&amp;""),"",INDEX(FO$4:FO$40,MATCH(ROW()-3,FP$4:FP$40,0)))</f>
        <v>27.08.2026</v>
      </c>
      <c r="FR24" t="e">
        <f>FR23+IF(AND(FQ24&lt;&gt;"",COUNTIF(FQ$4:FQ24,FQ24)=1),1,0)</f>
        <v>#N/A</v>
      </c>
      <c r="FS24" t="e">
        <f>IF(ROW()-3&gt;MAX(FR$4:FR$40),"",INDEX(FQ$4:FQ$40,MATCH(ROW()-3,FR$4:FR$40,0)))</f>
        <v>#N/A</v>
      </c>
      <c r="FU24" t="str">
        <f>IF(FT24="","",COUNTIFS(FT$4:FT$40,"&lt;"&amp;FT24,FT$4:FT$40,"&lt;&gt;"&amp;"")+COUNTIF(FT$4:FT24,FT24))</f>
        <v/>
      </c>
      <c r="FV24" t="str">
        <f>IF(ROW()-3&gt;COUNTIF(FT$4:FT$40,"&lt;&gt;"&amp;""),"",INDEX(FT$4:FT$40,MATCH(ROW()-3,FU$4:FU$40,0)))</f>
        <v/>
      </c>
      <c r="FW24">
        <f>FW23+IF(AND(FV24&lt;&gt;"",COUNTIF(FV$4:FV24,FV24)=1),1,0)</f>
        <v>2</v>
      </c>
      <c r="FX24" t="str">
        <f>IF(ROW()-3&gt;MAX(FW$4:FW$40),"",INDEX(FV$4:FV$40,MATCH(ROW()-3,FW$4:FW$40,0)))</f>
        <v/>
      </c>
    </row>
    <row r="25">
      <c r="A25">
        <f>IF('Final Calculation Sheet'!$F$25="","",'Final Calculation Sheet'!$F$25)</f>
        <v>2033</v>
      </c>
      <c r="B25">
        <f>IF(A25="","",COUNTIFS(A$4:A$114,"&lt;"&amp;A25,A$4:A$114,"&lt;&gt;"&amp;"")+COUNTIF(A$4:A25,A25))</f>
        <v>22</v>
      </c>
      <c r="C25">
        <f>IF(ROW()-3&gt;COUNTIF(A$4:A$114,"&lt;&gt;"&amp;""),"",INDEX(A$4:A$114,MATCH(ROW()-3,B$4:B$114,0)))</f>
        <v>2033</v>
      </c>
      <c r="D25">
        <f>D24+IF(AND(C25&lt;&gt;"",COUNTIF(C$4:C25,C25)=1),1,0)</f>
        <v>22</v>
      </c>
      <c r="E25" t="e">
        <f>IF(ROW()-3&gt;MAX(D$4:D$114),"",INDEX(C$4:C$114,MATCH(ROW()-3,D$4:D$114,0)))</f>
        <v>#N/A</v>
      </c>
      <c r="F25">
        <f>ROW()-3</f>
        <v>22</v>
      </c>
      <c r="G25">
        <f>IF(F25="","",COUNTIFS(F$4:F$40,"&lt;"&amp;F25,F$4:F$40,"&lt;&gt;"&amp;"")+COUNTIF(F$4:F25,F25))</f>
        <v>22</v>
      </c>
      <c r="H25">
        <f>IF(ROW()-3&gt;COUNTIF(F$4:F$40,"&lt;&gt;"&amp;""),"",INDEX(F$4:F$40,MATCH(ROW()-3,G$4:G$40,0)))</f>
        <v>22</v>
      </c>
      <c r="I25">
        <f>I24+IF(AND(H25&lt;&gt;"",COUNTIF(H$4:H25,H25)=1),1,0)</f>
        <v>22</v>
      </c>
      <c r="J25">
        <f>IF(ROW()-3&gt;MAX(I$4:I$40),"",INDEX(H$4:H$40,MATCH(ROW()-3,I$4:I$40,0)))</f>
        <v>22</v>
      </c>
      <c r="K25">
        <f>IF('Final Calculation Sheet'!$F$25="","",'Final Calculation Sheet'!$F$25)</f>
        <v>2033</v>
      </c>
      <c r="L25">
        <f>IF(K25="","",COUNTIFS(K$4:K$40,"&lt;"&amp;K25,K$4:K$40,"&lt;&gt;"&amp;"")+COUNTIF(K$4:K25,K25))</f>
        <v>22</v>
      </c>
      <c r="M25">
        <f>IF(ROW()-3&gt;COUNTIF(K$4:K$40,"&lt;&gt;"&amp;""),"",INDEX(K$4:K$40,MATCH(ROW()-3,L$4:L$40,0)))</f>
        <v>2033</v>
      </c>
      <c r="N25">
        <f>N24+IF(AND(M25&lt;&gt;"",COUNTIF(M$4:M25,M25)=1),1,0)</f>
        <v>22</v>
      </c>
      <c r="O25">
        <f>IF(ROW()-3&gt;MAX(N$4:N$40),"",INDEX(M$4:M$40,MATCH(ROW()-3,N$4:N$40,0)))</f>
        <v>2033</v>
      </c>
      <c r="P25" t="str">
        <f>IF('Final Calculation Sheet'!$G$25="","",'Final Calculation Sheet'!$G$25)</f>
        <v>WATAN SCRAP TRADERS</v>
      </c>
      <c r="Q25">
        <f>IF(P25="","",COUNTIFS(P$4:P$40,"&lt;"&amp;P25,P$4:P$40,"&lt;&gt;"&amp;"")+COUNTIF(P$4:P25,P25))</f>
        <v>35</v>
      </c>
      <c r="R25" t="str">
        <f>IF(ROW()-3&gt;COUNTIF(P$4:P$40,"&lt;&gt;"&amp;""),"",INDEX(P$4:P$40,MATCH(ROW()-3,Q$4:Q$40,0)))</f>
        <v>OMKAR STEELS</v>
      </c>
      <c r="S25">
        <f>S24+IF(AND(R25&lt;&gt;"",COUNTIF(R$4:R25,R25)=1),1,0)</f>
        <v>8</v>
      </c>
      <c r="T25" t="str">
        <f>IF(ROW()-3&gt;MAX(S$4:S$40),"",INDEX(R$4:R$40,MATCH(ROW()-3,S$4:S$40,0)))</f>
        <v/>
      </c>
      <c r="U25" t="str">
        <f>IF('Final Calculation Sheet'!$B$25="","",'Final Calculation Sheet'!$B$25)</f>
        <v>Scrap Empty Oil Drum/ Barrel</v>
      </c>
      <c r="V25">
        <f>IF(U25="","",COUNTIFS(U$4:U$40,"&lt;"&amp;U25,U$4:U$40,"&lt;&gt;"&amp;"")+COUNTIF(U$4:U25,U25))</f>
        <v>5</v>
      </c>
      <c r="W25" t="str">
        <f>IF(ROW()-3&gt;COUNTIF(U$4:U$40,"&lt;&gt;"&amp;""),"",INDEX(U$4:U$40,MATCH(ROW()-3,V$4:V$40,0)))</f>
        <v>Scrap of 66 KV Isolater</v>
      </c>
      <c r="X25">
        <f>X24+IF(AND(W25&lt;&gt;"",COUNTIF(W$4:W25,W25)=1),1,0)</f>
        <v>15</v>
      </c>
      <c r="Y25" t="str">
        <f>IF(ROW()-3&gt;MAX(X$4:X$40),"",INDEX(W$4:W$40,MATCH(ROW()-3,X$4:X$40,0)))</f>
        <v>Scrap of Empty oil drum</v>
      </c>
      <c r="Z25">
        <f>IF('Final Calculation Sheet'!$D$25="","",'Final Calculation Sheet'!$D$25)</f>
        <v>21978</v>
      </c>
      <c r="AA25">
        <f>IF(Z25="","",COUNTIFS(Z$4:Z$40,"&lt;"&amp;Z25,Z$4:Z$40,"&lt;&gt;"&amp;"")+COUNTIF(Z$4:Z25,Z25))</f>
        <v>20</v>
      </c>
      <c r="AB25">
        <f>IF(ROW()-3&gt;COUNTIF(Z$4:Z$40,"&lt;&gt;"&amp;""),"",INDEX(Z$4:Z$40,MATCH(ROW()-3,AA$4:AA$40,0)))</f>
        <v>21978</v>
      </c>
      <c r="AC25">
        <f>AC24+IF(AND(AB25&lt;&gt;"",COUNTIF(AB$4:AB25,AB25)=1),1,0)</f>
        <v>2</v>
      </c>
      <c r="AD25" t="str">
        <f>IF(ROW()-3&gt;MAX(AC$4:AC$40),"",INDEX(AB$4:AB$40,MATCH(ROW()-3,AC$4:AC$40,0)))</f>
        <v/>
      </c>
      <c r="AE25">
        <f>IF('Final Calculation Sheet'!$A$25="","",'Final Calculation Sheet'!$A$25)</f>
        <v>1000</v>
      </c>
      <c r="AF25">
        <f>IF(AE25="","",COUNTIFS(AE$4:AE$40,"&lt;"&amp;AE25,AE$4:AE$40,"&lt;&gt;"&amp;"")+COUNTIF(AE$4:AE25,AE25))</f>
        <v>34</v>
      </c>
      <c r="AG25">
        <f>IF(ROW()-3&gt;COUNTIF(AE$4:AE$40,"&lt;&gt;"&amp;""),"",INDEX(AE$4:AE$40,MATCH(ROW()-3,AF$4:AF$40,0)))</f>
        <v>22</v>
      </c>
      <c r="AH25">
        <f>AH24+IF(AND(AG25&lt;&gt;"",COUNTIF(AG$4:AG25,AG25)=1),1,0)</f>
        <v>7</v>
      </c>
      <c r="AI25">
        <f>IF(ROW()-3&gt;MAX(AH$4:AH$40),"",INDEX(AG$4:AG$40,MATCH(ROW()-3,AH$4:AH$40,0)))</f>
        <v>7253</v>
      </c>
      <c r="AJ25" t="str">
        <f>IF('Final Calculation Sheet'!$E$25="","",'Final Calculation Sheet'!$E$25)</f>
        <v>NO</v>
      </c>
      <c r="AK25">
        <f>IF(AJ25="","",COUNTIFS(AJ$4:AJ$40,"&lt;"&amp;AJ25,AJ$4:AJ$40,"&lt;&gt;"&amp;"")+COUNTIF(AJ$4:AJ25,AJ25))</f>
        <v>24</v>
      </c>
      <c r="AL25" t="str">
        <f>IF(ROW()-3&gt;COUNTIF(AJ$4:AJ$40,"&lt;&gt;"&amp;""),"",INDEX(AJ$4:AJ$40,MATCH(ROW()-3,AK$4:AK$40,0)))</f>
        <v>NO</v>
      </c>
      <c r="AM25">
        <f>AM24+IF(AND(AL25&lt;&gt;"",COUNTIF(AL$4:AL25,AL25)=1),1,0)</f>
        <v>3</v>
      </c>
      <c r="AN25" t="str">
        <f>IF(ROW()-3&gt;MAX(AM$4:AM$40),"",INDEX(AL$4:AL$40,MATCH(ROW()-3,AM$4:AM$40,0)))</f>
        <v/>
      </c>
      <c r="AO25" s="55">
        <f>IF('Final Calculation Sheet'!$C$25="","",'Final Calculation Sheet'!$C$25)</f>
        <v>517</v>
      </c>
      <c r="AP25">
        <f>IF(AO25="","",COUNTIFS(AO$4:AO$40,"&lt;"&amp;AO25,AO$4:AO$40,"&lt;&gt;"&amp;"")+COUNTIF(AO$4:AO25,AO25))</f>
        <v>5</v>
      </c>
      <c r="AQ25" s="55">
        <f>IF(ROW()-3&gt;COUNTIF(AO$4:AO$40,"&lt;&gt;"&amp;""),"",INDEX(AO$4:AO$40,MATCH(ROW()-3,AP$4:AP$40,0)))</f>
        <v>50003</v>
      </c>
      <c r="AR25">
        <f>AR24+IF(AND(AQ25&lt;&gt;"",COUNTIF(AQ$4:AQ25,AQ25)=1),1,0)</f>
        <v>20</v>
      </c>
      <c r="AS25" s="55">
        <f>IF(ROW()-3&gt;MAX(AR$4:AR$40),"",INDEX(AQ$4:AQ$40,MATCH(ROW()-3,AR$4:AR$40,0)))</f>
        <v>54000</v>
      </c>
      <c r="AT25" s="55">
        <f>IF('Final Calculation Sheet'!$H$25="","",'Final Calculation Sheet'!$H$25)</f>
        <v>517000</v>
      </c>
      <c r="AU25">
        <f>IF(AT25="","",COUNTIFS(AT$4:AT$40,"&lt;"&amp;AT25,AT$4:AT$40,"&lt;&gt;"&amp;"")+COUNTIF(AT$4:AT25,AT25))</f>
        <v>31</v>
      </c>
      <c r="AV25" s="55">
        <f>IF(ROW()-3&gt;COUNTIF(AT$4:AT$40,"&lt;&gt;"&amp;""),"",INDEX(AT$4:AT$40,MATCH(ROW()-3,AU$4:AU$40,0)))</f>
        <v>206044</v>
      </c>
      <c r="AW25">
        <f>AW24+IF(AND(AV25&lt;&gt;"",COUNTIF(AV$4:AV25,AV25)=1),1,0)</f>
        <v>22</v>
      </c>
      <c r="AX25" s="55">
        <f>IF(ROW()-3&gt;MAX(AW$4:AW$40),"",INDEX(AV$4:AV$40,MATCH(ROW()-3,AW$4:AW$40,0)))</f>
        <v>206044</v>
      </c>
      <c r="AY25" s="55">
        <f>IF('Final Calculation Sheet'!$I$25="","",'Final Calculation Sheet'!$I$25)</f>
        <v>93060</v>
      </c>
      <c r="AZ25">
        <f>IF(AY25="","",COUNTIFS(AY$4:AY$40,"&lt;"&amp;AY25,AY$4:AY$40,"&lt;&gt;"&amp;"")+COUNTIF(AY$4:AY25,AY25))</f>
        <v>31</v>
      </c>
      <c r="BA25" s="55">
        <f>IF(ROW()-3&gt;COUNTIF(AY$4:AY$40,"&lt;&gt;"&amp;""),"",INDEX(AY$4:AY$40,MATCH(ROW()-3,AZ$4:AZ$40,0)))</f>
        <v>37088</v>
      </c>
      <c r="BB25">
        <f>BB24+IF(AND(BA25&lt;&gt;"",COUNTIF(BA$4:BA25,BA25)=1),1,0)</f>
        <v>22</v>
      </c>
      <c r="BC25" s="55">
        <f>IF(ROW()-3&gt;MAX(BB$4:BB$40),"",INDEX(BA$4:BA$40,MATCH(ROW()-3,BB$4:BB$40,0)))</f>
        <v>37088</v>
      </c>
      <c r="BD25" s="55">
        <f>IF('Final Calculation Sheet'!$J$25="","",'Final Calculation Sheet'!$J$25)</f>
        <v>610060</v>
      </c>
      <c r="BE25">
        <f>IF(BD25="","",COUNTIFS(BD$4:BD$40,"&lt;"&amp;BD25,BD$4:BD$40,"&lt;&gt;"&amp;"")+COUNTIF(BD$4:BD25,BD25))</f>
        <v>31</v>
      </c>
      <c r="BF25" s="55">
        <f>IF(ROW()-3&gt;COUNTIF(BD$4:BD$40,"&lt;&gt;"&amp;""),"",INDEX(BD$4:BD$40,MATCH(ROW()-3,BE$4:BE$40,0)))</f>
        <v>243132</v>
      </c>
      <c r="BG25">
        <f>BG24+IF(AND(BF25&lt;&gt;"",COUNTIF(BF$4:BF25,BF25)=1),1,0)</f>
        <v>22</v>
      </c>
      <c r="BH25" s="55">
        <f>IF(ROW()-3&gt;MAX(BG$4:BG$40),"",INDEX(BF$4:BF$40,MATCH(ROW()-3,BG$4:BG$40,0)))</f>
        <v>243132</v>
      </c>
      <c r="BI25" s="55">
        <f>IF('Final Calculation Sheet'!$K$25="","",'Final Calculation Sheet'!$K$25)</f>
        <v>12201</v>
      </c>
      <c r="BJ25">
        <f>IF(BI25="","",COUNTIFS(BI$4:BI$40,"&lt;"&amp;BI25,BI$4:BI$40,"&lt;&gt;"&amp;"")+COUNTIF(BI$4:BI25,BI25))</f>
        <v>31</v>
      </c>
      <c r="BK25" s="55">
        <f>IF(ROW()-3&gt;COUNTIF(BI$4:BI$40,"&lt;&gt;"&amp;""),"",INDEX(BI$4:BI$40,MATCH(ROW()-3,BJ$4:BJ$40,0)))</f>
        <v>4863</v>
      </c>
      <c r="BL25">
        <f>BL24+IF(AND(BK25&lt;&gt;"",COUNTIF(BK$4:BK25,BK25)=1),1,0)</f>
        <v>22</v>
      </c>
      <c r="BM25" s="55">
        <f>IF(ROW()-3&gt;MAX(BL$4:BL$40),"",INDEX(BK$4:BK$40,MATCH(ROW()-3,BL$4:BL$40,0)))</f>
        <v>4863</v>
      </c>
      <c r="BN25" s="55">
        <f>IF('Final Calculation Sheet'!$L$25="","",'Final Calculation Sheet'!$L$25)</f>
        <v>517</v>
      </c>
      <c r="BO25">
        <f>IF(BN25="","",COUNTIFS(BN$4:BN$40,"&lt;"&amp;BN25,BN$4:BN$40,"&lt;&gt;"&amp;"")+COUNTIF(BN$4:BN25,BN25))</f>
        <v>31</v>
      </c>
      <c r="BP25" s="55">
        <f>IF(ROW()-3&gt;COUNTIF(BN$4:BN$40,"&lt;&gt;"&amp;""),"",INDEX(BN$4:BN$40,MATCH(ROW()-3,BO$4:BO$40,0)))</f>
        <v>206.04400000000001</v>
      </c>
      <c r="BQ25">
        <f>BQ24+IF(AND(BP25&lt;&gt;"",COUNTIF(BP$4:BP25,BP25)=1),1,0)</f>
        <v>22</v>
      </c>
      <c r="BR25" s="55">
        <f>IF(ROW()-3&gt;MAX(BQ$4:BQ$40),"",INDEX(BP$4:BP$40,MATCH(ROW()-3,BQ$4:BQ$40,0)))</f>
        <v>206.04400000000001</v>
      </c>
      <c r="BS25" s="55">
        <f>IF('Final Calculation Sheet'!$M$25="","",'Final Calculation Sheet'!$M$25)</f>
        <v>13726.349999999999</v>
      </c>
      <c r="BT25">
        <f>IF(BS25="","",COUNTIFS(BS$4:BS$40,"&lt;"&amp;BS25,BS$4:BS$40,"&lt;&gt;"&amp;"")+COUNTIF(BS$4:BS25,BS25))</f>
        <v>31</v>
      </c>
      <c r="BU25" s="55">
        <f>IF(ROW()-3&gt;COUNTIF(BS$4:BS$40,"&lt;&gt;"&amp;""),"",INDEX(BS$4:BS$40,MATCH(ROW()-3,BT$4:BT$40,0)))</f>
        <v>5470.4681999999993</v>
      </c>
      <c r="BV25">
        <f>BV24+IF(AND(BU25&lt;&gt;"",COUNTIF(BU$4:BU25,BU25)=1),1,0)</f>
        <v>22</v>
      </c>
      <c r="BW25" s="55">
        <f>IF(ROW()-3&gt;MAX(BV$4:BV$40),"",INDEX(BU$4:BU$40,MATCH(ROW()-3,BV$4:BV$40,0)))</f>
        <v>5470.4681999999993</v>
      </c>
      <c r="BX25" s="138">
        <f>IF('Final Calculation Sheet'!$N$25="","",'Final Calculation Sheet'!$N$25)</f>
        <v>232.65</v>
      </c>
      <c r="BY25">
        <f>IF(BX25="","",COUNTIFS(BX$4:BX$40,"&lt;"&amp;BX25,BX$4:BX$40,"&lt;&gt;"&amp;"")+COUNTIF(BX$4:BX25,BX25))</f>
        <v>31</v>
      </c>
      <c r="BZ25" s="138">
        <f>IF(ROW()-3&gt;COUNTIF(BX$4:BX$40,"&lt;&gt;"&amp;""),"",INDEX(BX$4:BX$40,MATCH(ROW()-3,BY$4:BY$40,0)))</f>
        <v>92.719799999999992</v>
      </c>
      <c r="CA25">
        <f>CA24+IF(AND(BZ25&lt;&gt;"",COUNTIF(BZ$4:BZ25,BZ25)=1),1,0)</f>
        <v>22</v>
      </c>
      <c r="CB25" s="138">
        <f>IF(ROW()-3&gt;MAX(CA$4:CA$40),"",INDEX(BZ$4:BZ$40,MATCH(ROW()-3,CA$4:CA$40,0)))</f>
        <v>92.719799999999992</v>
      </c>
      <c r="CC25" s="55">
        <f>IF('Final Calculation Sheet'!$O$25="","",'Final Calculation Sheet'!$O$25)</f>
        <v>13493.699999999999</v>
      </c>
      <c r="CD25">
        <f>IF(CC25="","",COUNTIFS(CC$4:CC$40,"&lt;"&amp;CC25,CC$4:CC$40,"&lt;&gt;"&amp;"")+COUNTIF(CC$4:CC25,CC25))</f>
        <v>31</v>
      </c>
      <c r="CE25" s="55">
        <f>IF(ROW()-3&gt;COUNTIF(CC$4:CC$40,"&lt;&gt;"&amp;""),"",INDEX(CC$4:CC$40,MATCH(ROW()-3,CD$4:CD$40,0)))</f>
        <v>5377.7483999999995</v>
      </c>
      <c r="CF25">
        <f>CF24+IF(AND(CE25&lt;&gt;"",COUNTIF(CE$4:CE25,CE25)=1),1,0)</f>
        <v>22</v>
      </c>
      <c r="CG25" s="55">
        <f>IF(ROW()-3&gt;MAX(CF$4:CF$40),"",INDEX(CE$4:CE$40,MATCH(ROW()-3,CF$4:CF$40,0)))</f>
        <v>5377.7483999999995</v>
      </c>
      <c r="CH25" s="55">
        <f>IF('Final Calculation Sheet'!$P$25="","",'Final Calculation Sheet'!$P$25)</f>
        <v>14011</v>
      </c>
      <c r="CI25">
        <f>IF(CH25="","",COUNTIFS(CH$4:CH$40,"&lt;"&amp;CH25,CH$4:CH$40,"&lt;&gt;"&amp;"")+COUNTIF(CH$4:CH25,CH25))</f>
        <v>31</v>
      </c>
      <c r="CJ25" s="55">
        <f>IF(ROW()-3&gt;COUNTIF(CH$4:CH$40,"&lt;&gt;"&amp;""),"",INDEX(CH$4:CH$40,MATCH(ROW()-3,CI$4:CI$40,0)))</f>
        <v>5584</v>
      </c>
      <c r="CK25">
        <f>CK24+IF(AND(CJ25&lt;&gt;"",COUNTIF(CJ$4:CJ25,CJ25)=1),1,0)</f>
        <v>22</v>
      </c>
      <c r="CL25" s="55">
        <f>IF(ROW()-3&gt;MAX(CK$4:CK$40),"",INDEX(CJ$4:CJ$40,MATCH(ROW()-3,CK$4:CK$40,0)))</f>
        <v>5584</v>
      </c>
      <c r="CM25" s="139">
        <f>IF('Final Calculation Sheet'!$Q$25="","",'Final Calculation Sheet'!$Q$25)</f>
        <v>0</v>
      </c>
      <c r="CN25">
        <f>IF(CM25="","",COUNTIFS(CM$4:CM$40,"&lt;"&amp;CM25,CM$4:CM$40,"&lt;&gt;"&amp;"")+COUNTIF(CM$4:CM25,CM25))</f>
        <v>19</v>
      </c>
      <c r="CO25" s="139">
        <f>IF(ROW()-3&gt;COUNTIF(CM$4:CM$40,"&lt;&gt;"&amp;""),"",INDEX(CM$4:CM$40,MATCH(ROW()-3,CN$4:CN$40,0)))</f>
        <v>0</v>
      </c>
      <c r="CP25">
        <f>CP24+IF(AND(CO25&lt;&gt;"",COUNTIF(CO$4:CO25,CO25)=1),1,0)</f>
        <v>1</v>
      </c>
      <c r="CQ25" t="str">
        <f>IF(ROW()-3&gt;MAX(CP$4:CP$40),"",INDEX(CO$4:CO$40,MATCH(ROW()-3,CP$4:CP$40,0)))</f>
        <v/>
      </c>
      <c r="CR25" s="55">
        <f>IF('Final Calculation Sheet'!$R$25="","",'Final Calculation Sheet'!$R$25)</f>
        <v>0</v>
      </c>
      <c r="CS25">
        <f>IF(CR25="","",COUNTIFS(CR$4:CR$40,"&lt;"&amp;CR25,CR$4:CR$40,"&lt;&gt;"&amp;"")+COUNTIF(CR$4:CR25,CR25))</f>
        <v>19</v>
      </c>
      <c r="CT25" s="55">
        <f>IF(ROW()-3&gt;COUNTIF(CR$4:CR$40,"&lt;&gt;"&amp;""),"",INDEX(CR$4:CR$40,MATCH(ROW()-3,CS$4:CS$40,0)))</f>
        <v>0</v>
      </c>
      <c r="CU25">
        <f>CU24+IF(AND(CT25&lt;&gt;"",COUNTIF(CT$4:CT25,CT25)=1),1,0)</f>
        <v>1</v>
      </c>
      <c r="CV25" t="str">
        <f>IF(ROW()-3&gt;MAX(CU$4:CU$40),"",INDEX(CT$4:CT$40,MATCH(ROW()-3,CU$4:CU$40,0)))</f>
        <v/>
      </c>
      <c r="CW25" s="55">
        <f>IF('Final Calculation Sheet'!$S$25="","",'Final Calculation Sheet'!$S$25)</f>
        <v>608251</v>
      </c>
      <c r="CX25">
        <f>IF(CW25="","",COUNTIFS(CW$4:CW$40,"&lt;"&amp;CW25,CW$4:CW$40,"&lt;&gt;"&amp;"")+COUNTIF(CW$4:CW25,CW25))</f>
        <v>31</v>
      </c>
      <c r="CY25" s="55">
        <f>IF(ROW()-3&gt;COUNTIF(CW$4:CW$40,"&lt;&gt;"&amp;""),"",INDEX(CW$4:CW$40,MATCH(ROW()-3,CX$4:CX$40,0)))</f>
        <v>242411</v>
      </c>
      <c r="CZ25">
        <f>CZ24+IF(AND(CY25&lt;&gt;"",COUNTIF(CY$4:CY25,CY25)=1),1,0)</f>
        <v>22</v>
      </c>
      <c r="DA25" s="55">
        <f>IF(ROW()-3&gt;MAX(CZ$4:CZ$40),"",INDEX(CY$4:CY$40,MATCH(ROW()-3,CZ$4:CZ$40,0)))</f>
        <v>242411</v>
      </c>
      <c r="DB25" s="55">
        <f>IF('Final Calculation Sheet'!$T$25="","",'Final Calculation Sheet'!$T$25)</f>
        <v>129250</v>
      </c>
      <c r="DC25">
        <f>IF(DB25="","",COUNTIFS(DB$4:DB$40,"&lt;"&amp;DB25,DB$4:DB$40,"&lt;&gt;"&amp;"")+COUNTIF(DB$4:DB25,DB25))</f>
        <v>31</v>
      </c>
      <c r="DD25" s="55">
        <f>IF(ROW()-3&gt;COUNTIF(DB$4:DB$40,"&lt;&gt;"&amp;""),"",INDEX(DB$4:DB$40,MATCH(ROW()-3,DC$4:DC$40,0)))</f>
        <v>51511</v>
      </c>
      <c r="DE25">
        <f>DE24+IF(AND(DD25&lt;&gt;"",COUNTIF(DD$4:DD25,DD25)=1),1,0)</f>
        <v>22</v>
      </c>
      <c r="DF25" s="55">
        <f>IF(ROW()-3&gt;MAX(DE$4:DE$40),"",INDEX(DD$4:DD$40,MATCH(ROW()-3,DE$4:DE$40,0)))</f>
        <v>51511</v>
      </c>
      <c r="DG25" s="140">
        <f>IF('Final Calculation Sheet'!$U$25="","",'Final Calculation Sheet'!$U$25)</f>
        <v>129250</v>
      </c>
      <c r="DH25">
        <f>IF(DG25="","",COUNTIFS(DG$4:DG$40,"&lt;"&amp;DG25,DG$4:DG$40,"&lt;&gt;"&amp;"")+COUNTIF(DG$4:DG25,DG25))</f>
        <v>31</v>
      </c>
      <c r="DI25" s="140">
        <f>IF(ROW()-3&gt;COUNTIF(DG$4:DG$40,"&lt;&gt;"&amp;""),"",INDEX(DG$4:DG$40,MATCH(ROW()-3,DH$4:DH$40,0)))</f>
        <v>51511</v>
      </c>
      <c r="DJ25">
        <f>DJ24+IF(AND(DI25&lt;&gt;"",COUNTIF(DI$4:DI25,DI25)=1),1,0)</f>
        <v>22</v>
      </c>
      <c r="DK25" s="140">
        <f>IF(ROW()-3&gt;MAX(DJ$4:DJ$40),"",INDEX(DI$4:DI$40,MATCH(ROW()-3,DJ$4:DJ$40,0)))</f>
        <v>51511</v>
      </c>
      <c r="DL25" t="str">
        <f>IF('Final Calculation Sheet'!$V$25="","",'Final Calculation Sheet'!$V$25)</f>
        <v>14.08.2026</v>
      </c>
      <c r="DM25">
        <f>IF(DL25="","",COUNTIFS(DL$4:DL$40,"&lt;"&amp;DL25,DL$4:DL$40,"&lt;&gt;"&amp;"")+COUNTIF(DL$4:DL25,DL25))</f>
        <v>30</v>
      </c>
      <c r="DN25" t="str">
        <f>IF(ROW()-3&gt;COUNTIF(DL$4:DL$40,"&lt;&gt;"&amp;""),"",INDEX(DL$4:DL$40,MATCH(ROW()-3,DM$4:DM$40,0)))</f>
        <v>13.08.2026</v>
      </c>
      <c r="DO25">
        <f>DO24+IF(AND(DN25&lt;&gt;"",COUNTIF(DN$4:DN25,DN25)=1),1,0)</f>
        <v>3</v>
      </c>
      <c r="DP25" t="str">
        <f>IF(ROW()-3&gt;MAX(DO$4:DO$40),"",INDEX(DN$4:DN$40,MATCH(ROW()-3,DO$4:DO$40,0)))</f>
        <v/>
      </c>
      <c r="DQ25" s="55">
        <f>IF('Final Calculation Sheet'!$W$25="","",'Final Calculation Sheet'!$W$25)</f>
        <v>479001</v>
      </c>
      <c r="DR25">
        <f>IF(DQ25="","",COUNTIFS(DQ$4:DQ$40,"&lt;"&amp;DQ25,DQ$4:DQ$40,"&lt;&gt;"&amp;"")+COUNTIF(DQ$4:DQ25,DQ25))</f>
        <v>31</v>
      </c>
      <c r="DS25" s="55">
        <f>IF(ROW()-3&gt;COUNTIF(DQ$4:DQ$40,"&lt;&gt;"&amp;""),"",INDEX(DQ$4:DQ$40,MATCH(ROW()-3,DR$4:DR$40,0)))</f>
        <v>190900</v>
      </c>
      <c r="DT25">
        <f>DT24+IF(AND(DS25&lt;&gt;"",COUNTIF(DS$4:DS25,DS25)=1),1,0)</f>
        <v>22</v>
      </c>
      <c r="DU25" s="55">
        <f>IF(ROW()-3&gt;MAX(DT$4:DT$40),"",INDEX(DS$4:DS$40,MATCH(ROW()-3,DT$4:DT$40,0)))</f>
        <v>190900</v>
      </c>
      <c r="DV25" s="55">
        <f>IF('Final Calculation Sheet'!$X$25="","",'Final Calculation Sheet'!$X$25)</f>
        <v>479001</v>
      </c>
      <c r="DW25">
        <f>IF(DV25="","",COUNTIFS(DV$4:DV$40,"&lt;"&amp;DV25,DV$4:DV$40,"&lt;&gt;"&amp;"")+COUNTIF(DV$4:DV25,DV25))</f>
        <v>29</v>
      </c>
      <c r="DX25" s="55">
        <f>IF(ROW()-3&gt;COUNTIF(DV$4:DV$40,"&lt;&gt;"&amp;""),"",INDEX(DV$4:DV$40,MATCH(ROW()-3,DW$4:DW$40,0)))</f>
        <v>191812</v>
      </c>
      <c r="DY25">
        <f>DY24+IF(AND(DX25&lt;&gt;"",COUNTIF(DX$4:DX25,DX25)=1),1,0)</f>
        <v>22</v>
      </c>
      <c r="DZ25" t="e">
        <f>IF(ROW()-3&gt;MAX(DY$4:DY$40),"",INDEX(DX$4:DX$40,MATCH(ROW()-3,DY$4:DY$40,0)))</f>
        <v>#N/A</v>
      </c>
      <c r="EA25" t="str">
        <f>IF('Final Calculation Sheet'!$Y$25="","",'Final Calculation Sheet'!$Y$25)</f>
        <v>21.08.2026</v>
      </c>
      <c r="EB25">
        <f>IF(EA25="","",COUNTIFS(EA$4:EA$40,"&lt;"&amp;EA25,EA$4:EA$40,"&lt;&gt;"&amp;"")+COUNTIF(EA$4:EA25,EA25))</f>
        <v>18</v>
      </c>
      <c r="EC25" t="str">
        <f>IF(ROW()-3&gt;COUNTIF(EA$4:EA$40,"&lt;&gt;"&amp;""),"",INDEX(EA$4:EA$40,MATCH(ROW()-3,EB$4:EB$40,0)))</f>
        <v>24.08.2026</v>
      </c>
      <c r="ED25">
        <f>ED24+IF(AND(EC25&lt;&gt;"",COUNTIF(EC$4:EC25,EC25)=1),1,0)</f>
        <v>9</v>
      </c>
      <c r="EE25" t="e">
        <f>IF(ROW()-3&gt;MAX(ED$4:ED$40),"",INDEX(EC$4:EC$40,MATCH(ROW()-3,ED$4:ED$40,0)))</f>
        <v>#N/A</v>
      </c>
      <c r="EF25" s="55">
        <f>IF('Final Calculation Sheet'!$Z$25="","",'Final Calculation Sheet'!$Z$25)</f>
        <v>0</v>
      </c>
      <c r="EG25">
        <f>IF(EF25="","",COUNTIFS(EF$4:EF$40,"&lt;"&amp;EF25,EF$4:EF$40,"&lt;&gt;"&amp;"")+COUNTIF(EF$4:EF25,EF25))</f>
        <v>22</v>
      </c>
      <c r="EH25" s="55">
        <f>IF(ROW()-3&gt;COUNTIF(EF$4:EF$40,"&lt;&gt;"&amp;""),"",INDEX(EF$4:EF$40,MATCH(ROW()-3,EG$4:EG$40,0)))</f>
        <v>0</v>
      </c>
      <c r="EI25">
        <f>EI24+IF(AND(EH25&lt;&gt;"",COUNTIF(EH$4:EH25,EH25)=1),1,0)</f>
        <v>1</v>
      </c>
      <c r="EJ25" t="str">
        <f>IF(ROW()-3&gt;MAX(EI$4:EI$40),"",INDEX(EH$4:EH$40,MATCH(ROW()-3,EI$4:EI$40,0)))</f>
        <v/>
      </c>
      <c r="EK25" t="str">
        <f>IF('Final Calculation Sheet'!$AA$25="","",'Final Calculation Sheet'!$AA$25)</f>
        <v/>
      </c>
      <c r="EL25" t="str">
        <f>IF(EK25="","",COUNTIFS(EK$4:EK$40,"&lt;"&amp;EK25,EK$4:EK$40,"&lt;&gt;"&amp;"")+COUNTIF(EK$4:EK25,EK25))</f>
        <v/>
      </c>
      <c r="EM25" t="e">
        <f>IF(ROW()-3&gt;COUNTIF(EK$4:EK$40,"&lt;&gt;"&amp;""),"",INDEX(EK$4:EK$40,MATCH(ROW()-3,EL$4:EL$40,0)))</f>
        <v>#N/A</v>
      </c>
      <c r="EN25" t="e">
        <f>EN24+IF(AND(EM25&lt;&gt;"",COUNTIF(EM$4:EM25,EM25)=1),1,0)</f>
        <v>#N/A</v>
      </c>
      <c r="EO25" t="e">
        <f>IF(ROW()-3&gt;MAX(EN$4:EN$40),"",INDEX(EM$4:EM$40,MATCH(ROW()-3,EN$4:EN$40,0)))</f>
        <v>#N/A</v>
      </c>
      <c r="EP25" t="str">
        <f>IF('Final Calculation Sheet'!$AB$25="","",'Final Calculation Sheet'!$AB$25)</f>
        <v/>
      </c>
      <c r="EQ25" t="str">
        <f>IF(EP25="","",COUNTIFS(EP$4:EP$40,"&lt;"&amp;EP25,EP$4:EP$40,"&lt;&gt;"&amp;"")+COUNTIF(EP$4:EP25,EP25))</f>
        <v/>
      </c>
      <c r="ER25" t="e">
        <f>IF(ROW()-3&gt;COUNTIF(EP$4:EP$40,"&lt;&gt;"&amp;""),"",INDEX(EP$4:EP$40,MATCH(ROW()-3,EQ$4:EQ$40,0)))</f>
        <v>#N/A</v>
      </c>
      <c r="ES25" t="e">
        <f>ES24+IF(AND(ER25&lt;&gt;"",COUNTIF(ER$4:ER25,ER25)=1),1,0)</f>
        <v>#N/A</v>
      </c>
      <c r="ET25" t="e">
        <f>IF(ROW()-3&gt;MAX(ES$4:ES$40),"",INDEX(ER$4:ER$40,MATCH(ROW()-3,ES$4:ES$40,0)))</f>
        <v>#N/A</v>
      </c>
      <c r="EU25" s="55">
        <f>IF('Final Calculation Sheet'!$AC$25="","",'Final Calculation Sheet'!$AC$25)</f>
        <v>608251</v>
      </c>
      <c r="EV25">
        <f>IF(EU25="","",COUNTIFS(EU$4:EU$40,"&lt;"&amp;EU25,EU$4:EU$40,"&lt;&gt;"&amp;"")+COUNTIF(EU$4:EU25,EU25))</f>
        <v>32</v>
      </c>
      <c r="EW25" s="55">
        <f>IF(ROW()-3&gt;COUNTIF(EU$4:EU$40,"&lt;&gt;"&amp;""),"",INDEX(EU$4:EU$40,MATCH(ROW()-3,EV$4:EV$40,0)))</f>
        <v>188254</v>
      </c>
      <c r="EX25">
        <f>EX24+IF(AND(EW25&lt;&gt;"",COUNTIF(EW$4:EW25,EW25)=1),1,0)</f>
        <v>22</v>
      </c>
      <c r="EY25" s="55">
        <f>IF(ROW()-3&gt;MAX(EX$4:EX$40),"",INDEX(EW$4:EW$40,MATCH(ROW()-3,EX$4:EX$40,0)))</f>
        <v>188254</v>
      </c>
      <c r="EZ25" s="55">
        <f>IF('Final Calculation Sheet'!$AD$25="","",'Final Calculation Sheet'!$AD$25)</f>
        <v>0</v>
      </c>
      <c r="FA25">
        <f>IF(EZ25="","",COUNTIFS(EZ$4:EZ$40,"&lt;"&amp;EZ25,EZ$4:EZ$40,"&lt;&gt;"&amp;"")+COUNTIF(EZ$4:EZ25,EZ25))</f>
        <v>21</v>
      </c>
      <c r="FB25" s="55">
        <f>IF(ROW()-3&gt;COUNTIF(EZ$4:EZ$40,"&lt;&gt;"&amp;""),"",INDEX(EZ$4:EZ$40,MATCH(ROW()-3,FA$4:FA$40,0)))</f>
        <v>0</v>
      </c>
      <c r="FC25" t="e">
        <f>FC24+IF(AND(FB25&lt;&gt;"",COUNTIF(FB$4:FB25,FB25)=1),1,0)</f>
        <v>#N/A</v>
      </c>
      <c r="FD25" t="e">
        <f>IF(ROW()-3&gt;MAX(FC$4:FC$40),"",INDEX(FB$4:FB$40,MATCH(ROW()-3,FC$4:FC$40,0)))</f>
        <v>#N/A</v>
      </c>
      <c r="FE25" t="str">
        <f>IF('Final Calculation Sheet'!$AE$25="","",'Final Calculation Sheet'!$AE$25)</f>
        <v>DR2640100042</v>
      </c>
      <c r="FF25">
        <f>IF(FE25="","",COUNTIFS(FE$4:FE$40,"&lt;"&amp;FE25,FE$4:FE$40,"&lt;&gt;"&amp;"")+COUNTIF(FE$4:FE25,FE25))</f>
        <v>31</v>
      </c>
      <c r="FG25" t="str">
        <f>IF(ROW()-3&gt;COUNTIF(FE$4:FE$40,"&lt;&gt;"&amp;""),"",INDEX(FE$4:FE$40,MATCH(ROW()-3,FF$4:FF$40,0)))</f>
        <v>DR2640100033</v>
      </c>
      <c r="FH25" t="e">
        <f>FH24+IF(AND(FG25&lt;&gt;"",COUNTIF(FG$4:FG25,FG25)=1),1,0)</f>
        <v>#N/A</v>
      </c>
      <c r="FI25" t="e">
        <f>IF(ROW()-3&gt;MAX(FH$4:FH$40),"",INDEX(FG$4:FG$40,MATCH(ROW()-3,FH$4:FH$40,0)))</f>
        <v>#N/A</v>
      </c>
      <c r="FJ25" s="141">
        <f>IF('Final Calculation Sheet'!$AF$25="","",'Final Calculation Sheet'!$AF$25)</f>
        <v>1800003317</v>
      </c>
      <c r="FK25">
        <f>IF(FJ25="","",COUNTIFS(FJ$4:FJ$40,"&lt;"&amp;FJ25,FJ$4:FJ$40,"&lt;&gt;"&amp;"")+COUNTIF(FJ$4:FJ25,FJ25))</f>
        <v>29</v>
      </c>
      <c r="FL25" s="141">
        <f>IF(ROW()-3&gt;COUNTIF(FJ$4:FJ$40,"&lt;&gt;"&amp;""),"",INDEX(FJ$4:FJ$40,MATCH(ROW()-3,FK$4:FK$40,0)))</f>
        <v>1800003310</v>
      </c>
      <c r="FM25">
        <f>FM24+IF(AND(FL25&lt;&gt;"",COUNTIF(FL$4:FL25,FL25)=1),1,0)</f>
        <v>22</v>
      </c>
      <c r="FN25" t="e">
        <f>IF(ROW()-3&gt;MAX(FM$4:FM$40),"",INDEX(FL$4:FL$40,MATCH(ROW()-3,FM$4:FM$40,0)))</f>
        <v>#N/A</v>
      </c>
      <c r="FO25" t="str">
        <f>IF('Final Calculation Sheet'!$AG$25="","",'Final Calculation Sheet'!$AG$25)</f>
        <v>27.08.2026</v>
      </c>
      <c r="FP25">
        <f>IF(FO25="","",COUNTIFS(FO$4:FO$40,"&lt;"&amp;FO25,FO$4:FO$40,"&lt;&gt;"&amp;"")+COUNTIF(FO$4:FO25,FO25))</f>
        <v>30</v>
      </c>
      <c r="FQ25" t="str">
        <f>IF(ROW()-3&gt;COUNTIF(FO$4:FO$40,"&lt;&gt;"&amp;""),"",INDEX(FO$4:FO$40,MATCH(ROW()-3,FP$4:FP$40,0)))</f>
        <v>27.08.2026</v>
      </c>
      <c r="FR25" t="e">
        <f>FR24+IF(AND(FQ25&lt;&gt;"",COUNTIF(FQ$4:FQ25,FQ25)=1),1,0)</f>
        <v>#N/A</v>
      </c>
      <c r="FS25" t="e">
        <f>IF(ROW()-3&gt;MAX(FR$4:FR$40),"",INDEX(FQ$4:FQ$40,MATCH(ROW()-3,FR$4:FR$40,0)))</f>
        <v>#N/A</v>
      </c>
      <c r="FU25" t="str">
        <f>IF(FT25="","",COUNTIFS(FT$4:FT$40,"&lt;"&amp;FT25,FT$4:FT$40,"&lt;&gt;"&amp;"")+COUNTIF(FT$4:FT25,FT25))</f>
        <v/>
      </c>
      <c r="FV25" t="str">
        <f>IF(ROW()-3&gt;COUNTIF(FT$4:FT$40,"&lt;&gt;"&amp;""),"",INDEX(FT$4:FT$40,MATCH(ROW()-3,FU$4:FU$40,0)))</f>
        <v/>
      </c>
      <c r="FW25">
        <f>FW24+IF(AND(FV25&lt;&gt;"",COUNTIF(FV$4:FV25,FV25)=1),1,0)</f>
        <v>2</v>
      </c>
      <c r="FX25" t="str">
        <f>IF(ROW()-3&gt;MAX(FW$4:FW$40),"",INDEX(FV$4:FV$40,MATCH(ROW()-3,FW$4:FW$40,0)))</f>
        <v/>
      </c>
    </row>
    <row r="26">
      <c r="A26">
        <f>IF('Final Calculation Sheet'!$F$26="","",'Final Calculation Sheet'!$F$26)</f>
        <v>2035</v>
      </c>
      <c r="B26">
        <f>IF(A26="","",COUNTIFS(A$4:A$114,"&lt;"&amp;A26,A$4:A$114,"&lt;&gt;"&amp;"")+COUNTIF(A$4:A26,A26))</f>
        <v>23</v>
      </c>
      <c r="C26">
        <f>IF(ROW()-3&gt;COUNTIF(A$4:A$114,"&lt;&gt;"&amp;""),"",INDEX(A$4:A$114,MATCH(ROW()-3,B$4:B$114,0)))</f>
        <v>2035</v>
      </c>
      <c r="D26">
        <f>D25+IF(AND(C26&lt;&gt;"",COUNTIF(C$4:C26,C26)=1),1,0)</f>
        <v>23</v>
      </c>
      <c r="E26" t="e">
        <f>IF(ROW()-3&gt;MAX(D$4:D$114),"",INDEX(C$4:C$114,MATCH(ROW()-3,D$4:D$114,0)))</f>
        <v>#N/A</v>
      </c>
      <c r="F26">
        <f>ROW()-3</f>
        <v>23</v>
      </c>
      <c r="G26">
        <f>IF(F26="","",COUNTIFS(F$4:F$40,"&lt;"&amp;F26,F$4:F$40,"&lt;&gt;"&amp;"")+COUNTIF(F$4:F26,F26))</f>
        <v>23</v>
      </c>
      <c r="H26">
        <f>IF(ROW()-3&gt;COUNTIF(F$4:F$40,"&lt;&gt;"&amp;""),"",INDEX(F$4:F$40,MATCH(ROW()-3,G$4:G$40,0)))</f>
        <v>23</v>
      </c>
      <c r="I26">
        <f>I25+IF(AND(H26&lt;&gt;"",COUNTIF(H$4:H26,H26)=1),1,0)</f>
        <v>23</v>
      </c>
      <c r="J26">
        <f>IF(ROW()-3&gt;MAX(I$4:I$40),"",INDEX(H$4:H$40,MATCH(ROW()-3,I$4:I$40,0)))</f>
        <v>23</v>
      </c>
      <c r="K26">
        <f>IF('Final Calculation Sheet'!$F$26="","",'Final Calculation Sheet'!$F$26)</f>
        <v>2035</v>
      </c>
      <c r="L26">
        <f>IF(K26="","",COUNTIFS(K$4:K$40,"&lt;"&amp;K26,K$4:K$40,"&lt;&gt;"&amp;"")+COUNTIF(K$4:K26,K26))</f>
        <v>23</v>
      </c>
      <c r="M26">
        <f>IF(ROW()-3&gt;COUNTIF(K$4:K$40,"&lt;&gt;"&amp;""),"",INDEX(K$4:K$40,MATCH(ROW()-3,L$4:L$40,0)))</f>
        <v>2035</v>
      </c>
      <c r="N26">
        <f>N25+IF(AND(M26&lt;&gt;"",COUNTIF(M$4:M26,M26)=1),1,0)</f>
        <v>23</v>
      </c>
      <c r="O26">
        <f>IF(ROW()-3&gt;MAX(N$4:N$40),"",INDEX(M$4:M$40,MATCH(ROW()-3,N$4:N$40,0)))</f>
        <v>2035</v>
      </c>
      <c r="P26" t="str">
        <f>IF('Final Calculation Sheet'!$G$26="","",'Final Calculation Sheet'!$G$26)</f>
        <v>NATIONAL ENTERPRISES</v>
      </c>
      <c r="Q26">
        <f>IF(P26="","",COUNTIFS(P$4:P$40,"&lt;"&amp;P26,P$4:P$40,"&lt;&gt;"&amp;"")+COUNTIF(P$4:P26,P26))</f>
        <v>15</v>
      </c>
      <c r="R26" t="str">
        <f>IF(ROW()-3&gt;COUNTIF(P$4:P$40,"&lt;&gt;"&amp;""),"",INDEX(P$4:P$40,MATCH(ROW()-3,Q$4:Q$40,0)))</f>
        <v>S M ENTERPRISES</v>
      </c>
      <c r="S26">
        <f>S25+IF(AND(R26&lt;&gt;"",COUNTIF(R$4:R26,R26)=1),1,0)</f>
        <v>9</v>
      </c>
      <c r="T26" t="str">
        <f>IF(ROW()-3&gt;MAX(S$4:S$40),"",INDEX(R$4:R$40,MATCH(ROW()-3,S$4:S$40,0)))</f>
        <v/>
      </c>
      <c r="U26" t="str">
        <f>IF('Final Calculation Sheet'!$B$26="","",'Final Calculation Sheet'!$B$26)</f>
        <v>Scrap of 132 KV Wave Trap</v>
      </c>
      <c r="V26">
        <f>IF(U26="","",COUNTIFS(U$4:U$40,"&lt;"&amp;U26,U$4:U$40,"&lt;&gt;"&amp;"")+COUNTIF(U$4:U26,U26))</f>
        <v>13</v>
      </c>
      <c r="W26" t="str">
        <f>IF(ROW()-3&gt;COUNTIF(U$4:U$40,"&lt;&gt;"&amp;""),"",INDEX(U$4:U$40,MATCH(ROW()-3,V$4:V$40,0)))</f>
        <v>Scrap of 66 kv TBC C &amp; R Panel</v>
      </c>
      <c r="X26">
        <f>X25+IF(AND(W26&lt;&gt;"",COUNTIF(W$4:W26,W26)=1),1,0)</f>
        <v>16</v>
      </c>
      <c r="Y26" t="str">
        <f>IF(ROW()-3&gt;MAX(X$4:X$40),"",INDEX(W$4:W$40,MATCH(ROW()-3,X$4:X$40,0)))</f>
        <v>Scrap of empty oil drums</v>
      </c>
      <c r="Z26">
        <f>IF('Final Calculation Sheet'!$D$26="","",'Final Calculation Sheet'!$D$26)</f>
        <v>21978</v>
      </c>
      <c r="AA26">
        <f>IF(Z26="","",COUNTIFS(Z$4:Z$40,"&lt;"&amp;Z26,Z$4:Z$40,"&lt;&gt;"&amp;"")+COUNTIF(Z$4:Z26,Z26))</f>
        <v>21</v>
      </c>
      <c r="AB26">
        <f>IF(ROW()-3&gt;COUNTIF(Z$4:Z$40,"&lt;&gt;"&amp;""),"",INDEX(Z$4:Z$40,MATCH(ROW()-3,AA$4:AA$40,0)))</f>
        <v>21978</v>
      </c>
      <c r="AC26">
        <f>AC25+IF(AND(AB26&lt;&gt;"",COUNTIF(AB$4:AB26,AB26)=1),1,0)</f>
        <v>2</v>
      </c>
      <c r="AD26" t="str">
        <f>IF(ROW()-3&gt;MAX(AC$4:AC$40),"",INDEX(AB$4:AB$40,MATCH(ROW()-3,AC$4:AC$40,0)))</f>
        <v/>
      </c>
      <c r="AE26">
        <f>IF('Final Calculation Sheet'!$A$26="","",'Final Calculation Sheet'!$A$26)</f>
        <v>2</v>
      </c>
      <c r="AF26">
        <f>IF(AE26="","",COUNTIFS(AE$4:AE$40,"&lt;"&amp;AE26,AE$4:AE$40,"&lt;&gt;"&amp;"")+COUNTIF(AE$4:AE26,AE26))</f>
        <v>10</v>
      </c>
      <c r="AG26">
        <f>IF(ROW()-3&gt;COUNTIF(AE$4:AE$40,"&lt;&gt;"&amp;""),"",INDEX(AE$4:AE$40,MATCH(ROW()-3,AF$4:AF$40,0)))</f>
        <v>25</v>
      </c>
      <c r="AH26">
        <f>AH25+IF(AND(AG26&lt;&gt;"",COUNTIF(AG$4:AG26,AG26)=1),1,0)</f>
        <v>8</v>
      </c>
      <c r="AI26" t="str">
        <f>IF(ROW()-3&gt;MAX(AH$4:AH$40),"",INDEX(AG$4:AG$40,MATCH(ROW()-3,AH$4:AH$40,0)))</f>
        <v/>
      </c>
      <c r="AJ26" t="str">
        <f>IF('Final Calculation Sheet'!$E$26="","",'Final Calculation Sheet'!$E$26)</f>
        <v>NO</v>
      </c>
      <c r="AK26">
        <f>IF(AJ26="","",COUNTIFS(AJ$4:AJ$40,"&lt;"&amp;AJ26,AJ$4:AJ$40,"&lt;&gt;"&amp;"")+COUNTIF(AJ$4:AJ26,AJ26))</f>
        <v>25</v>
      </c>
      <c r="AL26" t="str">
        <f>IF(ROW()-3&gt;COUNTIF(AJ$4:AJ$40,"&lt;&gt;"&amp;""),"",INDEX(AJ$4:AJ$40,MATCH(ROW()-3,AK$4:AK$40,0)))</f>
        <v>NO</v>
      </c>
      <c r="AM26">
        <f>AM25+IF(AND(AL26&lt;&gt;"",COUNTIF(AL$4:AL26,AL26)=1),1,0)</f>
        <v>3</v>
      </c>
      <c r="AN26" t="str">
        <f>IF(ROW()-3&gt;MAX(AM$4:AM$40),"",INDEX(AL$4:AL$40,MATCH(ROW()-3,AM$4:AM$40,0)))</f>
        <v/>
      </c>
      <c r="AO26" s="55">
        <f>IF('Final Calculation Sheet'!$C$26="","",'Final Calculation Sheet'!$C$26)</f>
        <v>14001</v>
      </c>
      <c r="AP26">
        <f>IF(AO26="","",COUNTIFS(AO$4:AO$40,"&lt;"&amp;AO26,AO$4:AO$40,"&lt;&gt;"&amp;"")+COUNTIF(AO$4:AO26,AO26))</f>
        <v>17</v>
      </c>
      <c r="AQ26" s="55">
        <f>IF(ROW()-3&gt;COUNTIF(AO$4:AO$40,"&lt;&gt;"&amp;""),"",INDEX(AO$4:AO$40,MATCH(ROW()-3,AP$4:AP$40,0)))</f>
        <v>51511</v>
      </c>
      <c r="AR26">
        <f>AR25+IF(AND(AQ26&lt;&gt;"",COUNTIF(AQ$4:AQ26,AQ26)=1),1,0)</f>
        <v>21</v>
      </c>
      <c r="AS26" s="55">
        <f>IF(ROW()-3&gt;MAX(AR$4:AR$40),"",INDEX(AQ$4:AQ$40,MATCH(ROW()-3,AR$4:AR$40,0)))</f>
        <v>65007</v>
      </c>
      <c r="AT26" s="55">
        <f>IF('Final Calculation Sheet'!$H$26="","",'Final Calculation Sheet'!$H$26)</f>
        <v>28002</v>
      </c>
      <c r="AU26">
        <f>IF(AT26="","",COUNTIFS(AT$4:AT$40,"&lt;"&amp;AT26,AT$4:AT$40,"&lt;&gt;"&amp;"")+COUNTIF(AT$4:AT26,AT26))</f>
        <v>5</v>
      </c>
      <c r="AV26" s="55">
        <f>IF(ROW()-3&gt;COUNTIF(AT$4:AT$40,"&lt;&gt;"&amp;""),"",INDEX(AT$4:AT$40,MATCH(ROW()-3,AU$4:AU$40,0)))</f>
        <v>207030</v>
      </c>
      <c r="AW26">
        <f>AW25+IF(AND(AV26&lt;&gt;"",COUNTIF(AV$4:AV26,AV26)=1),1,0)</f>
        <v>23</v>
      </c>
      <c r="AX26" s="55">
        <f>IF(ROW()-3&gt;MAX(AW$4:AW$40),"",INDEX(AV$4:AV$40,MATCH(ROW()-3,AW$4:AW$40,0)))</f>
        <v>207030</v>
      </c>
      <c r="AY26" s="55">
        <f>IF('Final Calculation Sheet'!$I$26="","",'Final Calculation Sheet'!$I$26)</f>
        <v>5040</v>
      </c>
      <c r="AZ26">
        <f>IF(AY26="","",COUNTIFS(AY$4:AY$40,"&lt;"&amp;AY26,AY$4:AY$40,"&lt;&gt;"&amp;"")+COUNTIF(AY$4:AY26,AY26))</f>
        <v>5</v>
      </c>
      <c r="BA26" s="55">
        <f>IF(ROW()-3&gt;COUNTIF(AY$4:AY$40,"&lt;&gt;"&amp;""),"",INDEX(AY$4:AY$40,MATCH(ROW()-3,AZ$4:AZ$40,0)))</f>
        <v>37265</v>
      </c>
      <c r="BB26">
        <f>BB25+IF(AND(BA26&lt;&gt;"",COUNTIF(BA$4:BA26,BA26)=1),1,0)</f>
        <v>23</v>
      </c>
      <c r="BC26" s="55">
        <f>IF(ROW()-3&gt;MAX(BB$4:BB$40),"",INDEX(BA$4:BA$40,MATCH(ROW()-3,BB$4:BB$40,0)))</f>
        <v>37265</v>
      </c>
      <c r="BD26" s="55">
        <f>IF('Final Calculation Sheet'!$J$26="","",'Final Calculation Sheet'!$J$26)</f>
        <v>33042</v>
      </c>
      <c r="BE26">
        <f>IF(BD26="","",COUNTIFS(BD$4:BD$40,"&lt;"&amp;BD26,BD$4:BD$40,"&lt;&gt;"&amp;"")+COUNTIF(BD$4:BD26,BD26))</f>
        <v>5</v>
      </c>
      <c r="BF26" s="55">
        <f>IF(ROW()-3&gt;COUNTIF(BD$4:BD$40,"&lt;&gt;"&amp;""),"",INDEX(BD$4:BD$40,MATCH(ROW()-3,BE$4:BE$40,0)))</f>
        <v>244295</v>
      </c>
      <c r="BG26">
        <f>BG25+IF(AND(BF26&lt;&gt;"",COUNTIF(BF$4:BF26,BF26)=1),1,0)</f>
        <v>23</v>
      </c>
      <c r="BH26" s="55">
        <f>IF(ROW()-3&gt;MAX(BG$4:BG$40),"",INDEX(BF$4:BF$40,MATCH(ROW()-3,BG$4:BG$40,0)))</f>
        <v>244295</v>
      </c>
      <c r="BI26" s="55">
        <f>IF('Final Calculation Sheet'!$K$26="","",'Final Calculation Sheet'!$K$26)</f>
        <v>661</v>
      </c>
      <c r="BJ26">
        <f>IF(BI26="","",COUNTIFS(BI$4:BI$40,"&lt;"&amp;BI26,BI$4:BI$40,"&lt;&gt;"&amp;"")+COUNTIF(BI$4:BI26,BI26))</f>
        <v>5</v>
      </c>
      <c r="BK26" s="55">
        <f>IF(ROW()-3&gt;COUNTIF(BI$4:BI$40,"&lt;&gt;"&amp;""),"",INDEX(BI$4:BI$40,MATCH(ROW()-3,BJ$4:BJ$40,0)))</f>
        <v>4886</v>
      </c>
      <c r="BL26">
        <f>BL25+IF(AND(BK26&lt;&gt;"",COUNTIF(BK$4:BK26,BK26)=1),1,0)</f>
        <v>23</v>
      </c>
      <c r="BM26" s="55">
        <f>IF(ROW()-3&gt;MAX(BL$4:BL$40),"",INDEX(BK$4:BK$40,MATCH(ROW()-3,BL$4:BL$40,0)))</f>
        <v>4886</v>
      </c>
      <c r="BN26" s="55">
        <f>IF('Final Calculation Sheet'!$L$26="","",'Final Calculation Sheet'!$L$26)</f>
        <v>28.001999999999999</v>
      </c>
      <c r="BO26">
        <f>IF(BN26="","",COUNTIFS(BN$4:BN$40,"&lt;"&amp;BN26,BN$4:BN$40,"&lt;&gt;"&amp;"")+COUNTIF(BN$4:BN26,BN26))</f>
        <v>5</v>
      </c>
      <c r="BP26" s="55">
        <f>IF(ROW()-3&gt;COUNTIF(BN$4:BN$40,"&lt;&gt;"&amp;""),"",INDEX(BN$4:BN$40,MATCH(ROW()-3,BO$4:BO$40,0)))</f>
        <v>207.03</v>
      </c>
      <c r="BQ26">
        <f>BQ25+IF(AND(BP26&lt;&gt;"",COUNTIF(BP$4:BP26,BP26)=1),1,0)</f>
        <v>23</v>
      </c>
      <c r="BR26" s="55">
        <f>IF(ROW()-3&gt;MAX(BQ$4:BQ$40),"",INDEX(BP$4:BP$40,MATCH(ROW()-3,BQ$4:BQ$40,0)))</f>
        <v>207.03</v>
      </c>
      <c r="BS26" s="55">
        <f>IF('Final Calculation Sheet'!$M$26="","",'Final Calculation Sheet'!$M$26)</f>
        <v>743.45309999999995</v>
      </c>
      <c r="BT26">
        <f>IF(BS26="","",COUNTIFS(BS$4:BS$40,"&lt;"&amp;BS26,BS$4:BS$40,"&lt;&gt;"&amp;"")+COUNTIF(BS$4:BS26,BS26))</f>
        <v>5</v>
      </c>
      <c r="BU26" s="55">
        <f>IF(ROW()-3&gt;COUNTIF(BS$4:BS$40,"&lt;&gt;"&amp;""),"",INDEX(BS$4:BS$40,MATCH(ROW()-3,BT$4:BT$40,0)))</f>
        <v>5496.6464999999998</v>
      </c>
      <c r="BV26">
        <f>BV25+IF(AND(BU26&lt;&gt;"",COUNTIF(BU$4:BU26,BU26)=1),1,0)</f>
        <v>23</v>
      </c>
      <c r="BW26" s="55">
        <f>IF(ROW()-3&gt;MAX(BV$4:BV$40),"",INDEX(BU$4:BU$40,MATCH(ROW()-3,BV$4:BV$40,0)))</f>
        <v>5496.6464999999998</v>
      </c>
      <c r="BX26" s="138">
        <f>IF('Final Calculation Sheet'!$N$26="","",'Final Calculation Sheet'!$N$26)</f>
        <v>12.600899999999999</v>
      </c>
      <c r="BY26">
        <f>IF(BX26="","",COUNTIFS(BX$4:BX$40,"&lt;"&amp;BX26,BX$4:BX$40,"&lt;&gt;"&amp;"")+COUNTIF(BX$4:BX26,BX26))</f>
        <v>5</v>
      </c>
      <c r="BZ26" s="138">
        <f>IF(ROW()-3&gt;COUNTIF(BX$4:BX$40,"&lt;&gt;"&amp;""),"",INDEX(BX$4:BX$40,MATCH(ROW()-3,BY$4:BY$40,0)))</f>
        <v>93.163499999999999</v>
      </c>
      <c r="CA26">
        <f>CA25+IF(AND(BZ26&lt;&gt;"",COUNTIF(BZ$4:BZ26,BZ26)=1),1,0)</f>
        <v>23</v>
      </c>
      <c r="CB26" s="138">
        <f>IF(ROW()-3&gt;MAX(CA$4:CA$40),"",INDEX(BZ$4:BZ$40,MATCH(ROW()-3,CA$4:CA$40,0)))</f>
        <v>93.163499999999999</v>
      </c>
      <c r="CC26" s="55">
        <f>IF('Final Calculation Sheet'!$O$26="","",'Final Calculation Sheet'!$O$26)</f>
        <v>730.85219999999993</v>
      </c>
      <c r="CD26">
        <f>IF(CC26="","",COUNTIFS(CC$4:CC$40,"&lt;"&amp;CC26,CC$4:CC$40,"&lt;&gt;"&amp;"")+COUNTIF(CC$4:CC26,CC26))</f>
        <v>5</v>
      </c>
      <c r="CE26" s="55">
        <f>IF(ROW()-3&gt;COUNTIF(CC$4:CC$40,"&lt;&gt;"&amp;""),"",INDEX(CC$4:CC$40,MATCH(ROW()-3,CD$4:CD$40,0)))</f>
        <v>5403.4830000000002</v>
      </c>
      <c r="CF26">
        <f>CF25+IF(AND(CE26&lt;&gt;"",COUNTIF(CE$4:CE26,CE26)=1),1,0)</f>
        <v>23</v>
      </c>
      <c r="CG26" s="55">
        <f>IF(ROW()-3&gt;MAX(CF$4:CF$40),"",INDEX(CE$4:CE$40,MATCH(ROW()-3,CF$4:CF$40,0)))</f>
        <v>5403.4830000000002</v>
      </c>
      <c r="CH26" s="55">
        <f>IF('Final Calculation Sheet'!$P$26="","",'Final Calculation Sheet'!$P$26)</f>
        <v>759</v>
      </c>
      <c r="CI26">
        <f>IF(CH26="","",COUNTIFS(CH$4:CH$40,"&lt;"&amp;CH26,CH$4:CH$40,"&lt;&gt;"&amp;"")+COUNTIF(CH$4:CH26,CH26))</f>
        <v>5</v>
      </c>
      <c r="CJ26" s="55">
        <f>IF(ROW()-3&gt;COUNTIF(CH$4:CH$40,"&lt;&gt;"&amp;""),"",INDEX(CH$4:CH$40,MATCH(ROW()-3,CI$4:CI$40,0)))</f>
        <v>5611</v>
      </c>
      <c r="CK26">
        <f>CK25+IF(AND(CJ26&lt;&gt;"",COUNTIF(CJ$4:CJ26,CJ26)=1),1,0)</f>
        <v>23</v>
      </c>
      <c r="CL26" s="55">
        <f>IF(ROW()-3&gt;MAX(CK$4:CK$40),"",INDEX(CJ$4:CJ$40,MATCH(ROW()-3,CK$4:CK$40,0)))</f>
        <v>5611</v>
      </c>
      <c r="CM26" s="139">
        <f>IF('Final Calculation Sheet'!$Q$26="","",'Final Calculation Sheet'!$Q$26)</f>
        <v>0</v>
      </c>
      <c r="CN26">
        <f>IF(CM26="","",COUNTIFS(CM$4:CM$40,"&lt;"&amp;CM26,CM$4:CM$40,"&lt;&gt;"&amp;"")+COUNTIF(CM$4:CM26,CM26))</f>
        <v>20</v>
      </c>
      <c r="CO26" s="139">
        <f>IF(ROW()-3&gt;COUNTIF(CM$4:CM$40,"&lt;&gt;"&amp;""),"",INDEX(CM$4:CM$40,MATCH(ROW()-3,CN$4:CN$40,0)))</f>
        <v>0</v>
      </c>
      <c r="CP26">
        <f>CP25+IF(AND(CO26&lt;&gt;"",COUNTIF(CO$4:CO26,CO26)=1),1,0)</f>
        <v>1</v>
      </c>
      <c r="CQ26" t="str">
        <f>IF(ROW()-3&gt;MAX(CP$4:CP$40),"",INDEX(CO$4:CO$40,MATCH(ROW()-3,CP$4:CP$40,0)))</f>
        <v/>
      </c>
      <c r="CR26" s="55">
        <f>IF('Final Calculation Sheet'!$R$26="","",'Final Calculation Sheet'!$R$26)</f>
        <v>0</v>
      </c>
      <c r="CS26">
        <f>IF(CR26="","",COUNTIFS(CR$4:CR$40,"&lt;"&amp;CR26,CR$4:CR$40,"&lt;&gt;"&amp;"")+COUNTIF(CR$4:CR26,CR26))</f>
        <v>20</v>
      </c>
      <c r="CT26" s="55">
        <f>IF(ROW()-3&gt;COUNTIF(CR$4:CR$40,"&lt;&gt;"&amp;""),"",INDEX(CR$4:CR$40,MATCH(ROW()-3,CS$4:CS$40,0)))</f>
        <v>0</v>
      </c>
      <c r="CU26">
        <f>CU25+IF(AND(CT26&lt;&gt;"",COUNTIF(CT$4:CT26,CT26)=1),1,0)</f>
        <v>1</v>
      </c>
      <c r="CV26" t="str">
        <f>IF(ROW()-3&gt;MAX(CU$4:CU$40),"",INDEX(CT$4:CT$40,MATCH(ROW()-3,CU$4:CU$40,0)))</f>
        <v/>
      </c>
      <c r="CW26" s="55">
        <f>IF('Final Calculation Sheet'!$S$26="","",'Final Calculation Sheet'!$S$26)</f>
        <v>32944</v>
      </c>
      <c r="CX26">
        <f>IF(CW26="","",COUNTIFS(CW$4:CW$40,"&lt;"&amp;CW26,CW$4:CW$40,"&lt;&gt;"&amp;"")+COUNTIF(CW$4:CW26,CW26))</f>
        <v>5</v>
      </c>
      <c r="CY26" s="55">
        <f>IF(ROW()-3&gt;COUNTIF(CW$4:CW$40,"&lt;&gt;"&amp;""),"",INDEX(CW$4:CW$40,MATCH(ROW()-3,CX$4:CX$40,0)))</f>
        <v>243571</v>
      </c>
      <c r="CZ26">
        <f>CZ25+IF(AND(CY26&lt;&gt;"",COUNTIF(CY$4:CY26,CY26)=1),1,0)</f>
        <v>23</v>
      </c>
      <c r="DA26" s="55">
        <f>IF(ROW()-3&gt;MAX(CZ$4:CZ$40),"",INDEX(CY$4:CY$40,MATCH(ROW()-3,CZ$4:CZ$40,0)))</f>
        <v>243571</v>
      </c>
      <c r="DB26" s="55">
        <f>IF('Final Calculation Sheet'!$T$26="","",'Final Calculation Sheet'!$T$26)</f>
        <v>7001</v>
      </c>
      <c r="DC26">
        <f>IF(DB26="","",COUNTIFS(DB$4:DB$40,"&lt;"&amp;DB26,DB$4:DB$40,"&lt;&gt;"&amp;"")+COUNTIF(DB$4:DB26,DB26))</f>
        <v>5</v>
      </c>
      <c r="DD26" s="55">
        <f>IF(ROW()-3&gt;COUNTIF(DB$4:DB$40,"&lt;&gt;"&amp;""),"",INDEX(DB$4:DB$40,MATCH(ROW()-3,DC$4:DC$40,0)))</f>
        <v>51758</v>
      </c>
      <c r="DE26">
        <f>DE25+IF(AND(DD26&lt;&gt;"",COUNTIF(DD$4:DD26,DD26)=1),1,0)</f>
        <v>23</v>
      </c>
      <c r="DF26" s="55">
        <f>IF(ROW()-3&gt;MAX(DE$4:DE$40),"",INDEX(DD$4:DD$40,MATCH(ROW()-3,DE$4:DE$40,0)))</f>
        <v>51758</v>
      </c>
      <c r="DG26" s="140">
        <f>IF('Final Calculation Sheet'!$U$26="","",'Final Calculation Sheet'!$U$26)</f>
        <v>7001</v>
      </c>
      <c r="DH26">
        <f>IF(DG26="","",COUNTIFS(DG$4:DG$40,"&lt;"&amp;DG26,DG$4:DG$40,"&lt;&gt;"&amp;"")+COUNTIF(DG$4:DG26,DG26))</f>
        <v>5</v>
      </c>
      <c r="DI26" s="140">
        <f>IF(ROW()-3&gt;COUNTIF(DG$4:DG$40,"&lt;&gt;"&amp;""),"",INDEX(DG$4:DG$40,MATCH(ROW()-3,DH$4:DH$40,0)))</f>
        <v>51758</v>
      </c>
      <c r="DJ26">
        <f>DJ25+IF(AND(DI26&lt;&gt;"",COUNTIF(DI$4:DI26,DI26)=1),1,0)</f>
        <v>23</v>
      </c>
      <c r="DK26" s="140">
        <f>IF(ROW()-3&gt;MAX(DJ$4:DJ$40),"",INDEX(DI$4:DI$40,MATCH(ROW()-3,DJ$4:DJ$40,0)))</f>
        <v>51758</v>
      </c>
      <c r="DL26" t="str">
        <f>IF('Final Calculation Sheet'!$V$26="","",'Final Calculation Sheet'!$V$26)</f>
        <v>13.08.2026</v>
      </c>
      <c r="DM26">
        <f>IF(DL26="","",COUNTIFS(DL$4:DL$40,"&lt;"&amp;DL26,DL$4:DL$40,"&lt;&gt;"&amp;"")+COUNTIF(DL$4:DL26,DL26))</f>
        <v>22</v>
      </c>
      <c r="DN26" t="str">
        <f>IF(ROW()-3&gt;COUNTIF(DL$4:DL$40,"&lt;&gt;"&amp;""),"",INDEX(DL$4:DL$40,MATCH(ROW()-3,DM$4:DM$40,0)))</f>
        <v>13.08.2026</v>
      </c>
      <c r="DO26">
        <f>DO25+IF(AND(DN26&lt;&gt;"",COUNTIF(DN$4:DN26,DN26)=1),1,0)</f>
        <v>3</v>
      </c>
      <c r="DP26" t="str">
        <f>IF(ROW()-3&gt;MAX(DO$4:DO$40),"",INDEX(DN$4:DN$40,MATCH(ROW()-3,DO$4:DO$40,0)))</f>
        <v/>
      </c>
      <c r="DQ26" s="55">
        <f>IF('Final Calculation Sheet'!$W$26="","",'Final Calculation Sheet'!$W$26)</f>
        <v>25944</v>
      </c>
      <c r="DR26">
        <f>IF(DQ26="","",COUNTIFS(DQ$4:DQ$40,"&lt;"&amp;DQ26,DQ$4:DQ$40,"&lt;&gt;"&amp;"")+COUNTIF(DQ$4:DQ26,DQ26))</f>
        <v>5</v>
      </c>
      <c r="DS26" s="55">
        <f>IF(ROW()-3&gt;COUNTIF(DQ$4:DQ$40,"&lt;&gt;"&amp;""),"",INDEX(DQ$4:DQ$40,MATCH(ROW()-3,DR$4:DR$40,0)))</f>
        <v>191813</v>
      </c>
      <c r="DT26">
        <f>DT25+IF(AND(DS26&lt;&gt;"",COUNTIF(DS$4:DS26,DS26)=1),1,0)</f>
        <v>23</v>
      </c>
      <c r="DU26" s="55">
        <f>IF(ROW()-3&gt;MAX(DT$4:DT$40),"",INDEX(DS$4:DS$40,MATCH(ROW()-3,DT$4:DT$40,0)))</f>
        <v>191813</v>
      </c>
      <c r="DV26" s="55">
        <f>IF('Final Calculation Sheet'!$X$26="","",'Final Calculation Sheet'!$X$26)</f>
        <v>25943</v>
      </c>
      <c r="DW26">
        <f>IF(DV26="","",COUNTIFS(DV$4:DV$40,"&lt;"&amp;DV26,DV$4:DV$40,"&lt;&gt;"&amp;"")+COUNTIF(DV$4:DV26,DV26))</f>
        <v>5</v>
      </c>
      <c r="DX26" s="55">
        <f>IF(ROW()-3&gt;COUNTIF(DV$4:DV$40,"&lt;&gt;"&amp;""),"",INDEX(DV$4:DV$40,MATCH(ROW()-3,DW$4:DW$40,0)))</f>
        <v>194566</v>
      </c>
      <c r="DY26">
        <f>DY25+IF(AND(DX26&lt;&gt;"",COUNTIF(DX$4:DX26,DX26)=1),1,0)</f>
        <v>23</v>
      </c>
      <c r="DZ26" t="e">
        <f>IF(ROW()-3&gt;MAX(DY$4:DY$40),"",INDEX(DX$4:DX$40,MATCH(ROW()-3,DY$4:DY$40,0)))</f>
        <v>#N/A</v>
      </c>
      <c r="EA26" t="str">
        <f>IF('Final Calculation Sheet'!$Y$26="","",'Final Calculation Sheet'!$Y$26)</f>
        <v>24.08.2026</v>
      </c>
      <c r="EB26">
        <f>IF(EA26="","",COUNTIFS(EA$4:EA$40,"&lt;"&amp;EA26,EA$4:EA$40,"&lt;&gt;"&amp;"")+COUNTIF(EA$4:EA26,EA26))</f>
        <v>30</v>
      </c>
      <c r="EC26" t="str">
        <f>IF(ROW()-3&gt;COUNTIF(EA$4:EA$40,"&lt;&gt;"&amp;""),"",INDEX(EA$4:EA$40,MATCH(ROW()-3,EB$4:EB$40,0)))</f>
        <v>24.08.2026</v>
      </c>
      <c r="ED26">
        <f>ED25+IF(AND(EC26&lt;&gt;"",COUNTIF(EC$4:EC26,EC26)=1),1,0)</f>
        <v>9</v>
      </c>
      <c r="EE26" t="e">
        <f>IF(ROW()-3&gt;MAX(ED$4:ED$40),"",INDEX(EC$4:EC$40,MATCH(ROW()-3,ED$4:ED$40,0)))</f>
        <v>#N/A</v>
      </c>
      <c r="EF26" s="55">
        <f>IF('Final Calculation Sheet'!$Z$26="","",'Final Calculation Sheet'!$Z$26)</f>
        <v>0</v>
      </c>
      <c r="EG26">
        <f>IF(EF26="","",COUNTIFS(EF$4:EF$40,"&lt;"&amp;EF26,EF$4:EF$40,"&lt;&gt;"&amp;"")+COUNTIF(EF$4:EF26,EF26))</f>
        <v>23</v>
      </c>
      <c r="EH26" s="55">
        <f>IF(ROW()-3&gt;COUNTIF(EF$4:EF$40,"&lt;&gt;"&amp;""),"",INDEX(EF$4:EF$40,MATCH(ROW()-3,EG$4:EG$40,0)))</f>
        <v>0</v>
      </c>
      <c r="EI26">
        <f>EI25+IF(AND(EH26&lt;&gt;"",COUNTIF(EH$4:EH26,EH26)=1),1,0)</f>
        <v>1</v>
      </c>
      <c r="EJ26" t="str">
        <f>IF(ROW()-3&gt;MAX(EI$4:EI$40),"",INDEX(EH$4:EH$40,MATCH(ROW()-3,EI$4:EI$40,0)))</f>
        <v/>
      </c>
      <c r="EK26" t="str">
        <f>IF('Final Calculation Sheet'!$AA$26="","",'Final Calculation Sheet'!$AA$26)</f>
        <v/>
      </c>
      <c r="EL26" t="str">
        <f>IF(EK26="","",COUNTIFS(EK$4:EK$40,"&lt;"&amp;EK26,EK$4:EK$40,"&lt;&gt;"&amp;"")+COUNTIF(EK$4:EK26,EK26))</f>
        <v/>
      </c>
      <c r="EM26" t="e">
        <f>IF(ROW()-3&gt;COUNTIF(EK$4:EK$40,"&lt;&gt;"&amp;""),"",INDEX(EK$4:EK$40,MATCH(ROW()-3,EL$4:EL$40,0)))</f>
        <v>#N/A</v>
      </c>
      <c r="EN26" t="e">
        <f>EN25+IF(AND(EM26&lt;&gt;"",COUNTIF(EM$4:EM26,EM26)=1),1,0)</f>
        <v>#N/A</v>
      </c>
      <c r="EO26" t="e">
        <f>IF(ROW()-3&gt;MAX(EN$4:EN$40),"",INDEX(EM$4:EM$40,MATCH(ROW()-3,EN$4:EN$40,0)))</f>
        <v>#N/A</v>
      </c>
      <c r="EP26" t="str">
        <f>IF('Final Calculation Sheet'!$AB$26="","",'Final Calculation Sheet'!$AB$26)</f>
        <v/>
      </c>
      <c r="EQ26" t="str">
        <f>IF(EP26="","",COUNTIFS(EP$4:EP$40,"&lt;"&amp;EP26,EP$4:EP$40,"&lt;&gt;"&amp;"")+COUNTIF(EP$4:EP26,EP26))</f>
        <v/>
      </c>
      <c r="ER26" t="e">
        <f>IF(ROW()-3&gt;COUNTIF(EP$4:EP$40,"&lt;&gt;"&amp;""),"",INDEX(EP$4:EP$40,MATCH(ROW()-3,EQ$4:EQ$40,0)))</f>
        <v>#N/A</v>
      </c>
      <c r="ES26" t="e">
        <f>ES25+IF(AND(ER26&lt;&gt;"",COUNTIF(ER$4:ER26,ER26)=1),1,0)</f>
        <v>#N/A</v>
      </c>
      <c r="ET26" t="e">
        <f>IF(ROW()-3&gt;MAX(ES$4:ES$40),"",INDEX(ER$4:ER$40,MATCH(ROW()-3,ES$4:ES$40,0)))</f>
        <v>#N/A</v>
      </c>
      <c r="EU26" s="55">
        <f>IF('Final Calculation Sheet'!$AC$26="","",'Final Calculation Sheet'!$AC$26)</f>
        <v>32944</v>
      </c>
      <c r="EV26">
        <f>IF(EU26="","",COUNTIFS(EU$4:EU$40,"&lt;"&amp;EU26,EU$4:EU$40,"&lt;&gt;"&amp;"")+COUNTIF(EU$4:EU26,EU26))</f>
        <v>6</v>
      </c>
      <c r="EW26" s="55">
        <f>IF(ROW()-3&gt;COUNTIF(EU$4:EU$40,"&lt;&gt;"&amp;""),"",INDEX(EU$4:EU$40,MATCH(ROW()-3,EV$4:EV$40,0)))</f>
        <v>232946</v>
      </c>
      <c r="EX26">
        <f>EX25+IF(AND(EW26&lt;&gt;"",COUNTIF(EW$4:EW26,EW26)=1),1,0)</f>
        <v>23</v>
      </c>
      <c r="EY26" s="55">
        <f>IF(ROW()-3&gt;MAX(EX$4:EX$40),"",INDEX(EW$4:EW$40,MATCH(ROW()-3,EX$4:EX$40,0)))</f>
        <v>232946</v>
      </c>
      <c r="EZ26" s="55">
        <f>IF('Final Calculation Sheet'!$AD$26="","",'Final Calculation Sheet'!$AD$26)</f>
        <v>0</v>
      </c>
      <c r="FA26">
        <f>IF(EZ26="","",COUNTIFS(EZ$4:EZ$40,"&lt;"&amp;EZ26,EZ$4:EZ$40,"&lt;&gt;"&amp;"")+COUNTIF(EZ$4:EZ26,EZ26))</f>
        <v>22</v>
      </c>
      <c r="FB26" s="55">
        <f>IF(ROW()-3&gt;COUNTIF(EZ$4:EZ$40,"&lt;&gt;"&amp;""),"",INDEX(EZ$4:EZ$40,MATCH(ROW()-3,FA$4:FA$40,0)))</f>
        <v>0</v>
      </c>
      <c r="FC26" t="e">
        <f>FC25+IF(AND(FB26&lt;&gt;"",COUNTIF(FB$4:FB26,FB26)=1),1,0)</f>
        <v>#N/A</v>
      </c>
      <c r="FD26" t="e">
        <f>IF(ROW()-3&gt;MAX(FC$4:FC$40),"",INDEX(FB$4:FB$40,MATCH(ROW()-3,FC$4:FC$40,0)))</f>
        <v>#N/A</v>
      </c>
      <c r="FE26" t="str">
        <f>IF('Final Calculation Sheet'!$AE$26="","",'Final Calculation Sheet'!$AE$26)</f>
        <v>DR2640100037</v>
      </c>
      <c r="FF26">
        <f>IF(FE26="","",COUNTIFS(FE$4:FE$40,"&lt;"&amp;FE26,FE$4:FE$40,"&lt;&gt;"&amp;"")+COUNTIF(FE$4:FE26,FE26))</f>
        <v>26</v>
      </c>
      <c r="FG26" t="str">
        <f>IF(ROW()-3&gt;COUNTIF(FE$4:FE$40,"&lt;&gt;"&amp;""),"",INDEX(FE$4:FE$40,MATCH(ROW()-3,FF$4:FF$40,0)))</f>
        <v>DR2640100034</v>
      </c>
      <c r="FH26" t="e">
        <f>FH25+IF(AND(FG26&lt;&gt;"",COUNTIF(FG$4:FG26,FG26)=1),1,0)</f>
        <v>#N/A</v>
      </c>
      <c r="FI26" t="e">
        <f>IF(ROW()-3&gt;MAX(FH$4:FH$40),"",INDEX(FG$4:FG$40,MATCH(ROW()-3,FH$4:FH$40,0)))</f>
        <v>#N/A</v>
      </c>
      <c r="FJ26" s="141">
        <f>IF('Final Calculation Sheet'!$AF$26="","",'Final Calculation Sheet'!$AF$26)</f>
        <v>1800003310</v>
      </c>
      <c r="FK26">
        <f>IF(FJ26="","",COUNTIFS(FJ$4:FJ$40,"&lt;"&amp;FJ26,FJ$4:FJ$40,"&lt;&gt;"&amp;"")+COUNTIF(FJ$4:FJ26,FJ26))</f>
        <v>22</v>
      </c>
      <c r="FL26" s="141">
        <f>IF(ROW()-3&gt;COUNTIF(FJ$4:FJ$40,"&lt;&gt;"&amp;""),"",INDEX(FJ$4:FJ$40,MATCH(ROW()-3,FK$4:FK$40,0)))</f>
        <v>1800003311</v>
      </c>
      <c r="FM26">
        <f>FM25+IF(AND(FL26&lt;&gt;"",COUNTIF(FL$4:FL26,FL26)=1),1,0)</f>
        <v>23</v>
      </c>
      <c r="FN26" t="e">
        <f>IF(ROW()-3&gt;MAX(FM$4:FM$40),"",INDEX(FL$4:FL$40,MATCH(ROW()-3,FM$4:FM$40,0)))</f>
        <v>#N/A</v>
      </c>
      <c r="FO26" t="str">
        <f>IF('Final Calculation Sheet'!$AG$26="","",'Final Calculation Sheet'!$AG$26)</f>
        <v>27.08.2026</v>
      </c>
      <c r="FP26">
        <f>IF(FO26="","",COUNTIFS(FO$4:FO$40,"&lt;"&amp;FO26,FO$4:FO$40,"&lt;&gt;"&amp;"")+COUNTIF(FO$4:FO26,FO26))</f>
        <v>31</v>
      </c>
      <c r="FQ26" t="str">
        <f>IF(ROW()-3&gt;COUNTIF(FO$4:FO$40,"&lt;&gt;"&amp;""),"",INDEX(FO$4:FO$40,MATCH(ROW()-3,FP$4:FP$40,0)))</f>
        <v>27.08.2026</v>
      </c>
      <c r="FR26" t="e">
        <f>FR25+IF(AND(FQ26&lt;&gt;"",COUNTIF(FQ$4:FQ26,FQ26)=1),1,0)</f>
        <v>#N/A</v>
      </c>
      <c r="FS26" t="e">
        <f>IF(ROW()-3&gt;MAX(FR$4:FR$40),"",INDEX(FQ$4:FQ$40,MATCH(ROW()-3,FR$4:FR$40,0)))</f>
        <v>#N/A</v>
      </c>
      <c r="FU26" t="str">
        <f>IF(FT26="","",COUNTIFS(FT$4:FT$40,"&lt;"&amp;FT26,FT$4:FT$40,"&lt;&gt;"&amp;"")+COUNTIF(FT$4:FT26,FT26))</f>
        <v/>
      </c>
      <c r="FV26" t="str">
        <f>IF(ROW()-3&gt;COUNTIF(FT$4:FT$40,"&lt;&gt;"&amp;""),"",INDEX(FT$4:FT$40,MATCH(ROW()-3,FU$4:FU$40,0)))</f>
        <v/>
      </c>
      <c r="FW26">
        <f>FW25+IF(AND(FV26&lt;&gt;"",COUNTIF(FV$4:FV26,FV26)=1),1,0)</f>
        <v>2</v>
      </c>
      <c r="FX26" t="str">
        <f>IF(ROW()-3&gt;MAX(FW$4:FW$40),"",INDEX(FV$4:FV$40,MATCH(ROW()-3,FW$4:FW$40,0)))</f>
        <v/>
      </c>
    </row>
    <row r="27">
      <c r="A27">
        <f>IF('Final Calculation Sheet'!$F$27="","",'Final Calculation Sheet'!$F$27)</f>
        <v>2036</v>
      </c>
      <c r="B27">
        <f>IF(A27="","",COUNTIFS(A$4:A$114,"&lt;"&amp;A27,A$4:A$114,"&lt;&gt;"&amp;"")+COUNTIF(A$4:A27,A27))</f>
        <v>24</v>
      </c>
      <c r="C27">
        <f>IF(ROW()-3&gt;COUNTIF(A$4:A$114,"&lt;&gt;"&amp;""),"",INDEX(A$4:A$114,MATCH(ROW()-3,B$4:B$114,0)))</f>
        <v>2036</v>
      </c>
      <c r="D27">
        <f>D26+IF(AND(C27&lt;&gt;"",COUNTIF(C$4:C27,C27)=1),1,0)</f>
        <v>24</v>
      </c>
      <c r="E27" t="e">
        <f>IF(ROW()-3&gt;MAX(D$4:D$114),"",INDEX(C$4:C$114,MATCH(ROW()-3,D$4:D$114,0)))</f>
        <v>#N/A</v>
      </c>
      <c r="F27">
        <f>ROW()-3</f>
        <v>24</v>
      </c>
      <c r="G27">
        <f>IF(F27="","",COUNTIFS(F$4:F$40,"&lt;"&amp;F27,F$4:F$40,"&lt;&gt;"&amp;"")+COUNTIF(F$4:F27,F27))</f>
        <v>24</v>
      </c>
      <c r="H27">
        <f>IF(ROW()-3&gt;COUNTIF(F$4:F$40,"&lt;&gt;"&amp;""),"",INDEX(F$4:F$40,MATCH(ROW()-3,G$4:G$40,0)))</f>
        <v>24</v>
      </c>
      <c r="I27">
        <f>I26+IF(AND(H27&lt;&gt;"",COUNTIF(H$4:H27,H27)=1),1,0)</f>
        <v>24</v>
      </c>
      <c r="J27">
        <f>IF(ROW()-3&gt;MAX(I$4:I$40),"",INDEX(H$4:H$40,MATCH(ROW()-3,I$4:I$40,0)))</f>
        <v>24</v>
      </c>
      <c r="K27">
        <f>IF('Final Calculation Sheet'!$F$27="","",'Final Calculation Sheet'!$F$27)</f>
        <v>2036</v>
      </c>
      <c r="L27">
        <f>IF(K27="","",COUNTIFS(K$4:K$40,"&lt;"&amp;K27,K$4:K$40,"&lt;&gt;"&amp;"")+COUNTIF(K$4:K27,K27))</f>
        <v>24</v>
      </c>
      <c r="M27">
        <f>IF(ROW()-3&gt;COUNTIF(K$4:K$40,"&lt;&gt;"&amp;""),"",INDEX(K$4:K$40,MATCH(ROW()-3,L$4:L$40,0)))</f>
        <v>2036</v>
      </c>
      <c r="N27">
        <f>N26+IF(AND(M27&lt;&gt;"",COUNTIF(M$4:M27,M27)=1),1,0)</f>
        <v>24</v>
      </c>
      <c r="O27">
        <f>IF(ROW()-3&gt;MAX(N$4:N$40),"",INDEX(M$4:M$40,MATCH(ROW()-3,N$4:N$40,0)))</f>
        <v>2036</v>
      </c>
      <c r="P27" t="str">
        <f>IF('Final Calculation Sheet'!$G$27="","",'Final Calculation Sheet'!$G$27)</f>
        <v>M I SCRAP TRADERS</v>
      </c>
      <c r="Q27">
        <f>IF(P27="","",COUNTIFS(P$4:P$40,"&lt;"&amp;P27,P$4:P$40,"&lt;&gt;"&amp;"")+COUNTIF(P$4:P27,P27))</f>
        <v>6</v>
      </c>
      <c r="R27" t="str">
        <f>IF(ROW()-3&gt;COUNTIF(P$4:P$40,"&lt;&gt;"&amp;""),"",INDEX(P$4:P$40,MATCH(ROW()-3,Q$4:Q$40,0)))</f>
        <v>S M ENTERPRISES</v>
      </c>
      <c r="S27">
        <f>S26+IF(AND(R27&lt;&gt;"",COUNTIF(R$4:R27,R27)=1),1,0)</f>
        <v>9</v>
      </c>
      <c r="T27" t="str">
        <f>IF(ROW()-3&gt;MAX(S$4:S$40),"",INDEX(R$4:R$40,MATCH(ROW()-3,S$4:S$40,0)))</f>
        <v/>
      </c>
      <c r="U27" t="str">
        <f>IF('Final Calculation Sheet'!$B$27="","",'Final Calculation Sheet'!$B$27)</f>
        <v>Mix Scrap (Tower angles &amp; 0.2 ACSR Condutor pieces)</v>
      </c>
      <c r="V27">
        <f>IF(U27="","",COUNTIFS(U$4:U$40,"&lt;"&amp;U27,U$4:U$40,"&lt;&gt;"&amp;"")+COUNTIF(U$4:U27,U27))</f>
        <v>1</v>
      </c>
      <c r="W27" t="str">
        <f>IF(ROW()-3&gt;COUNTIF(U$4:U$40,"&lt;&gt;"&amp;""),"",INDEX(U$4:U$40,MATCH(ROW()-3,V$4:V$40,0)))</f>
        <v>Scrap of AAAC Earth wire</v>
      </c>
      <c r="X27">
        <f>X26+IF(AND(W27&lt;&gt;"",COUNTIF(W$4:W27,W27)=1),1,0)</f>
        <v>17</v>
      </c>
      <c r="Y27" t="str">
        <f>IF(ROW()-3&gt;MAX(X$4:X$40),"",INDEX(W$4:W$40,MATCH(ROW()-3,X$4:X$40,0)))</f>
        <v>Scrap of MS (extracted from equip cage and empty Sf6 gas cylinder)</v>
      </c>
      <c r="Z27">
        <f>IF('Final Calculation Sheet'!$D$27="","",'Final Calculation Sheet'!$D$27)</f>
        <v>21978</v>
      </c>
      <c r="AA27">
        <f>IF(Z27="","",COUNTIFS(Z$4:Z$40,"&lt;"&amp;Z27,Z$4:Z$40,"&lt;&gt;"&amp;"")+COUNTIF(Z$4:Z27,Z27))</f>
        <v>22</v>
      </c>
      <c r="AB27">
        <f>IF(ROW()-3&gt;COUNTIF(Z$4:Z$40,"&lt;&gt;"&amp;""),"",INDEX(Z$4:Z$40,MATCH(ROW()-3,AA$4:AA$40,0)))</f>
        <v>21978</v>
      </c>
      <c r="AC27">
        <f>AC26+IF(AND(AB27&lt;&gt;"",COUNTIF(AB$4:AB27,AB27)=1),1,0)</f>
        <v>2</v>
      </c>
      <c r="AD27" t="str">
        <f>IF(ROW()-3&gt;MAX(AC$4:AC$40),"",INDEX(AB$4:AB$40,MATCH(ROW()-3,AC$4:AC$40,0)))</f>
        <v/>
      </c>
      <c r="AE27">
        <f>IF('Final Calculation Sheet'!$A$27="","",'Final Calculation Sheet'!$A$27)</f>
        <v>8.1999999999999993</v>
      </c>
      <c r="AF27">
        <f>IF(AE27="","",COUNTIFS(AE$4:AE$40,"&lt;"&amp;AE27,AE$4:AE$40,"&lt;&gt;"&amp;"")+COUNTIF(AE$4:AE27,AE27))</f>
        <v>21</v>
      </c>
      <c r="AG27">
        <f>IF(ROW()-3&gt;COUNTIF(AE$4:AE$40,"&lt;&gt;"&amp;""),"",INDEX(AE$4:AE$40,MATCH(ROW()-3,AF$4:AF$40,0)))</f>
        <v>28</v>
      </c>
      <c r="AH27">
        <f>AH26+IF(AND(AG27&lt;&gt;"",COUNTIF(AG$4:AG27,AG27)=1),1,0)</f>
        <v>9</v>
      </c>
      <c r="AI27" t="str">
        <f>IF(ROW()-3&gt;MAX(AH$4:AH$40),"",INDEX(AG$4:AG$40,MATCH(ROW()-3,AH$4:AH$40,0)))</f>
        <v/>
      </c>
      <c r="AJ27" t="str">
        <f>IF('Final Calculation Sheet'!$E$27="","",'Final Calculation Sheet'!$E$27)</f>
        <v>MT</v>
      </c>
      <c r="AK27">
        <f>IF(AJ27="","",COUNTIFS(AJ$4:AJ$40,"&lt;"&amp;AJ27,AJ$4:AJ$40,"&lt;&gt;"&amp;"")+COUNTIF(AJ$4:AJ27,AJ27))</f>
        <v>7</v>
      </c>
      <c r="AL27" t="str">
        <f>IF(ROW()-3&gt;COUNTIF(AJ$4:AJ$40,"&lt;&gt;"&amp;""),"",INDEX(AJ$4:AJ$40,MATCH(ROW()-3,AK$4:AK$40,0)))</f>
        <v>NO</v>
      </c>
      <c r="AM27">
        <f>AM26+IF(AND(AL27&lt;&gt;"",COUNTIF(AL$4:AL27,AL27)=1),1,0)</f>
        <v>3</v>
      </c>
      <c r="AN27" t="str">
        <f>IF(ROW()-3&gt;MAX(AM$4:AM$40),"",INDEX(AL$4:AL$40,MATCH(ROW()-3,AM$4:AM$40,0)))</f>
        <v/>
      </c>
      <c r="AO27" s="55">
        <f>IF('Final Calculation Sheet'!$C$27="","",'Final Calculation Sheet'!$C$27)</f>
        <v>67000</v>
      </c>
      <c r="AP27">
        <f>IF(AO27="","",COUNTIFS(AO$4:AO$40,"&lt;"&amp;AO27,AO$4:AO$40,"&lt;&gt;"&amp;"")+COUNTIF(AO$4:AO27,AO27))</f>
        <v>26</v>
      </c>
      <c r="AQ27" s="55">
        <f>IF(ROW()-3&gt;COUNTIF(AO$4:AO$40,"&lt;&gt;"&amp;""),"",INDEX(AO$4:AO$40,MATCH(ROW()-3,AP$4:AP$40,0)))</f>
        <v>54000</v>
      </c>
      <c r="AR27">
        <f>AR26+IF(AND(AQ27&lt;&gt;"",COUNTIF(AQ$4:AQ27,AQ27)=1),1,0)</f>
        <v>22</v>
      </c>
      <c r="AS27" s="55">
        <f>IF(ROW()-3&gt;MAX(AR$4:AR$40),"",INDEX(AQ$4:AQ$40,MATCH(ROW()-3,AR$4:AR$40,0)))</f>
        <v>67000</v>
      </c>
      <c r="AT27" s="55">
        <f>IF('Final Calculation Sheet'!$H$27="","",'Final Calculation Sheet'!$H$27)</f>
        <v>549400</v>
      </c>
      <c r="AU27">
        <f>IF(AT27="","",COUNTIFS(AT$4:AT$40,"&lt;"&amp;AT27,AT$4:AT$40,"&lt;&gt;"&amp;"")+COUNTIF(AT$4:AT27,AT27))</f>
        <v>32</v>
      </c>
      <c r="AV27" s="55">
        <f>IF(ROW()-3&gt;COUNTIF(AT$4:AT$40,"&lt;&gt;"&amp;""),"",INDEX(AT$4:AT$40,MATCH(ROW()-3,AU$4:AU$40,0)))</f>
        <v>210001</v>
      </c>
      <c r="AW27">
        <f>AW26+IF(AND(AV27&lt;&gt;"",COUNTIF(AV$4:AV27,AV27)=1),1,0)</f>
        <v>24</v>
      </c>
      <c r="AX27" s="55">
        <f>IF(ROW()-3&gt;MAX(AW$4:AW$40),"",INDEX(AV$4:AV$40,MATCH(ROW()-3,AW$4:AW$40,0)))</f>
        <v>210001</v>
      </c>
      <c r="AY27" s="55">
        <f>IF('Final Calculation Sheet'!$I$27="","",'Final Calculation Sheet'!$I$27)</f>
        <v>98892</v>
      </c>
      <c r="AZ27">
        <f>IF(AY27="","",COUNTIFS(AY$4:AY$40,"&lt;"&amp;AY27,AY$4:AY$40,"&lt;&gt;"&amp;"")+COUNTIF(AY$4:AY27,AY27))</f>
        <v>32</v>
      </c>
      <c r="BA27" s="55">
        <f>IF(ROW()-3&gt;COUNTIF(AY$4:AY$40,"&lt;&gt;"&amp;""),"",INDEX(AY$4:AY$40,MATCH(ROW()-3,AZ$4:AZ$40,0)))</f>
        <v>37800</v>
      </c>
      <c r="BB27">
        <f>BB26+IF(AND(BA27&lt;&gt;"",COUNTIF(BA$4:BA27,BA27)=1),1,0)</f>
        <v>24</v>
      </c>
      <c r="BC27" s="55">
        <f>IF(ROW()-3&gt;MAX(BB$4:BB$40),"",INDEX(BA$4:BA$40,MATCH(ROW()-3,BB$4:BB$40,0)))</f>
        <v>37800</v>
      </c>
      <c r="BD27" s="55">
        <f>IF('Final Calculation Sheet'!$J$27="","",'Final Calculation Sheet'!$J$27)</f>
        <v>648292</v>
      </c>
      <c r="BE27">
        <f>IF(BD27="","",COUNTIFS(BD$4:BD$40,"&lt;"&amp;BD27,BD$4:BD$40,"&lt;&gt;"&amp;"")+COUNTIF(BD$4:BD27,BD27))</f>
        <v>32</v>
      </c>
      <c r="BF27" s="55">
        <f>IF(ROW()-3&gt;COUNTIF(BD$4:BD$40,"&lt;&gt;"&amp;""),"",INDEX(BD$4:BD$40,MATCH(ROW()-3,BE$4:BE$40,0)))</f>
        <v>247801</v>
      </c>
      <c r="BG27">
        <f>BG26+IF(AND(BF27&lt;&gt;"",COUNTIF(BF$4:BF27,BF27)=1),1,0)</f>
        <v>24</v>
      </c>
      <c r="BH27" s="55">
        <f>IF(ROW()-3&gt;MAX(BG$4:BG$40),"",INDEX(BF$4:BF$40,MATCH(ROW()-3,BG$4:BG$40,0)))</f>
        <v>247801</v>
      </c>
      <c r="BI27" s="55">
        <f>IF('Final Calculation Sheet'!$K$27="","",'Final Calculation Sheet'!$K$27)</f>
        <v>12966</v>
      </c>
      <c r="BJ27">
        <f>IF(BI27="","",COUNTIFS(BI$4:BI$40,"&lt;"&amp;BI27,BI$4:BI$40,"&lt;&gt;"&amp;"")+COUNTIF(BI$4:BI27,BI27))</f>
        <v>32</v>
      </c>
      <c r="BK27" s="55">
        <f>IF(ROW()-3&gt;COUNTIF(BI$4:BI$40,"&lt;&gt;"&amp;""),"",INDEX(BI$4:BI$40,MATCH(ROW()-3,BJ$4:BJ$40,0)))</f>
        <v>4956</v>
      </c>
      <c r="BL27">
        <f>BL26+IF(AND(BK27&lt;&gt;"",COUNTIF(BK$4:BK27,BK27)=1),1,0)</f>
        <v>24</v>
      </c>
      <c r="BM27" s="55">
        <f>IF(ROW()-3&gt;MAX(BL$4:BL$40),"",INDEX(BK$4:BK$40,MATCH(ROW()-3,BL$4:BL$40,0)))</f>
        <v>4956</v>
      </c>
      <c r="BN27" s="55">
        <f>IF('Final Calculation Sheet'!$L$27="","",'Final Calculation Sheet'!$L$27)</f>
        <v>549.4</v>
      </c>
      <c r="BO27">
        <f>IF(BN27="","",COUNTIFS(BN$4:BN$40,"&lt;"&amp;BN27,BN$4:BN$40,"&lt;&gt;"&amp;"")+COUNTIF(BN$4:BN27,BN27))</f>
        <v>32</v>
      </c>
      <c r="BP27" s="55">
        <f>IF(ROW()-3&gt;COUNTIF(BN$4:BN$40,"&lt;&gt;"&amp;""),"",INDEX(BN$4:BN$40,MATCH(ROW()-3,BO$4:BO$40,0)))</f>
        <v>210.001</v>
      </c>
      <c r="BQ27">
        <f>BQ26+IF(AND(BP27&lt;&gt;"",COUNTIF(BP$4:BP27,BP27)=1),1,0)</f>
        <v>24</v>
      </c>
      <c r="BR27" s="55">
        <f>IF(ROW()-3&gt;MAX(BQ$4:BQ$40),"",INDEX(BP$4:BP$40,MATCH(ROW()-3,BQ$4:BQ$40,0)))</f>
        <v>210.001</v>
      </c>
      <c r="BS27" s="55">
        <f>IF('Final Calculation Sheet'!$M$27="","",'Final Calculation Sheet'!$M$27)</f>
        <v>14586.57</v>
      </c>
      <c r="BT27">
        <f>IF(BS27="","",COUNTIFS(BS$4:BS$40,"&lt;"&amp;BS27,BS$4:BS$40,"&lt;&gt;"&amp;"")+COUNTIF(BS$4:BS27,BS27))</f>
        <v>32</v>
      </c>
      <c r="BU27" s="55">
        <f>IF(ROW()-3&gt;COUNTIF(BS$4:BS$40,"&lt;&gt;"&amp;""),"",INDEX(BS$4:BS$40,MATCH(ROW()-3,BT$4:BT$40,0)))</f>
        <v>5575.5265499999996</v>
      </c>
      <c r="BV27">
        <f>BV26+IF(AND(BU27&lt;&gt;"",COUNTIF(BU$4:BU27,BU27)=1),1,0)</f>
        <v>24</v>
      </c>
      <c r="BW27" s="55">
        <f>IF(ROW()-3&gt;MAX(BV$4:BV$40),"",INDEX(BU$4:BU$40,MATCH(ROW()-3,BV$4:BV$40,0)))</f>
        <v>5575.5265499999996</v>
      </c>
      <c r="BX27" s="138">
        <f>IF('Final Calculation Sheet'!$N$27="","",'Final Calculation Sheet'!$N$27)</f>
        <v>247.23000000000002</v>
      </c>
      <c r="BY27">
        <f>IF(BX27="","",COUNTIFS(BX$4:BX$40,"&lt;"&amp;BX27,BX$4:BX$40,"&lt;&gt;"&amp;"")+COUNTIF(BX$4:BX27,BX27))</f>
        <v>32</v>
      </c>
      <c r="BZ27" s="138">
        <f>IF(ROW()-3&gt;COUNTIF(BX$4:BX$40,"&lt;&gt;"&amp;""),"",INDEX(BX$4:BX$40,MATCH(ROW()-3,BY$4:BY$40,0)))</f>
        <v>94.500450000000001</v>
      </c>
      <c r="CA27">
        <f>CA26+IF(AND(BZ27&lt;&gt;"",COUNTIF(BZ$4:BZ27,BZ27)=1),1,0)</f>
        <v>24</v>
      </c>
      <c r="CB27" s="138">
        <f>IF(ROW()-3&gt;MAX(CA$4:CA$40),"",INDEX(BZ$4:BZ$40,MATCH(ROW()-3,CA$4:CA$40,0)))</f>
        <v>94.500450000000001</v>
      </c>
      <c r="CC27" s="55">
        <f>IF('Final Calculation Sheet'!$O$27="","",'Final Calculation Sheet'!$O$27)</f>
        <v>14339.34</v>
      </c>
      <c r="CD27">
        <f>IF(CC27="","",COUNTIFS(CC$4:CC$40,"&lt;"&amp;CC27,CC$4:CC$40,"&lt;&gt;"&amp;"")+COUNTIF(CC$4:CC27,CC27))</f>
        <v>32</v>
      </c>
      <c r="CE27" s="55">
        <f>IF(ROW()-3&gt;COUNTIF(CC$4:CC$40,"&lt;&gt;"&amp;""),"",INDEX(CC$4:CC$40,MATCH(ROW()-3,CD$4:CD$40,0)))</f>
        <v>5481.0260999999991</v>
      </c>
      <c r="CF27">
        <f>CF26+IF(AND(CE27&lt;&gt;"",COUNTIF(CE$4:CE27,CE27)=1),1,0)</f>
        <v>24</v>
      </c>
      <c r="CG27" s="55">
        <f>IF(ROW()-3&gt;MAX(CF$4:CF$40),"",INDEX(CE$4:CE$40,MATCH(ROW()-3,CF$4:CF$40,0)))</f>
        <v>5481.0260999999991</v>
      </c>
      <c r="CH27" s="55">
        <f>IF('Final Calculation Sheet'!$P$27="","",'Final Calculation Sheet'!$P$27)</f>
        <v>14889</v>
      </c>
      <c r="CI27">
        <f>IF(CH27="","",COUNTIFS(CH$4:CH$40,"&lt;"&amp;CH27,CH$4:CH$40,"&lt;&gt;"&amp;"")+COUNTIF(CH$4:CH27,CH27))</f>
        <v>32</v>
      </c>
      <c r="CJ27" s="55">
        <f>IF(ROW()-3&gt;COUNTIF(CH$4:CH$40,"&lt;&gt;"&amp;""),"",INDEX(CH$4:CH$40,MATCH(ROW()-3,CI$4:CI$40,0)))</f>
        <v>5691</v>
      </c>
      <c r="CK27">
        <f>CK26+IF(AND(CJ27&lt;&gt;"",COUNTIF(CJ$4:CJ27,CJ27)=1),1,0)</f>
        <v>24</v>
      </c>
      <c r="CL27" s="55">
        <f>IF(ROW()-3&gt;MAX(CK$4:CK$40),"",INDEX(CJ$4:CJ$40,MATCH(ROW()-3,CK$4:CK$40,0)))</f>
        <v>5691</v>
      </c>
      <c r="CM27" s="139">
        <f>IF('Final Calculation Sheet'!$Q$27="","",'Final Calculation Sheet'!$Q$27)</f>
        <v>0.02</v>
      </c>
      <c r="CN27">
        <f>IF(CM27="","",COUNTIFS(CM$4:CM$40,"&lt;"&amp;CM27,CM$4:CM$40,"&lt;&gt;"&amp;"")+COUNTIF(CM$4:CM27,CM27))</f>
        <v>37</v>
      </c>
      <c r="CO27" s="139">
        <f>IF(ROW()-3&gt;COUNTIF(CM$4:CM$40,"&lt;&gt;"&amp;""),"",INDEX(CM$4:CM$40,MATCH(ROW()-3,CN$4:CN$40,0)))</f>
        <v>0</v>
      </c>
      <c r="CP27">
        <f>CP26+IF(AND(CO27&lt;&gt;"",COUNTIF(CO$4:CO27,CO27)=1),1,0)</f>
        <v>1</v>
      </c>
      <c r="CQ27" t="str">
        <f>IF(ROW()-3&gt;MAX(CP$4:CP$40),"",INDEX(CO$4:CO$40,MATCH(ROW()-3,CP$4:CP$40,0)))</f>
        <v/>
      </c>
      <c r="CR27" s="55">
        <f>IF('Final Calculation Sheet'!$R$27="","",'Final Calculation Sheet'!$R$27)</f>
        <v>10988</v>
      </c>
      <c r="CS27">
        <f>IF(CR27="","",COUNTIFS(CR$4:CR$40,"&lt;"&amp;CR27,CR$4:CR$40,"&lt;&gt;"&amp;"")+COUNTIF(CR$4:CR27,CR27))</f>
        <v>34</v>
      </c>
      <c r="CT27" s="55">
        <f>IF(ROW()-3&gt;COUNTIF(CR$4:CR$40,"&lt;&gt;"&amp;""),"",INDEX(CR$4:CR$40,MATCH(ROW()-3,CS$4:CS$40,0)))</f>
        <v>0</v>
      </c>
      <c r="CU27">
        <f>CU26+IF(AND(CT27&lt;&gt;"",COUNTIF(CT$4:CT27,CT27)=1),1,0)</f>
        <v>1</v>
      </c>
      <c r="CV27" t="str">
        <f>IF(ROW()-3&gt;MAX(CU$4:CU$40),"",INDEX(CT$4:CT$40,MATCH(ROW()-3,CU$4:CU$40,0)))</f>
        <v/>
      </c>
      <c r="CW27" s="55">
        <f>IF('Final Calculation Sheet'!$S$27="","",'Final Calculation Sheet'!$S$27)</f>
        <v>635381</v>
      </c>
      <c r="CX27">
        <f>IF(CW27="","",COUNTIFS(CW$4:CW$40,"&lt;"&amp;CW27,CW$4:CW$40,"&lt;&gt;"&amp;"")+COUNTIF(CW$4:CW27,CW27))</f>
        <v>32</v>
      </c>
      <c r="CY27" s="55">
        <f>IF(ROW()-3&gt;COUNTIF(CW$4:CW$40,"&lt;&gt;"&amp;""),"",INDEX(CW$4:CW$40,MATCH(ROW()-3,CX$4:CX$40,0)))</f>
        <v>247066</v>
      </c>
      <c r="CZ27">
        <f>CZ26+IF(AND(CY27&lt;&gt;"",COUNTIF(CY$4:CY27,CY27)=1),1,0)</f>
        <v>24</v>
      </c>
      <c r="DA27" s="55">
        <f>IF(ROW()-3&gt;MAX(CZ$4:CZ$40),"",INDEX(CY$4:CY$40,MATCH(ROW()-3,CZ$4:CZ$40,0)))</f>
        <v>247066</v>
      </c>
      <c r="DB27" s="55">
        <f>IF('Final Calculation Sheet'!$T$27="","",'Final Calculation Sheet'!$T$27)</f>
        <v>137350</v>
      </c>
      <c r="DC27">
        <f>IF(DB27="","",COUNTIFS(DB$4:DB$40,"&lt;"&amp;DB27,DB$4:DB$40,"&lt;&gt;"&amp;"")+COUNTIF(DB$4:DB27,DB27))</f>
        <v>32</v>
      </c>
      <c r="DD27" s="55">
        <f>IF(ROW()-3&gt;COUNTIF(DB$4:DB$40,"&lt;&gt;"&amp;""),"",INDEX(DB$4:DB$40,MATCH(ROW()-3,DC$4:DC$40,0)))</f>
        <v>52500</v>
      </c>
      <c r="DE27">
        <f>DE26+IF(AND(DD27&lt;&gt;"",COUNTIF(DD$4:DD27,DD27)=1),1,0)</f>
        <v>24</v>
      </c>
      <c r="DF27" s="55">
        <f>IF(ROW()-3&gt;MAX(DE$4:DE$40),"",INDEX(DD$4:DD$40,MATCH(ROW()-3,DE$4:DE$40,0)))</f>
        <v>52500</v>
      </c>
      <c r="DG27" s="140">
        <f>IF('Final Calculation Sheet'!$U$27="","",'Final Calculation Sheet'!$U$27)</f>
        <v>137350</v>
      </c>
      <c r="DH27">
        <f>IF(DG27="","",COUNTIFS(DG$4:DG$40,"&lt;"&amp;DG27,DG$4:DG$40,"&lt;&gt;"&amp;"")+COUNTIF(DG$4:DG27,DG27))</f>
        <v>32</v>
      </c>
      <c r="DI27" s="140">
        <f>IF(ROW()-3&gt;COUNTIF(DG$4:DG$40,"&lt;&gt;"&amp;""),"",INDEX(DG$4:DG$40,MATCH(ROW()-3,DH$4:DH$40,0)))</f>
        <v>52500</v>
      </c>
      <c r="DJ27">
        <f>DJ26+IF(AND(DI27&lt;&gt;"",COUNTIF(DI$4:DI27,DI27)=1),1,0)</f>
        <v>24</v>
      </c>
      <c r="DK27" s="140">
        <f>IF(ROW()-3&gt;MAX(DJ$4:DJ$40),"",INDEX(DI$4:DI$40,MATCH(ROW()-3,DJ$4:DJ$40,0)))</f>
        <v>52500</v>
      </c>
      <c r="DL27" t="str">
        <f>IF('Final Calculation Sheet'!$V$27="","",'Final Calculation Sheet'!$V$27)</f>
        <v>14.08.2026</v>
      </c>
      <c r="DM27">
        <f>IF(DL27="","",COUNTIFS(DL$4:DL$40,"&lt;"&amp;DL27,DL$4:DL$40,"&lt;&gt;"&amp;"")+COUNTIF(DL$4:DL27,DL27))</f>
        <v>31</v>
      </c>
      <c r="DN27" t="str">
        <f>IF(ROW()-3&gt;COUNTIF(DL$4:DL$40,"&lt;&gt;"&amp;""),"",INDEX(DL$4:DL$40,MATCH(ROW()-3,DM$4:DM$40,0)))</f>
        <v>13.08.2026</v>
      </c>
      <c r="DO27">
        <f>DO26+IF(AND(DN27&lt;&gt;"",COUNTIF(DN$4:DN27,DN27)=1),1,0)</f>
        <v>3</v>
      </c>
      <c r="DP27" t="str">
        <f>IF(ROW()-3&gt;MAX(DO$4:DO$40),"",INDEX(DN$4:DN$40,MATCH(ROW()-3,DO$4:DO$40,0)))</f>
        <v/>
      </c>
      <c r="DQ27" s="55">
        <f>IF('Final Calculation Sheet'!$W$27="","",'Final Calculation Sheet'!$W$27)</f>
        <v>498031</v>
      </c>
      <c r="DR27">
        <f>IF(DQ27="","",COUNTIFS(DQ$4:DQ$40,"&lt;"&amp;DQ27,DQ$4:DQ$40,"&lt;&gt;"&amp;"")+COUNTIF(DQ$4:DQ27,DQ27))</f>
        <v>32</v>
      </c>
      <c r="DS27" s="55">
        <f>IF(ROW()-3&gt;COUNTIF(DQ$4:DQ$40,"&lt;&gt;"&amp;""),"",INDEX(DQ$4:DQ$40,MATCH(ROW()-3,DR$4:DR$40,0)))</f>
        <v>194566</v>
      </c>
      <c r="DT27">
        <f>DT26+IF(AND(DS27&lt;&gt;"",COUNTIF(DS$4:DS27,DS27)=1),1,0)</f>
        <v>24</v>
      </c>
      <c r="DU27" s="55">
        <f>IF(ROW()-3&gt;MAX(DT$4:DT$40),"",INDEX(DS$4:DS$40,MATCH(ROW()-3,DT$4:DT$40,0)))</f>
        <v>194566</v>
      </c>
      <c r="DV27" t="str">
        <f>IF('Final Calculation Sheet'!$X$27="","",'Final Calculation Sheet'!$X$27)</f>
        <v/>
      </c>
      <c r="DW27" t="str">
        <f>IF(DV27="","",COUNTIFS(DV$4:DV$40,"&lt;"&amp;DV27,DV$4:DV$40,"&lt;&gt;"&amp;"")+COUNTIF(DV$4:DV27,DV27))</f>
        <v/>
      </c>
      <c r="DX27" s="55">
        <f>IF(ROW()-3&gt;COUNTIF(DV$4:DV$40,"&lt;&gt;"&amp;""),"",INDEX(DV$4:DV$40,MATCH(ROW()-3,DW$4:DW$40,0)))</f>
        <v>194568</v>
      </c>
      <c r="DY27">
        <f>DY26+IF(AND(DX27&lt;&gt;"",COUNTIF(DX$4:DX27,DX27)=1),1,0)</f>
        <v>24</v>
      </c>
      <c r="DZ27" t="e">
        <f>IF(ROW()-3&gt;MAX(DY$4:DY$40),"",INDEX(DX$4:DX$40,MATCH(ROW()-3,DY$4:DY$40,0)))</f>
        <v>#N/A</v>
      </c>
      <c r="EA27" s="55">
        <f>IF('Final Calculation Sheet'!$Y$27="","",'Final Calculation Sheet'!$Y$27)</f>
        <v>0</v>
      </c>
      <c r="EB27">
        <f>IF(EA27="","",COUNTIFS(EA$4:EA$40,"&lt;"&amp;EA27,EA$4:EA$40,"&lt;&gt;"&amp;"")+COUNTIF(EA$4:EA27,EA27))</f>
        <v>1</v>
      </c>
      <c r="EC27" t="str">
        <f>IF(ROW()-3&gt;COUNTIF(EA$4:EA$40,"&lt;&gt;"&amp;""),"",INDEX(EA$4:EA$40,MATCH(ROW()-3,EB$4:EB$40,0)))</f>
        <v>24.08.2026</v>
      </c>
      <c r="ED27">
        <f>ED26+IF(AND(EC27&lt;&gt;"",COUNTIF(EC$4:EC27,EC27)=1),1,0)</f>
        <v>9</v>
      </c>
      <c r="EE27" t="e">
        <f>IF(ROW()-3&gt;MAX(ED$4:ED$40),"",INDEX(EC$4:EC$40,MATCH(ROW()-3,ED$4:ED$40,0)))</f>
        <v>#N/A</v>
      </c>
      <c r="EF27" s="55">
        <f>IF('Final Calculation Sheet'!$Z$27="","",'Final Calculation Sheet'!$Z$27)</f>
        <v>19448.760000000002</v>
      </c>
      <c r="EG27">
        <f>IF(EF27="","",COUNTIFS(EF$4:EF$40,"&lt;"&amp;EF27,EF$4:EF$40,"&lt;&gt;"&amp;"")+COUNTIF(EF$4:EF27,EF27))</f>
        <v>37</v>
      </c>
      <c r="EH27" s="55">
        <f>IF(ROW()-3&gt;COUNTIF(EF$4:EF$40,"&lt;&gt;"&amp;""),"",INDEX(EF$4:EF$40,MATCH(ROW()-3,EG$4:EG$40,0)))</f>
        <v>0</v>
      </c>
      <c r="EI27">
        <f>EI26+IF(AND(EH27&lt;&gt;"",COUNTIF(EH$4:EH27,EH27)=1),1,0)</f>
        <v>1</v>
      </c>
      <c r="EJ27" t="str">
        <f>IF(ROW()-3&gt;MAX(EI$4:EI$40),"",INDEX(EH$4:EH$40,MATCH(ROW()-3,EI$4:EI$40,0)))</f>
        <v/>
      </c>
      <c r="EK27" t="str">
        <f>IF('Final Calculation Sheet'!$AA$27="","",'Final Calculation Sheet'!$AA$27)</f>
        <v/>
      </c>
      <c r="EL27" t="str">
        <f>IF(EK27="","",COUNTIFS(EK$4:EK$40,"&lt;"&amp;EK27,EK$4:EK$40,"&lt;&gt;"&amp;"")+COUNTIF(EK$4:EK27,EK27))</f>
        <v/>
      </c>
      <c r="EM27" t="e">
        <f>IF(ROW()-3&gt;COUNTIF(EK$4:EK$40,"&lt;&gt;"&amp;""),"",INDEX(EK$4:EK$40,MATCH(ROW()-3,EL$4:EL$40,0)))</f>
        <v>#N/A</v>
      </c>
      <c r="EN27" t="e">
        <f>EN26+IF(AND(EM27&lt;&gt;"",COUNTIF(EM$4:EM27,EM27)=1),1,0)</f>
        <v>#N/A</v>
      </c>
      <c r="EO27" t="e">
        <f>IF(ROW()-3&gt;MAX(EN$4:EN$40),"",INDEX(EM$4:EM$40,MATCH(ROW()-3,EN$4:EN$40,0)))</f>
        <v>#N/A</v>
      </c>
      <c r="EP27" t="str">
        <f>IF('Final Calculation Sheet'!$AB$27="","",'Final Calculation Sheet'!$AB$27)</f>
        <v/>
      </c>
      <c r="EQ27" t="str">
        <f>IF(EP27="","",COUNTIFS(EP$4:EP$40,"&lt;"&amp;EP27,EP$4:EP$40,"&lt;&gt;"&amp;"")+COUNTIF(EP$4:EP27,EP27))</f>
        <v/>
      </c>
      <c r="ER27" t="e">
        <f>IF(ROW()-3&gt;COUNTIF(EP$4:EP$40,"&lt;&gt;"&amp;""),"",INDEX(EP$4:EP$40,MATCH(ROW()-3,EQ$4:EQ$40,0)))</f>
        <v>#N/A</v>
      </c>
      <c r="ES27" t="e">
        <f>ES26+IF(AND(ER27&lt;&gt;"",COUNTIF(ER$4:ER27,ER27)=1),1,0)</f>
        <v>#N/A</v>
      </c>
      <c r="ET27" t="e">
        <f>IF(ROW()-3&gt;MAX(ES$4:ES$40),"",INDEX(ER$4:ER$40,MATCH(ROW()-3,ES$4:ES$40,0)))</f>
        <v>#N/A</v>
      </c>
      <c r="EU27" s="55">
        <f>IF('Final Calculation Sheet'!$AC$27="","",'Final Calculation Sheet'!$AC$27)</f>
        <v>137350</v>
      </c>
      <c r="EV27">
        <f>IF(EU27="","",COUNTIFS(EU$4:EU$40,"&lt;"&amp;EU27,EU$4:EU$40,"&lt;&gt;"&amp;"")+COUNTIF(EU$4:EU27,EU27))</f>
        <v>18</v>
      </c>
      <c r="EW27" s="55">
        <f>IF(ROW()-3&gt;COUNTIF(EU$4:EU$40,"&lt;&gt;"&amp;""),"",INDEX(EU$4:EU$40,MATCH(ROW()-3,EV$4:EV$40,0)))</f>
        <v>242411</v>
      </c>
      <c r="EX27">
        <f>EX26+IF(AND(EW27&lt;&gt;"",COUNTIF(EW$4:EW27,EW27)=1),1,0)</f>
        <v>24</v>
      </c>
      <c r="EY27" s="55">
        <f>IF(ROW()-3&gt;MAX(EX$4:EX$40),"",INDEX(EW$4:EW$40,MATCH(ROW()-3,EX$4:EX$40,0)))</f>
        <v>242411</v>
      </c>
      <c r="EZ27" s="55">
        <f>IF('Final Calculation Sheet'!$AD$27="","",'Final Calculation Sheet'!$AD$27)</f>
        <v>498031</v>
      </c>
      <c r="FA27">
        <f>IF(EZ27="","",COUNTIFS(EZ$4:EZ$40,"&lt;"&amp;EZ27,EZ$4:EZ$40,"&lt;&gt;"&amp;"")+COUNTIF(EZ$4:EZ27,EZ27))</f>
        <v>37</v>
      </c>
      <c r="FB27" s="55">
        <f>IF(ROW()-3&gt;COUNTIF(EZ$4:EZ$40,"&lt;&gt;"&amp;""),"",INDEX(EZ$4:EZ$40,MATCH(ROW()-3,FA$4:FA$40,0)))</f>
        <v>0</v>
      </c>
      <c r="FC27" t="e">
        <f>FC26+IF(AND(FB27&lt;&gt;"",COUNTIF(FB$4:FB27,FB27)=1),1,0)</f>
        <v>#N/A</v>
      </c>
      <c r="FD27" t="e">
        <f>IF(ROW()-3&gt;MAX(FC$4:FC$40),"",INDEX(FB$4:FB$40,MATCH(ROW()-3,FC$4:FC$40,0)))</f>
        <v>#N/A</v>
      </c>
      <c r="FE27" t="str">
        <f>IF('Final Calculation Sheet'!$AE$27="","",'Final Calculation Sheet'!$AE$27)</f>
        <v/>
      </c>
      <c r="FF27" t="str">
        <f>IF(FE27="","",COUNTIFS(FE$4:FE$40,"&lt;"&amp;FE27,FE$4:FE$40,"&lt;&gt;"&amp;"")+COUNTIF(FE$4:FE27,FE27))</f>
        <v/>
      </c>
      <c r="FG27" t="str">
        <f>IF(ROW()-3&gt;COUNTIF(FE$4:FE$40,"&lt;&gt;"&amp;""),"",INDEX(FE$4:FE$40,MATCH(ROW()-3,FF$4:FF$40,0)))</f>
        <v>DR2640100035</v>
      </c>
      <c r="FH27" t="e">
        <f>FH26+IF(AND(FG27&lt;&gt;"",COUNTIF(FG$4:FG27,FG27)=1),1,0)</f>
        <v>#N/A</v>
      </c>
      <c r="FI27" t="e">
        <f>IF(ROW()-3&gt;MAX(FH$4:FH$40),"",INDEX(FG$4:FG$40,MATCH(ROW()-3,FH$4:FH$40,0)))</f>
        <v>#N/A</v>
      </c>
      <c r="FJ27" t="str">
        <f>IF('Final Calculation Sheet'!$AF$27="","",'Final Calculation Sheet'!$AF$27)</f>
        <v/>
      </c>
      <c r="FK27" t="str">
        <f>IF(FJ27="","",COUNTIFS(FJ$4:FJ$40,"&lt;"&amp;FJ27,FJ$4:FJ$40,"&lt;&gt;"&amp;"")+COUNTIF(FJ$4:FJ27,FJ27))</f>
        <v/>
      </c>
      <c r="FL27" s="141">
        <f>IF(ROW()-3&gt;COUNTIF(FJ$4:FJ$40,"&lt;&gt;"&amp;""),"",INDEX(FJ$4:FJ$40,MATCH(ROW()-3,FK$4:FK$40,0)))</f>
        <v>1800003312</v>
      </c>
      <c r="FM27">
        <f>FM26+IF(AND(FL27&lt;&gt;"",COUNTIF(FL$4:FL27,FL27)=1),1,0)</f>
        <v>24</v>
      </c>
      <c r="FN27" t="e">
        <f>IF(ROW()-3&gt;MAX(FM$4:FM$40),"",INDEX(FL$4:FL$40,MATCH(ROW()-3,FM$4:FM$40,0)))</f>
        <v>#N/A</v>
      </c>
      <c r="FO27" t="str">
        <f>IF('Final Calculation Sheet'!$AG$27="","",'Final Calculation Sheet'!$AG$27)</f>
        <v/>
      </c>
      <c r="FP27" t="str">
        <f>IF(FO27="","",COUNTIFS(FO$4:FO$40,"&lt;"&amp;FO27,FO$4:FO$40,"&lt;&gt;"&amp;"")+COUNTIF(FO$4:FO27,FO27))</f>
        <v/>
      </c>
      <c r="FQ27" t="str">
        <f>IF(ROW()-3&gt;COUNTIF(FO$4:FO$40,"&lt;&gt;"&amp;""),"",INDEX(FO$4:FO$40,MATCH(ROW()-3,FP$4:FP$40,0)))</f>
        <v>27.08.2026</v>
      </c>
      <c r="FR27" t="e">
        <f>FR26+IF(AND(FQ27&lt;&gt;"",COUNTIF(FQ$4:FQ27,FQ27)=1),1,0)</f>
        <v>#N/A</v>
      </c>
      <c r="FS27" t="e">
        <f>IF(ROW()-3&gt;MAX(FR$4:FR$40),"",INDEX(FQ$4:FQ$40,MATCH(ROW()-3,FR$4:FR$40,0)))</f>
        <v>#N/A</v>
      </c>
      <c r="FU27" t="str">
        <f>IF(FT27="","",COUNTIFS(FT$4:FT$40,"&lt;"&amp;FT27,FT$4:FT$40,"&lt;&gt;"&amp;"")+COUNTIF(FT$4:FT27,FT27))</f>
        <v/>
      </c>
      <c r="FV27" t="str">
        <f>IF(ROW()-3&gt;COUNTIF(FT$4:FT$40,"&lt;&gt;"&amp;""),"",INDEX(FT$4:FT$40,MATCH(ROW()-3,FU$4:FU$40,0)))</f>
        <v/>
      </c>
      <c r="FW27">
        <f>FW26+IF(AND(FV27&lt;&gt;"",COUNTIF(FV$4:FV27,FV27)=1),1,0)</f>
        <v>2</v>
      </c>
      <c r="FX27" t="str">
        <f>IF(ROW()-3&gt;MAX(FW$4:FW$40),"",INDEX(FV$4:FV$40,MATCH(ROW()-3,FW$4:FW$40,0)))</f>
        <v/>
      </c>
    </row>
    <row r="28">
      <c r="A28">
        <f>IF('Final Calculation Sheet'!$F$28="","",'Final Calculation Sheet'!$F$28)</f>
        <v>2037</v>
      </c>
      <c r="B28">
        <f>IF(A28="","",COUNTIFS(A$4:A$114,"&lt;"&amp;A28,A$4:A$114,"&lt;&gt;"&amp;"")+COUNTIF(A$4:A28,A28))</f>
        <v>25</v>
      </c>
      <c r="C28">
        <f>IF(ROW()-3&gt;COUNTIF(A$4:A$114,"&lt;&gt;"&amp;""),"",INDEX(A$4:A$114,MATCH(ROW()-3,B$4:B$114,0)))</f>
        <v>2037</v>
      </c>
      <c r="D28">
        <f>D27+IF(AND(C28&lt;&gt;"",COUNTIF(C$4:C28,C28)=1),1,0)</f>
        <v>25</v>
      </c>
      <c r="E28" t="e">
        <f>IF(ROW()-3&gt;MAX(D$4:D$114),"",INDEX(C$4:C$114,MATCH(ROW()-3,D$4:D$114,0)))</f>
        <v>#N/A</v>
      </c>
      <c r="F28">
        <f>ROW()-3</f>
        <v>25</v>
      </c>
      <c r="G28">
        <f>IF(F28="","",COUNTIFS(F$4:F$40,"&lt;"&amp;F28,F$4:F$40,"&lt;&gt;"&amp;"")+COUNTIF(F$4:F28,F28))</f>
        <v>25</v>
      </c>
      <c r="H28">
        <f>IF(ROW()-3&gt;COUNTIF(F$4:F$40,"&lt;&gt;"&amp;""),"",INDEX(F$4:F$40,MATCH(ROW()-3,G$4:G$40,0)))</f>
        <v>25</v>
      </c>
      <c r="I28">
        <f>I27+IF(AND(H28&lt;&gt;"",COUNTIF(H$4:H28,H28)=1),1,0)</f>
        <v>25</v>
      </c>
      <c r="J28">
        <f>IF(ROW()-3&gt;MAX(I$4:I$40),"",INDEX(H$4:H$40,MATCH(ROW()-3,I$4:I$40,0)))</f>
        <v>25</v>
      </c>
      <c r="K28">
        <f>IF('Final Calculation Sheet'!$F$28="","",'Final Calculation Sheet'!$F$28)</f>
        <v>2037</v>
      </c>
      <c r="L28">
        <f>IF(K28="","",COUNTIFS(K$4:K$40,"&lt;"&amp;K28,K$4:K$40,"&lt;&gt;"&amp;"")+COUNTIF(K$4:K28,K28))</f>
        <v>25</v>
      </c>
      <c r="M28">
        <f>IF(ROW()-3&gt;COUNTIF(K$4:K$40,"&lt;&gt;"&amp;""),"",INDEX(K$4:K$40,MATCH(ROW()-3,L$4:L$40,0)))</f>
        <v>2037</v>
      </c>
      <c r="N28">
        <f>N27+IF(AND(M28&lt;&gt;"",COUNTIF(M$4:M28,M28)=1),1,0)</f>
        <v>25</v>
      </c>
      <c r="O28">
        <f>IF(ROW()-3&gt;MAX(N$4:N$40),"",INDEX(M$4:M$40,MATCH(ROW()-3,N$4:N$40,0)))</f>
        <v>2037</v>
      </c>
      <c r="P28" t="str">
        <f>IF('Final Calculation Sheet'!$G$28="","",'Final Calculation Sheet'!$G$28)</f>
        <v>WATAN SCRAP TRADERS</v>
      </c>
      <c r="Q28">
        <f>IF(P28="","",COUNTIFS(P$4:P$40,"&lt;"&amp;P28,P$4:P$40,"&lt;&gt;"&amp;"")+COUNTIF(P$4:P28,P28))</f>
        <v>36</v>
      </c>
      <c r="R28" t="str">
        <f>IF(ROW()-3&gt;COUNTIF(P$4:P$40,"&lt;&gt;"&amp;""),"",INDEX(P$4:P$40,MATCH(ROW()-3,Q$4:Q$40,0)))</f>
        <v>SAHARA ENTERPRISES</v>
      </c>
      <c r="S28">
        <f>S27+IF(AND(R28&lt;&gt;"",COUNTIF(R$4:R28,R28)=1),1,0)</f>
        <v>10</v>
      </c>
      <c r="T28" t="str">
        <f>IF(ROW()-3&gt;MAX(S$4:S$40),"",INDEX(R$4:R$40,MATCH(ROW()-3,S$4:S$40,0)))</f>
        <v/>
      </c>
      <c r="U28" t="str">
        <f>IF('Final Calculation Sheet'!$B$28="","",'Final Calculation Sheet'!$B$28)</f>
        <v>Scrap of empty oil Barrels</v>
      </c>
      <c r="V28">
        <f>IF(U28="","",COUNTIFS(U$4:U$40,"&lt;"&amp;U28,U$4:U$40,"&lt;&gt;"&amp;"")+COUNTIF(U$4:U28,U28))</f>
        <v>29</v>
      </c>
      <c r="W28" t="str">
        <f>IF(ROW()-3&gt;COUNTIF(U$4:U$40,"&lt;&gt;"&amp;""),"",INDEX(U$4:U$40,MATCH(ROW()-3,V$4:V$40,0)))</f>
        <v>Scrap of Copper of faulty AC compressor</v>
      </c>
      <c r="X28">
        <f>X27+IF(AND(W28&lt;&gt;"",COUNTIF(W$4:W28,W28)=1),1,0)</f>
        <v>18</v>
      </c>
      <c r="Y28" t="str">
        <f>IF(ROW()-3&gt;MAX(X$4:X$40),"",INDEX(W$4:W$40,MATCH(ROW()-3,X$4:X$40,0)))</f>
        <v>Scrap Power Transformer</v>
      </c>
      <c r="Z28">
        <f>IF('Final Calculation Sheet'!$D$28="","",'Final Calculation Sheet'!$D$28)</f>
        <v>21978</v>
      </c>
      <c r="AA28">
        <f>IF(Z28="","",COUNTIFS(Z$4:Z$40,"&lt;"&amp;Z28,Z$4:Z$40,"&lt;&gt;"&amp;"")+COUNTIF(Z$4:Z28,Z28))</f>
        <v>23</v>
      </c>
      <c r="AB28">
        <f>IF(ROW()-3&gt;COUNTIF(Z$4:Z$40,"&lt;&gt;"&amp;""),"",INDEX(Z$4:Z$40,MATCH(ROW()-3,AA$4:AA$40,0)))</f>
        <v>21979</v>
      </c>
      <c r="AC28">
        <f>AC27+IF(AND(AB28&lt;&gt;"",COUNTIF(AB$4:AB28,AB28)=1),1,0)</f>
        <v>3</v>
      </c>
      <c r="AD28" t="str">
        <f>IF(ROW()-3&gt;MAX(AC$4:AC$40),"",INDEX(AB$4:AB$40,MATCH(ROW()-3,AC$4:AC$40,0)))</f>
        <v/>
      </c>
      <c r="AE28">
        <f>IF('Final Calculation Sheet'!$A$28="","",'Final Calculation Sheet'!$A$28)</f>
        <v>50</v>
      </c>
      <c r="AF28">
        <f>IF(AE28="","",COUNTIFS(AE$4:AE$40,"&lt;"&amp;AE28,AE$4:AE$40,"&lt;&gt;"&amp;"")+COUNTIF(AE$4:AE28,AE28))</f>
        <v>26</v>
      </c>
      <c r="AG28">
        <f>IF(ROW()-3&gt;COUNTIF(AE$4:AE$40,"&lt;&gt;"&amp;""),"",INDEX(AE$4:AE$40,MATCH(ROW()-3,AF$4:AF$40,0)))</f>
        <v>30</v>
      </c>
      <c r="AH28">
        <f>AH27+IF(AND(AG28&lt;&gt;"",COUNTIF(AG$4:AG28,AG28)=1),1,0)</f>
        <v>10</v>
      </c>
      <c r="AI28" t="str">
        <f>IF(ROW()-3&gt;MAX(AH$4:AH$40),"",INDEX(AG$4:AG$40,MATCH(ROW()-3,AH$4:AH$40,0)))</f>
        <v/>
      </c>
      <c r="AJ28" t="str">
        <f>IF('Final Calculation Sheet'!$E$28="","",'Final Calculation Sheet'!$E$28)</f>
        <v>NO</v>
      </c>
      <c r="AK28">
        <f>IF(AJ28="","",COUNTIFS(AJ$4:AJ$40,"&lt;"&amp;AJ28,AJ$4:AJ$40,"&lt;&gt;"&amp;"")+COUNTIF(AJ$4:AJ28,AJ28))</f>
        <v>26</v>
      </c>
      <c r="AL28" t="str">
        <f>IF(ROW()-3&gt;COUNTIF(AJ$4:AJ$40,"&lt;&gt;"&amp;""),"",INDEX(AJ$4:AJ$40,MATCH(ROW()-3,AK$4:AK$40,0)))</f>
        <v>NO</v>
      </c>
      <c r="AM28">
        <f>AM27+IF(AND(AL28&lt;&gt;"",COUNTIF(AL$4:AL28,AL28)=1),1,0)</f>
        <v>3</v>
      </c>
      <c r="AN28" t="str">
        <f>IF(ROW()-3&gt;MAX(AM$4:AM$40),"",INDEX(AL$4:AL$40,MATCH(ROW()-3,AM$4:AM$40,0)))</f>
        <v/>
      </c>
      <c r="AO28" s="55">
        <f>IF('Final Calculation Sheet'!$C$28="","",'Final Calculation Sheet'!$C$28)</f>
        <v>531</v>
      </c>
      <c r="AP28">
        <f>IF(AO28="","",COUNTIFS(AO$4:AO$40,"&lt;"&amp;AO28,AO$4:AO$40,"&lt;&gt;"&amp;"")+COUNTIF(AO$4:AO28,AO28))</f>
        <v>6</v>
      </c>
      <c r="AQ28" s="55">
        <f>IF(ROW()-3&gt;COUNTIF(AO$4:AO$40,"&lt;&gt;"&amp;""),"",INDEX(AO$4:AO$40,MATCH(ROW()-3,AP$4:AP$40,0)))</f>
        <v>65007</v>
      </c>
      <c r="AR28">
        <f>AR27+IF(AND(AQ28&lt;&gt;"",COUNTIF(AQ$4:AQ28,AQ28)=1),1,0)</f>
        <v>23</v>
      </c>
      <c r="AS28" s="55">
        <f>IF(ROW()-3&gt;MAX(AR$4:AR$40),"",INDEX(AQ$4:AQ$40,MATCH(ROW()-3,AR$4:AR$40,0)))</f>
        <v>70001</v>
      </c>
      <c r="AT28" s="55">
        <f>IF('Final Calculation Sheet'!$H$28="","",'Final Calculation Sheet'!$H$28)</f>
        <v>26550</v>
      </c>
      <c r="AU28">
        <f>IF(AT28="","",COUNTIFS(AT$4:AT$40,"&lt;"&amp;AT28,AT$4:AT$40,"&lt;&gt;"&amp;"")+COUNTIF(AT$4:AT28,AT28))</f>
        <v>4</v>
      </c>
      <c r="AV28" s="55">
        <f>IF(ROW()-3&gt;COUNTIF(AT$4:AT$40,"&lt;&gt;"&amp;""),"",INDEX(AT$4:AT$40,MATCH(ROW()-3,AU$4:AU$40,0)))</f>
        <v>210003</v>
      </c>
      <c r="AW28">
        <f>AW27+IF(AND(AV28&lt;&gt;"",COUNTIF(AV$4:AV28,AV28)=1),1,0)</f>
        <v>25</v>
      </c>
      <c r="AX28" s="55">
        <f>IF(ROW()-3&gt;MAX(AW$4:AW$40),"",INDEX(AV$4:AV$40,MATCH(ROW()-3,AW$4:AW$40,0)))</f>
        <v>210003</v>
      </c>
      <c r="AY28" s="55">
        <f>IF('Final Calculation Sheet'!$I$28="","",'Final Calculation Sheet'!$I$28)</f>
        <v>4779</v>
      </c>
      <c r="AZ28">
        <f>IF(AY28="","",COUNTIFS(AY$4:AY$40,"&lt;"&amp;AY28,AY$4:AY$40,"&lt;&gt;"&amp;"")+COUNTIF(AY$4:AY28,AY28))</f>
        <v>4</v>
      </c>
      <c r="BA28" s="55">
        <f>IF(ROW()-3&gt;COUNTIF(AY$4:AY$40,"&lt;&gt;"&amp;""),"",INDEX(AY$4:AY$40,MATCH(ROW()-3,AZ$4:AZ$40,0)))</f>
        <v>37801</v>
      </c>
      <c r="BB28">
        <f>BB27+IF(AND(BA28&lt;&gt;"",COUNTIF(BA$4:BA28,BA28)=1),1,0)</f>
        <v>25</v>
      </c>
      <c r="BC28" s="55">
        <f>IF(ROW()-3&gt;MAX(BB$4:BB$40),"",INDEX(BA$4:BA$40,MATCH(ROW()-3,BB$4:BB$40,0)))</f>
        <v>37801</v>
      </c>
      <c r="BD28" s="55">
        <f>IF('Final Calculation Sheet'!$J$28="","",'Final Calculation Sheet'!$J$28)</f>
        <v>31329</v>
      </c>
      <c r="BE28">
        <f>IF(BD28="","",COUNTIFS(BD$4:BD$40,"&lt;"&amp;BD28,BD$4:BD$40,"&lt;&gt;"&amp;"")+COUNTIF(BD$4:BD28,BD28))</f>
        <v>4</v>
      </c>
      <c r="BF28" s="55">
        <f>IF(ROW()-3&gt;COUNTIF(BD$4:BD$40,"&lt;&gt;"&amp;""),"",INDEX(BD$4:BD$40,MATCH(ROW()-3,BE$4:BE$40,0)))</f>
        <v>247804</v>
      </c>
      <c r="BG28">
        <f>BG27+IF(AND(BF28&lt;&gt;"",COUNTIF(BF$4:BF28,BF28)=1),1,0)</f>
        <v>25</v>
      </c>
      <c r="BH28" s="55">
        <f>IF(ROW()-3&gt;MAX(BG$4:BG$40),"",INDEX(BF$4:BF$40,MATCH(ROW()-3,BG$4:BG$40,0)))</f>
        <v>247804</v>
      </c>
      <c r="BI28" s="55">
        <f>IF('Final Calculation Sheet'!$K$28="","",'Final Calculation Sheet'!$K$28)</f>
        <v>627</v>
      </c>
      <c r="BJ28">
        <f>IF(BI28="","",COUNTIFS(BI$4:BI$40,"&lt;"&amp;BI28,BI$4:BI$40,"&lt;&gt;"&amp;"")+COUNTIF(BI$4:BI28,BI28))</f>
        <v>4</v>
      </c>
      <c r="BK28" s="55">
        <f>IF(ROW()-3&gt;COUNTIF(BI$4:BI$40,"&lt;&gt;"&amp;""),"",INDEX(BI$4:BI$40,MATCH(ROW()-3,BJ$4:BJ$40,0)))</f>
        <v>4956</v>
      </c>
      <c r="BL28">
        <f>BL27+IF(AND(BK28&lt;&gt;"",COUNTIF(BK$4:BK28,BK28)=1),1,0)</f>
        <v>24</v>
      </c>
      <c r="BM28" s="55">
        <f>IF(ROW()-3&gt;MAX(BL$4:BL$40),"",INDEX(BK$4:BK$40,MATCH(ROW()-3,BL$4:BL$40,0)))</f>
        <v>5192</v>
      </c>
      <c r="BN28" s="55">
        <f>IF('Final Calculation Sheet'!$L$28="","",'Final Calculation Sheet'!$L$28)</f>
        <v>26.55</v>
      </c>
      <c r="BO28">
        <f>IF(BN28="","",COUNTIFS(BN$4:BN$40,"&lt;"&amp;BN28,BN$4:BN$40,"&lt;&gt;"&amp;"")+COUNTIF(BN$4:BN28,BN28))</f>
        <v>4</v>
      </c>
      <c r="BP28" s="55">
        <f>IF(ROW()-3&gt;COUNTIF(BN$4:BN$40,"&lt;&gt;"&amp;""),"",INDEX(BN$4:BN$40,MATCH(ROW()-3,BO$4:BO$40,0)))</f>
        <v>210.00300000000001</v>
      </c>
      <c r="BQ28">
        <f>BQ27+IF(AND(BP28&lt;&gt;"",COUNTIF(BP$4:BP28,BP28)=1),1,0)</f>
        <v>25</v>
      </c>
      <c r="BR28" s="55">
        <f>IF(ROW()-3&gt;MAX(BQ$4:BQ$40),"",INDEX(BP$4:BP$40,MATCH(ROW()-3,BQ$4:BQ$40,0)))</f>
        <v>210.00300000000001</v>
      </c>
      <c r="BS28" s="55">
        <f>IF('Final Calculation Sheet'!$M$28="","",'Final Calculation Sheet'!$M$28)</f>
        <v>704.90249999999992</v>
      </c>
      <c r="BT28">
        <f>IF(BS28="","",COUNTIFS(BS$4:BS$40,"&lt;"&amp;BS28,BS$4:BS$40,"&lt;&gt;"&amp;"")+COUNTIF(BS$4:BS28,BS28))</f>
        <v>4</v>
      </c>
      <c r="BU28" s="55">
        <f>IF(ROW()-3&gt;COUNTIF(BS$4:BS$40,"&lt;&gt;"&amp;""),"",INDEX(BS$4:BS$40,MATCH(ROW()-3,BT$4:BT$40,0)))</f>
        <v>5575.5796499999997</v>
      </c>
      <c r="BV28">
        <f>BV27+IF(AND(BU28&lt;&gt;"",COUNTIF(BU$4:BU28,BU28)=1),1,0)</f>
        <v>25</v>
      </c>
      <c r="BW28" s="55">
        <f>IF(ROW()-3&gt;MAX(BV$4:BV$40),"",INDEX(BU$4:BU$40,MATCH(ROW()-3,BV$4:BV$40,0)))</f>
        <v>5575.5796499999997</v>
      </c>
      <c r="BX28" s="138">
        <f>IF('Final Calculation Sheet'!$N$28="","",'Final Calculation Sheet'!$N$28)</f>
        <v>11.9475</v>
      </c>
      <c r="BY28">
        <f>IF(BX28="","",COUNTIFS(BX$4:BX$40,"&lt;"&amp;BX28,BX$4:BX$40,"&lt;&gt;"&amp;"")+COUNTIF(BX$4:BX28,BX28))</f>
        <v>4</v>
      </c>
      <c r="BZ28" s="138">
        <f>IF(ROW()-3&gt;COUNTIF(BX$4:BX$40,"&lt;&gt;"&amp;""),"",INDEX(BX$4:BX$40,MATCH(ROW()-3,BY$4:BY$40,0)))</f>
        <v>94.501350000000002</v>
      </c>
      <c r="CA28">
        <f>CA27+IF(AND(BZ28&lt;&gt;"",COUNTIF(BZ$4:BZ28,BZ28)=1),1,0)</f>
        <v>25</v>
      </c>
      <c r="CB28" s="138">
        <f>IF(ROW()-3&gt;MAX(CA$4:CA$40),"",INDEX(BZ$4:BZ$40,MATCH(ROW()-3,CA$4:CA$40,0)))</f>
        <v>94.501350000000002</v>
      </c>
      <c r="CC28" s="55">
        <f>IF('Final Calculation Sheet'!$O$28="","",'Final Calculation Sheet'!$O$28)</f>
        <v>692.95499999999993</v>
      </c>
      <c r="CD28">
        <f>IF(CC28="","",COUNTIFS(CC$4:CC$40,"&lt;"&amp;CC28,CC$4:CC$40,"&lt;&gt;"&amp;"")+COUNTIF(CC$4:CC28,CC28))</f>
        <v>4</v>
      </c>
      <c r="CE28" s="55">
        <f>IF(ROW()-3&gt;COUNTIF(CC$4:CC$40,"&lt;&gt;"&amp;""),"",INDEX(CC$4:CC$40,MATCH(ROW()-3,CD$4:CD$40,0)))</f>
        <v>5481.0782999999992</v>
      </c>
      <c r="CF28">
        <f>CF27+IF(AND(CE28&lt;&gt;"",COUNTIF(CE$4:CE28,CE28)=1),1,0)</f>
        <v>25</v>
      </c>
      <c r="CG28" s="55">
        <f>IF(ROW()-3&gt;MAX(CF$4:CF$40),"",INDEX(CE$4:CE$40,MATCH(ROW()-3,CF$4:CF$40,0)))</f>
        <v>5481.0782999999992</v>
      </c>
      <c r="CH28" s="55">
        <f>IF('Final Calculation Sheet'!$P$28="","",'Final Calculation Sheet'!$P$28)</f>
        <v>720</v>
      </c>
      <c r="CI28">
        <f>IF(CH28="","",COUNTIFS(CH$4:CH$40,"&lt;"&amp;CH28,CH$4:CH$40,"&lt;&gt;"&amp;"")+COUNTIF(CH$4:CH28,CH28))</f>
        <v>4</v>
      </c>
      <c r="CJ28" s="55">
        <f>IF(ROW()-3&gt;COUNTIF(CH$4:CH$40,"&lt;&gt;"&amp;""),"",INDEX(CH$4:CH$40,MATCH(ROW()-3,CI$4:CI$40,0)))</f>
        <v>5691</v>
      </c>
      <c r="CK28">
        <f>CK27+IF(AND(CJ28&lt;&gt;"",COUNTIF(CJ$4:CJ28,CJ28)=1),1,0)</f>
        <v>24</v>
      </c>
      <c r="CL28" s="55">
        <f>IF(ROW()-3&gt;MAX(CK$4:CK$40),"",INDEX(CJ$4:CJ$40,MATCH(ROW()-3,CK$4:CK$40,0)))</f>
        <v>5962</v>
      </c>
      <c r="CM28" s="139">
        <f>IF('Final Calculation Sheet'!$Q$28="","",'Final Calculation Sheet'!$Q$28)</f>
        <v>0</v>
      </c>
      <c r="CN28">
        <f>IF(CM28="","",COUNTIFS(CM$4:CM$40,"&lt;"&amp;CM28,CM$4:CM$40,"&lt;&gt;"&amp;"")+COUNTIF(CM$4:CM28,CM28))</f>
        <v>21</v>
      </c>
      <c r="CO28" s="139">
        <f>IF(ROW()-3&gt;COUNTIF(CM$4:CM$40,"&lt;&gt;"&amp;""),"",INDEX(CM$4:CM$40,MATCH(ROW()-3,CN$4:CN$40,0)))</f>
        <v>0</v>
      </c>
      <c r="CP28">
        <f>CP27+IF(AND(CO28&lt;&gt;"",COUNTIF(CO$4:CO28,CO28)=1),1,0)</f>
        <v>1</v>
      </c>
      <c r="CQ28" t="str">
        <f>IF(ROW()-3&gt;MAX(CP$4:CP$40),"",INDEX(CO$4:CO$40,MATCH(ROW()-3,CP$4:CP$40,0)))</f>
        <v/>
      </c>
      <c r="CR28" s="55">
        <f>IF('Final Calculation Sheet'!$R$28="","",'Final Calculation Sheet'!$R$28)</f>
        <v>0</v>
      </c>
      <c r="CS28">
        <f>IF(CR28="","",COUNTIFS(CR$4:CR$40,"&lt;"&amp;CR28,CR$4:CR$40,"&lt;&gt;"&amp;"")+COUNTIF(CR$4:CR28,CR28))</f>
        <v>21</v>
      </c>
      <c r="CT28" s="55">
        <f>IF(ROW()-3&gt;COUNTIF(CR$4:CR$40,"&lt;&gt;"&amp;""),"",INDEX(CR$4:CR$40,MATCH(ROW()-3,CS$4:CS$40,0)))</f>
        <v>0</v>
      </c>
      <c r="CU28">
        <f>CU27+IF(AND(CT28&lt;&gt;"",COUNTIF(CT$4:CT28,CT28)=1),1,0)</f>
        <v>1</v>
      </c>
      <c r="CV28" t="str">
        <f>IF(ROW()-3&gt;MAX(CU$4:CU$40),"",INDEX(CT$4:CT$40,MATCH(ROW()-3,CU$4:CU$40,0)))</f>
        <v/>
      </c>
      <c r="CW28" s="55">
        <f>IF('Final Calculation Sheet'!$S$28="","",'Final Calculation Sheet'!$S$28)</f>
        <v>31236</v>
      </c>
      <c r="CX28">
        <f>IF(CW28="","",COUNTIFS(CW$4:CW$40,"&lt;"&amp;CW28,CW$4:CW$40,"&lt;&gt;"&amp;"")+COUNTIF(CW$4:CW28,CW28))</f>
        <v>4</v>
      </c>
      <c r="CY28" s="55">
        <f>IF(ROW()-3&gt;COUNTIF(CW$4:CW$40,"&lt;&gt;"&amp;""),"",INDEX(CW$4:CW$40,MATCH(ROW()-3,CX$4:CX$40,0)))</f>
        <v>247069</v>
      </c>
      <c r="CZ28">
        <f>CZ27+IF(AND(CY28&lt;&gt;"",COUNTIF(CY$4:CY28,CY28)=1),1,0)</f>
        <v>25</v>
      </c>
      <c r="DA28" s="55">
        <f>IF(ROW()-3&gt;MAX(CZ$4:CZ$40),"",INDEX(CY$4:CY$40,MATCH(ROW()-3,CZ$4:CZ$40,0)))</f>
        <v>247069</v>
      </c>
      <c r="DB28" s="55">
        <f>IF('Final Calculation Sheet'!$T$28="","",'Final Calculation Sheet'!$T$28)</f>
        <v>6638</v>
      </c>
      <c r="DC28">
        <f>IF(DB28="","",COUNTIFS(DB$4:DB$40,"&lt;"&amp;DB28,DB$4:DB$40,"&lt;&gt;"&amp;"")+COUNTIF(DB$4:DB28,DB28))</f>
        <v>4</v>
      </c>
      <c r="DD28" s="55">
        <f>IF(ROW()-3&gt;COUNTIF(DB$4:DB$40,"&lt;&gt;"&amp;""),"",INDEX(DB$4:DB$40,MATCH(ROW()-3,DC$4:DC$40,0)))</f>
        <v>52501</v>
      </c>
      <c r="DE28">
        <f>DE27+IF(AND(DD28&lt;&gt;"",COUNTIF(DD$4:DD28,DD28)=1),1,0)</f>
        <v>25</v>
      </c>
      <c r="DF28" s="55">
        <f>IF(ROW()-3&gt;MAX(DE$4:DE$40),"",INDEX(DD$4:DD$40,MATCH(ROW()-3,DE$4:DE$40,0)))</f>
        <v>52501</v>
      </c>
      <c r="DG28" s="140">
        <f>IF('Final Calculation Sheet'!$U$28="","",'Final Calculation Sheet'!$U$28)</f>
        <v>6638</v>
      </c>
      <c r="DH28">
        <f>IF(DG28="","",COUNTIFS(DG$4:DG$40,"&lt;"&amp;DG28,DG$4:DG$40,"&lt;&gt;"&amp;"")+COUNTIF(DG$4:DG28,DG28))</f>
        <v>4</v>
      </c>
      <c r="DI28" s="140">
        <f>IF(ROW()-3&gt;COUNTIF(DG$4:DG$40,"&lt;&gt;"&amp;""),"",INDEX(DG$4:DG$40,MATCH(ROW()-3,DH$4:DH$40,0)))</f>
        <v>52501</v>
      </c>
      <c r="DJ28">
        <f>DJ27+IF(AND(DI28&lt;&gt;"",COUNTIF(DI$4:DI28,DI28)=1),1,0)</f>
        <v>25</v>
      </c>
      <c r="DK28" s="140">
        <f>IF(ROW()-3&gt;MAX(DJ$4:DJ$40),"",INDEX(DI$4:DI$40,MATCH(ROW()-3,DJ$4:DJ$40,0)))</f>
        <v>52501</v>
      </c>
      <c r="DL28" t="str">
        <f>IF('Final Calculation Sheet'!$V$28="","",'Final Calculation Sheet'!$V$28)</f>
        <v>14.08.2026</v>
      </c>
      <c r="DM28">
        <f>IF(DL28="","",COUNTIFS(DL$4:DL$40,"&lt;"&amp;DL28,DL$4:DL$40,"&lt;&gt;"&amp;"")+COUNTIF(DL$4:DL28,DL28))</f>
        <v>32</v>
      </c>
      <c r="DN28" t="str">
        <f>IF(ROW()-3&gt;COUNTIF(DL$4:DL$40,"&lt;&gt;"&amp;""),"",INDEX(DL$4:DL$40,MATCH(ROW()-3,DM$4:DM$40,0)))</f>
        <v>13.08.2026</v>
      </c>
      <c r="DO28">
        <f>DO27+IF(AND(DN28&lt;&gt;"",COUNTIF(DN$4:DN28,DN28)=1),1,0)</f>
        <v>3</v>
      </c>
      <c r="DP28" t="str">
        <f>IF(ROW()-3&gt;MAX(DO$4:DO$40),"",INDEX(DN$4:DN$40,MATCH(ROW()-3,DO$4:DO$40,0)))</f>
        <v/>
      </c>
      <c r="DQ28" s="55">
        <f>IF('Final Calculation Sheet'!$W$28="","",'Final Calculation Sheet'!$W$28)</f>
        <v>24599</v>
      </c>
      <c r="DR28">
        <f>IF(DQ28="","",COUNTIFS(DQ$4:DQ$40,"&lt;"&amp;DQ28,DQ$4:DQ$40,"&lt;&gt;"&amp;"")+COUNTIF(DQ$4:DQ28,DQ28))</f>
        <v>4</v>
      </c>
      <c r="DS28" s="55">
        <f>IF(ROW()-3&gt;COUNTIF(DQ$4:DQ$40,"&lt;&gt;"&amp;""),"",INDEX(DQ$4:DQ$40,MATCH(ROW()-3,DR$4:DR$40,0)))</f>
        <v>194568</v>
      </c>
      <c r="DT28">
        <f>DT27+IF(AND(DS28&lt;&gt;"",COUNTIF(DS$4:DS28,DS28)=1),1,0)</f>
        <v>25</v>
      </c>
      <c r="DU28" s="55">
        <f>IF(ROW()-3&gt;MAX(DT$4:DT$40),"",INDEX(DS$4:DS$40,MATCH(ROW()-3,DT$4:DT$40,0)))</f>
        <v>194568</v>
      </c>
      <c r="DV28" s="55">
        <f>IF('Final Calculation Sheet'!$X$28="","",'Final Calculation Sheet'!$X$28)</f>
        <v>24598</v>
      </c>
      <c r="DW28">
        <f>IF(DV28="","",COUNTIFS(DV$4:DV$40,"&lt;"&amp;DV28,DV$4:DV$40,"&lt;&gt;"&amp;"")+COUNTIF(DV$4:DV28,DV28))</f>
        <v>4</v>
      </c>
      <c r="DX28" s="55">
        <f>IF(ROW()-3&gt;COUNTIF(DV$4:DV$40,"&lt;&gt;"&amp;""),"",INDEX(DV$4:DV$40,MATCH(ROW()-3,DW$4:DW$40,0)))</f>
        <v>203831</v>
      </c>
      <c r="DY28">
        <f>DY27+IF(AND(DX28&lt;&gt;"",COUNTIF(DX$4:DX28,DX28)=1),1,0)</f>
        <v>25</v>
      </c>
      <c r="DZ28" t="e">
        <f>IF(ROW()-3&gt;MAX(DY$4:DY$40),"",INDEX(DX$4:DX$40,MATCH(ROW()-3,DY$4:DY$40,0)))</f>
        <v>#N/A</v>
      </c>
      <c r="EA28" t="str">
        <f>IF('Final Calculation Sheet'!$Y$28="","",'Final Calculation Sheet'!$Y$28)</f>
        <v>21.08.2026</v>
      </c>
      <c r="EB28">
        <f>IF(EA28="","",COUNTIFS(EA$4:EA$40,"&lt;"&amp;EA28,EA$4:EA$40,"&lt;&gt;"&amp;"")+COUNTIF(EA$4:EA28,EA28))</f>
        <v>19</v>
      </c>
      <c r="EC28" t="str">
        <f>IF(ROW()-3&gt;COUNTIF(EA$4:EA$40,"&lt;&gt;"&amp;""),"",INDEX(EA$4:EA$40,MATCH(ROW()-3,EB$4:EB$40,0)))</f>
        <v>24.08.2026</v>
      </c>
      <c r="ED28">
        <f>ED27+IF(AND(EC28&lt;&gt;"",COUNTIF(EC$4:EC28,EC28)=1),1,0)</f>
        <v>9</v>
      </c>
      <c r="EE28" t="e">
        <f>IF(ROW()-3&gt;MAX(ED$4:ED$40),"",INDEX(EC$4:EC$40,MATCH(ROW()-3,ED$4:ED$40,0)))</f>
        <v>#N/A</v>
      </c>
      <c r="EF28" s="55">
        <f>IF('Final Calculation Sheet'!$Z$28="","",'Final Calculation Sheet'!$Z$28)</f>
        <v>0</v>
      </c>
      <c r="EG28">
        <f>IF(EF28="","",COUNTIFS(EF$4:EF$40,"&lt;"&amp;EF28,EF$4:EF$40,"&lt;&gt;"&amp;"")+COUNTIF(EF$4:EF28,EF28))</f>
        <v>24</v>
      </c>
      <c r="EH28" s="55">
        <f>IF(ROW()-3&gt;COUNTIF(EF$4:EF$40,"&lt;&gt;"&amp;""),"",INDEX(EF$4:EF$40,MATCH(ROW()-3,EG$4:EG$40,0)))</f>
        <v>0</v>
      </c>
      <c r="EI28">
        <f>EI27+IF(AND(EH28&lt;&gt;"",COUNTIF(EH$4:EH28,EH28)=1),1,0)</f>
        <v>1</v>
      </c>
      <c r="EJ28" t="str">
        <f>IF(ROW()-3&gt;MAX(EI$4:EI$40),"",INDEX(EH$4:EH$40,MATCH(ROW()-3,EI$4:EI$40,0)))</f>
        <v/>
      </c>
      <c r="EK28" t="str">
        <f>IF('Final Calculation Sheet'!$AA$28="","",'Final Calculation Sheet'!$AA$28)</f>
        <v/>
      </c>
      <c r="EL28" t="str">
        <f>IF(EK28="","",COUNTIFS(EK$4:EK$40,"&lt;"&amp;EK28,EK$4:EK$40,"&lt;&gt;"&amp;"")+COUNTIF(EK$4:EK28,EK28))</f>
        <v/>
      </c>
      <c r="EM28" t="e">
        <f>IF(ROW()-3&gt;COUNTIF(EK$4:EK$40,"&lt;&gt;"&amp;""),"",INDEX(EK$4:EK$40,MATCH(ROW()-3,EL$4:EL$40,0)))</f>
        <v>#N/A</v>
      </c>
      <c r="EN28" t="e">
        <f>EN27+IF(AND(EM28&lt;&gt;"",COUNTIF(EM$4:EM28,EM28)=1),1,0)</f>
        <v>#N/A</v>
      </c>
      <c r="EO28" t="e">
        <f>IF(ROW()-3&gt;MAX(EN$4:EN$40),"",INDEX(EM$4:EM$40,MATCH(ROW()-3,EN$4:EN$40,0)))</f>
        <v>#N/A</v>
      </c>
      <c r="EP28" t="str">
        <f>IF('Final Calculation Sheet'!$AB$28="","",'Final Calculation Sheet'!$AB$28)</f>
        <v/>
      </c>
      <c r="EQ28" t="str">
        <f>IF(EP28="","",COUNTIFS(EP$4:EP$40,"&lt;"&amp;EP28,EP$4:EP$40,"&lt;&gt;"&amp;"")+COUNTIF(EP$4:EP28,EP28))</f>
        <v/>
      </c>
      <c r="ER28" t="e">
        <f>IF(ROW()-3&gt;COUNTIF(EP$4:EP$40,"&lt;&gt;"&amp;""),"",INDEX(EP$4:EP$40,MATCH(ROW()-3,EQ$4:EQ$40,0)))</f>
        <v>#N/A</v>
      </c>
      <c r="ES28" t="e">
        <f>ES27+IF(AND(ER28&lt;&gt;"",COUNTIF(ER$4:ER28,ER28)=1),1,0)</f>
        <v>#N/A</v>
      </c>
      <c r="ET28" t="e">
        <f>IF(ROW()-3&gt;MAX(ES$4:ES$40),"",INDEX(ER$4:ER$40,MATCH(ROW()-3,ES$4:ES$40,0)))</f>
        <v>#N/A</v>
      </c>
      <c r="EU28" s="55">
        <f>IF('Final Calculation Sheet'!$AC$28="","",'Final Calculation Sheet'!$AC$28)</f>
        <v>31236</v>
      </c>
      <c r="EV28">
        <f>IF(EU28="","",COUNTIFS(EU$4:EU$40,"&lt;"&amp;EU28,EU$4:EU$40,"&lt;&gt;"&amp;"")+COUNTIF(EU$4:EU28,EU28))</f>
        <v>5</v>
      </c>
      <c r="EW28" s="55">
        <f>IF(ROW()-3&gt;COUNTIF(EU$4:EU$40,"&lt;&gt;"&amp;""),"",INDEX(EU$4:EU$40,MATCH(ROW()-3,EV$4:EV$40,0)))</f>
        <v>243570</v>
      </c>
      <c r="EX28">
        <f>EX27+IF(AND(EW28&lt;&gt;"",COUNTIF(EW$4:EW28,EW28)=1),1,0)</f>
        <v>25</v>
      </c>
      <c r="EY28" s="55">
        <f>IF(ROW()-3&gt;MAX(EX$4:EX$40),"",INDEX(EW$4:EW$40,MATCH(ROW()-3,EX$4:EX$40,0)))</f>
        <v>243570</v>
      </c>
      <c r="EZ28" s="55">
        <f>IF('Final Calculation Sheet'!$AD$28="","",'Final Calculation Sheet'!$AD$28)</f>
        <v>0</v>
      </c>
      <c r="FA28">
        <f>IF(EZ28="","",COUNTIFS(EZ$4:EZ$40,"&lt;"&amp;EZ28,EZ$4:EZ$40,"&lt;&gt;"&amp;"")+COUNTIF(EZ$4:EZ28,EZ28))</f>
        <v>23</v>
      </c>
      <c r="FB28" s="55">
        <f>IF(ROW()-3&gt;COUNTIF(EZ$4:EZ$40,"&lt;&gt;"&amp;""),"",INDEX(EZ$4:EZ$40,MATCH(ROW()-3,FA$4:FA$40,0)))</f>
        <v>0</v>
      </c>
      <c r="FC28" t="e">
        <f>FC27+IF(AND(FB28&lt;&gt;"",COUNTIF(FB$4:FB28,FB28)=1),1,0)</f>
        <v>#N/A</v>
      </c>
      <c r="FD28" t="e">
        <f>IF(ROW()-3&gt;MAX(FC$4:FC$40),"",INDEX(FB$4:FB$40,MATCH(ROW()-3,FC$4:FC$40,0)))</f>
        <v>#N/A</v>
      </c>
      <c r="FE28" t="str">
        <f>IF('Final Calculation Sheet'!$AE$28="","",'Final Calculation Sheet'!$AE$28)</f>
        <v>DR2640100043</v>
      </c>
      <c r="FF28">
        <f>IF(FE28="","",COUNTIFS(FE$4:FE$40,"&lt;"&amp;FE28,FE$4:FE$40,"&lt;&gt;"&amp;"")+COUNTIF(FE$4:FE28,FE28))</f>
        <v>32</v>
      </c>
      <c r="FG28" t="str">
        <f>IF(ROW()-3&gt;COUNTIF(FE$4:FE$40,"&lt;&gt;"&amp;""),"",INDEX(FE$4:FE$40,MATCH(ROW()-3,FF$4:FF$40,0)))</f>
        <v>DR2640100036</v>
      </c>
      <c r="FH28" t="e">
        <f>FH27+IF(AND(FG28&lt;&gt;"",COUNTIF(FG$4:FG28,FG28)=1),1,0)</f>
        <v>#N/A</v>
      </c>
      <c r="FI28" t="e">
        <f>IF(ROW()-3&gt;MAX(FH$4:FH$40),"",INDEX(FG$4:FG$40,MATCH(ROW()-3,FH$4:FH$40,0)))</f>
        <v>#N/A</v>
      </c>
      <c r="FJ28" s="141">
        <f>IF('Final Calculation Sheet'!$AF$28="","",'Final Calculation Sheet'!$AF$28)</f>
        <v>1800003318</v>
      </c>
      <c r="FK28">
        <f>IF(FJ28="","",COUNTIFS(FJ$4:FJ$40,"&lt;"&amp;FJ28,FJ$4:FJ$40,"&lt;&gt;"&amp;"")+COUNTIF(FJ$4:FJ28,FJ28))</f>
        <v>30</v>
      </c>
      <c r="FL28" s="141">
        <f>IF(ROW()-3&gt;COUNTIF(FJ$4:FJ$40,"&lt;&gt;"&amp;""),"",INDEX(FJ$4:FJ$40,MATCH(ROW()-3,FK$4:FK$40,0)))</f>
        <v>1800003313</v>
      </c>
      <c r="FM28">
        <f>FM27+IF(AND(FL28&lt;&gt;"",COUNTIF(FL$4:FL28,FL28)=1),1,0)</f>
        <v>25</v>
      </c>
      <c r="FN28" t="e">
        <f>IF(ROW()-3&gt;MAX(FM$4:FM$40),"",INDEX(FL$4:FL$40,MATCH(ROW()-3,FM$4:FM$40,0)))</f>
        <v>#N/A</v>
      </c>
      <c r="FO28" t="str">
        <f>IF('Final Calculation Sheet'!$AG$28="","",'Final Calculation Sheet'!$AG$28)</f>
        <v>27.08.2026</v>
      </c>
      <c r="FP28">
        <f>IF(FO28="","",COUNTIFS(FO$4:FO$40,"&lt;"&amp;FO28,FO$4:FO$40,"&lt;&gt;"&amp;"")+COUNTIF(FO$4:FO28,FO28))</f>
        <v>32</v>
      </c>
      <c r="FQ28" t="str">
        <f>IF(ROW()-3&gt;COUNTIF(FO$4:FO$40,"&lt;&gt;"&amp;""),"",INDEX(FO$4:FO$40,MATCH(ROW()-3,FP$4:FP$40,0)))</f>
        <v>27.08.2026</v>
      </c>
      <c r="FR28" t="e">
        <f>FR27+IF(AND(FQ28&lt;&gt;"",COUNTIF(FQ$4:FQ28,FQ28)=1),1,0)</f>
        <v>#N/A</v>
      </c>
      <c r="FS28" t="e">
        <f>IF(ROW()-3&gt;MAX(FR$4:FR$40),"",INDEX(FQ$4:FQ$40,MATCH(ROW()-3,FR$4:FR$40,0)))</f>
        <v>#N/A</v>
      </c>
      <c r="FU28" t="str">
        <f>IF(FT28="","",COUNTIFS(FT$4:FT$40,"&lt;"&amp;FT28,FT$4:FT$40,"&lt;&gt;"&amp;"")+COUNTIF(FT$4:FT28,FT28))</f>
        <v/>
      </c>
      <c r="FV28" t="str">
        <f>IF(ROW()-3&gt;COUNTIF(FT$4:FT$40,"&lt;&gt;"&amp;""),"",INDEX(FT$4:FT$40,MATCH(ROW()-3,FU$4:FU$40,0)))</f>
        <v/>
      </c>
      <c r="FW28">
        <f>FW27+IF(AND(FV28&lt;&gt;"",COUNTIF(FV$4:FV28,FV28)=1),1,0)</f>
        <v>2</v>
      </c>
      <c r="FX28" t="str">
        <f>IF(ROW()-3&gt;MAX(FW$4:FW$40),"",INDEX(FV$4:FV$40,MATCH(ROW()-3,FW$4:FW$40,0)))</f>
        <v/>
      </c>
    </row>
    <row r="29">
      <c r="A29">
        <f>IF('Final Calculation Sheet'!$F$29="","",'Final Calculation Sheet'!$F$29)</f>
        <v>2040</v>
      </c>
      <c r="B29">
        <f>IF(A29="","",COUNTIFS(A$4:A$114,"&lt;"&amp;A29,A$4:A$114,"&lt;&gt;"&amp;"")+COUNTIF(A$4:A29,A29))</f>
        <v>26</v>
      </c>
      <c r="C29">
        <f>IF(ROW()-3&gt;COUNTIF(A$4:A$114,"&lt;&gt;"&amp;""),"",INDEX(A$4:A$114,MATCH(ROW()-3,B$4:B$114,0)))</f>
        <v>2040</v>
      </c>
      <c r="D29">
        <f>D28+IF(AND(C29&lt;&gt;"",COUNTIF(C$4:C29,C29)=1),1,0)</f>
        <v>26</v>
      </c>
      <c r="E29" t="e">
        <f>IF(ROW()-3&gt;MAX(D$4:D$114),"",INDEX(C$4:C$114,MATCH(ROW()-3,D$4:D$114,0)))</f>
        <v>#N/A</v>
      </c>
      <c r="F29">
        <f>ROW()-3</f>
        <v>26</v>
      </c>
      <c r="G29">
        <f>IF(F29="","",COUNTIFS(F$4:F$40,"&lt;"&amp;F29,F$4:F$40,"&lt;&gt;"&amp;"")+COUNTIF(F$4:F29,F29))</f>
        <v>26</v>
      </c>
      <c r="H29">
        <f>IF(ROW()-3&gt;COUNTIF(F$4:F$40,"&lt;&gt;"&amp;""),"",INDEX(F$4:F$40,MATCH(ROW()-3,G$4:G$40,0)))</f>
        <v>26</v>
      </c>
      <c r="I29">
        <f>I28+IF(AND(H29&lt;&gt;"",COUNTIF(H$4:H29,H29)=1),1,0)</f>
        <v>26</v>
      </c>
      <c r="J29">
        <f>IF(ROW()-3&gt;MAX(I$4:I$40),"",INDEX(H$4:H$40,MATCH(ROW()-3,I$4:I$40,0)))</f>
        <v>26</v>
      </c>
      <c r="K29">
        <f>IF('Final Calculation Sheet'!$F$29="","",'Final Calculation Sheet'!$F$29)</f>
        <v>2040</v>
      </c>
      <c r="L29">
        <f>IF(K29="","",COUNTIFS(K$4:K$40,"&lt;"&amp;K29,K$4:K$40,"&lt;&gt;"&amp;"")+COUNTIF(K$4:K29,K29))</f>
        <v>26</v>
      </c>
      <c r="M29">
        <f>IF(ROW()-3&gt;COUNTIF(K$4:K$40,"&lt;&gt;"&amp;""),"",INDEX(K$4:K$40,MATCH(ROW()-3,L$4:L$40,0)))</f>
        <v>2040</v>
      </c>
      <c r="N29">
        <f>N28+IF(AND(M29&lt;&gt;"",COUNTIF(M$4:M29,M29)=1),1,0)</f>
        <v>26</v>
      </c>
      <c r="O29">
        <f>IF(ROW()-3&gt;MAX(N$4:N$40),"",INDEX(M$4:M$40,MATCH(ROW()-3,N$4:N$40,0)))</f>
        <v>2040</v>
      </c>
      <c r="P29" t="str">
        <f>IF('Final Calculation Sheet'!$G$29="","",'Final Calculation Sheet'!$G$29)</f>
        <v>STERLING ENTERPRISES</v>
      </c>
      <c r="Q29">
        <f>IF(P29="","",COUNTIFS(P$4:P$40,"&lt;"&amp;P29,P$4:P$40,"&lt;&gt;"&amp;"")+COUNTIF(P$4:P29,P29))</f>
        <v>32</v>
      </c>
      <c r="R29" t="str">
        <f>IF(ROW()-3&gt;COUNTIF(P$4:P$40,"&lt;&gt;"&amp;""),"",INDEX(P$4:P$40,MATCH(ROW()-3,Q$4:Q$40,0)))</f>
        <v>SHAR JAHAN TRADERS</v>
      </c>
      <c r="S29">
        <f>S28+IF(AND(R29&lt;&gt;"",COUNTIF(R$4:R29,R29)=1),1,0)</f>
        <v>11</v>
      </c>
      <c r="T29" t="str">
        <f>IF(ROW()-3&gt;MAX(S$4:S$40),"",INDEX(R$4:R$40,MATCH(ROW()-3,S$4:S$40,0)))</f>
        <v/>
      </c>
      <c r="U29" t="str">
        <f>IF('Final Calculation Sheet'!$B$29="","",'Final Calculation Sheet'!$B$29)</f>
        <v>Scrap of 33 KV CT</v>
      </c>
      <c r="V29">
        <f>IF(U29="","",COUNTIFS(U$4:U$40,"&lt;"&amp;U29,U$4:U$40,"&lt;&gt;"&amp;"")+COUNTIF(U$4:U29,U29))</f>
        <v>20</v>
      </c>
      <c r="W29" t="str">
        <f>IF(ROW()-3&gt;COUNTIF(U$4:U$40,"&lt;&gt;"&amp;""),"",INDEX(U$4:U$40,MATCH(ROW()-3,V$4:V$40,0)))</f>
        <v>Scrap of empty oil Barrel</v>
      </c>
      <c r="X29">
        <f>X28+IF(AND(W29&lt;&gt;"",COUNTIF(W$4:W29,W29)=1),1,0)</f>
        <v>19</v>
      </c>
      <c r="Y29" t="str">
        <f>IF(ROW()-3&gt;MAX(X$4:X$40),"",INDEX(W$4:W$40,MATCH(ROW()-3,X$4:X$40,0)))</f>
        <v/>
      </c>
      <c r="Z29">
        <f>IF('Final Calculation Sheet'!$D$29="","",'Final Calculation Sheet'!$D$29)</f>
        <v>21978</v>
      </c>
      <c r="AA29">
        <f>IF(Z29="","",COUNTIFS(Z$4:Z$40,"&lt;"&amp;Z29,Z$4:Z$40,"&lt;&gt;"&amp;"")+COUNTIF(Z$4:Z29,Z29))</f>
        <v>24</v>
      </c>
      <c r="AB29">
        <f>IF(ROW()-3&gt;COUNTIF(Z$4:Z$40,"&lt;&gt;"&amp;""),"",INDEX(Z$4:Z$40,MATCH(ROW()-3,AA$4:AA$40,0)))</f>
        <v>21979</v>
      </c>
      <c r="AC29">
        <f>AC28+IF(AND(AB29&lt;&gt;"",COUNTIF(AB$4:AB29,AB29)=1),1,0)</f>
        <v>3</v>
      </c>
      <c r="AD29" t="str">
        <f>IF(ROW()-3&gt;MAX(AC$4:AC$40),"",INDEX(AB$4:AB$40,MATCH(ROW()-3,AC$4:AC$40,0)))</f>
        <v/>
      </c>
      <c r="AE29">
        <f>IF('Final Calculation Sheet'!$A$29="","",'Final Calculation Sheet'!$A$29)</f>
        <v>3</v>
      </c>
      <c r="AF29">
        <f>IF(AE29="","",COUNTIFS(AE$4:AE$40,"&lt;"&amp;AE29,AE$4:AE$40,"&lt;&gt;"&amp;"")+COUNTIF(AE$4:AE29,AE29))</f>
        <v>15</v>
      </c>
      <c r="AG29">
        <f>IF(ROW()-3&gt;COUNTIF(AE$4:AE$40,"&lt;&gt;"&amp;""),"",INDEX(AE$4:AE$40,MATCH(ROW()-3,AF$4:AF$40,0)))</f>
        <v>50</v>
      </c>
      <c r="AH29">
        <f>AH28+IF(AND(AG29&lt;&gt;"",COUNTIF(AG$4:AG29,AG29)=1),1,0)</f>
        <v>11</v>
      </c>
      <c r="AI29" t="str">
        <f>IF(ROW()-3&gt;MAX(AH$4:AH$40),"",INDEX(AG$4:AG$40,MATCH(ROW()-3,AH$4:AH$40,0)))</f>
        <v/>
      </c>
      <c r="AJ29" t="str">
        <f>IF('Final Calculation Sheet'!$E$29="","",'Final Calculation Sheet'!$E$29)</f>
        <v>NO</v>
      </c>
      <c r="AK29">
        <f>IF(AJ29="","",COUNTIFS(AJ$4:AJ$40,"&lt;"&amp;AJ29,AJ$4:AJ$40,"&lt;&gt;"&amp;"")+COUNTIF(AJ$4:AJ29,AJ29))</f>
        <v>27</v>
      </c>
      <c r="AL29" t="str">
        <f>IF(ROW()-3&gt;COUNTIF(AJ$4:AJ$40,"&lt;&gt;"&amp;""),"",INDEX(AJ$4:AJ$40,MATCH(ROW()-3,AK$4:AK$40,0)))</f>
        <v>NO</v>
      </c>
      <c r="AM29">
        <f>AM28+IF(AND(AL29&lt;&gt;"",COUNTIF(AL$4:AL29,AL29)=1),1,0)</f>
        <v>3</v>
      </c>
      <c r="AN29" t="str">
        <f>IF(ROW()-3&gt;MAX(AM$4:AM$40),"",INDEX(AL$4:AL$40,MATCH(ROW()-3,AM$4:AM$40,0)))</f>
        <v/>
      </c>
      <c r="AO29" s="55">
        <f>IF('Final Calculation Sheet'!$C$29="","",'Final Calculation Sheet'!$C$29)</f>
        <v>90002</v>
      </c>
      <c r="AP29">
        <f>IF(AO29="","",COUNTIFS(AO$4:AO$40,"&lt;"&amp;AO29,AO$4:AO$40,"&lt;&gt;"&amp;"")+COUNTIF(AO$4:AO29,AO29))</f>
        <v>32</v>
      </c>
      <c r="AQ29" s="55">
        <f>IF(ROW()-3&gt;COUNTIF(AO$4:AO$40,"&lt;&gt;"&amp;""),"",INDEX(AO$4:AO$40,MATCH(ROW()-3,AP$4:AP$40,0)))</f>
        <v>67000</v>
      </c>
      <c r="AR29">
        <f>AR28+IF(AND(AQ29&lt;&gt;"",COUNTIF(AQ$4:AQ29,AQ29)=1),1,0)</f>
        <v>24</v>
      </c>
      <c r="AS29" s="55">
        <f>IF(ROW()-3&gt;MAX(AR$4:AR$40),"",INDEX(AQ$4:AQ$40,MATCH(ROW()-3,AR$4:AR$40,0)))</f>
        <v>70006</v>
      </c>
      <c r="AT29" s="55">
        <f>IF('Final Calculation Sheet'!$H$29="","",'Final Calculation Sheet'!$H$29)</f>
        <v>270006</v>
      </c>
      <c r="AU29">
        <f>IF(AT29="","",COUNTIFS(AT$4:AT$40,"&lt;"&amp;AT29,AT$4:AT$40,"&lt;&gt;"&amp;"")+COUNTIF(AT$4:AT29,AT29))</f>
        <v>28</v>
      </c>
      <c r="AV29" s="55">
        <f>IF(ROW()-3&gt;COUNTIF(AT$4:AT$40,"&lt;&gt;"&amp;""),"",INDEX(AT$4:AT$40,MATCH(ROW()-3,AU$4:AU$40,0)))</f>
        <v>220001</v>
      </c>
      <c r="AW29">
        <f>AW28+IF(AND(AV29&lt;&gt;"",COUNTIF(AV$4:AV29,AV29)=1),1,0)</f>
        <v>26</v>
      </c>
      <c r="AX29" s="55">
        <f>IF(ROW()-3&gt;MAX(AW$4:AW$40),"",INDEX(AV$4:AV$40,MATCH(ROW()-3,AW$4:AW$40,0)))</f>
        <v>220001</v>
      </c>
      <c r="AY29" s="55">
        <f>IF('Final Calculation Sheet'!$I$29="","",'Final Calculation Sheet'!$I$29)</f>
        <v>48601</v>
      </c>
      <c r="AZ29">
        <f>IF(AY29="","",COUNTIFS(AY$4:AY$40,"&lt;"&amp;AY29,AY$4:AY$40,"&lt;&gt;"&amp;"")+COUNTIF(AY$4:AY29,AY29))</f>
        <v>28</v>
      </c>
      <c r="BA29" s="55">
        <f>IF(ROW()-3&gt;COUNTIF(AY$4:AY$40,"&lt;&gt;"&amp;""),"",INDEX(AY$4:AY$40,MATCH(ROW()-3,AZ$4:AZ$40,0)))</f>
        <v>39600</v>
      </c>
      <c r="BB29">
        <f>BB28+IF(AND(BA29&lt;&gt;"",COUNTIF(BA$4:BA29,BA29)=1),1,0)</f>
        <v>26</v>
      </c>
      <c r="BC29" s="55">
        <f>IF(ROW()-3&gt;MAX(BB$4:BB$40),"",INDEX(BA$4:BA$40,MATCH(ROW()-3,BB$4:BB$40,0)))</f>
        <v>39600</v>
      </c>
      <c r="BD29" s="55">
        <f>IF('Final Calculation Sheet'!$J$29="","",'Final Calculation Sheet'!$J$29)</f>
        <v>318607</v>
      </c>
      <c r="BE29">
        <f>IF(BD29="","",COUNTIFS(BD$4:BD$40,"&lt;"&amp;BD29,BD$4:BD$40,"&lt;&gt;"&amp;"")+COUNTIF(BD$4:BD29,BD29))</f>
        <v>28</v>
      </c>
      <c r="BF29" s="55">
        <f>IF(ROW()-3&gt;COUNTIF(BD$4:BD$40,"&lt;&gt;"&amp;""),"",INDEX(BD$4:BD$40,MATCH(ROW()-3,BE$4:BE$40,0)))</f>
        <v>259601</v>
      </c>
      <c r="BG29">
        <f>BG28+IF(AND(BF29&lt;&gt;"",COUNTIF(BF$4:BF29,BF29)=1),1,0)</f>
        <v>26</v>
      </c>
      <c r="BH29" s="55">
        <f>IF(ROW()-3&gt;MAX(BG$4:BG$40),"",INDEX(BF$4:BF$40,MATCH(ROW()-3,BG$4:BG$40,0)))</f>
        <v>259601</v>
      </c>
      <c r="BI29" s="55">
        <f>IF('Final Calculation Sheet'!$K$29="","",'Final Calculation Sheet'!$K$29)</f>
        <v>6372</v>
      </c>
      <c r="BJ29">
        <f>IF(BI29="","",COUNTIFS(BI$4:BI$40,"&lt;"&amp;BI29,BI$4:BI$40,"&lt;&gt;"&amp;"")+COUNTIF(BI$4:BI29,BI29))</f>
        <v>28</v>
      </c>
      <c r="BK29" s="55">
        <f>IF(ROW()-3&gt;COUNTIF(BI$4:BI$40,"&lt;&gt;"&amp;""),"",INDEX(BI$4:BI$40,MATCH(ROW()-3,BJ$4:BJ$40,0)))</f>
        <v>5192</v>
      </c>
      <c r="BL29">
        <f>BL28+IF(AND(BK29&lt;&gt;"",COUNTIF(BK$4:BK29,BK29)=1),1,0)</f>
        <v>25</v>
      </c>
      <c r="BM29" s="55">
        <f>IF(ROW()-3&gt;MAX(BL$4:BL$40),"",INDEX(BK$4:BK$40,MATCH(ROW()-3,BL$4:BL$40,0)))</f>
        <v>5929</v>
      </c>
      <c r="BN29" s="55">
        <f>IF('Final Calculation Sheet'!$L$29="","",'Final Calculation Sheet'!$L$29)</f>
        <v>270.00600000000003</v>
      </c>
      <c r="BO29">
        <f>IF(BN29="","",COUNTIFS(BN$4:BN$40,"&lt;"&amp;BN29,BN$4:BN$40,"&lt;&gt;"&amp;"")+COUNTIF(BN$4:BN29,BN29))</f>
        <v>28</v>
      </c>
      <c r="BP29" s="55">
        <f>IF(ROW()-3&gt;COUNTIF(BN$4:BN$40,"&lt;&gt;"&amp;""),"",INDEX(BN$4:BN$40,MATCH(ROW()-3,BO$4:BO$40,0)))</f>
        <v>220.001</v>
      </c>
      <c r="BQ29">
        <f>BQ28+IF(AND(BP29&lt;&gt;"",COUNTIF(BP$4:BP29,BP29)=1),1,0)</f>
        <v>26</v>
      </c>
      <c r="BR29" s="55">
        <f>IF(ROW()-3&gt;MAX(BQ$4:BQ$40),"",INDEX(BP$4:BP$40,MATCH(ROW()-3,BQ$4:BQ$40,0)))</f>
        <v>220.001</v>
      </c>
      <c r="BS29" s="55">
        <f>IF('Final Calculation Sheet'!$M$29="","",'Final Calculation Sheet'!$M$29)</f>
        <v>7168.6593000000003</v>
      </c>
      <c r="BT29">
        <f>IF(BS29="","",COUNTIFS(BS$4:BS$40,"&lt;"&amp;BS29,BS$4:BS$40,"&lt;&gt;"&amp;"")+COUNTIF(BS$4:BS29,BS29))</f>
        <v>28</v>
      </c>
      <c r="BU29" s="55">
        <f>IF(ROW()-3&gt;COUNTIF(BS$4:BS$40,"&lt;&gt;"&amp;""),"",INDEX(BS$4:BS$40,MATCH(ROW()-3,BT$4:BT$40,0)))</f>
        <v>5841.0265499999996</v>
      </c>
      <c r="BV29">
        <f>BV28+IF(AND(BU29&lt;&gt;"",COUNTIF(BU$4:BU29,BU29)=1),1,0)</f>
        <v>26</v>
      </c>
      <c r="BW29" s="55">
        <f>IF(ROW()-3&gt;MAX(BV$4:BV$40),"",INDEX(BU$4:BU$40,MATCH(ROW()-3,BV$4:BV$40,0)))</f>
        <v>5841.0265499999996</v>
      </c>
      <c r="BX29" s="138">
        <f>IF('Final Calculation Sheet'!$N$29="","",'Final Calculation Sheet'!$N$29)</f>
        <v>121.5027</v>
      </c>
      <c r="BY29">
        <f>IF(BX29="","",COUNTIFS(BX$4:BX$40,"&lt;"&amp;BX29,BX$4:BX$40,"&lt;&gt;"&amp;"")+COUNTIF(BX$4:BX29,BX29))</f>
        <v>28</v>
      </c>
      <c r="BZ29" s="138">
        <f>IF(ROW()-3&gt;COUNTIF(BX$4:BX$40,"&lt;&gt;"&amp;""),"",INDEX(BX$4:BX$40,MATCH(ROW()-3,BY$4:BY$40,0)))</f>
        <v>99.000450000000001</v>
      </c>
      <c r="CA29">
        <f>CA28+IF(AND(BZ29&lt;&gt;"",COUNTIF(BZ$4:BZ29,BZ29)=1),1,0)</f>
        <v>26</v>
      </c>
      <c r="CB29" s="138">
        <f>IF(ROW()-3&gt;MAX(CA$4:CA$40),"",INDEX(BZ$4:BZ$40,MATCH(ROW()-3,CA$4:CA$40,0)))</f>
        <v>99.000450000000001</v>
      </c>
      <c r="CC29" s="55">
        <f>IF('Final Calculation Sheet'!$O$29="","",'Final Calculation Sheet'!$O$29)</f>
        <v>7047.1566000000003</v>
      </c>
      <c r="CD29">
        <f>IF(CC29="","",COUNTIFS(CC$4:CC$40,"&lt;"&amp;CC29,CC$4:CC$40,"&lt;&gt;"&amp;"")+COUNTIF(CC$4:CC29,CC29))</f>
        <v>28</v>
      </c>
      <c r="CE29" s="55">
        <f>IF(ROW()-3&gt;COUNTIF(CC$4:CC$40,"&lt;&gt;"&amp;""),"",INDEX(CC$4:CC$40,MATCH(ROW()-3,CD$4:CD$40,0)))</f>
        <v>5742.0260999999991</v>
      </c>
      <c r="CF29">
        <f>CF28+IF(AND(CE29&lt;&gt;"",COUNTIF(CE$4:CE29,CE29)=1),1,0)</f>
        <v>26</v>
      </c>
      <c r="CG29" s="55">
        <f>IF(ROW()-3&gt;MAX(CF$4:CF$40),"",INDEX(CE$4:CE$40,MATCH(ROW()-3,CF$4:CF$40,0)))</f>
        <v>5742.0260999999991</v>
      </c>
      <c r="CH29" s="55">
        <f>IF('Final Calculation Sheet'!$P$29="","",'Final Calculation Sheet'!$P$29)</f>
        <v>7317</v>
      </c>
      <c r="CI29">
        <f>IF(CH29="","",COUNTIFS(CH$4:CH$40,"&lt;"&amp;CH29,CH$4:CH$40,"&lt;&gt;"&amp;"")+COUNTIF(CH$4:CH29,CH29))</f>
        <v>28</v>
      </c>
      <c r="CJ29" s="55">
        <f>IF(ROW()-3&gt;COUNTIF(CH$4:CH$40,"&lt;&gt;"&amp;""),"",INDEX(CH$4:CH$40,MATCH(ROW()-3,CI$4:CI$40,0)))</f>
        <v>5962</v>
      </c>
      <c r="CK29">
        <f>CK28+IF(AND(CJ29&lt;&gt;"",COUNTIF(CJ$4:CJ29,CJ29)=1),1,0)</f>
        <v>25</v>
      </c>
      <c r="CL29" s="55">
        <f>IF(ROW()-3&gt;MAX(CK$4:CK$40),"",INDEX(CJ$4:CJ$40,MATCH(ROW()-3,CK$4:CK$40,0)))</f>
        <v>6808</v>
      </c>
      <c r="CM29" s="139">
        <f>IF('Final Calculation Sheet'!$Q$29="","",'Final Calculation Sheet'!$Q$29)</f>
        <v>0</v>
      </c>
      <c r="CN29">
        <f>IF(CM29="","",COUNTIFS(CM$4:CM$40,"&lt;"&amp;CM29,CM$4:CM$40,"&lt;&gt;"&amp;"")+COUNTIF(CM$4:CM29,CM29))</f>
        <v>22</v>
      </c>
      <c r="CO29" s="139">
        <f>IF(ROW()-3&gt;COUNTIF(CM$4:CM$40,"&lt;&gt;"&amp;""),"",INDEX(CM$4:CM$40,MATCH(ROW()-3,CN$4:CN$40,0)))</f>
        <v>0</v>
      </c>
      <c r="CP29">
        <f>CP28+IF(AND(CO29&lt;&gt;"",COUNTIF(CO$4:CO29,CO29)=1),1,0)</f>
        <v>1</v>
      </c>
      <c r="CQ29" t="str">
        <f>IF(ROW()-3&gt;MAX(CP$4:CP$40),"",INDEX(CO$4:CO$40,MATCH(ROW()-3,CP$4:CP$40,0)))</f>
        <v/>
      </c>
      <c r="CR29" s="55">
        <f>IF('Final Calculation Sheet'!$R$29="","",'Final Calculation Sheet'!$R$29)</f>
        <v>0</v>
      </c>
      <c r="CS29">
        <f>IF(CR29="","",COUNTIFS(CR$4:CR$40,"&lt;"&amp;CR29,CR$4:CR$40,"&lt;&gt;"&amp;"")+COUNTIF(CR$4:CR29,CR29))</f>
        <v>22</v>
      </c>
      <c r="CT29" s="55">
        <f>IF(ROW()-3&gt;COUNTIF(CR$4:CR$40,"&lt;&gt;"&amp;""),"",INDEX(CR$4:CR$40,MATCH(ROW()-3,CS$4:CS$40,0)))</f>
        <v>0</v>
      </c>
      <c r="CU29">
        <f>CU28+IF(AND(CT29&lt;&gt;"",COUNTIF(CT$4:CT29,CT29)=1),1,0)</f>
        <v>1</v>
      </c>
      <c r="CV29" t="str">
        <f>IF(ROW()-3&gt;MAX(CU$4:CU$40),"",INDEX(CT$4:CT$40,MATCH(ROW()-3,CU$4:CU$40,0)))</f>
        <v/>
      </c>
      <c r="CW29" s="55">
        <f>IF('Final Calculation Sheet'!$S$29="","",'Final Calculation Sheet'!$S$29)</f>
        <v>317662</v>
      </c>
      <c r="CX29">
        <f>IF(CW29="","",COUNTIFS(CW$4:CW$40,"&lt;"&amp;CW29,CW$4:CW$40,"&lt;&gt;"&amp;"")+COUNTIF(CW$4:CW29,CW29))</f>
        <v>28</v>
      </c>
      <c r="CY29" s="55">
        <f>IF(ROW()-3&gt;COUNTIF(CW$4:CW$40,"&lt;&gt;"&amp;""),"",INDEX(CW$4:CW$40,MATCH(ROW()-3,CX$4:CX$40,0)))</f>
        <v>258831</v>
      </c>
      <c r="CZ29">
        <f>CZ28+IF(AND(CY29&lt;&gt;"",COUNTIF(CY$4:CY29,CY29)=1),1,0)</f>
        <v>26</v>
      </c>
      <c r="DA29" s="55">
        <f>IF(ROW()-3&gt;MAX(CZ$4:CZ$40),"",INDEX(CY$4:CY$40,MATCH(ROW()-3,CZ$4:CZ$40,0)))</f>
        <v>258831</v>
      </c>
      <c r="DB29" s="55">
        <f>IF('Final Calculation Sheet'!$T$29="","",'Final Calculation Sheet'!$T$29)</f>
        <v>67502</v>
      </c>
      <c r="DC29">
        <f>IF(DB29="","",COUNTIFS(DB$4:DB$40,"&lt;"&amp;DB29,DB$4:DB$40,"&lt;&gt;"&amp;"")+COUNTIF(DB$4:DB29,DB29))</f>
        <v>28</v>
      </c>
      <c r="DD29" s="55">
        <f>IF(ROW()-3&gt;COUNTIF(DB$4:DB$40,"&lt;&gt;"&amp;""),"",INDEX(DB$4:DB$40,MATCH(ROW()-3,DC$4:DC$40,0)))</f>
        <v>55000</v>
      </c>
      <c r="DE29">
        <f>DE28+IF(AND(DD29&lt;&gt;"",COUNTIF(DD$4:DD29,DD29)=1),1,0)</f>
        <v>26</v>
      </c>
      <c r="DF29" s="55">
        <f>IF(ROW()-3&gt;MAX(DE$4:DE$40),"",INDEX(DD$4:DD$40,MATCH(ROW()-3,DE$4:DE$40,0)))</f>
        <v>55000</v>
      </c>
      <c r="DG29" s="140">
        <f>IF('Final Calculation Sheet'!$U$29="","",'Final Calculation Sheet'!$U$29)</f>
        <v>67502</v>
      </c>
      <c r="DH29">
        <f>IF(DG29="","",COUNTIFS(DG$4:DG$40,"&lt;"&amp;DG29,DG$4:DG$40,"&lt;&gt;"&amp;"")+COUNTIF(DG$4:DG29,DG29))</f>
        <v>28</v>
      </c>
      <c r="DI29" s="140">
        <f>IF(ROW()-3&gt;COUNTIF(DG$4:DG$40,"&lt;&gt;"&amp;""),"",INDEX(DG$4:DG$40,MATCH(ROW()-3,DH$4:DH$40,0)))</f>
        <v>55000</v>
      </c>
      <c r="DJ29">
        <f>DJ28+IF(AND(DI29&lt;&gt;"",COUNTIF(DI$4:DI29,DI29)=1),1,0)</f>
        <v>26</v>
      </c>
      <c r="DK29" s="140">
        <f>IF(ROW()-3&gt;MAX(DJ$4:DJ$40),"",INDEX(DI$4:DI$40,MATCH(ROW()-3,DJ$4:DJ$40,0)))</f>
        <v>55000</v>
      </c>
      <c r="DL29" t="str">
        <f>IF('Final Calculation Sheet'!$V$29="","",'Final Calculation Sheet'!$V$29)</f>
        <v>11.08.2026</v>
      </c>
      <c r="DM29">
        <f>IF(DL29="","",COUNTIFS(DL$4:DL$40,"&lt;"&amp;DL29,DL$4:DL$40,"&lt;&gt;"&amp;"")+COUNTIF(DL$4:DL29,DL29))</f>
        <v>8</v>
      </c>
      <c r="DN29" t="str">
        <f>IF(ROW()-3&gt;COUNTIF(DL$4:DL$40,"&lt;&gt;"&amp;""),"",INDEX(DL$4:DL$40,MATCH(ROW()-3,DM$4:DM$40,0)))</f>
        <v>13.08.2026</v>
      </c>
      <c r="DO29">
        <f>DO28+IF(AND(DN29&lt;&gt;"",COUNTIF(DN$4:DN29,DN29)=1),1,0)</f>
        <v>3</v>
      </c>
      <c r="DP29" t="str">
        <f>IF(ROW()-3&gt;MAX(DO$4:DO$40),"",INDEX(DN$4:DN$40,MATCH(ROW()-3,DO$4:DO$40,0)))</f>
        <v/>
      </c>
      <c r="DQ29" s="55">
        <f>IF('Final Calculation Sheet'!$W$29="","",'Final Calculation Sheet'!$W$29)</f>
        <v>250161</v>
      </c>
      <c r="DR29">
        <f>IF(DQ29="","",COUNTIFS(DQ$4:DQ$40,"&lt;"&amp;DQ29,DQ$4:DQ$40,"&lt;&gt;"&amp;"")+COUNTIF(DQ$4:DQ29,DQ29))</f>
        <v>28</v>
      </c>
      <c r="DS29" s="55">
        <f>IF(ROW()-3&gt;COUNTIF(DQ$4:DQ$40,"&lt;&gt;"&amp;""),"",INDEX(DQ$4:DQ$40,MATCH(ROW()-3,DR$4:DR$40,0)))</f>
        <v>203831</v>
      </c>
      <c r="DT29">
        <f>DT28+IF(AND(DS29&lt;&gt;"",COUNTIF(DS$4:DS29,DS29)=1),1,0)</f>
        <v>26</v>
      </c>
      <c r="DU29" s="55">
        <f>IF(ROW()-3&gt;MAX(DT$4:DT$40),"",INDEX(DS$4:DS$40,MATCH(ROW()-3,DT$4:DT$40,0)))</f>
        <v>203831</v>
      </c>
      <c r="DV29" t="str">
        <f>IF('Final Calculation Sheet'!$X$29="","",'Final Calculation Sheet'!$X$29)</f>
        <v/>
      </c>
      <c r="DW29" t="str">
        <f>IF(DV29="","",COUNTIFS(DV$4:DV$40,"&lt;"&amp;DV29,DV$4:DV$40,"&lt;&gt;"&amp;"")+COUNTIF(DV$4:DV29,DV29))</f>
        <v/>
      </c>
      <c r="DX29" s="55">
        <f>IF(ROW()-3&gt;COUNTIF(DV$4:DV$40,"&lt;&gt;"&amp;""),"",INDEX(DV$4:DV$40,MATCH(ROW()-3,DW$4:DW$40,0)))</f>
        <v>232764</v>
      </c>
      <c r="DY29">
        <f>DY28+IF(AND(DX29&lt;&gt;"",COUNTIF(DX$4:DX29,DX29)=1),1,0)</f>
        <v>26</v>
      </c>
      <c r="DZ29" t="e">
        <f>IF(ROW()-3&gt;MAX(DY$4:DY$40),"",INDEX(DX$4:DX$40,MATCH(ROW()-3,DY$4:DY$40,0)))</f>
        <v>#N/A</v>
      </c>
      <c r="EA29" s="55">
        <f>IF('Final Calculation Sheet'!$Y$29="","",'Final Calculation Sheet'!$Y$29)</f>
        <v>0</v>
      </c>
      <c r="EB29">
        <f>IF(EA29="","",COUNTIFS(EA$4:EA$40,"&lt;"&amp;EA29,EA$4:EA$40,"&lt;&gt;"&amp;"")+COUNTIF(EA$4:EA29,EA29))</f>
        <v>2</v>
      </c>
      <c r="EC29" t="str">
        <f>IF(ROW()-3&gt;COUNTIF(EA$4:EA$40,"&lt;&gt;"&amp;""),"",INDEX(EA$4:EA$40,MATCH(ROW()-3,EB$4:EB$40,0)))</f>
        <v>24.08.2026</v>
      </c>
      <c r="ED29">
        <f>ED28+IF(AND(EC29&lt;&gt;"",COUNTIF(EC$4:EC29,EC29)=1),1,0)</f>
        <v>9</v>
      </c>
      <c r="EE29" t="e">
        <f>IF(ROW()-3&gt;MAX(ED$4:ED$40),"",INDEX(EC$4:EC$40,MATCH(ROW()-3,ED$4:ED$40,0)))</f>
        <v>#N/A</v>
      </c>
      <c r="EF29" s="55">
        <f>IF('Final Calculation Sheet'!$Z$29="","",'Final Calculation Sheet'!$Z$29)</f>
        <v>9558.2124000000003</v>
      </c>
      <c r="EG29">
        <f>IF(EF29="","",COUNTIFS(EF$4:EF$40,"&lt;"&amp;EF29,EF$4:EF$40,"&lt;&gt;"&amp;"")+COUNTIF(EF$4:EF29,EF29))</f>
        <v>36</v>
      </c>
      <c r="EH29" s="55">
        <f>IF(ROW()-3&gt;COUNTIF(EF$4:EF$40,"&lt;&gt;"&amp;""),"",INDEX(EF$4:EF$40,MATCH(ROW()-3,EG$4:EG$40,0)))</f>
        <v>0</v>
      </c>
      <c r="EI29">
        <f>EI28+IF(AND(EH29&lt;&gt;"",COUNTIF(EH$4:EH29,EH29)=1),1,0)</f>
        <v>1</v>
      </c>
      <c r="EJ29" t="str">
        <f>IF(ROW()-3&gt;MAX(EI$4:EI$40),"",INDEX(EH$4:EH$40,MATCH(ROW()-3,EI$4:EI$40,0)))</f>
        <v/>
      </c>
      <c r="EK29" t="str">
        <f>IF('Final Calculation Sheet'!$AA$29="","",'Final Calculation Sheet'!$AA$29)</f>
        <v/>
      </c>
      <c r="EL29" t="str">
        <f>IF(EK29="","",COUNTIFS(EK$4:EK$40,"&lt;"&amp;EK29,EK$4:EK$40,"&lt;&gt;"&amp;"")+COUNTIF(EK$4:EK29,EK29))</f>
        <v/>
      </c>
      <c r="EM29" t="e">
        <f>IF(ROW()-3&gt;COUNTIF(EK$4:EK$40,"&lt;&gt;"&amp;""),"",INDEX(EK$4:EK$40,MATCH(ROW()-3,EL$4:EL$40,0)))</f>
        <v>#N/A</v>
      </c>
      <c r="EN29" t="e">
        <f>EN28+IF(AND(EM29&lt;&gt;"",COUNTIF(EM$4:EM29,EM29)=1),1,0)</f>
        <v>#N/A</v>
      </c>
      <c r="EO29" t="e">
        <f>IF(ROW()-3&gt;MAX(EN$4:EN$40),"",INDEX(EM$4:EM$40,MATCH(ROW()-3,EN$4:EN$40,0)))</f>
        <v>#N/A</v>
      </c>
      <c r="EP29" t="str">
        <f>IF('Final Calculation Sheet'!$AB$29="","",'Final Calculation Sheet'!$AB$29)</f>
        <v/>
      </c>
      <c r="EQ29" t="str">
        <f>IF(EP29="","",COUNTIFS(EP$4:EP$40,"&lt;"&amp;EP29,EP$4:EP$40,"&lt;&gt;"&amp;"")+COUNTIF(EP$4:EP29,EP29))</f>
        <v/>
      </c>
      <c r="ER29" t="e">
        <f>IF(ROW()-3&gt;COUNTIF(EP$4:EP$40,"&lt;&gt;"&amp;""),"",INDEX(EP$4:EP$40,MATCH(ROW()-3,EQ$4:EQ$40,0)))</f>
        <v>#N/A</v>
      </c>
      <c r="ES29" t="e">
        <f>ES28+IF(AND(ER29&lt;&gt;"",COUNTIF(ER$4:ER29,ER29)=1),1,0)</f>
        <v>#N/A</v>
      </c>
      <c r="ET29" t="e">
        <f>IF(ROW()-3&gt;MAX(ES$4:ES$40),"",INDEX(ER$4:ER$40,MATCH(ROW()-3,ES$4:ES$40,0)))</f>
        <v>#N/A</v>
      </c>
      <c r="EU29" s="55">
        <f>IF('Final Calculation Sheet'!$AC$29="","",'Final Calculation Sheet'!$AC$29)</f>
        <v>67502</v>
      </c>
      <c r="EV29">
        <f>IF(EU29="","",COUNTIFS(EU$4:EU$40,"&lt;"&amp;EU29,EU$4:EU$40,"&lt;&gt;"&amp;"")+COUNTIF(EU$4:EU29,EU29))</f>
        <v>11</v>
      </c>
      <c r="EW29" s="55">
        <f>IF(ROW()-3&gt;COUNTIF(EU$4:EU$40,"&lt;&gt;"&amp;""),"",INDEX(EU$4:EU$40,MATCH(ROW()-3,EV$4:EV$40,0)))</f>
        <v>247066</v>
      </c>
      <c r="EX29">
        <f>EX28+IF(AND(EW29&lt;&gt;"",COUNTIF(EW$4:EW29,EW29)=1),1,0)</f>
        <v>26</v>
      </c>
      <c r="EY29" s="55">
        <f>IF(ROW()-3&gt;MAX(EX$4:EX$40),"",INDEX(EW$4:EW$40,MATCH(ROW()-3,EX$4:EX$40,0)))</f>
        <v>247066</v>
      </c>
      <c r="EZ29" s="55">
        <f>IF('Final Calculation Sheet'!$AD$29="","",'Final Calculation Sheet'!$AD$29)</f>
        <v>250160</v>
      </c>
      <c r="FA29">
        <f>IF(EZ29="","",COUNTIFS(EZ$4:EZ$40,"&lt;"&amp;EZ29,EZ$4:EZ$40,"&lt;&gt;"&amp;"")+COUNTIF(EZ$4:EZ29,EZ29))</f>
        <v>36</v>
      </c>
      <c r="FB29" s="55">
        <f>IF(ROW()-3&gt;COUNTIF(EZ$4:EZ$40,"&lt;&gt;"&amp;""),"",INDEX(EZ$4:EZ$40,MATCH(ROW()-3,FA$4:FA$40,0)))</f>
        <v>0</v>
      </c>
      <c r="FC29" t="e">
        <f>FC28+IF(AND(FB29&lt;&gt;"",COUNTIF(FB$4:FB29,FB29)=1),1,0)</f>
        <v>#N/A</v>
      </c>
      <c r="FD29" t="e">
        <f>IF(ROW()-3&gt;MAX(FC$4:FC$40),"",INDEX(FB$4:FB$40,MATCH(ROW()-3,FC$4:FC$40,0)))</f>
        <v>#N/A</v>
      </c>
      <c r="FE29" t="str">
        <f>IF('Final Calculation Sheet'!$AE$29="","",'Final Calculation Sheet'!$AE$29)</f>
        <v/>
      </c>
      <c r="FF29" t="str">
        <f>IF(FE29="","",COUNTIFS(FE$4:FE$40,"&lt;"&amp;FE29,FE$4:FE$40,"&lt;&gt;"&amp;"")+COUNTIF(FE$4:FE29,FE29))</f>
        <v/>
      </c>
      <c r="FG29" t="str">
        <f>IF(ROW()-3&gt;COUNTIF(FE$4:FE$40,"&lt;&gt;"&amp;""),"",INDEX(FE$4:FE$40,MATCH(ROW()-3,FF$4:FF$40,0)))</f>
        <v>DR2640100037</v>
      </c>
      <c r="FH29" t="e">
        <f>FH28+IF(AND(FG29&lt;&gt;"",COUNTIF(FG$4:FG29,FG29)=1),1,0)</f>
        <v>#N/A</v>
      </c>
      <c r="FI29" t="e">
        <f>IF(ROW()-3&gt;MAX(FH$4:FH$40),"",INDEX(FG$4:FG$40,MATCH(ROW()-3,FH$4:FH$40,0)))</f>
        <v>#N/A</v>
      </c>
      <c r="FJ29" t="str">
        <f>IF('Final Calculation Sheet'!$AF$29="","",'Final Calculation Sheet'!$AF$29)</f>
        <v/>
      </c>
      <c r="FK29" t="str">
        <f>IF(FJ29="","",COUNTIFS(FJ$4:FJ$40,"&lt;"&amp;FJ29,FJ$4:FJ$40,"&lt;&gt;"&amp;"")+COUNTIF(FJ$4:FJ29,FJ29))</f>
        <v/>
      </c>
      <c r="FL29" s="141">
        <f>IF(ROW()-3&gt;COUNTIF(FJ$4:FJ$40,"&lt;&gt;"&amp;""),"",INDEX(FJ$4:FJ$40,MATCH(ROW()-3,FK$4:FK$40,0)))</f>
        <v>1800003314</v>
      </c>
      <c r="FM29">
        <f>FM28+IF(AND(FL29&lt;&gt;"",COUNTIF(FL$4:FL29,FL29)=1),1,0)</f>
        <v>26</v>
      </c>
      <c r="FN29" t="e">
        <f>IF(ROW()-3&gt;MAX(FM$4:FM$40),"",INDEX(FL$4:FL$40,MATCH(ROW()-3,FM$4:FM$40,0)))</f>
        <v>#N/A</v>
      </c>
      <c r="FO29" t="str">
        <f>IF('Final Calculation Sheet'!$AG$29="","",'Final Calculation Sheet'!$AG$29)</f>
        <v/>
      </c>
      <c r="FP29" t="str">
        <f>IF(FO29="","",COUNTIFS(FO$4:FO$40,"&lt;"&amp;FO29,FO$4:FO$40,"&lt;&gt;"&amp;"")+COUNTIF(FO$4:FO29,FO29))</f>
        <v/>
      </c>
      <c r="FQ29" t="str">
        <f>IF(ROW()-3&gt;COUNTIF(FO$4:FO$40,"&lt;&gt;"&amp;""),"",INDEX(FO$4:FO$40,MATCH(ROW()-3,FP$4:FP$40,0)))</f>
        <v>27.08.2026</v>
      </c>
      <c r="FR29" t="e">
        <f>FR28+IF(AND(FQ29&lt;&gt;"",COUNTIF(FQ$4:FQ29,FQ29)=1),1,0)</f>
        <v>#N/A</v>
      </c>
      <c r="FS29" t="e">
        <f>IF(ROW()-3&gt;MAX(FR$4:FR$40),"",INDEX(FQ$4:FQ$40,MATCH(ROW()-3,FR$4:FR$40,0)))</f>
        <v>#N/A</v>
      </c>
      <c r="FU29" t="str">
        <f>IF(FT29="","",COUNTIFS(FT$4:FT$40,"&lt;"&amp;FT29,FT$4:FT$40,"&lt;&gt;"&amp;"")+COUNTIF(FT$4:FT29,FT29))</f>
        <v/>
      </c>
      <c r="FV29" t="str">
        <f>IF(ROW()-3&gt;COUNTIF(FT$4:FT$40,"&lt;&gt;"&amp;""),"",INDEX(FT$4:FT$40,MATCH(ROW()-3,FU$4:FU$40,0)))</f>
        <v/>
      </c>
      <c r="FW29">
        <f>FW28+IF(AND(FV29&lt;&gt;"",COUNTIF(FV$4:FV29,FV29)=1),1,0)</f>
        <v>2</v>
      </c>
      <c r="FX29" t="str">
        <f>IF(ROW()-3&gt;MAX(FW$4:FW$40),"",INDEX(FV$4:FV$40,MATCH(ROW()-3,FW$4:FW$40,0)))</f>
        <v/>
      </c>
    </row>
    <row r="30">
      <c r="A30">
        <f>IF('Final Calculation Sheet'!$F$30="","",'Final Calculation Sheet'!$F$30)</f>
        <v>2043</v>
      </c>
      <c r="B30">
        <f>IF(A30="","",COUNTIFS(A$4:A$114,"&lt;"&amp;A30,A$4:A$114,"&lt;&gt;"&amp;"")+COUNTIF(A$4:A30,A30))</f>
        <v>27</v>
      </c>
      <c r="C30">
        <f>IF(ROW()-3&gt;COUNTIF(A$4:A$114,"&lt;&gt;"&amp;""),"",INDEX(A$4:A$114,MATCH(ROW()-3,B$4:B$114,0)))</f>
        <v>2043</v>
      </c>
      <c r="D30">
        <f>D29+IF(AND(C30&lt;&gt;"",COUNTIF(C$4:C30,C30)=1),1,0)</f>
        <v>27</v>
      </c>
      <c r="E30" t="e">
        <f>IF(ROW()-3&gt;MAX(D$4:D$114),"",INDEX(C$4:C$114,MATCH(ROW()-3,D$4:D$114,0)))</f>
        <v>#N/A</v>
      </c>
      <c r="F30">
        <f>ROW()-3</f>
        <v>27</v>
      </c>
      <c r="G30">
        <f>IF(F30="","",COUNTIFS(F$4:F$40,"&lt;"&amp;F30,F$4:F$40,"&lt;&gt;"&amp;"")+COUNTIF(F$4:F30,F30))</f>
        <v>27</v>
      </c>
      <c r="H30">
        <f>IF(ROW()-3&gt;COUNTIF(F$4:F$40,"&lt;&gt;"&amp;""),"",INDEX(F$4:F$40,MATCH(ROW()-3,G$4:G$40,0)))</f>
        <v>27</v>
      </c>
      <c r="I30">
        <f>I29+IF(AND(H30&lt;&gt;"",COUNTIF(H$4:H30,H30)=1),1,0)</f>
        <v>27</v>
      </c>
      <c r="J30">
        <f>IF(ROW()-3&gt;MAX(I$4:I$40),"",INDEX(H$4:H$40,MATCH(ROW()-3,I$4:I$40,0)))</f>
        <v>27</v>
      </c>
      <c r="K30">
        <f>IF('Final Calculation Sheet'!$F$30="","",'Final Calculation Sheet'!$F$30)</f>
        <v>2043</v>
      </c>
      <c r="L30">
        <f>IF(K30="","",COUNTIFS(K$4:K$40,"&lt;"&amp;K30,K$4:K$40,"&lt;&gt;"&amp;"")+COUNTIF(K$4:K30,K30))</f>
        <v>27</v>
      </c>
      <c r="M30">
        <f>IF(ROW()-3&gt;COUNTIF(K$4:K$40,"&lt;&gt;"&amp;""),"",INDEX(K$4:K$40,MATCH(ROW()-3,L$4:L$40,0)))</f>
        <v>2043</v>
      </c>
      <c r="N30">
        <f>N29+IF(AND(M30&lt;&gt;"",COUNTIF(M$4:M30,M30)=1),1,0)</f>
        <v>27</v>
      </c>
      <c r="O30">
        <f>IF(ROW()-3&gt;MAX(N$4:N$40),"",INDEX(M$4:M$40,MATCH(ROW()-3,N$4:N$40,0)))</f>
        <v>2043</v>
      </c>
      <c r="P30" t="str">
        <f>IF('Final Calculation Sheet'!$G$30="","",'Final Calculation Sheet'!$G$30)</f>
        <v>NATIONAL ENTERPRISES</v>
      </c>
      <c r="Q30">
        <f>IF(P30="","",COUNTIFS(P$4:P$40,"&lt;"&amp;P30,P$4:P$40,"&lt;&gt;"&amp;"")+COUNTIF(P$4:P30,P30))</f>
        <v>16</v>
      </c>
      <c r="R30" t="str">
        <f>IF(ROW()-3&gt;COUNTIF(P$4:P$40,"&lt;&gt;"&amp;""),"",INDEX(P$4:P$40,MATCH(ROW()-3,Q$4:Q$40,0)))</f>
        <v>SHAR JAHAN TRADERS</v>
      </c>
      <c r="S30">
        <f>S29+IF(AND(R30&lt;&gt;"",COUNTIF(R$4:R30,R30)=1),1,0)</f>
        <v>11</v>
      </c>
      <c r="T30" t="str">
        <f>IF(ROW()-3&gt;MAX(S$4:S$40),"",INDEX(R$4:R$40,MATCH(ROW()-3,S$4:S$40,0)))</f>
        <v/>
      </c>
      <c r="U30" t="str">
        <f>IF('Final Calculation Sheet'!$B$30="","",'Final Calculation Sheet'!$B$30)</f>
        <v>Scrap of 132 KV CT</v>
      </c>
      <c r="V30">
        <f>IF(U30="","",COUNTIFS(U$4:U$40,"&lt;"&amp;U30,U$4:U$40,"&lt;&gt;"&amp;"")+COUNTIF(U$4:U30,U30))</f>
        <v>10</v>
      </c>
      <c r="W30" t="str">
        <f>IF(ROW()-3&gt;COUNTIF(U$4:U$40,"&lt;&gt;"&amp;""),"",INDEX(U$4:U$40,MATCH(ROW()-3,V$4:V$40,0)))</f>
        <v>Scrap of empty oil Barrels</v>
      </c>
      <c r="X30">
        <f>X29+IF(AND(W30&lt;&gt;"",COUNTIF(W$4:W30,W30)=1),1,0)</f>
        <v>20</v>
      </c>
      <c r="Y30" t="str">
        <f>IF(ROW()-3&gt;MAX(X$4:X$40),"",INDEX(W$4:W$40,MATCH(ROW()-3,X$4:X$40,0)))</f>
        <v/>
      </c>
      <c r="Z30">
        <f>IF('Final Calculation Sheet'!$D$30="","",'Final Calculation Sheet'!$D$30)</f>
        <v>21979</v>
      </c>
      <c r="AA30">
        <f>IF(Z30="","",COUNTIFS(Z$4:Z$40,"&lt;"&amp;Z30,Z$4:Z$40,"&lt;&gt;"&amp;"")+COUNTIF(Z$4:Z30,Z30))</f>
        <v>25</v>
      </c>
      <c r="AB30">
        <f>IF(ROW()-3&gt;COUNTIF(Z$4:Z$40,"&lt;&gt;"&amp;""),"",INDEX(Z$4:Z$40,MATCH(ROW()-3,AA$4:AA$40,0)))</f>
        <v>21979</v>
      </c>
      <c r="AC30">
        <f>AC29+IF(AND(AB30&lt;&gt;"",COUNTIF(AB$4:AB30,AB30)=1),1,0)</f>
        <v>3</v>
      </c>
      <c r="AD30" t="str">
        <f>IF(ROW()-3&gt;MAX(AC$4:AC$40),"",INDEX(AB$4:AB$40,MATCH(ROW()-3,AC$4:AC$40,0)))</f>
        <v/>
      </c>
      <c r="AE30">
        <f>IF('Final Calculation Sheet'!$A$30="","",'Final Calculation Sheet'!$A$30)</f>
        <v>5</v>
      </c>
      <c r="AF30">
        <f>IF(AE30="","",COUNTIFS(AE$4:AE$40,"&lt;"&amp;AE30,AE$4:AE$40,"&lt;&gt;"&amp;"")+COUNTIF(AE$4:AE30,AE30))</f>
        <v>20</v>
      </c>
      <c r="AG30">
        <f>IF(ROW()-3&gt;COUNTIF(AE$4:AE$40,"&lt;&gt;"&amp;""),"",INDEX(AE$4:AE$40,MATCH(ROW()-3,AF$4:AF$40,0)))</f>
        <v>90</v>
      </c>
      <c r="AH30">
        <f>AH29+IF(AND(AG30&lt;&gt;"",COUNTIF(AG$4:AG30,AG30)=1),1,0)</f>
        <v>12</v>
      </c>
      <c r="AI30" t="str">
        <f>IF(ROW()-3&gt;MAX(AH$4:AH$40),"",INDEX(AG$4:AG$40,MATCH(ROW()-3,AH$4:AH$40,0)))</f>
        <v/>
      </c>
      <c r="AJ30" t="str">
        <f>IF('Final Calculation Sheet'!$E$30="","",'Final Calculation Sheet'!$E$30)</f>
        <v>NO</v>
      </c>
      <c r="AK30">
        <f>IF(AJ30="","",COUNTIFS(AJ$4:AJ$40,"&lt;"&amp;AJ30,AJ$4:AJ$40,"&lt;&gt;"&amp;"")+COUNTIF(AJ$4:AJ30,AJ30))</f>
        <v>28</v>
      </c>
      <c r="AL30" t="str">
        <f>IF(ROW()-3&gt;COUNTIF(AJ$4:AJ$40,"&lt;&gt;"&amp;""),"",INDEX(AJ$4:AJ$40,MATCH(ROW()-3,AK$4:AK$40,0)))</f>
        <v>NO</v>
      </c>
      <c r="AM30">
        <f>AM29+IF(AND(AL30&lt;&gt;"",COUNTIF(AL$4:AL30,AL30)=1),1,0)</f>
        <v>3</v>
      </c>
      <c r="AN30" t="str">
        <f>IF(ROW()-3&gt;MAX(AM$4:AM$40),"",INDEX(AL$4:AL$40,MATCH(ROW()-3,AM$4:AM$40,0)))</f>
        <v/>
      </c>
      <c r="AO30" s="55">
        <f>IF('Final Calculation Sheet'!$C$30="","",'Final Calculation Sheet'!$C$30)</f>
        <v>80000</v>
      </c>
      <c r="AP30">
        <f>IF(AO30="","",COUNTIFS(AO$4:AO$40,"&lt;"&amp;AO30,AO$4:AO$40,"&lt;&gt;"&amp;"")+COUNTIF(AO$4:AO30,AO30))</f>
        <v>29</v>
      </c>
      <c r="AQ30" s="55">
        <f>IF(ROW()-3&gt;COUNTIF(AO$4:AO$40,"&lt;&gt;"&amp;""),"",INDEX(AO$4:AO$40,MATCH(ROW()-3,AP$4:AP$40,0)))</f>
        <v>70001</v>
      </c>
      <c r="AR30">
        <f>AR29+IF(AND(AQ30&lt;&gt;"",COUNTIF(AQ$4:AQ30,AQ30)=1),1,0)</f>
        <v>25</v>
      </c>
      <c r="AS30" s="55">
        <f>IF(ROW()-3&gt;MAX(AR$4:AR$40),"",INDEX(AQ$4:AQ$40,MATCH(ROW()-3,AR$4:AR$40,0)))</f>
        <v>80000</v>
      </c>
      <c r="AT30" s="55">
        <f>IF('Final Calculation Sheet'!$H$30="","",'Final Calculation Sheet'!$H$30)</f>
        <v>400000</v>
      </c>
      <c r="AU30">
        <f>IF(AT30="","",COUNTIFS(AT$4:AT$40,"&lt;"&amp;AT30,AT$4:AT$40,"&lt;&gt;"&amp;"")+COUNTIF(AT$4:AT30,AT30))</f>
        <v>30</v>
      </c>
      <c r="AV30" s="55">
        <f>IF(ROW()-3&gt;COUNTIF(AT$4:AT$40,"&lt;&gt;"&amp;""),"",INDEX(AT$4:AT$40,MATCH(ROW()-3,AU$4:AU$40,0)))</f>
        <v>251229</v>
      </c>
      <c r="AW30">
        <f>AW29+IF(AND(AV30&lt;&gt;"",COUNTIF(AV$4:AV30,AV30)=1),1,0)</f>
        <v>27</v>
      </c>
      <c r="AX30" s="55">
        <f>IF(ROW()-3&gt;MAX(AW$4:AW$40),"",INDEX(AV$4:AV$40,MATCH(ROW()-3,AW$4:AW$40,0)))</f>
        <v>251229</v>
      </c>
      <c r="AY30" s="55">
        <f>IF('Final Calculation Sheet'!$I$30="","",'Final Calculation Sheet'!$I$30)</f>
        <v>72000</v>
      </c>
      <c r="AZ30">
        <f>IF(AY30="","",COUNTIFS(AY$4:AY$40,"&lt;"&amp;AY30,AY$4:AY$40,"&lt;&gt;"&amp;"")+COUNTIF(AY$4:AY30,AY30))</f>
        <v>30</v>
      </c>
      <c r="BA30" s="55">
        <f>IF(ROW()-3&gt;COUNTIF(AY$4:AY$40,"&lt;&gt;"&amp;""),"",INDEX(AY$4:AY$40,MATCH(ROW()-3,AZ$4:AZ$40,0)))</f>
        <v>45221</v>
      </c>
      <c r="BB30">
        <f>BB29+IF(AND(BA30&lt;&gt;"",COUNTIF(BA$4:BA30,BA30)=1),1,0)</f>
        <v>27</v>
      </c>
      <c r="BC30" s="55">
        <f>IF(ROW()-3&gt;MAX(BB$4:BB$40),"",INDEX(BA$4:BA$40,MATCH(ROW()-3,BB$4:BB$40,0)))</f>
        <v>45221</v>
      </c>
      <c r="BD30" s="55">
        <f>IF('Final Calculation Sheet'!$J$30="","",'Final Calculation Sheet'!$J$30)</f>
        <v>472000</v>
      </c>
      <c r="BE30">
        <f>IF(BD30="","",COUNTIFS(BD$4:BD$40,"&lt;"&amp;BD30,BD$4:BD$40,"&lt;&gt;"&amp;"")+COUNTIF(BD$4:BD30,BD30))</f>
        <v>30</v>
      </c>
      <c r="BF30" s="55">
        <f>IF(ROW()-3&gt;COUNTIF(BD$4:BD$40,"&lt;&gt;"&amp;""),"",INDEX(BD$4:BD$40,MATCH(ROW()-3,BE$4:BE$40,0)))</f>
        <v>296450</v>
      </c>
      <c r="BG30">
        <f>BG29+IF(AND(BF30&lt;&gt;"",COUNTIF(BF$4:BF30,BF30)=1),1,0)</f>
        <v>27</v>
      </c>
      <c r="BH30" s="55">
        <f>IF(ROW()-3&gt;MAX(BG$4:BG$40),"",INDEX(BF$4:BF$40,MATCH(ROW()-3,BG$4:BG$40,0)))</f>
        <v>296450</v>
      </c>
      <c r="BI30" s="55">
        <f>IF('Final Calculation Sheet'!$K$30="","",'Final Calculation Sheet'!$K$30)</f>
        <v>9440</v>
      </c>
      <c r="BJ30">
        <f>IF(BI30="","",COUNTIFS(BI$4:BI$40,"&lt;"&amp;BI30,BI$4:BI$40,"&lt;&gt;"&amp;"")+COUNTIF(BI$4:BI30,BI30))</f>
        <v>30</v>
      </c>
      <c r="BK30" s="55">
        <f>IF(ROW()-3&gt;COUNTIF(BI$4:BI$40,"&lt;&gt;"&amp;""),"",INDEX(BI$4:BI$40,MATCH(ROW()-3,BJ$4:BJ$40,0)))</f>
        <v>5929</v>
      </c>
      <c r="BL30">
        <f>BL29+IF(AND(BK30&lt;&gt;"",COUNTIF(BK$4:BK30,BK30)=1),1,0)</f>
        <v>26</v>
      </c>
      <c r="BM30" s="55">
        <f>IF(ROW()-3&gt;MAX(BL$4:BL$40),"",INDEX(BK$4:BK$40,MATCH(ROW()-3,BL$4:BL$40,0)))</f>
        <v>6372</v>
      </c>
      <c r="BN30" s="55">
        <f>IF('Final Calculation Sheet'!$L$30="","",'Final Calculation Sheet'!$L$30)</f>
        <v>400</v>
      </c>
      <c r="BO30">
        <f>IF(BN30="","",COUNTIFS(BN$4:BN$40,"&lt;"&amp;BN30,BN$4:BN$40,"&lt;&gt;"&amp;"")+COUNTIF(BN$4:BN30,BN30))</f>
        <v>30</v>
      </c>
      <c r="BP30" s="55">
        <f>IF(ROW()-3&gt;COUNTIF(BN$4:BN$40,"&lt;&gt;"&amp;""),"",INDEX(BN$4:BN$40,MATCH(ROW()-3,BO$4:BO$40,0)))</f>
        <v>251.22900000000001</v>
      </c>
      <c r="BQ30">
        <f>BQ29+IF(AND(BP30&lt;&gt;"",COUNTIF(BP$4:BP30,BP30)=1),1,0)</f>
        <v>27</v>
      </c>
      <c r="BR30" s="55">
        <f>IF(ROW()-3&gt;MAX(BQ$4:BQ$40),"",INDEX(BP$4:BP$40,MATCH(ROW()-3,BQ$4:BQ$40,0)))</f>
        <v>251.22900000000001</v>
      </c>
      <c r="BS30" s="55">
        <f>IF('Final Calculation Sheet'!$M$30="","",'Final Calculation Sheet'!$M$30)</f>
        <v>10620</v>
      </c>
      <c r="BT30">
        <f>IF(BS30="","",COUNTIFS(BS$4:BS$40,"&lt;"&amp;BS30,BS$4:BS$40,"&lt;&gt;"&amp;"")+COUNTIF(BS$4:BS30,BS30))</f>
        <v>30</v>
      </c>
      <c r="BU30" s="55">
        <f>IF(ROW()-3&gt;COUNTIF(BS$4:BS$40,"&lt;&gt;"&amp;""),"",INDEX(BS$4:BS$40,MATCH(ROW()-3,BT$4:BT$40,0)))</f>
        <v>6670.1299499999996</v>
      </c>
      <c r="BV30">
        <f>BV29+IF(AND(BU30&lt;&gt;"",COUNTIF(BU$4:BU30,BU30)=1),1,0)</f>
        <v>27</v>
      </c>
      <c r="BW30" s="55">
        <f>IF(ROW()-3&gt;MAX(BV$4:BV$40),"",INDEX(BU$4:BU$40,MATCH(ROW()-3,BV$4:BV$40,0)))</f>
        <v>6670.1299499999996</v>
      </c>
      <c r="BX30" s="138">
        <f>IF('Final Calculation Sheet'!$N$30="","",'Final Calculation Sheet'!$N$30)</f>
        <v>180</v>
      </c>
      <c r="BY30">
        <f>IF(BX30="","",COUNTIFS(BX$4:BX$40,"&lt;"&amp;BX30,BX$4:BX$40,"&lt;&gt;"&amp;"")+COUNTIF(BX$4:BX30,BX30))</f>
        <v>30</v>
      </c>
      <c r="BZ30" s="138">
        <f>IF(ROW()-3&gt;COUNTIF(BX$4:BX$40,"&lt;&gt;"&amp;""),"",INDEX(BX$4:BX$40,MATCH(ROW()-3,BY$4:BY$40,0)))</f>
        <v>113.05305</v>
      </c>
      <c r="CA30">
        <f>CA29+IF(AND(BZ30&lt;&gt;"",COUNTIF(BZ$4:BZ30,BZ30)=1),1,0)</f>
        <v>27</v>
      </c>
      <c r="CB30" s="138">
        <f>IF(ROW()-3&gt;MAX(CA$4:CA$40),"",INDEX(BZ$4:BZ$40,MATCH(ROW()-3,CA$4:CA$40,0)))</f>
        <v>113.05305</v>
      </c>
      <c r="CC30" s="55">
        <f>IF('Final Calculation Sheet'!$O$30="","",'Final Calculation Sheet'!$O$30)</f>
        <v>10440</v>
      </c>
      <c r="CD30">
        <f>IF(CC30="","",COUNTIFS(CC$4:CC$40,"&lt;"&amp;CC30,CC$4:CC$40,"&lt;&gt;"&amp;"")+COUNTIF(CC$4:CC30,CC30))</f>
        <v>30</v>
      </c>
      <c r="CE30" s="55">
        <f>IF(ROW()-3&gt;COUNTIF(CC$4:CC$40,"&lt;&gt;"&amp;""),"",INDEX(CC$4:CC$40,MATCH(ROW()-3,CD$4:CD$40,0)))</f>
        <v>6557.0768999999991</v>
      </c>
      <c r="CF30">
        <f>CF29+IF(AND(CE30&lt;&gt;"",COUNTIF(CE$4:CE30,CE30)=1),1,0)</f>
        <v>27</v>
      </c>
      <c r="CG30" s="55">
        <f>IF(ROW()-3&gt;MAX(CF$4:CF$40),"",INDEX(CE$4:CE$40,MATCH(ROW()-3,CF$4:CF$40,0)))</f>
        <v>6557.0768999999991</v>
      </c>
      <c r="CH30" s="55">
        <f>IF('Final Calculation Sheet'!$P$30="","",'Final Calculation Sheet'!$P$30)</f>
        <v>10840</v>
      </c>
      <c r="CI30">
        <f>IF(CH30="","",COUNTIFS(CH$4:CH$40,"&lt;"&amp;CH30,CH$4:CH$40,"&lt;&gt;"&amp;"")+COUNTIF(CH$4:CH30,CH30))</f>
        <v>30</v>
      </c>
      <c r="CJ30" s="55">
        <f>IF(ROW()-3&gt;COUNTIF(CH$4:CH$40,"&lt;&gt;"&amp;""),"",INDEX(CH$4:CH$40,MATCH(ROW()-3,CI$4:CI$40,0)))</f>
        <v>6808</v>
      </c>
      <c r="CK30">
        <f>CK29+IF(AND(CJ30&lt;&gt;"",COUNTIF(CJ$4:CJ30,CJ30)=1),1,0)</f>
        <v>26</v>
      </c>
      <c r="CL30" s="55">
        <f>IF(ROW()-3&gt;MAX(CK$4:CK$40),"",INDEX(CJ$4:CJ$40,MATCH(ROW()-3,CK$4:CK$40,0)))</f>
        <v>7317</v>
      </c>
      <c r="CM30" s="139">
        <f>IF('Final Calculation Sheet'!$Q$30="","",'Final Calculation Sheet'!$Q$30)</f>
        <v>0</v>
      </c>
      <c r="CN30">
        <f>IF(CM30="","",COUNTIFS(CM$4:CM$40,"&lt;"&amp;CM30,CM$4:CM$40,"&lt;&gt;"&amp;"")+COUNTIF(CM$4:CM30,CM30))</f>
        <v>23</v>
      </c>
      <c r="CO30" s="139">
        <f>IF(ROW()-3&gt;COUNTIF(CM$4:CM$40,"&lt;&gt;"&amp;""),"",INDEX(CM$4:CM$40,MATCH(ROW()-3,CN$4:CN$40,0)))</f>
        <v>0</v>
      </c>
      <c r="CP30">
        <f>CP29+IF(AND(CO30&lt;&gt;"",COUNTIF(CO$4:CO30,CO30)=1),1,0)</f>
        <v>1</v>
      </c>
      <c r="CQ30" t="str">
        <f>IF(ROW()-3&gt;MAX(CP$4:CP$40),"",INDEX(CO$4:CO$40,MATCH(ROW()-3,CP$4:CP$40,0)))</f>
        <v/>
      </c>
      <c r="CR30" s="55">
        <f>IF('Final Calculation Sheet'!$R$30="","",'Final Calculation Sheet'!$R$30)</f>
        <v>0</v>
      </c>
      <c r="CS30">
        <f>IF(CR30="","",COUNTIFS(CR$4:CR$40,"&lt;"&amp;CR30,CR$4:CR$40,"&lt;&gt;"&amp;"")+COUNTIF(CR$4:CR30,CR30))</f>
        <v>23</v>
      </c>
      <c r="CT30" s="55">
        <f>IF(ROW()-3&gt;COUNTIF(CR$4:CR$40,"&lt;&gt;"&amp;""),"",INDEX(CR$4:CR$40,MATCH(ROW()-3,CS$4:CS$40,0)))</f>
        <v>0</v>
      </c>
      <c r="CU30">
        <f>CU29+IF(AND(CT30&lt;&gt;"",COUNTIF(CT$4:CT30,CT30)=1),1,0)</f>
        <v>1</v>
      </c>
      <c r="CV30" t="str">
        <f>IF(ROW()-3&gt;MAX(CU$4:CU$40),"",INDEX(CT$4:CT$40,MATCH(ROW()-3,CU$4:CU$40,0)))</f>
        <v/>
      </c>
      <c r="CW30" s="55">
        <f>IF('Final Calculation Sheet'!$S$30="","",'Final Calculation Sheet'!$S$30)</f>
        <v>470600</v>
      </c>
      <c r="CX30">
        <f>IF(CW30="","",COUNTIFS(CW$4:CW$40,"&lt;"&amp;CW30,CW$4:CW$40,"&lt;&gt;"&amp;"")+COUNTIF(CW$4:CW30,CW30))</f>
        <v>30</v>
      </c>
      <c r="CY30" s="55">
        <f>IF(ROW()-3&gt;COUNTIF(CW$4:CW$40,"&lt;&gt;"&amp;""),"",INDEX(CW$4:CW$40,MATCH(ROW()-3,CX$4:CX$40,0)))</f>
        <v>295571</v>
      </c>
      <c r="CZ30">
        <f>CZ29+IF(AND(CY30&lt;&gt;"",COUNTIF(CY$4:CY30,CY30)=1),1,0)</f>
        <v>27</v>
      </c>
      <c r="DA30" s="55">
        <f>IF(ROW()-3&gt;MAX(CZ$4:CZ$40),"",INDEX(CY$4:CY$40,MATCH(ROW()-3,CZ$4:CZ$40,0)))</f>
        <v>295571</v>
      </c>
      <c r="DB30" s="55">
        <f>IF('Final Calculation Sheet'!$T$30="","",'Final Calculation Sheet'!$T$30)</f>
        <v>100000</v>
      </c>
      <c r="DC30">
        <f>IF(DB30="","",COUNTIFS(DB$4:DB$40,"&lt;"&amp;DB30,DB$4:DB$40,"&lt;&gt;"&amp;"")+COUNTIF(DB$4:DB30,DB30))</f>
        <v>30</v>
      </c>
      <c r="DD30" s="55">
        <f>IF(ROW()-3&gt;COUNTIF(DB$4:DB$40,"&lt;&gt;"&amp;""),"",INDEX(DB$4:DB$40,MATCH(ROW()-3,DC$4:DC$40,0)))</f>
        <v>62807</v>
      </c>
      <c r="DE30">
        <f>DE29+IF(AND(DD30&lt;&gt;"",COUNTIF(DD$4:DD30,DD30)=1),1,0)</f>
        <v>27</v>
      </c>
      <c r="DF30" s="55">
        <f>IF(ROW()-3&gt;MAX(DE$4:DE$40),"",INDEX(DD$4:DD$40,MATCH(ROW()-3,DE$4:DE$40,0)))</f>
        <v>62807</v>
      </c>
      <c r="DG30" s="140">
        <f>IF('Final Calculation Sheet'!$U$30="","",'Final Calculation Sheet'!$U$30)</f>
        <v>100000</v>
      </c>
      <c r="DH30">
        <f>IF(DG30="","",COUNTIFS(DG$4:DG$40,"&lt;"&amp;DG30,DG$4:DG$40,"&lt;&gt;"&amp;"")+COUNTIF(DG$4:DG30,DG30))</f>
        <v>30</v>
      </c>
      <c r="DI30" s="140">
        <f>IF(ROW()-3&gt;COUNTIF(DG$4:DG$40,"&lt;&gt;"&amp;""),"",INDEX(DG$4:DG$40,MATCH(ROW()-3,DH$4:DH$40,0)))</f>
        <v>62807</v>
      </c>
      <c r="DJ30">
        <f>DJ29+IF(AND(DI30&lt;&gt;"",COUNTIF(DI$4:DI30,DI30)=1),1,0)</f>
        <v>27</v>
      </c>
      <c r="DK30" s="140">
        <f>IF(ROW()-3&gt;MAX(DJ$4:DJ$40),"",INDEX(DI$4:DI$40,MATCH(ROW()-3,DJ$4:DJ$40,0)))</f>
        <v>62807</v>
      </c>
      <c r="DL30" t="str">
        <f>IF('Final Calculation Sheet'!$V$30="","",'Final Calculation Sheet'!$V$30)</f>
        <v>13.08.2026</v>
      </c>
      <c r="DM30">
        <f>IF(DL30="","",COUNTIFS(DL$4:DL$40,"&lt;"&amp;DL30,DL$4:DL$40,"&lt;&gt;"&amp;"")+COUNTIF(DL$4:DL30,DL30))</f>
        <v>23</v>
      </c>
      <c r="DN30" t="str">
        <f>IF(ROW()-3&gt;COUNTIF(DL$4:DL$40,"&lt;&gt;"&amp;""),"",INDEX(DL$4:DL$40,MATCH(ROW()-3,DM$4:DM$40,0)))</f>
        <v>14.08.2026</v>
      </c>
      <c r="DO30">
        <f>DO29+IF(AND(DN30&lt;&gt;"",COUNTIF(DN$4:DN30,DN30)=1),1,0)</f>
        <v>4</v>
      </c>
      <c r="DP30" t="str">
        <f>IF(ROW()-3&gt;MAX(DO$4:DO$40),"",INDEX(DN$4:DN$40,MATCH(ROW()-3,DO$4:DO$40,0)))</f>
        <v/>
      </c>
      <c r="DQ30" s="55">
        <f>IF('Final Calculation Sheet'!$W$30="","",'Final Calculation Sheet'!$W$30)</f>
        <v>370600</v>
      </c>
      <c r="DR30">
        <f>IF(DQ30="","",COUNTIFS(DQ$4:DQ$40,"&lt;"&amp;DQ30,DQ$4:DQ$40,"&lt;&gt;"&amp;"")+COUNTIF(DQ$4:DQ30,DQ30))</f>
        <v>30</v>
      </c>
      <c r="DS30" s="55">
        <f>IF(ROW()-3&gt;COUNTIF(DQ$4:DQ$40,"&lt;&gt;"&amp;""),"",INDEX(DQ$4:DQ$40,MATCH(ROW()-3,DR$4:DR$40,0)))</f>
        <v>232764</v>
      </c>
      <c r="DT30">
        <f>DT29+IF(AND(DS30&lt;&gt;"",COUNTIF(DS$4:DS30,DS30)=1),1,0)</f>
        <v>27</v>
      </c>
      <c r="DU30" s="55">
        <f>IF(ROW()-3&gt;MAX(DT$4:DT$40),"",INDEX(DS$4:DS$40,MATCH(ROW()-3,DT$4:DT$40,0)))</f>
        <v>232764</v>
      </c>
      <c r="DV30" s="55">
        <f>IF('Final Calculation Sheet'!$X$30="","",'Final Calculation Sheet'!$X$30)</f>
        <v>370600</v>
      </c>
      <c r="DW30">
        <f>IF(DV30="","",COUNTIFS(DV$4:DV$40,"&lt;"&amp;DV30,DV$4:DV$40,"&lt;&gt;"&amp;"")+COUNTIF(DV$4:DV30,DV30))</f>
        <v>28</v>
      </c>
      <c r="DX30" s="55">
        <f>IF(ROW()-3&gt;COUNTIF(DV$4:DV$40,"&lt;&gt;"&amp;""),"",INDEX(DV$4:DV$40,MATCH(ROW()-3,DW$4:DW$40,0)))</f>
        <v>306301</v>
      </c>
      <c r="DY30">
        <f>DY29+IF(AND(DX30&lt;&gt;"",COUNTIF(DX$4:DX30,DX30)=1),1,0)</f>
        <v>27</v>
      </c>
      <c r="DZ30" t="e">
        <f>IF(ROW()-3&gt;MAX(DY$4:DY$40),"",INDEX(DX$4:DX$40,MATCH(ROW()-3,DY$4:DY$40,0)))</f>
        <v>#N/A</v>
      </c>
      <c r="EA30" t="str">
        <f>IF('Final Calculation Sheet'!$Y$30="","",'Final Calculation Sheet'!$Y$30)</f>
        <v>24.08.2026</v>
      </c>
      <c r="EB30">
        <f>IF(EA30="","",COUNTIFS(EA$4:EA$40,"&lt;"&amp;EA30,EA$4:EA$40,"&lt;&gt;"&amp;"")+COUNTIF(EA$4:EA30,EA30))</f>
        <v>31</v>
      </c>
      <c r="EC30" t="str">
        <f>IF(ROW()-3&gt;COUNTIF(EA$4:EA$40,"&lt;&gt;"&amp;""),"",INDEX(EA$4:EA$40,MATCH(ROW()-3,EB$4:EB$40,0)))</f>
        <v>24.08.2026</v>
      </c>
      <c r="ED30">
        <f>ED29+IF(AND(EC30&lt;&gt;"",COUNTIF(EC$4:EC30,EC30)=1),1,0)</f>
        <v>9</v>
      </c>
      <c r="EE30" t="e">
        <f>IF(ROW()-3&gt;MAX(ED$4:ED$40),"",INDEX(EC$4:EC$40,MATCH(ROW()-3,ED$4:ED$40,0)))</f>
        <v>#N/A</v>
      </c>
      <c r="EF30" s="55">
        <f>IF('Final Calculation Sheet'!$Z$30="","",'Final Calculation Sheet'!$Z$30)</f>
        <v>0</v>
      </c>
      <c r="EG30">
        <f>IF(EF30="","",COUNTIFS(EF$4:EF$40,"&lt;"&amp;EF30,EF$4:EF$40,"&lt;&gt;"&amp;"")+COUNTIF(EF$4:EF30,EF30))</f>
        <v>25</v>
      </c>
      <c r="EH30" s="55">
        <f>IF(ROW()-3&gt;COUNTIF(EF$4:EF$40,"&lt;&gt;"&amp;""),"",INDEX(EF$4:EF$40,MATCH(ROW()-3,EG$4:EG$40,0)))</f>
        <v>0</v>
      </c>
      <c r="EI30">
        <f>EI29+IF(AND(EH30&lt;&gt;"",COUNTIF(EH$4:EH30,EH30)=1),1,0)</f>
        <v>1</v>
      </c>
      <c r="EJ30" t="str">
        <f>IF(ROW()-3&gt;MAX(EI$4:EI$40),"",INDEX(EH$4:EH$40,MATCH(ROW()-3,EI$4:EI$40,0)))</f>
        <v/>
      </c>
      <c r="EK30" t="str">
        <f>IF('Final Calculation Sheet'!$AA$30="","",'Final Calculation Sheet'!$AA$30)</f>
        <v/>
      </c>
      <c r="EL30" t="str">
        <f>IF(EK30="","",COUNTIFS(EK$4:EK$40,"&lt;"&amp;EK30,EK$4:EK$40,"&lt;&gt;"&amp;"")+COUNTIF(EK$4:EK30,EK30))</f>
        <v/>
      </c>
      <c r="EM30" t="e">
        <f>IF(ROW()-3&gt;COUNTIF(EK$4:EK$40,"&lt;&gt;"&amp;""),"",INDEX(EK$4:EK$40,MATCH(ROW()-3,EL$4:EL$40,0)))</f>
        <v>#N/A</v>
      </c>
      <c r="EN30" t="e">
        <f>EN29+IF(AND(EM30&lt;&gt;"",COUNTIF(EM$4:EM30,EM30)=1),1,0)</f>
        <v>#N/A</v>
      </c>
      <c r="EO30" t="e">
        <f>IF(ROW()-3&gt;MAX(EN$4:EN$40),"",INDEX(EM$4:EM$40,MATCH(ROW()-3,EN$4:EN$40,0)))</f>
        <v>#N/A</v>
      </c>
      <c r="EP30" t="str">
        <f>IF('Final Calculation Sheet'!$AB$30="","",'Final Calculation Sheet'!$AB$30)</f>
        <v/>
      </c>
      <c r="EQ30" t="str">
        <f>IF(EP30="","",COUNTIFS(EP$4:EP$40,"&lt;"&amp;EP30,EP$4:EP$40,"&lt;&gt;"&amp;"")+COUNTIF(EP$4:EP30,EP30))</f>
        <v/>
      </c>
      <c r="ER30" t="e">
        <f>IF(ROW()-3&gt;COUNTIF(EP$4:EP$40,"&lt;&gt;"&amp;""),"",INDEX(EP$4:EP$40,MATCH(ROW()-3,EQ$4:EQ$40,0)))</f>
        <v>#N/A</v>
      </c>
      <c r="ES30" t="e">
        <f>ES29+IF(AND(ER30&lt;&gt;"",COUNTIF(ER$4:ER30,ER30)=1),1,0)</f>
        <v>#N/A</v>
      </c>
      <c r="ET30" t="e">
        <f>IF(ROW()-3&gt;MAX(ES$4:ES$40),"",INDEX(ER$4:ER$40,MATCH(ROW()-3,ES$4:ES$40,0)))</f>
        <v>#N/A</v>
      </c>
      <c r="EU30" s="55">
        <f>IF('Final Calculation Sheet'!$AC$30="","",'Final Calculation Sheet'!$AC$30)</f>
        <v>470600</v>
      </c>
      <c r="EV30">
        <f>IF(EU30="","",COUNTIFS(EU$4:EU$40,"&lt;"&amp;EU30,EU$4:EU$40,"&lt;&gt;"&amp;"")+COUNTIF(EU$4:EU30,EU30))</f>
        <v>31</v>
      </c>
      <c r="EW30" s="55">
        <f>IF(ROW()-3&gt;COUNTIF(EU$4:EU$40,"&lt;&gt;"&amp;""),"",INDEX(EU$4:EU$40,MATCH(ROW()-3,EV$4:EV$40,0)))</f>
        <v>247069</v>
      </c>
      <c r="EX30">
        <f>EX29+IF(AND(EW30&lt;&gt;"",COUNTIF(EW$4:EW30,EW30)=1),1,0)</f>
        <v>27</v>
      </c>
      <c r="EY30" s="55">
        <f>IF(ROW()-3&gt;MAX(EX$4:EX$40),"",INDEX(EW$4:EW$40,MATCH(ROW()-3,EX$4:EX$40,0)))</f>
        <v>247069</v>
      </c>
      <c r="EZ30" s="55">
        <f>IF('Final Calculation Sheet'!$AD$30="","",'Final Calculation Sheet'!$AD$30)</f>
        <v>0</v>
      </c>
      <c r="FA30">
        <f>IF(EZ30="","",COUNTIFS(EZ$4:EZ$40,"&lt;"&amp;EZ30,EZ$4:EZ$40,"&lt;&gt;"&amp;"")+COUNTIF(EZ$4:EZ30,EZ30))</f>
        <v>24</v>
      </c>
      <c r="FB30" s="55">
        <f>IF(ROW()-3&gt;COUNTIF(EZ$4:EZ$40,"&lt;&gt;"&amp;""),"",INDEX(EZ$4:EZ$40,MATCH(ROW()-3,FA$4:FA$40,0)))</f>
        <v>0</v>
      </c>
      <c r="FC30" t="e">
        <f>FC29+IF(AND(FB30&lt;&gt;"",COUNTIF(FB$4:FB30,FB30)=1),1,0)</f>
        <v>#N/A</v>
      </c>
      <c r="FD30" t="e">
        <f>IF(ROW()-3&gt;MAX(FC$4:FC$40),"",INDEX(FB$4:FB$40,MATCH(ROW()-3,FC$4:FC$40,0)))</f>
        <v>#N/A</v>
      </c>
      <c r="FE30" t="str">
        <f>IF('Final Calculation Sheet'!$AE$30="","",'Final Calculation Sheet'!$AE$30)</f>
        <v>DR2640100038</v>
      </c>
      <c r="FF30">
        <f>IF(FE30="","",COUNTIFS(FE$4:FE$40,"&lt;"&amp;FE30,FE$4:FE$40,"&lt;&gt;"&amp;"")+COUNTIF(FE$4:FE30,FE30))</f>
        <v>27</v>
      </c>
      <c r="FG30" t="str">
        <f>IF(ROW()-3&gt;COUNTIF(FE$4:FE$40,"&lt;&gt;"&amp;""),"",INDEX(FE$4:FE$40,MATCH(ROW()-3,FF$4:FF$40,0)))</f>
        <v>DR2640100038</v>
      </c>
      <c r="FH30" t="e">
        <f>FH29+IF(AND(FG30&lt;&gt;"",COUNTIF(FG$4:FG30,FG30)=1),1,0)</f>
        <v>#N/A</v>
      </c>
      <c r="FI30" t="e">
        <f>IF(ROW()-3&gt;MAX(FH$4:FH$40),"",INDEX(FG$4:FG$40,MATCH(ROW()-3,FH$4:FH$40,0)))</f>
        <v>#N/A</v>
      </c>
      <c r="FJ30" s="141">
        <f>IF('Final Calculation Sheet'!$AF$30="","",'Final Calculation Sheet'!$AF$30)</f>
        <v>1800003311</v>
      </c>
      <c r="FK30">
        <f>IF(FJ30="","",COUNTIFS(FJ$4:FJ$40,"&lt;"&amp;FJ30,FJ$4:FJ$40,"&lt;&gt;"&amp;"")+COUNTIF(FJ$4:FJ30,FJ30))</f>
        <v>23</v>
      </c>
      <c r="FL30" s="141">
        <f>IF(ROW()-3&gt;COUNTIF(FJ$4:FJ$40,"&lt;&gt;"&amp;""),"",INDEX(FJ$4:FJ$40,MATCH(ROW()-3,FK$4:FK$40,0)))</f>
        <v>1800003315</v>
      </c>
      <c r="FM30">
        <f>FM29+IF(AND(FL30&lt;&gt;"",COUNTIF(FL$4:FL30,FL30)=1),1,0)</f>
        <v>27</v>
      </c>
      <c r="FN30" t="e">
        <f>IF(ROW()-3&gt;MAX(FM$4:FM$40),"",INDEX(FL$4:FL$40,MATCH(ROW()-3,FM$4:FM$40,0)))</f>
        <v>#N/A</v>
      </c>
      <c r="FO30" t="str">
        <f>IF('Final Calculation Sheet'!$AG$30="","",'Final Calculation Sheet'!$AG$30)</f>
        <v>27.08.2026</v>
      </c>
      <c r="FP30">
        <f>IF(FO30="","",COUNTIFS(FO$4:FO$40,"&lt;"&amp;FO30,FO$4:FO$40,"&lt;&gt;"&amp;"")+COUNTIF(FO$4:FO30,FO30))</f>
        <v>33</v>
      </c>
      <c r="FQ30" t="str">
        <f>IF(ROW()-3&gt;COUNTIF(FO$4:FO$40,"&lt;&gt;"&amp;""),"",INDEX(FO$4:FO$40,MATCH(ROW()-3,FP$4:FP$40,0)))</f>
        <v>27.08.2026</v>
      </c>
      <c r="FR30" t="e">
        <f>FR29+IF(AND(FQ30&lt;&gt;"",COUNTIF(FQ$4:FQ30,FQ30)=1),1,0)</f>
        <v>#N/A</v>
      </c>
      <c r="FS30" t="e">
        <f>IF(ROW()-3&gt;MAX(FR$4:FR$40),"",INDEX(FQ$4:FQ$40,MATCH(ROW()-3,FR$4:FR$40,0)))</f>
        <v>#N/A</v>
      </c>
      <c r="FU30" t="str">
        <f>IF(FT30="","",COUNTIFS(FT$4:FT$40,"&lt;"&amp;FT30,FT$4:FT$40,"&lt;&gt;"&amp;"")+COUNTIF(FT$4:FT30,FT30))</f>
        <v/>
      </c>
      <c r="FV30" t="str">
        <f>IF(ROW()-3&gt;COUNTIF(FT$4:FT$40,"&lt;&gt;"&amp;""),"",INDEX(FT$4:FT$40,MATCH(ROW()-3,FU$4:FU$40,0)))</f>
        <v/>
      </c>
      <c r="FW30">
        <f>FW29+IF(AND(FV30&lt;&gt;"",COUNTIF(FV$4:FV30,FV30)=1),1,0)</f>
        <v>2</v>
      </c>
      <c r="FX30" t="str">
        <f>IF(ROW()-3&gt;MAX(FW$4:FW$40),"",INDEX(FV$4:FV$40,MATCH(ROW()-3,FW$4:FW$40,0)))</f>
        <v/>
      </c>
    </row>
    <row r="31">
      <c r="A31">
        <f>IF('Final Calculation Sheet'!$F$31="","",'Final Calculation Sheet'!$F$31)</f>
        <v>2046</v>
      </c>
      <c r="B31">
        <f>IF(A31="","",COUNTIFS(A$4:A$114,"&lt;"&amp;A31,A$4:A$114,"&lt;&gt;"&amp;"")+COUNTIF(A$4:A31,A31))</f>
        <v>28</v>
      </c>
      <c r="C31">
        <f>IF(ROW()-3&gt;COUNTIF(A$4:A$114,"&lt;&gt;"&amp;""),"",INDEX(A$4:A$114,MATCH(ROW()-3,B$4:B$114,0)))</f>
        <v>2046</v>
      </c>
      <c r="D31">
        <f>D30+IF(AND(C31&lt;&gt;"",COUNTIF(C$4:C31,C31)=1),1,0)</f>
        <v>28</v>
      </c>
      <c r="E31" t="e">
        <f>IF(ROW()-3&gt;MAX(D$4:D$114),"",INDEX(C$4:C$114,MATCH(ROW()-3,D$4:D$114,0)))</f>
        <v>#N/A</v>
      </c>
      <c r="F31">
        <f>ROW()-3</f>
        <v>28</v>
      </c>
      <c r="G31">
        <f>IF(F31="","",COUNTIFS(F$4:F$40,"&lt;"&amp;F31,F$4:F$40,"&lt;&gt;"&amp;"")+COUNTIF(F$4:F31,F31))</f>
        <v>28</v>
      </c>
      <c r="H31">
        <f>IF(ROW()-3&gt;COUNTIF(F$4:F$40,"&lt;&gt;"&amp;""),"",INDEX(F$4:F$40,MATCH(ROW()-3,G$4:G$40,0)))</f>
        <v>28</v>
      </c>
      <c r="I31">
        <f>I30+IF(AND(H31&lt;&gt;"",COUNTIF(H$4:H31,H31)=1),1,0)</f>
        <v>28</v>
      </c>
      <c r="J31">
        <f>IF(ROW()-3&gt;MAX(I$4:I$40),"",INDEX(H$4:H$40,MATCH(ROW()-3,I$4:I$40,0)))</f>
        <v>28</v>
      </c>
      <c r="K31">
        <f>IF('Final Calculation Sheet'!$F$31="","",'Final Calculation Sheet'!$F$31)</f>
        <v>2046</v>
      </c>
      <c r="L31">
        <f>IF(K31="","",COUNTIFS(K$4:K$40,"&lt;"&amp;K31,K$4:K$40,"&lt;&gt;"&amp;"")+COUNTIF(K$4:K31,K31))</f>
        <v>28</v>
      </c>
      <c r="M31">
        <f>IF(ROW()-3&gt;COUNTIF(K$4:K$40,"&lt;&gt;"&amp;""),"",INDEX(K$4:K$40,MATCH(ROW()-3,L$4:L$40,0)))</f>
        <v>2046</v>
      </c>
      <c r="N31">
        <f>N30+IF(AND(M31&lt;&gt;"",COUNTIF(M$4:M31,M31)=1),1,0)</f>
        <v>28</v>
      </c>
      <c r="O31">
        <f>IF(ROW()-3&gt;MAX(N$4:N$40),"",INDEX(M$4:M$40,MATCH(ROW()-3,N$4:N$40,0)))</f>
        <v>2046</v>
      </c>
      <c r="P31" t="str">
        <f>IF('Final Calculation Sheet'!$G$31="","",'Final Calculation Sheet'!$G$31)</f>
        <v>SAHARA ENTERPRISES</v>
      </c>
      <c r="Q31">
        <f>IF(P31="","",COUNTIFS(P$4:P$40,"&lt;"&amp;P31,P$4:P$40,"&lt;&gt;"&amp;"")+COUNTIF(P$4:P31,P31))</f>
        <v>25</v>
      </c>
      <c r="R31" t="str">
        <f>IF(ROW()-3&gt;COUNTIF(P$4:P$40,"&lt;&gt;"&amp;""),"",INDEX(P$4:P$40,MATCH(ROW()-3,Q$4:Q$40,0)))</f>
        <v>STERLING ENTERPRISES</v>
      </c>
      <c r="S31">
        <f>S30+IF(AND(R31&lt;&gt;"",COUNTIF(R$4:R31,R31)=1),1,0)</f>
        <v>12</v>
      </c>
      <c r="T31" t="str">
        <f>IF(ROW()-3&gt;MAX(S$4:S$40),"",INDEX(R$4:R$40,MATCH(ROW()-3,S$4:S$40,0)))</f>
        <v/>
      </c>
      <c r="U31" t="str">
        <f>IF('Final Calculation Sheet'!$B$31="","",'Final Calculation Sheet'!$B$31)</f>
        <v>Scrap of AAAC Earth wire</v>
      </c>
      <c r="V31">
        <f>IF(U31="","",COUNTIFS(U$4:U$40,"&lt;"&amp;U31,U$4:U$40,"&lt;&gt;"&amp;"")+COUNTIF(U$4:U31,U31))</f>
        <v>24</v>
      </c>
      <c r="W31" t="str">
        <f>IF(ROW()-3&gt;COUNTIF(U$4:U$40,"&lt;&gt;"&amp;""),"",INDEX(U$4:U$40,MATCH(ROW()-3,V$4:V$40,0)))</f>
        <v>Scrap of empty oil Barrels</v>
      </c>
      <c r="X31">
        <f>X30+IF(AND(W31&lt;&gt;"",COUNTIF(W$4:W31,W31)=1),1,0)</f>
        <v>20</v>
      </c>
      <c r="Y31" t="str">
        <f>IF(ROW()-3&gt;MAX(X$4:X$40),"",INDEX(W$4:W$40,MATCH(ROW()-3,X$4:X$40,0)))</f>
        <v/>
      </c>
      <c r="Z31">
        <f>IF('Final Calculation Sheet'!$D$31="","",'Final Calculation Sheet'!$D$31)</f>
        <v>21979</v>
      </c>
      <c r="AA31">
        <f>IF(Z31="","",COUNTIFS(Z$4:Z$40,"&lt;"&amp;Z31,Z$4:Z$40,"&lt;&gt;"&amp;"")+COUNTIF(Z$4:Z31,Z31))</f>
        <v>26</v>
      </c>
      <c r="AB31">
        <f>IF(ROW()-3&gt;COUNTIF(Z$4:Z$40,"&lt;&gt;"&amp;""),"",INDEX(Z$4:Z$40,MATCH(ROW()-3,AA$4:AA$40,0)))</f>
        <v>21979</v>
      </c>
      <c r="AC31">
        <f>AC30+IF(AND(AB31&lt;&gt;"",COUNTIF(AB$4:AB31,AB31)=1),1,0)</f>
        <v>3</v>
      </c>
      <c r="AD31" t="str">
        <f>IF(ROW()-3&gt;MAX(AC$4:AC$40),"",INDEX(AB$4:AB$40,MATCH(ROW()-3,AC$4:AC$40,0)))</f>
        <v/>
      </c>
      <c r="AE31">
        <f>IF('Final Calculation Sheet'!$A$31="","",'Final Calculation Sheet'!$A$31)</f>
        <v>670</v>
      </c>
      <c r="AF31">
        <f>IF(AE31="","",COUNTIFS(AE$4:AE$40,"&lt;"&amp;AE31,AE$4:AE$40,"&lt;&gt;"&amp;"")+COUNTIF(AE$4:AE31,AE31))</f>
        <v>33</v>
      </c>
      <c r="AG31">
        <f>IF(ROW()-3&gt;COUNTIF(AE$4:AE$40,"&lt;&gt;"&amp;""),"",INDEX(AE$4:AE$40,MATCH(ROW()-3,AF$4:AF$40,0)))</f>
        <v>100</v>
      </c>
      <c r="AH31">
        <f>AH30+IF(AND(AG31&lt;&gt;"",COUNTIF(AG$4:AG31,AG31)=1),1,0)</f>
        <v>13</v>
      </c>
      <c r="AI31" t="str">
        <f>IF(ROW()-3&gt;MAX(AH$4:AH$40),"",INDEX(AG$4:AG$40,MATCH(ROW()-3,AH$4:AH$40,0)))</f>
        <v/>
      </c>
      <c r="AJ31" t="str">
        <f>IF('Final Calculation Sheet'!$E$31="","",'Final Calculation Sheet'!$E$31)</f>
        <v>KG</v>
      </c>
      <c r="AK31">
        <f>IF(AJ31="","",COUNTIFS(AJ$4:AJ$40,"&lt;"&amp;AJ31,AJ$4:AJ$40,"&lt;&gt;"&amp;"")+COUNTIF(AJ$4:AJ31,AJ31))</f>
        <v>6</v>
      </c>
      <c r="AL31" t="str">
        <f>IF(ROW()-3&gt;COUNTIF(AJ$4:AJ$40,"&lt;&gt;"&amp;""),"",INDEX(AJ$4:AJ$40,MATCH(ROW()-3,AK$4:AK$40,0)))</f>
        <v>NO</v>
      </c>
      <c r="AM31">
        <f>AM30+IF(AND(AL31&lt;&gt;"",COUNTIF(AL$4:AL31,AL31)=1),1,0)</f>
        <v>3</v>
      </c>
      <c r="AN31" t="str">
        <f>IF(ROW()-3&gt;MAX(AM$4:AM$40),"",INDEX(AL$4:AL$40,MATCH(ROW()-3,AM$4:AM$40,0)))</f>
        <v/>
      </c>
      <c r="AO31" s="55">
        <f>IF('Final Calculation Sheet'!$C$31="","",'Final Calculation Sheet'!$C$31)</f>
        <v>309</v>
      </c>
      <c r="AP31">
        <f>IF(AO31="","",COUNTIFS(AO$4:AO$40,"&lt;"&amp;AO31,AO$4:AO$40,"&lt;&gt;"&amp;"")+COUNTIF(AO$4:AO31,AO31))</f>
        <v>3</v>
      </c>
      <c r="AQ31" s="55">
        <f>IF(ROW()-3&gt;COUNTIF(AO$4:AO$40,"&lt;&gt;"&amp;""),"",INDEX(AO$4:AO$40,MATCH(ROW()-3,AP$4:AP$40,0)))</f>
        <v>70006</v>
      </c>
      <c r="AR31">
        <f>AR30+IF(AND(AQ31&lt;&gt;"",COUNTIF(AQ$4:AQ31,AQ31)=1),1,0)</f>
        <v>26</v>
      </c>
      <c r="AS31" s="55">
        <f>IF(ROW()-3&gt;MAX(AR$4:AR$40),"",INDEX(AQ$4:AQ$40,MATCH(ROW()-3,AR$4:AR$40,0)))</f>
        <v>80006</v>
      </c>
      <c r="AT31" s="55">
        <f>IF('Final Calculation Sheet'!$H$31="","",'Final Calculation Sheet'!$H$31)</f>
        <v>207030</v>
      </c>
      <c r="AU31">
        <f>IF(AT31="","",COUNTIFS(AT$4:AT$40,"&lt;"&amp;AT31,AT$4:AT$40,"&lt;&gt;"&amp;"")+COUNTIF(AT$4:AT31,AT31))</f>
        <v>23</v>
      </c>
      <c r="AV31" s="55">
        <f>IF(ROW()-3&gt;COUNTIF(AT$4:AT$40,"&lt;&gt;"&amp;""),"",INDEX(AT$4:AT$40,MATCH(ROW()-3,AU$4:AU$40,0)))</f>
        <v>270006</v>
      </c>
      <c r="AW31">
        <f>AW30+IF(AND(AV31&lt;&gt;"",COUNTIF(AV$4:AV31,AV31)=1),1,0)</f>
        <v>28</v>
      </c>
      <c r="AX31" s="55">
        <f>IF(ROW()-3&gt;MAX(AW$4:AW$40),"",INDEX(AV$4:AV$40,MATCH(ROW()-3,AW$4:AW$40,0)))</f>
        <v>270006</v>
      </c>
      <c r="AY31" s="55">
        <f>IF('Final Calculation Sheet'!$I$31="","",'Final Calculation Sheet'!$I$31)</f>
        <v>37265</v>
      </c>
      <c r="AZ31">
        <f>IF(AY31="","",COUNTIFS(AY$4:AY$40,"&lt;"&amp;AY31,AY$4:AY$40,"&lt;&gt;"&amp;"")+COUNTIF(AY$4:AY31,AY31))</f>
        <v>23</v>
      </c>
      <c r="BA31" s="55">
        <f>IF(ROW()-3&gt;COUNTIF(AY$4:AY$40,"&lt;&gt;"&amp;""),"",INDEX(AY$4:AY$40,MATCH(ROW()-3,AZ$4:AZ$40,0)))</f>
        <v>48601</v>
      </c>
      <c r="BB31">
        <f>BB30+IF(AND(BA31&lt;&gt;"",COUNTIF(BA$4:BA31,BA31)=1),1,0)</f>
        <v>28</v>
      </c>
      <c r="BC31" s="55">
        <f>IF(ROW()-3&gt;MAX(BB$4:BB$40),"",INDEX(BA$4:BA$40,MATCH(ROW()-3,BB$4:BB$40,0)))</f>
        <v>48601</v>
      </c>
      <c r="BD31" s="55">
        <f>IF('Final Calculation Sheet'!$J$31="","",'Final Calculation Sheet'!$J$31)</f>
        <v>244295</v>
      </c>
      <c r="BE31">
        <f>IF(BD31="","",COUNTIFS(BD$4:BD$40,"&lt;"&amp;BD31,BD$4:BD$40,"&lt;&gt;"&amp;"")+COUNTIF(BD$4:BD31,BD31))</f>
        <v>23</v>
      </c>
      <c r="BF31" s="55">
        <f>IF(ROW()-3&gt;COUNTIF(BD$4:BD$40,"&lt;&gt;"&amp;""),"",INDEX(BD$4:BD$40,MATCH(ROW()-3,BE$4:BE$40,0)))</f>
        <v>318607</v>
      </c>
      <c r="BG31">
        <f>BG30+IF(AND(BF31&lt;&gt;"",COUNTIF(BF$4:BF31,BF31)=1),1,0)</f>
        <v>28</v>
      </c>
      <c r="BH31" s="55">
        <f>IF(ROW()-3&gt;MAX(BG$4:BG$40),"",INDEX(BF$4:BF$40,MATCH(ROW()-3,BG$4:BG$40,0)))</f>
        <v>318607</v>
      </c>
      <c r="BI31" s="55">
        <f>IF('Final Calculation Sheet'!$K$31="","",'Final Calculation Sheet'!$K$31)</f>
        <v>4886</v>
      </c>
      <c r="BJ31">
        <f>IF(BI31="","",COUNTIFS(BI$4:BI$40,"&lt;"&amp;BI31,BI$4:BI$40,"&lt;&gt;"&amp;"")+COUNTIF(BI$4:BI31,BI31))</f>
        <v>23</v>
      </c>
      <c r="BK31" s="55">
        <f>IF(ROW()-3&gt;COUNTIF(BI$4:BI$40,"&lt;&gt;"&amp;""),"",INDEX(BI$4:BI$40,MATCH(ROW()-3,BJ$4:BJ$40,0)))</f>
        <v>6372</v>
      </c>
      <c r="BL31">
        <f>BL30+IF(AND(BK31&lt;&gt;"",COUNTIF(BK$4:BK31,BK31)=1),1,0)</f>
        <v>27</v>
      </c>
      <c r="BM31" s="55">
        <f>IF(ROW()-3&gt;MAX(BL$4:BL$40),"",INDEX(BK$4:BK$40,MATCH(ROW()-3,BL$4:BL$40,0)))</f>
        <v>7802</v>
      </c>
      <c r="BN31" s="55">
        <f>IF('Final Calculation Sheet'!$L$31="","",'Final Calculation Sheet'!$L$31)</f>
        <v>207.03</v>
      </c>
      <c r="BO31">
        <f>IF(BN31="","",COUNTIFS(BN$4:BN$40,"&lt;"&amp;BN31,BN$4:BN$40,"&lt;&gt;"&amp;"")+COUNTIF(BN$4:BN31,BN31))</f>
        <v>23</v>
      </c>
      <c r="BP31" s="55">
        <f>IF(ROW()-3&gt;COUNTIF(BN$4:BN$40,"&lt;&gt;"&amp;""),"",INDEX(BN$4:BN$40,MATCH(ROW()-3,BO$4:BO$40,0)))</f>
        <v>270.00600000000003</v>
      </c>
      <c r="BQ31">
        <f>BQ30+IF(AND(BP31&lt;&gt;"",COUNTIF(BP$4:BP31,BP31)=1),1,0)</f>
        <v>28</v>
      </c>
      <c r="BR31" s="55">
        <f>IF(ROW()-3&gt;MAX(BQ$4:BQ$40),"",INDEX(BP$4:BP$40,MATCH(ROW()-3,BQ$4:BQ$40,0)))</f>
        <v>270.00600000000003</v>
      </c>
      <c r="BS31" s="55">
        <f>IF('Final Calculation Sheet'!$M$31="","",'Final Calculation Sheet'!$M$31)</f>
        <v>5496.6464999999998</v>
      </c>
      <c r="BT31">
        <f>IF(BS31="","",COUNTIFS(BS$4:BS$40,"&lt;"&amp;BS31,BS$4:BS$40,"&lt;&gt;"&amp;"")+COUNTIF(BS$4:BS31,BS31))</f>
        <v>23</v>
      </c>
      <c r="BU31" s="55">
        <f>IF(ROW()-3&gt;COUNTIF(BS$4:BS$40,"&lt;&gt;"&amp;""),"",INDEX(BS$4:BS$40,MATCH(ROW()-3,BT$4:BT$40,0)))</f>
        <v>7168.6593000000003</v>
      </c>
      <c r="BV31">
        <f>BV30+IF(AND(BU31&lt;&gt;"",COUNTIF(BU$4:BU31,BU31)=1),1,0)</f>
        <v>28</v>
      </c>
      <c r="BW31" s="55">
        <f>IF(ROW()-3&gt;MAX(BV$4:BV$40),"",INDEX(BU$4:BU$40,MATCH(ROW()-3,BV$4:BV$40,0)))</f>
        <v>7168.6593000000003</v>
      </c>
      <c r="BX31" s="138">
        <f>IF('Final Calculation Sheet'!$N$31="","",'Final Calculation Sheet'!$N$31)</f>
        <v>93.163499999999999</v>
      </c>
      <c r="BY31">
        <f>IF(BX31="","",COUNTIFS(BX$4:BX$40,"&lt;"&amp;BX31,BX$4:BX$40,"&lt;&gt;"&amp;"")+COUNTIF(BX$4:BX31,BX31))</f>
        <v>23</v>
      </c>
      <c r="BZ31" s="138">
        <f>IF(ROW()-3&gt;COUNTIF(BX$4:BX$40,"&lt;&gt;"&amp;""),"",INDEX(BX$4:BX$40,MATCH(ROW()-3,BY$4:BY$40,0)))</f>
        <v>121.5027</v>
      </c>
      <c r="CA31">
        <f>CA30+IF(AND(BZ31&lt;&gt;"",COUNTIF(BZ$4:BZ31,BZ31)=1),1,0)</f>
        <v>28</v>
      </c>
      <c r="CB31" s="138">
        <f>IF(ROW()-3&gt;MAX(CA$4:CA$40),"",INDEX(BZ$4:BZ$40,MATCH(ROW()-3,CA$4:CA$40,0)))</f>
        <v>121.5027</v>
      </c>
      <c r="CC31" s="55">
        <f>IF('Final Calculation Sheet'!$O$31="","",'Final Calculation Sheet'!$O$31)</f>
        <v>5403.4830000000002</v>
      </c>
      <c r="CD31">
        <f>IF(CC31="","",COUNTIFS(CC$4:CC$40,"&lt;"&amp;CC31,CC$4:CC$40,"&lt;&gt;"&amp;"")+COUNTIF(CC$4:CC31,CC31))</f>
        <v>23</v>
      </c>
      <c r="CE31" s="55">
        <f>IF(ROW()-3&gt;COUNTIF(CC$4:CC$40,"&lt;&gt;"&amp;""),"",INDEX(CC$4:CC$40,MATCH(ROW()-3,CD$4:CD$40,0)))</f>
        <v>7047.1566000000003</v>
      </c>
      <c r="CF31">
        <f>CF30+IF(AND(CE31&lt;&gt;"",COUNTIF(CE$4:CE31,CE31)=1),1,0)</f>
        <v>28</v>
      </c>
      <c r="CG31" s="55">
        <f>IF(ROW()-3&gt;MAX(CF$4:CF$40),"",INDEX(CE$4:CE$40,MATCH(ROW()-3,CF$4:CF$40,0)))</f>
        <v>7047.1566000000003</v>
      </c>
      <c r="CH31" s="55">
        <f>IF('Final Calculation Sheet'!$P$31="","",'Final Calculation Sheet'!$P$31)</f>
        <v>5611</v>
      </c>
      <c r="CI31">
        <f>IF(CH31="","",COUNTIFS(CH$4:CH$40,"&lt;"&amp;CH31,CH$4:CH$40,"&lt;&gt;"&amp;"")+COUNTIF(CH$4:CH31,CH31))</f>
        <v>23</v>
      </c>
      <c r="CJ31" s="55">
        <f>IF(ROW()-3&gt;COUNTIF(CH$4:CH$40,"&lt;&gt;"&amp;""),"",INDEX(CH$4:CH$40,MATCH(ROW()-3,CI$4:CI$40,0)))</f>
        <v>7317</v>
      </c>
      <c r="CK31">
        <f>CK30+IF(AND(CJ31&lt;&gt;"",COUNTIF(CJ$4:CJ31,CJ31)=1),1,0)</f>
        <v>27</v>
      </c>
      <c r="CL31" s="55">
        <f>IF(ROW()-3&gt;MAX(CK$4:CK$40),"",INDEX(CJ$4:CJ$40,MATCH(ROW()-3,CK$4:CK$40,0)))</f>
        <v>8959</v>
      </c>
      <c r="CM31" s="139">
        <f>IF('Final Calculation Sheet'!$Q$31="","",'Final Calculation Sheet'!$Q$31)</f>
        <v>0</v>
      </c>
      <c r="CN31">
        <f>IF(CM31="","",COUNTIFS(CM$4:CM$40,"&lt;"&amp;CM31,CM$4:CM$40,"&lt;&gt;"&amp;"")+COUNTIF(CM$4:CM31,CM31))</f>
        <v>24</v>
      </c>
      <c r="CO31" s="139">
        <f>IF(ROW()-3&gt;COUNTIF(CM$4:CM$40,"&lt;&gt;"&amp;""),"",INDEX(CM$4:CM$40,MATCH(ROW()-3,CN$4:CN$40,0)))</f>
        <v>0</v>
      </c>
      <c r="CP31">
        <f>CP30+IF(AND(CO31&lt;&gt;"",COUNTIF(CO$4:CO31,CO31)=1),1,0)</f>
        <v>1</v>
      </c>
      <c r="CQ31" t="str">
        <f>IF(ROW()-3&gt;MAX(CP$4:CP$40),"",INDEX(CO$4:CO$40,MATCH(ROW()-3,CP$4:CP$40,0)))</f>
        <v/>
      </c>
      <c r="CR31" s="55">
        <f>IF('Final Calculation Sheet'!$R$31="","",'Final Calculation Sheet'!$R$31)</f>
        <v>0</v>
      </c>
      <c r="CS31">
        <f>IF(CR31="","",COUNTIFS(CR$4:CR$40,"&lt;"&amp;CR31,CR$4:CR$40,"&lt;&gt;"&amp;"")+COUNTIF(CR$4:CR31,CR31))</f>
        <v>24</v>
      </c>
      <c r="CT31" s="55">
        <f>IF(ROW()-3&gt;COUNTIF(CR$4:CR$40,"&lt;&gt;"&amp;""),"",INDEX(CR$4:CR$40,MATCH(ROW()-3,CS$4:CS$40,0)))</f>
        <v>0</v>
      </c>
      <c r="CU31">
        <f>CU30+IF(AND(CT31&lt;&gt;"",COUNTIF(CT$4:CT31,CT31)=1),1,0)</f>
        <v>1</v>
      </c>
      <c r="CV31" t="str">
        <f>IF(ROW()-3&gt;MAX(CU$4:CU$40),"",INDEX(CT$4:CT$40,MATCH(ROW()-3,CU$4:CU$40,0)))</f>
        <v/>
      </c>
      <c r="CW31" s="55">
        <f>IF('Final Calculation Sheet'!$S$31="","",'Final Calculation Sheet'!$S$31)</f>
        <v>243571</v>
      </c>
      <c r="CX31">
        <f>IF(CW31="","",COUNTIFS(CW$4:CW$40,"&lt;"&amp;CW31,CW$4:CW$40,"&lt;&gt;"&amp;"")+COUNTIF(CW$4:CW31,CW31))</f>
        <v>23</v>
      </c>
      <c r="CY31" s="55">
        <f>IF(ROW()-3&gt;COUNTIF(CW$4:CW$40,"&lt;&gt;"&amp;""),"",INDEX(CW$4:CW$40,MATCH(ROW()-3,CX$4:CX$40,0)))</f>
        <v>317662</v>
      </c>
      <c r="CZ31">
        <f>CZ30+IF(AND(CY31&lt;&gt;"",COUNTIF(CY$4:CY31,CY31)=1),1,0)</f>
        <v>28</v>
      </c>
      <c r="DA31" s="55">
        <f>IF(ROW()-3&gt;MAX(CZ$4:CZ$40),"",INDEX(CY$4:CY$40,MATCH(ROW()-3,CZ$4:CZ$40,0)))</f>
        <v>317662</v>
      </c>
      <c r="DB31" s="55">
        <f>IF('Final Calculation Sheet'!$T$31="","",'Final Calculation Sheet'!$T$31)</f>
        <v>51758</v>
      </c>
      <c r="DC31">
        <f>IF(DB31="","",COUNTIFS(DB$4:DB$40,"&lt;"&amp;DB31,DB$4:DB$40,"&lt;&gt;"&amp;"")+COUNTIF(DB$4:DB31,DB31))</f>
        <v>23</v>
      </c>
      <c r="DD31" s="55">
        <f>IF(ROW()-3&gt;COUNTIF(DB$4:DB$40,"&lt;&gt;"&amp;""),"",INDEX(DB$4:DB$40,MATCH(ROW()-3,DC$4:DC$40,0)))</f>
        <v>67502</v>
      </c>
      <c r="DE31">
        <f>DE30+IF(AND(DD31&lt;&gt;"",COUNTIF(DD$4:DD31,DD31)=1),1,0)</f>
        <v>28</v>
      </c>
      <c r="DF31" s="55">
        <f>IF(ROW()-3&gt;MAX(DE$4:DE$40),"",INDEX(DD$4:DD$40,MATCH(ROW()-3,DE$4:DE$40,0)))</f>
        <v>67502</v>
      </c>
      <c r="DG31" s="140">
        <f>IF('Final Calculation Sheet'!$U$31="","",'Final Calculation Sheet'!$U$31)</f>
        <v>51758</v>
      </c>
      <c r="DH31">
        <f>IF(DG31="","",COUNTIFS(DG$4:DG$40,"&lt;"&amp;DG31,DG$4:DG$40,"&lt;&gt;"&amp;"")+COUNTIF(DG$4:DG31,DG31))</f>
        <v>23</v>
      </c>
      <c r="DI31" s="140">
        <f>IF(ROW()-3&gt;COUNTIF(DG$4:DG$40,"&lt;&gt;"&amp;""),"",INDEX(DG$4:DG$40,MATCH(ROW()-3,DH$4:DH$40,0)))</f>
        <v>67502</v>
      </c>
      <c r="DJ31">
        <f>DJ30+IF(AND(DI31&lt;&gt;"",COUNTIF(DI$4:DI31,DI31)=1),1,0)</f>
        <v>28</v>
      </c>
      <c r="DK31" s="140">
        <f>IF(ROW()-3&gt;MAX(DJ$4:DJ$40),"",INDEX(DI$4:DI$40,MATCH(ROW()-3,DJ$4:DJ$40,0)))</f>
        <v>67502</v>
      </c>
      <c r="DL31" t="str">
        <f>IF('Final Calculation Sheet'!$V$31="","",'Final Calculation Sheet'!$V$31)</f>
        <v>11.08.2026</v>
      </c>
      <c r="DM31">
        <f>IF(DL31="","",COUNTIFS(DL$4:DL$40,"&lt;"&amp;DL31,DL$4:DL$40,"&lt;&gt;"&amp;"")+COUNTIF(DL$4:DL31,DL31))</f>
        <v>9</v>
      </c>
      <c r="DN31" t="str">
        <f>IF(ROW()-3&gt;COUNTIF(DL$4:DL$40,"&lt;&gt;"&amp;""),"",INDEX(DL$4:DL$40,MATCH(ROW()-3,DM$4:DM$40,0)))</f>
        <v>14.08.2026</v>
      </c>
      <c r="DO31">
        <f>DO30+IF(AND(DN31&lt;&gt;"",COUNTIF(DN$4:DN31,DN31)=1),1,0)</f>
        <v>4</v>
      </c>
      <c r="DP31" t="str">
        <f>IF(ROW()-3&gt;MAX(DO$4:DO$40),"",INDEX(DN$4:DN$40,MATCH(ROW()-3,DO$4:DO$40,0)))</f>
        <v/>
      </c>
      <c r="DQ31" s="55">
        <f>IF('Final Calculation Sheet'!$W$31="","",'Final Calculation Sheet'!$W$31)</f>
        <v>191813</v>
      </c>
      <c r="DR31">
        <f>IF(DQ31="","",COUNTIFS(DQ$4:DQ$40,"&lt;"&amp;DQ31,DQ$4:DQ$40,"&lt;&gt;"&amp;"")+COUNTIF(DQ$4:DQ31,DQ31))</f>
        <v>23</v>
      </c>
      <c r="DS31" s="55">
        <f>IF(ROW()-3&gt;COUNTIF(DQ$4:DQ$40,"&lt;&gt;"&amp;""),"",INDEX(DQ$4:DQ$40,MATCH(ROW()-3,DR$4:DR$40,0)))</f>
        <v>250161</v>
      </c>
      <c r="DT31">
        <f>DT30+IF(AND(DS31&lt;&gt;"",COUNTIF(DS$4:DS31,DS31)=1),1,0)</f>
        <v>28</v>
      </c>
      <c r="DU31" s="55">
        <f>IF(ROW()-3&gt;MAX(DT$4:DT$40),"",INDEX(DS$4:DS$40,MATCH(ROW()-3,DT$4:DT$40,0)))</f>
        <v>250161</v>
      </c>
      <c r="DV31" s="55">
        <f>IF('Final Calculation Sheet'!$X$31="","",'Final Calculation Sheet'!$X$31)</f>
        <v>191812</v>
      </c>
      <c r="DW31">
        <f>IF(DV31="","",COUNTIFS(DV$4:DV$40,"&lt;"&amp;DV31,DV$4:DV$40,"&lt;&gt;"&amp;"")+COUNTIF(DV$4:DV31,DV31))</f>
        <v>22</v>
      </c>
      <c r="DX31" s="55">
        <f>IF(ROW()-3&gt;COUNTIF(DV$4:DV$40,"&lt;&gt;"&amp;""),"",INDEX(DV$4:DV$40,MATCH(ROW()-3,DW$4:DW$40,0)))</f>
        <v>370600</v>
      </c>
      <c r="DY31">
        <f>DY30+IF(AND(DX31&lt;&gt;"",COUNTIF(DX$4:DX31,DX31)=1),1,0)</f>
        <v>28</v>
      </c>
      <c r="DZ31" t="e">
        <f>IF(ROW()-3&gt;MAX(DY$4:DY$40),"",INDEX(DX$4:DX$40,MATCH(ROW()-3,DY$4:DY$40,0)))</f>
        <v>#N/A</v>
      </c>
      <c r="EA31" t="str">
        <f>IF('Final Calculation Sheet'!$Y$31="","",'Final Calculation Sheet'!$Y$31)</f>
        <v>21.08.2026</v>
      </c>
      <c r="EB31">
        <f>IF(EA31="","",COUNTIFS(EA$4:EA$40,"&lt;"&amp;EA31,EA$4:EA$40,"&lt;&gt;"&amp;"")+COUNTIF(EA$4:EA31,EA31))</f>
        <v>20</v>
      </c>
      <c r="EC31" t="str">
        <f>IF(ROW()-3&gt;COUNTIF(EA$4:EA$40,"&lt;&gt;"&amp;""),"",INDEX(EA$4:EA$40,MATCH(ROW()-3,EB$4:EB$40,0)))</f>
        <v>24.08.2026</v>
      </c>
      <c r="ED31">
        <f>ED30+IF(AND(EC31&lt;&gt;"",COUNTIF(EC$4:EC31,EC31)=1),1,0)</f>
        <v>9</v>
      </c>
      <c r="EE31" t="e">
        <f>IF(ROW()-3&gt;MAX(ED$4:ED$40),"",INDEX(EC$4:EC$40,MATCH(ROW()-3,ED$4:ED$40,0)))</f>
        <v>#N/A</v>
      </c>
      <c r="EF31" s="55">
        <f>IF('Final Calculation Sheet'!$Z$31="","",'Final Calculation Sheet'!$Z$31)</f>
        <v>0</v>
      </c>
      <c r="EG31">
        <f>IF(EF31="","",COUNTIFS(EF$4:EF$40,"&lt;"&amp;EF31,EF$4:EF$40,"&lt;&gt;"&amp;"")+COUNTIF(EF$4:EF31,EF31))</f>
        <v>26</v>
      </c>
      <c r="EH31" s="55">
        <f>IF(ROW()-3&gt;COUNTIF(EF$4:EF$40,"&lt;&gt;"&amp;""),"",INDEX(EF$4:EF$40,MATCH(ROW()-3,EG$4:EG$40,0)))</f>
        <v>0</v>
      </c>
      <c r="EI31">
        <f>EI30+IF(AND(EH31&lt;&gt;"",COUNTIF(EH$4:EH31,EH31)=1),1,0)</f>
        <v>1</v>
      </c>
      <c r="EJ31" t="str">
        <f>IF(ROW()-3&gt;MAX(EI$4:EI$40),"",INDEX(EH$4:EH$40,MATCH(ROW()-3,EI$4:EI$40,0)))</f>
        <v/>
      </c>
      <c r="EK31" t="str">
        <f>IF('Final Calculation Sheet'!$AA$31="","",'Final Calculation Sheet'!$AA$31)</f>
        <v/>
      </c>
      <c r="EL31" t="str">
        <f>IF(EK31="","",COUNTIFS(EK$4:EK$40,"&lt;"&amp;EK31,EK$4:EK$40,"&lt;&gt;"&amp;"")+COUNTIF(EK$4:EK31,EK31))</f>
        <v/>
      </c>
      <c r="EM31" t="e">
        <f>IF(ROW()-3&gt;COUNTIF(EK$4:EK$40,"&lt;&gt;"&amp;""),"",INDEX(EK$4:EK$40,MATCH(ROW()-3,EL$4:EL$40,0)))</f>
        <v>#N/A</v>
      </c>
      <c r="EN31" t="e">
        <f>EN30+IF(AND(EM31&lt;&gt;"",COUNTIF(EM$4:EM31,EM31)=1),1,0)</f>
        <v>#N/A</v>
      </c>
      <c r="EO31" t="e">
        <f>IF(ROW()-3&gt;MAX(EN$4:EN$40),"",INDEX(EM$4:EM$40,MATCH(ROW()-3,EN$4:EN$40,0)))</f>
        <v>#N/A</v>
      </c>
      <c r="EP31" t="str">
        <f>IF('Final Calculation Sheet'!$AB$31="","",'Final Calculation Sheet'!$AB$31)</f>
        <v/>
      </c>
      <c r="EQ31" t="str">
        <f>IF(EP31="","",COUNTIFS(EP$4:EP$40,"&lt;"&amp;EP31,EP$4:EP$40,"&lt;&gt;"&amp;"")+COUNTIF(EP$4:EP31,EP31))</f>
        <v/>
      </c>
      <c r="ER31" t="e">
        <f>IF(ROW()-3&gt;COUNTIF(EP$4:EP$40,"&lt;&gt;"&amp;""),"",INDEX(EP$4:EP$40,MATCH(ROW()-3,EQ$4:EQ$40,0)))</f>
        <v>#N/A</v>
      </c>
      <c r="ES31" t="e">
        <f>ES30+IF(AND(ER31&lt;&gt;"",COUNTIF(ER$4:ER31,ER31)=1),1,0)</f>
        <v>#N/A</v>
      </c>
      <c r="ET31" t="e">
        <f>IF(ROW()-3&gt;MAX(ES$4:ES$40),"",INDEX(ER$4:ER$40,MATCH(ROW()-3,ES$4:ES$40,0)))</f>
        <v>#N/A</v>
      </c>
      <c r="EU31" s="55">
        <f>IF('Final Calculation Sheet'!$AC$31="","",'Final Calculation Sheet'!$AC$31)</f>
        <v>243570</v>
      </c>
      <c r="EV31">
        <f>IF(EU31="","",COUNTIFS(EU$4:EU$40,"&lt;"&amp;EU31,EU$4:EU$40,"&lt;&gt;"&amp;"")+COUNTIF(EU$4:EU31,EU31))</f>
        <v>25</v>
      </c>
      <c r="EW31" s="55">
        <f>IF(ROW()-3&gt;COUNTIF(EU$4:EU$40,"&lt;&gt;"&amp;""),"",INDEX(EU$4:EU$40,MATCH(ROW()-3,EV$4:EV$40,0)))</f>
        <v>258831</v>
      </c>
      <c r="EX31">
        <f>EX30+IF(AND(EW31&lt;&gt;"",COUNTIF(EW$4:EW31,EW31)=1),1,0)</f>
        <v>28</v>
      </c>
      <c r="EY31" s="55">
        <f>IF(ROW()-3&gt;MAX(EX$4:EX$40),"",INDEX(EW$4:EW$40,MATCH(ROW()-3,EX$4:EX$40,0)))</f>
        <v>258831</v>
      </c>
      <c r="EZ31" s="55">
        <f>IF('Final Calculation Sheet'!$AD$31="","",'Final Calculation Sheet'!$AD$31)</f>
        <v>1</v>
      </c>
      <c r="FA31">
        <f>IF(EZ31="","",COUNTIFS(EZ$4:EZ$40,"&lt;"&amp;EZ31,EZ$4:EZ$40,"&lt;&gt;"&amp;"")+COUNTIF(EZ$4:EZ31,EZ31))</f>
        <v>33</v>
      </c>
      <c r="FB31" s="55">
        <f>IF(ROW()-3&gt;COUNTIF(EZ$4:EZ$40,"&lt;&gt;"&amp;""),"",INDEX(EZ$4:EZ$40,MATCH(ROW()-3,FA$4:FA$40,0)))</f>
        <v>0</v>
      </c>
      <c r="FC31" t="e">
        <f>FC30+IF(AND(FB31&lt;&gt;"",COUNTIF(FB$4:FB31,FB31)=1),1,0)</f>
        <v>#N/A</v>
      </c>
      <c r="FD31" t="e">
        <f>IF(ROW()-3&gt;MAX(FC$4:FC$40),"",INDEX(FB$4:FB$40,MATCH(ROW()-3,FC$4:FC$40,0)))</f>
        <v>#N/A</v>
      </c>
      <c r="FE31" t="str">
        <f>IF('Final Calculation Sheet'!$AE$31="","",'Final Calculation Sheet'!$AE$31)</f>
        <v>DR2640100041</v>
      </c>
      <c r="FF31">
        <f>IF(FE31="","",COUNTIFS(FE$4:FE$40,"&lt;"&amp;FE31,FE$4:FE$40,"&lt;&gt;"&amp;"")+COUNTIF(FE$4:FE31,FE31))</f>
        <v>30</v>
      </c>
      <c r="FG31" t="str">
        <f>IF(ROW()-3&gt;COUNTIF(FE$4:FE$40,"&lt;&gt;"&amp;""),"",INDEX(FE$4:FE$40,MATCH(ROW()-3,FF$4:FF$40,0)))</f>
        <v>DR2640100039</v>
      </c>
      <c r="FH31" t="e">
        <f>FH30+IF(AND(FG31&lt;&gt;"",COUNTIF(FG$4:FG31,FG31)=1),1,0)</f>
        <v>#N/A</v>
      </c>
      <c r="FI31" t="e">
        <f>IF(ROW()-3&gt;MAX(FH$4:FH$40),"",INDEX(FG$4:FG$40,MATCH(ROW()-3,FH$4:FH$40,0)))</f>
        <v>#N/A</v>
      </c>
      <c r="FJ31" s="141">
        <f>IF('Final Calculation Sheet'!$AF$31="","",'Final Calculation Sheet'!$AF$31)</f>
        <v>1800003316</v>
      </c>
      <c r="FK31">
        <f>IF(FJ31="","",COUNTIFS(FJ$4:FJ$40,"&lt;"&amp;FJ31,FJ$4:FJ$40,"&lt;&gt;"&amp;"")+COUNTIF(FJ$4:FJ31,FJ31))</f>
        <v>28</v>
      </c>
      <c r="FL31" s="141">
        <f>IF(ROW()-3&gt;COUNTIF(FJ$4:FJ$40,"&lt;&gt;"&amp;""),"",INDEX(FJ$4:FJ$40,MATCH(ROW()-3,FK$4:FK$40,0)))</f>
        <v>1800003316</v>
      </c>
      <c r="FM31">
        <f>FM30+IF(AND(FL31&lt;&gt;"",COUNTIF(FL$4:FL31,FL31)=1),1,0)</f>
        <v>28</v>
      </c>
      <c r="FN31" t="e">
        <f>IF(ROW()-3&gt;MAX(FM$4:FM$40),"",INDEX(FL$4:FL$40,MATCH(ROW()-3,FM$4:FM$40,0)))</f>
        <v>#N/A</v>
      </c>
      <c r="FO31" t="str">
        <f>IF('Final Calculation Sheet'!$AG$31="","",'Final Calculation Sheet'!$AG$31)</f>
        <v>27.08.2026</v>
      </c>
      <c r="FP31">
        <f>IF(FO31="","",COUNTIFS(FO$4:FO$40,"&lt;"&amp;FO31,FO$4:FO$40,"&lt;&gt;"&amp;"")+COUNTIF(FO$4:FO31,FO31))</f>
        <v>34</v>
      </c>
      <c r="FQ31" t="str">
        <f>IF(ROW()-3&gt;COUNTIF(FO$4:FO$40,"&lt;&gt;"&amp;""),"",INDEX(FO$4:FO$40,MATCH(ROW()-3,FP$4:FP$40,0)))</f>
        <v>27.08.2026</v>
      </c>
      <c r="FR31" t="e">
        <f>FR30+IF(AND(FQ31&lt;&gt;"",COUNTIF(FQ$4:FQ31,FQ31)=1),1,0)</f>
        <v>#N/A</v>
      </c>
      <c r="FS31" t="e">
        <f>IF(ROW()-3&gt;MAX(FR$4:FR$40),"",INDEX(FQ$4:FQ$40,MATCH(ROW()-3,FR$4:FR$40,0)))</f>
        <v>#N/A</v>
      </c>
      <c r="FU31" t="str">
        <f>IF(FT31="","",COUNTIFS(FT$4:FT$40,"&lt;"&amp;FT31,FT$4:FT$40,"&lt;&gt;"&amp;"")+COUNTIF(FT$4:FT31,FT31))</f>
        <v/>
      </c>
      <c r="FV31" t="str">
        <f>IF(ROW()-3&gt;COUNTIF(FT$4:FT$40,"&lt;&gt;"&amp;""),"",INDEX(FT$4:FT$40,MATCH(ROW()-3,FU$4:FU$40,0)))</f>
        <v/>
      </c>
      <c r="FW31">
        <f>FW30+IF(AND(FV31&lt;&gt;"",COUNTIF(FV$4:FV31,FV31)=1),1,0)</f>
        <v>2</v>
      </c>
      <c r="FX31" t="str">
        <f>IF(ROW()-3&gt;MAX(FW$4:FW$40),"",INDEX(FV$4:FV$40,MATCH(ROW()-3,FW$4:FW$40,0)))</f>
        <v/>
      </c>
    </row>
    <row r="32">
      <c r="A32">
        <f>IF('Final Calculation Sheet'!$F$32="","",'Final Calculation Sheet'!$F$32)</f>
        <v>2055</v>
      </c>
      <c r="B32">
        <f>IF(A32="","",COUNTIFS(A$4:A$114,"&lt;"&amp;A32,A$4:A$114,"&lt;&gt;"&amp;"")+COUNTIF(A$4:A32,A32))</f>
        <v>29</v>
      </c>
      <c r="C32">
        <f>IF(ROW()-3&gt;COUNTIF(A$4:A$114,"&lt;&gt;"&amp;""),"",INDEX(A$4:A$114,MATCH(ROW()-3,B$4:B$114,0)))</f>
        <v>2055</v>
      </c>
      <c r="D32">
        <f>D31+IF(AND(C32&lt;&gt;"",COUNTIF(C$4:C32,C32)=1),1,0)</f>
        <v>29</v>
      </c>
      <c r="E32" t="e">
        <f>IF(ROW()-3&gt;MAX(D$4:D$114),"",INDEX(C$4:C$114,MATCH(ROW()-3,D$4:D$114,0)))</f>
        <v>#N/A</v>
      </c>
      <c r="F32">
        <f>ROW()-3</f>
        <v>29</v>
      </c>
      <c r="G32">
        <f>IF(F32="","",COUNTIFS(F$4:F$40,"&lt;"&amp;F32,F$4:F$40,"&lt;&gt;"&amp;"")+COUNTIF(F$4:F32,F32))</f>
        <v>29</v>
      </c>
      <c r="H32">
        <f>IF(ROW()-3&gt;COUNTIF(F$4:F$40,"&lt;&gt;"&amp;""),"",INDEX(F$4:F$40,MATCH(ROW()-3,G$4:G$40,0)))</f>
        <v>29</v>
      </c>
      <c r="I32">
        <f>I31+IF(AND(H32&lt;&gt;"",COUNTIF(H$4:H32,H32)=1),1,0)</f>
        <v>29</v>
      </c>
      <c r="J32">
        <f>IF(ROW()-3&gt;MAX(I$4:I$40),"",INDEX(H$4:H$40,MATCH(ROW()-3,I$4:I$40,0)))</f>
        <v>29</v>
      </c>
      <c r="K32">
        <f>IF('Final Calculation Sheet'!$F$32="","",'Final Calculation Sheet'!$F$32)</f>
        <v>2055</v>
      </c>
      <c r="L32">
        <f>IF(K32="","",COUNTIFS(K$4:K$40,"&lt;"&amp;K32,K$4:K$40,"&lt;&gt;"&amp;"")+COUNTIF(K$4:K32,K32))</f>
        <v>29</v>
      </c>
      <c r="M32">
        <f>IF(ROW()-3&gt;COUNTIF(K$4:K$40,"&lt;&gt;"&amp;""),"",INDEX(K$4:K$40,MATCH(ROW()-3,L$4:L$40,0)))</f>
        <v>2055</v>
      </c>
      <c r="N32">
        <f>N31+IF(AND(M32&lt;&gt;"",COUNTIF(M$4:M32,M32)=1),1,0)</f>
        <v>29</v>
      </c>
      <c r="O32">
        <f>IF(ROW()-3&gt;MAX(N$4:N$40),"",INDEX(M$4:M$40,MATCH(ROW()-3,N$4:N$40,0)))</f>
        <v>2055</v>
      </c>
      <c r="P32" t="str">
        <f>IF('Final Calculation Sheet'!$G$32="","",'Final Calculation Sheet'!$G$32)</f>
        <v>NATIONAL ENTERPRISES</v>
      </c>
      <c r="Q32">
        <f>IF(P32="","",COUNTIFS(P$4:P$40,"&lt;"&amp;P32,P$4:P$40,"&lt;&gt;"&amp;"")+COUNTIF(P$4:P32,P32))</f>
        <v>17</v>
      </c>
      <c r="R32" t="str">
        <f>IF(ROW()-3&gt;COUNTIF(P$4:P$40,"&lt;&gt;"&amp;""),"",INDEX(P$4:P$40,MATCH(ROW()-3,Q$4:Q$40,0)))</f>
        <v>STERLING ENTERPRISES</v>
      </c>
      <c r="S32">
        <f>S31+IF(AND(R32&lt;&gt;"",COUNTIF(R$4:R32,R32)=1),1,0)</f>
        <v>12</v>
      </c>
      <c r="T32" t="str">
        <f>IF(ROW()-3&gt;MAX(S$4:S$40),"",INDEX(R$4:R$40,MATCH(ROW()-3,S$4:S$40,0)))</f>
        <v/>
      </c>
      <c r="U32" t="str">
        <f>IF('Final Calculation Sheet'!$B$32="","",'Final Calculation Sheet'!$B$32)</f>
        <v>Scrap of 220 KV CT</v>
      </c>
      <c r="V32">
        <f>IF(U32="","",COUNTIFS(U$4:U$40,"&lt;"&amp;U32,U$4:U$40,"&lt;&gt;"&amp;"")+COUNTIF(U$4:U32,U32))</f>
        <v>17</v>
      </c>
      <c r="W32" t="str">
        <f>IF(ROW()-3&gt;COUNTIF(U$4:U$40,"&lt;&gt;"&amp;""),"",INDEX(U$4:U$40,MATCH(ROW()-3,V$4:V$40,0)))</f>
        <v>Scrap of empty oil Barrels</v>
      </c>
      <c r="X32">
        <f>X31+IF(AND(W32&lt;&gt;"",COUNTIF(W$4:W32,W32)=1),1,0)</f>
        <v>20</v>
      </c>
      <c r="Y32" t="str">
        <f>IF(ROW()-3&gt;MAX(X$4:X$40),"",INDEX(W$4:W$40,MATCH(ROW()-3,X$4:X$40,0)))</f>
        <v/>
      </c>
      <c r="Z32">
        <f>IF('Final Calculation Sheet'!$D$32="","",'Final Calculation Sheet'!$D$32)</f>
        <v>21979</v>
      </c>
      <c r="AA32">
        <f>IF(Z32="","",COUNTIFS(Z$4:Z$40,"&lt;"&amp;Z32,Z$4:Z$40,"&lt;&gt;"&amp;"")+COUNTIF(Z$4:Z32,Z32))</f>
        <v>27</v>
      </c>
      <c r="AB32">
        <f>IF(ROW()-3&gt;COUNTIF(Z$4:Z$40,"&lt;&gt;"&amp;""),"",INDEX(Z$4:Z$40,MATCH(ROW()-3,AA$4:AA$40,0)))</f>
        <v>21979</v>
      </c>
      <c r="AC32">
        <f>AC31+IF(AND(AB32&lt;&gt;"",COUNTIF(AB$4:AB32,AB32)=1),1,0)</f>
        <v>3</v>
      </c>
      <c r="AD32" t="str">
        <f>IF(ROW()-3&gt;MAX(AC$4:AC$40),"",INDEX(AB$4:AB$40,MATCH(ROW()-3,AC$4:AC$40,0)))</f>
        <v/>
      </c>
      <c r="AE32">
        <f>IF('Final Calculation Sheet'!$A$32="","",'Final Calculation Sheet'!$A$32)</f>
        <v>2</v>
      </c>
      <c r="AF32">
        <f>IF(AE32="","",COUNTIFS(AE$4:AE$40,"&lt;"&amp;AE32,AE$4:AE$40,"&lt;&gt;"&amp;"")+COUNTIF(AE$4:AE32,AE32))</f>
        <v>11</v>
      </c>
      <c r="AG32">
        <f>IF(ROW()-3&gt;COUNTIF(AE$4:AE$40,"&lt;&gt;"&amp;""),"",INDEX(AE$4:AE$40,MATCH(ROW()-3,AF$4:AF$40,0)))</f>
        <v>150</v>
      </c>
      <c r="AH32">
        <f>AH31+IF(AND(AG32&lt;&gt;"",COUNTIF(AG$4:AG32,AG32)=1),1,0)</f>
        <v>14</v>
      </c>
      <c r="AI32" t="str">
        <f>IF(ROW()-3&gt;MAX(AH$4:AH$40),"",INDEX(AG$4:AG$40,MATCH(ROW()-3,AH$4:AH$40,0)))</f>
        <v/>
      </c>
      <c r="AJ32" t="str">
        <f>IF('Final Calculation Sheet'!$E$32="","",'Final Calculation Sheet'!$E$32)</f>
        <v>NO</v>
      </c>
      <c r="AK32">
        <f>IF(AJ32="","",COUNTIFS(AJ$4:AJ$40,"&lt;"&amp;AJ32,AJ$4:AJ$40,"&lt;&gt;"&amp;"")+COUNTIF(AJ$4:AJ32,AJ32))</f>
        <v>29</v>
      </c>
      <c r="AL32" t="str">
        <f>IF(ROW()-3&gt;COUNTIF(AJ$4:AJ$40,"&lt;&gt;"&amp;""),"",INDEX(AJ$4:AJ$40,MATCH(ROW()-3,AK$4:AK$40,0)))</f>
        <v>NO</v>
      </c>
      <c r="AM32">
        <f>AM31+IF(AND(AL32&lt;&gt;"",COUNTIF(AL$4:AL32,AL32)=1),1,0)</f>
        <v>3</v>
      </c>
      <c r="AN32" t="str">
        <f>IF(ROW()-3&gt;MAX(AM$4:AM$40),"",INDEX(AL$4:AL$40,MATCH(ROW()-3,AM$4:AM$40,0)))</f>
        <v/>
      </c>
      <c r="AO32" s="55">
        <f>IF('Final Calculation Sheet'!$C$32="","",'Final Calculation Sheet'!$C$32)</f>
        <v>80006</v>
      </c>
      <c r="AP32">
        <f>IF(AO32="","",COUNTIFS(AO$4:AO$40,"&lt;"&amp;AO32,AO$4:AO$40,"&lt;&gt;"&amp;"")+COUNTIF(AO$4:AO32,AO32))</f>
        <v>30</v>
      </c>
      <c r="AQ32" s="55">
        <f>IF(ROW()-3&gt;COUNTIF(AO$4:AO$40,"&lt;&gt;"&amp;""),"",INDEX(AO$4:AO$40,MATCH(ROW()-3,AP$4:AP$40,0)))</f>
        <v>80000</v>
      </c>
      <c r="AR32">
        <f>AR31+IF(AND(AQ32&lt;&gt;"",COUNTIF(AQ$4:AQ32,AQ32)=1),1,0)</f>
        <v>27</v>
      </c>
      <c r="AS32" s="55">
        <f>IF(ROW()-3&gt;MAX(AR$4:AR$40),"",INDEX(AQ$4:AQ$40,MATCH(ROW()-3,AR$4:AR$40,0)))</f>
        <v>83743</v>
      </c>
      <c r="AT32" s="55">
        <f>IF('Final Calculation Sheet'!$H$32="","",'Final Calculation Sheet'!$H$32)</f>
        <v>160012</v>
      </c>
      <c r="AU32">
        <f>IF(AT32="","",COUNTIFS(AT$4:AT$40,"&lt;"&amp;AT32,AT$4:AT$40,"&lt;&gt;"&amp;"")+COUNTIF(AT$4:AT32,AT32))</f>
        <v>20</v>
      </c>
      <c r="AV32" s="55">
        <f>IF(ROW()-3&gt;COUNTIF(AT$4:AT$40,"&lt;&gt;"&amp;""),"",INDEX(AT$4:AT$40,MATCH(ROW()-3,AU$4:AU$40,0)))</f>
        <v>330600</v>
      </c>
      <c r="AW32">
        <f>AW31+IF(AND(AV32&lt;&gt;"",COUNTIF(AV$4:AV32,AV32)=1),1,0)</f>
        <v>29</v>
      </c>
      <c r="AX32" s="55">
        <f>IF(ROW()-3&gt;MAX(AW$4:AW$40),"",INDEX(AV$4:AV$40,MATCH(ROW()-3,AW$4:AW$40,0)))</f>
        <v>330600</v>
      </c>
      <c r="AY32" s="55">
        <f>IF('Final Calculation Sheet'!$I$32="","",'Final Calculation Sheet'!$I$32)</f>
        <v>28802</v>
      </c>
      <c r="AZ32">
        <f>IF(AY32="","",COUNTIFS(AY$4:AY$40,"&lt;"&amp;AY32,AY$4:AY$40,"&lt;&gt;"&amp;"")+COUNTIF(AY$4:AY32,AY32))</f>
        <v>20</v>
      </c>
      <c r="BA32" s="55">
        <f>IF(ROW()-3&gt;COUNTIF(AY$4:AY$40,"&lt;&gt;"&amp;""),"",INDEX(AY$4:AY$40,MATCH(ROW()-3,AZ$4:AZ$40,0)))</f>
        <v>59508</v>
      </c>
      <c r="BB32">
        <f>BB31+IF(AND(BA32&lt;&gt;"",COUNTIF(BA$4:BA32,BA32)=1),1,0)</f>
        <v>29</v>
      </c>
      <c r="BC32" s="55">
        <f>IF(ROW()-3&gt;MAX(BB$4:BB$40),"",INDEX(BA$4:BA$40,MATCH(ROW()-3,BB$4:BB$40,0)))</f>
        <v>59508</v>
      </c>
      <c r="BD32" s="55">
        <f>IF('Final Calculation Sheet'!$J$32="","",'Final Calculation Sheet'!$J$32)</f>
        <v>188814</v>
      </c>
      <c r="BE32">
        <f>IF(BD32="","",COUNTIFS(BD$4:BD$40,"&lt;"&amp;BD32,BD$4:BD$40,"&lt;&gt;"&amp;"")+COUNTIF(BD$4:BD32,BD32))</f>
        <v>20</v>
      </c>
      <c r="BF32" s="55">
        <f>IF(ROW()-3&gt;COUNTIF(BD$4:BD$40,"&lt;&gt;"&amp;""),"",INDEX(BD$4:BD$40,MATCH(ROW()-3,BE$4:BE$40,0)))</f>
        <v>390108</v>
      </c>
      <c r="BG32">
        <f>BG31+IF(AND(BF32&lt;&gt;"",COUNTIF(BF$4:BF32,BF32)=1),1,0)</f>
        <v>29</v>
      </c>
      <c r="BH32" s="55">
        <f>IF(ROW()-3&gt;MAX(BG$4:BG$40),"",INDEX(BF$4:BF$40,MATCH(ROW()-3,BG$4:BG$40,0)))</f>
        <v>390108</v>
      </c>
      <c r="BI32" s="55">
        <f>IF('Final Calculation Sheet'!$K$32="","",'Final Calculation Sheet'!$K$32)</f>
        <v>3776</v>
      </c>
      <c r="BJ32">
        <f>IF(BI32="","",COUNTIFS(BI$4:BI$40,"&lt;"&amp;BI32,BI$4:BI$40,"&lt;&gt;"&amp;"")+COUNTIF(BI$4:BI32,BI32))</f>
        <v>20</v>
      </c>
      <c r="BK32" s="55">
        <f>IF(ROW()-3&gt;COUNTIF(BI$4:BI$40,"&lt;&gt;"&amp;""),"",INDEX(BI$4:BI$40,MATCH(ROW()-3,BJ$4:BJ$40,0)))</f>
        <v>7802</v>
      </c>
      <c r="BL32">
        <f>BL31+IF(AND(BK32&lt;&gt;"",COUNTIF(BK$4:BK32,BK32)=1),1,0)</f>
        <v>28</v>
      </c>
      <c r="BM32" s="55">
        <f>IF(ROW()-3&gt;MAX(BL$4:BL$40),"",INDEX(BK$4:BK$40,MATCH(ROW()-3,BL$4:BL$40,0)))</f>
        <v>9440</v>
      </c>
      <c r="BN32" s="55">
        <f>IF('Final Calculation Sheet'!$L$32="","",'Final Calculation Sheet'!$L$32)</f>
        <v>160.012</v>
      </c>
      <c r="BO32">
        <f>IF(BN32="","",COUNTIFS(BN$4:BN$40,"&lt;"&amp;BN32,BN$4:BN$40,"&lt;&gt;"&amp;"")+COUNTIF(BN$4:BN32,BN32))</f>
        <v>20</v>
      </c>
      <c r="BP32" s="55">
        <f>IF(ROW()-3&gt;COUNTIF(BN$4:BN$40,"&lt;&gt;"&amp;""),"",INDEX(BN$4:BN$40,MATCH(ROW()-3,BO$4:BO$40,0)))</f>
        <v>330.6</v>
      </c>
      <c r="BQ32">
        <f>BQ31+IF(AND(BP32&lt;&gt;"",COUNTIF(BP$4:BP32,BP32)=1),1,0)</f>
        <v>29</v>
      </c>
      <c r="BR32" s="55">
        <f>IF(ROW()-3&gt;MAX(BQ$4:BQ$40),"",INDEX(BP$4:BP$40,MATCH(ROW()-3,BQ$4:BQ$40,0)))</f>
        <v>330.6</v>
      </c>
      <c r="BS32" s="55">
        <f>IF('Final Calculation Sheet'!$M$32="","",'Final Calculation Sheet'!$M$32)</f>
        <v>4248.3185999999996</v>
      </c>
      <c r="BT32">
        <f>IF(BS32="","",COUNTIFS(BS$4:BS$40,"&lt;"&amp;BS32,BS$4:BS$40,"&lt;&gt;"&amp;"")+COUNTIF(BS$4:BS32,BS32))</f>
        <v>20</v>
      </c>
      <c r="BU32" s="55">
        <f>IF(ROW()-3&gt;COUNTIF(BS$4:BS$40,"&lt;&gt;"&amp;""),"",INDEX(BS$4:BS$40,MATCH(ROW()-3,BT$4:BT$40,0)))</f>
        <v>8777.43</v>
      </c>
      <c r="BV32">
        <f>BV31+IF(AND(BU32&lt;&gt;"",COUNTIF(BU$4:BU32,BU32)=1),1,0)</f>
        <v>29</v>
      </c>
      <c r="BW32" s="55">
        <f>IF(ROW()-3&gt;MAX(BV$4:BV$40),"",INDEX(BU$4:BU$40,MATCH(ROW()-3,BV$4:BV$40,0)))</f>
        <v>8777.43</v>
      </c>
      <c r="BX32" s="138">
        <f>IF('Final Calculation Sheet'!$N$32="","",'Final Calculation Sheet'!$N$32)</f>
        <v>72.005399999999995</v>
      </c>
      <c r="BY32">
        <f>IF(BX32="","",COUNTIFS(BX$4:BX$40,"&lt;"&amp;BX32,BX$4:BX$40,"&lt;&gt;"&amp;"")+COUNTIF(BX$4:BX32,BX32))</f>
        <v>20</v>
      </c>
      <c r="BZ32" s="138">
        <f>IF(ROW()-3&gt;COUNTIF(BX$4:BX$40,"&lt;&gt;"&amp;""),"",INDEX(BX$4:BX$40,MATCH(ROW()-3,BY$4:BY$40,0)))</f>
        <v>148.77000000000001</v>
      </c>
      <c r="CA32">
        <f>CA31+IF(AND(BZ32&lt;&gt;"",COUNTIF(BZ$4:BZ32,BZ32)=1),1,0)</f>
        <v>29</v>
      </c>
      <c r="CB32" s="138">
        <f>IF(ROW()-3&gt;MAX(CA$4:CA$40),"",INDEX(BZ$4:BZ$40,MATCH(ROW()-3,CA$4:CA$40,0)))</f>
        <v>148.77000000000001</v>
      </c>
      <c r="CC32" s="55">
        <f>IF('Final Calculation Sheet'!$O$32="","",'Final Calculation Sheet'!$O$32)</f>
        <v>4176.3131999999996</v>
      </c>
      <c r="CD32">
        <f>IF(CC32="","",COUNTIFS(CC$4:CC$40,"&lt;"&amp;CC32,CC$4:CC$40,"&lt;&gt;"&amp;"")+COUNTIF(CC$4:CC32,CC32))</f>
        <v>20</v>
      </c>
      <c r="CE32" s="55">
        <f>IF(ROW()-3&gt;COUNTIF(CC$4:CC$40,"&lt;&gt;"&amp;""),"",INDEX(CC$4:CC$40,MATCH(ROW()-3,CD$4:CD$40,0)))</f>
        <v>8628.66</v>
      </c>
      <c r="CF32">
        <f>CF31+IF(AND(CE32&lt;&gt;"",COUNTIF(CE$4:CE32,CE32)=1),1,0)</f>
        <v>29</v>
      </c>
      <c r="CG32" s="55">
        <f>IF(ROW()-3&gt;MAX(CF$4:CF$40),"",INDEX(CE$4:CE$40,MATCH(ROW()-3,CF$4:CF$40,0)))</f>
        <v>8628.66</v>
      </c>
      <c r="CH32" s="55">
        <f>IF('Final Calculation Sheet'!$P$32="","",'Final Calculation Sheet'!$P$32)</f>
        <v>4336</v>
      </c>
      <c r="CI32">
        <f>IF(CH32="","",COUNTIFS(CH$4:CH$40,"&lt;"&amp;CH32,CH$4:CH$40,"&lt;&gt;"&amp;"")+COUNTIF(CH$4:CH32,CH32))</f>
        <v>20</v>
      </c>
      <c r="CJ32" s="55">
        <f>IF(ROW()-3&gt;COUNTIF(CH$4:CH$40,"&lt;&gt;"&amp;""),"",INDEX(CH$4:CH$40,MATCH(ROW()-3,CI$4:CI$40,0)))</f>
        <v>8959</v>
      </c>
      <c r="CK32">
        <f>CK31+IF(AND(CJ32&lt;&gt;"",COUNTIF(CJ$4:CJ32,CJ32)=1),1,0)</f>
        <v>28</v>
      </c>
      <c r="CL32" s="55">
        <f>IF(ROW()-3&gt;MAX(CK$4:CK$40),"",INDEX(CJ$4:CJ$40,MATCH(ROW()-3,CK$4:CK$40,0)))</f>
        <v>10840</v>
      </c>
      <c r="CM32" s="139">
        <f>IF('Final Calculation Sheet'!$Q$32="","",'Final Calculation Sheet'!$Q$32)</f>
        <v>0</v>
      </c>
      <c r="CN32">
        <f>IF(CM32="","",COUNTIFS(CM$4:CM$40,"&lt;"&amp;CM32,CM$4:CM$40,"&lt;&gt;"&amp;"")+COUNTIF(CM$4:CM32,CM32))</f>
        <v>25</v>
      </c>
      <c r="CO32" s="139">
        <f>IF(ROW()-3&gt;COUNTIF(CM$4:CM$40,"&lt;&gt;"&amp;""),"",INDEX(CM$4:CM$40,MATCH(ROW()-3,CN$4:CN$40,0)))</f>
        <v>0</v>
      </c>
      <c r="CP32">
        <f>CP31+IF(AND(CO32&lt;&gt;"",COUNTIF(CO$4:CO32,CO32)=1),1,0)</f>
        <v>1</v>
      </c>
      <c r="CQ32" t="str">
        <f>IF(ROW()-3&gt;MAX(CP$4:CP$40),"",INDEX(CO$4:CO$40,MATCH(ROW()-3,CP$4:CP$40,0)))</f>
        <v/>
      </c>
      <c r="CR32" s="55">
        <f>IF('Final Calculation Sheet'!$R$32="","",'Final Calculation Sheet'!$R$32)</f>
        <v>0</v>
      </c>
      <c r="CS32">
        <f>IF(CR32="","",COUNTIFS(CR$4:CR$40,"&lt;"&amp;CR32,CR$4:CR$40,"&lt;&gt;"&amp;"")+COUNTIF(CR$4:CR32,CR32))</f>
        <v>25</v>
      </c>
      <c r="CT32" s="55">
        <f>IF(ROW()-3&gt;COUNTIF(CR$4:CR$40,"&lt;&gt;"&amp;""),"",INDEX(CR$4:CR$40,MATCH(ROW()-3,CS$4:CS$40,0)))</f>
        <v>0</v>
      </c>
      <c r="CU32">
        <f>CU31+IF(AND(CT32&lt;&gt;"",COUNTIF(CT$4:CT32,CT32)=1),1,0)</f>
        <v>1</v>
      </c>
      <c r="CV32" t="str">
        <f>IF(ROW()-3&gt;MAX(CU$4:CU$40),"",INDEX(CT$4:CT$40,MATCH(ROW()-3,CU$4:CU$40,0)))</f>
        <v/>
      </c>
      <c r="CW32" s="55">
        <f>IF('Final Calculation Sheet'!$S$32="","",'Final Calculation Sheet'!$S$32)</f>
        <v>188254</v>
      </c>
      <c r="CX32">
        <f>IF(CW32="","",COUNTIFS(CW$4:CW$40,"&lt;"&amp;CW32,CW$4:CW$40,"&lt;&gt;"&amp;"")+COUNTIF(CW$4:CW32,CW32))</f>
        <v>20</v>
      </c>
      <c r="CY32" s="55">
        <f>IF(ROW()-3&gt;COUNTIF(CW$4:CW$40,"&lt;&gt;"&amp;""),"",INDEX(CW$4:CW$40,MATCH(ROW()-3,CX$4:CX$40,0)))</f>
        <v>388951</v>
      </c>
      <c r="CZ32">
        <f>CZ31+IF(AND(CY32&lt;&gt;"",COUNTIF(CY$4:CY32,CY32)=1),1,0)</f>
        <v>29</v>
      </c>
      <c r="DA32" s="55">
        <f>IF(ROW()-3&gt;MAX(CZ$4:CZ$40),"",INDEX(CY$4:CY$40,MATCH(ROW()-3,CZ$4:CZ$40,0)))</f>
        <v>388951</v>
      </c>
      <c r="DB32" s="55">
        <f>IF('Final Calculation Sheet'!$T$32="","",'Final Calculation Sheet'!$T$32)</f>
        <v>40003</v>
      </c>
      <c r="DC32">
        <f>IF(DB32="","",COUNTIFS(DB$4:DB$40,"&lt;"&amp;DB32,DB$4:DB$40,"&lt;&gt;"&amp;"")+COUNTIF(DB$4:DB32,DB32))</f>
        <v>20</v>
      </c>
      <c r="DD32" s="55">
        <f>IF(ROW()-3&gt;COUNTIF(DB$4:DB$40,"&lt;&gt;"&amp;""),"",INDEX(DB$4:DB$40,MATCH(ROW()-3,DC$4:DC$40,0)))</f>
        <v>82650</v>
      </c>
      <c r="DE32">
        <f>DE31+IF(AND(DD32&lt;&gt;"",COUNTIF(DD$4:DD32,DD32)=1),1,0)</f>
        <v>29</v>
      </c>
      <c r="DF32" s="55">
        <f>IF(ROW()-3&gt;MAX(DE$4:DE$40),"",INDEX(DD$4:DD$40,MATCH(ROW()-3,DE$4:DE$40,0)))</f>
        <v>82650</v>
      </c>
      <c r="DG32" s="140">
        <f>IF('Final Calculation Sheet'!$U$32="","",'Final Calculation Sheet'!$U$32)</f>
        <v>40003</v>
      </c>
      <c r="DH32">
        <f>IF(DG32="","",COUNTIFS(DG$4:DG$40,"&lt;"&amp;DG32,DG$4:DG$40,"&lt;&gt;"&amp;"")+COUNTIF(DG$4:DG32,DG32))</f>
        <v>20</v>
      </c>
      <c r="DI32" s="140">
        <f>IF(ROW()-3&gt;COUNTIF(DG$4:DG$40,"&lt;&gt;"&amp;""),"",INDEX(DG$4:DG$40,MATCH(ROW()-3,DH$4:DH$40,0)))</f>
        <v>82650</v>
      </c>
      <c r="DJ32">
        <f>DJ31+IF(AND(DI32&lt;&gt;"",COUNTIF(DI$4:DI32,DI32)=1),1,0)</f>
        <v>29</v>
      </c>
      <c r="DK32" s="140">
        <f>IF(ROW()-3&gt;MAX(DJ$4:DJ$40),"",INDEX(DI$4:DI$40,MATCH(ROW()-3,DJ$4:DJ$40,0)))</f>
        <v>82650</v>
      </c>
      <c r="DL32" t="str">
        <f>IF('Final Calculation Sheet'!$V$32="","",'Final Calculation Sheet'!$V$32)</f>
        <v>13.08.2026</v>
      </c>
      <c r="DM32">
        <f>IF(DL32="","",COUNTIFS(DL$4:DL$40,"&lt;"&amp;DL32,DL$4:DL$40,"&lt;&gt;"&amp;"")+COUNTIF(DL$4:DL32,DL32))</f>
        <v>24</v>
      </c>
      <c r="DN32" t="str">
        <f>IF(ROW()-3&gt;COUNTIF(DL$4:DL$40,"&lt;&gt;"&amp;""),"",INDEX(DL$4:DL$40,MATCH(ROW()-3,DM$4:DM$40,0)))</f>
        <v>14.08.2026</v>
      </c>
      <c r="DO32">
        <f>DO31+IF(AND(DN32&lt;&gt;"",COUNTIF(DN$4:DN32,DN32)=1),1,0)</f>
        <v>4</v>
      </c>
      <c r="DP32" t="str">
        <f>IF(ROW()-3&gt;MAX(DO$4:DO$40),"",INDEX(DN$4:DN$40,MATCH(ROW()-3,DO$4:DO$40,0)))</f>
        <v/>
      </c>
      <c r="DQ32" s="55">
        <f>IF('Final Calculation Sheet'!$W$32="","",'Final Calculation Sheet'!$W$32)</f>
        <v>148251</v>
      </c>
      <c r="DR32">
        <f>IF(DQ32="","",COUNTIFS(DQ$4:DQ$40,"&lt;"&amp;DQ32,DQ$4:DQ$40,"&lt;&gt;"&amp;"")+COUNTIF(DQ$4:DQ32,DQ32))</f>
        <v>20</v>
      </c>
      <c r="DS32" s="55">
        <f>IF(ROW()-3&gt;COUNTIF(DQ$4:DQ$40,"&lt;&gt;"&amp;""),"",INDEX(DQ$4:DQ$40,MATCH(ROW()-3,DR$4:DR$40,0)))</f>
        <v>306301</v>
      </c>
      <c r="DT32">
        <f>DT31+IF(AND(DS32&lt;&gt;"",COUNTIF(DS$4:DS32,DS32)=1),1,0)</f>
        <v>29</v>
      </c>
      <c r="DU32" s="55">
        <f>IF(ROW()-3&gt;MAX(DT$4:DT$40),"",INDEX(DS$4:DS$40,MATCH(ROW()-3,DT$4:DT$40,0)))</f>
        <v>306301</v>
      </c>
      <c r="DV32" s="55">
        <f>IF('Final Calculation Sheet'!$X$32="","",'Final Calculation Sheet'!$X$32)</f>
        <v>148251</v>
      </c>
      <c r="DW32">
        <f>IF(DV32="","",COUNTIFS(DV$4:DV$40,"&lt;"&amp;DV32,DV$4:DV$40,"&lt;&gt;"&amp;"")+COUNTIF(DV$4:DV32,DV32))</f>
        <v>19</v>
      </c>
      <c r="DX32" s="55">
        <f>IF(ROW()-3&gt;COUNTIF(DV$4:DV$40,"&lt;&gt;"&amp;""),"",INDEX(DV$4:DV$40,MATCH(ROW()-3,DW$4:DW$40,0)))</f>
        <v>479001</v>
      </c>
      <c r="DY32">
        <f>DY31+IF(AND(DX32&lt;&gt;"",COUNTIF(DX$4:DX32,DX32)=1),1,0)</f>
        <v>29</v>
      </c>
      <c r="DZ32" t="e">
        <f>IF(ROW()-3&gt;MAX(DY$4:DY$40),"",INDEX(DX$4:DX$40,MATCH(ROW()-3,DY$4:DY$40,0)))</f>
        <v>#N/A</v>
      </c>
      <c r="EA32" t="str">
        <f>IF('Final Calculation Sheet'!$Y$32="","",'Final Calculation Sheet'!$Y$32)</f>
        <v>24.08.2026</v>
      </c>
      <c r="EB32">
        <f>IF(EA32="","",COUNTIFS(EA$4:EA$40,"&lt;"&amp;EA32,EA$4:EA$40,"&lt;&gt;"&amp;"")+COUNTIF(EA$4:EA32,EA32))</f>
        <v>32</v>
      </c>
      <c r="EC32" t="str">
        <f>IF(ROW()-3&gt;COUNTIF(EA$4:EA$40,"&lt;&gt;"&amp;""),"",INDEX(EA$4:EA$40,MATCH(ROW()-3,EB$4:EB$40,0)))</f>
        <v>24.08.2026</v>
      </c>
      <c r="ED32">
        <f>ED31+IF(AND(EC32&lt;&gt;"",COUNTIF(EC$4:EC32,EC32)=1),1,0)</f>
        <v>9</v>
      </c>
      <c r="EE32" t="e">
        <f>IF(ROW()-3&gt;MAX(ED$4:ED$40),"",INDEX(EC$4:EC$40,MATCH(ROW()-3,ED$4:ED$40,0)))</f>
        <v>#N/A</v>
      </c>
      <c r="EF32" s="55">
        <f>IF('Final Calculation Sheet'!$Z$32="","",'Final Calculation Sheet'!$Z$32)</f>
        <v>0</v>
      </c>
      <c r="EG32">
        <f>IF(EF32="","",COUNTIFS(EF$4:EF$40,"&lt;"&amp;EF32,EF$4:EF$40,"&lt;&gt;"&amp;"")+COUNTIF(EF$4:EF32,EF32))</f>
        <v>27</v>
      </c>
      <c r="EH32" s="55">
        <f>IF(ROW()-3&gt;COUNTIF(EF$4:EF$40,"&lt;&gt;"&amp;""),"",INDEX(EF$4:EF$40,MATCH(ROW()-3,EG$4:EG$40,0)))</f>
        <v>0</v>
      </c>
      <c r="EI32">
        <f>EI31+IF(AND(EH32&lt;&gt;"",COUNTIF(EH$4:EH32,EH32)=1),1,0)</f>
        <v>1</v>
      </c>
      <c r="EJ32" t="str">
        <f>IF(ROW()-3&gt;MAX(EI$4:EI$40),"",INDEX(EH$4:EH$40,MATCH(ROW()-3,EI$4:EI$40,0)))</f>
        <v/>
      </c>
      <c r="EK32" t="str">
        <f>IF('Final Calculation Sheet'!$AA$32="","",'Final Calculation Sheet'!$AA$32)</f>
        <v/>
      </c>
      <c r="EL32" t="str">
        <f>IF(EK32="","",COUNTIFS(EK$4:EK$40,"&lt;"&amp;EK32,EK$4:EK$40,"&lt;&gt;"&amp;"")+COUNTIF(EK$4:EK32,EK32))</f>
        <v/>
      </c>
      <c r="EM32" t="e">
        <f>IF(ROW()-3&gt;COUNTIF(EK$4:EK$40,"&lt;&gt;"&amp;""),"",INDEX(EK$4:EK$40,MATCH(ROW()-3,EL$4:EL$40,0)))</f>
        <v>#N/A</v>
      </c>
      <c r="EN32" t="e">
        <f>EN31+IF(AND(EM32&lt;&gt;"",COUNTIF(EM$4:EM32,EM32)=1),1,0)</f>
        <v>#N/A</v>
      </c>
      <c r="EO32" t="e">
        <f>IF(ROW()-3&gt;MAX(EN$4:EN$40),"",INDEX(EM$4:EM$40,MATCH(ROW()-3,EN$4:EN$40,0)))</f>
        <v>#N/A</v>
      </c>
      <c r="EP32" t="str">
        <f>IF('Final Calculation Sheet'!$AB$32="","",'Final Calculation Sheet'!$AB$32)</f>
        <v/>
      </c>
      <c r="EQ32" t="str">
        <f>IF(EP32="","",COUNTIFS(EP$4:EP$40,"&lt;"&amp;EP32,EP$4:EP$40,"&lt;&gt;"&amp;"")+COUNTIF(EP$4:EP32,EP32))</f>
        <v/>
      </c>
      <c r="ER32" t="e">
        <f>IF(ROW()-3&gt;COUNTIF(EP$4:EP$40,"&lt;&gt;"&amp;""),"",INDEX(EP$4:EP$40,MATCH(ROW()-3,EQ$4:EQ$40,0)))</f>
        <v>#N/A</v>
      </c>
      <c r="ES32" t="e">
        <f>ES31+IF(AND(ER32&lt;&gt;"",COUNTIF(ER$4:ER32,ER32)=1),1,0)</f>
        <v>#N/A</v>
      </c>
      <c r="ET32" t="e">
        <f>IF(ROW()-3&gt;MAX(ES$4:ES$40),"",INDEX(ER$4:ER$40,MATCH(ROW()-3,ES$4:ES$40,0)))</f>
        <v>#N/A</v>
      </c>
      <c r="EU32" s="55">
        <f>IF('Final Calculation Sheet'!$AC$32="","",'Final Calculation Sheet'!$AC$32)</f>
        <v>188254</v>
      </c>
      <c r="EV32">
        <f>IF(EU32="","",COUNTIFS(EU$4:EU$40,"&lt;"&amp;EU32,EU$4:EU$40,"&lt;&gt;"&amp;"")+COUNTIF(EU$4:EU32,EU32))</f>
        <v>22</v>
      </c>
      <c r="EW32" s="55">
        <f>IF(ROW()-3&gt;COUNTIF(EU$4:EU$40,"&lt;&gt;"&amp;""),"",INDEX(EU$4:EU$40,MATCH(ROW()-3,EV$4:EV$40,0)))</f>
        <v>295571</v>
      </c>
      <c r="EX32">
        <f>EX31+IF(AND(EW32&lt;&gt;"",COUNTIF(EW$4:EW32,EW32)=1),1,0)</f>
        <v>29</v>
      </c>
      <c r="EY32" s="55">
        <f>IF(ROW()-3&gt;MAX(EX$4:EX$40),"",INDEX(EW$4:EW$40,MATCH(ROW()-3,EX$4:EX$40,0)))</f>
        <v>295571</v>
      </c>
      <c r="EZ32" s="55">
        <f>IF('Final Calculation Sheet'!$AD$32="","",'Final Calculation Sheet'!$AD$32)</f>
        <v>0</v>
      </c>
      <c r="FA32">
        <f>IF(EZ32="","",COUNTIFS(EZ$4:EZ$40,"&lt;"&amp;EZ32,EZ$4:EZ$40,"&lt;&gt;"&amp;"")+COUNTIF(EZ$4:EZ32,EZ32))</f>
        <v>25</v>
      </c>
      <c r="FB32" s="55">
        <f>IF(ROW()-3&gt;COUNTIF(EZ$4:EZ$40,"&lt;&gt;"&amp;""),"",INDEX(EZ$4:EZ$40,MATCH(ROW()-3,FA$4:FA$40,0)))</f>
        <v>1</v>
      </c>
      <c r="FC32" t="e">
        <f>FC31+IF(AND(FB32&lt;&gt;"",COUNTIF(FB$4:FB32,FB32)=1),1,0)</f>
        <v>#N/A</v>
      </c>
      <c r="FD32" t="e">
        <f>IF(ROW()-3&gt;MAX(FC$4:FC$40),"",INDEX(FB$4:FB$40,MATCH(ROW()-3,FC$4:FC$40,0)))</f>
        <v>#N/A</v>
      </c>
      <c r="FE32" t="str">
        <f>IF('Final Calculation Sheet'!$AE$32="","",'Final Calculation Sheet'!$AE$32)</f>
        <v>DR2640100039</v>
      </c>
      <c r="FF32">
        <f>IF(FE32="","",COUNTIFS(FE$4:FE$40,"&lt;"&amp;FE32,FE$4:FE$40,"&lt;&gt;"&amp;"")+COUNTIF(FE$4:FE32,FE32))</f>
        <v>28</v>
      </c>
      <c r="FG32" t="str">
        <f>IF(ROW()-3&gt;COUNTIF(FE$4:FE$40,"&lt;&gt;"&amp;""),"",INDEX(FE$4:FE$40,MATCH(ROW()-3,FF$4:FF$40,0)))</f>
        <v>DR2640100040</v>
      </c>
      <c r="FH32" t="e">
        <f>FH31+IF(AND(FG32&lt;&gt;"",COUNTIF(FG$4:FG32,FG32)=1),1,0)</f>
        <v>#N/A</v>
      </c>
      <c r="FI32" t="e">
        <f>IF(ROW()-3&gt;MAX(FH$4:FH$40),"",INDEX(FG$4:FG$40,MATCH(ROW()-3,FH$4:FH$40,0)))</f>
        <v>#N/A</v>
      </c>
      <c r="FJ32" s="141">
        <f>IF('Final Calculation Sheet'!$AF$32="","",'Final Calculation Sheet'!$AF$32)</f>
        <v>1800003312</v>
      </c>
      <c r="FK32">
        <f>IF(FJ32="","",COUNTIFS(FJ$4:FJ$40,"&lt;"&amp;FJ32,FJ$4:FJ$40,"&lt;&gt;"&amp;"")+COUNTIF(FJ$4:FJ32,FJ32))</f>
        <v>24</v>
      </c>
      <c r="FL32" s="141">
        <f>IF(ROW()-3&gt;COUNTIF(FJ$4:FJ$40,"&lt;&gt;"&amp;""),"",INDEX(FJ$4:FJ$40,MATCH(ROW()-3,FK$4:FK$40,0)))</f>
        <v>1800003317</v>
      </c>
      <c r="FM32">
        <f>FM31+IF(AND(FL32&lt;&gt;"",COUNTIF(FL$4:FL32,FL32)=1),1,0)</f>
        <v>29</v>
      </c>
      <c r="FN32" t="e">
        <f>IF(ROW()-3&gt;MAX(FM$4:FM$40),"",INDEX(FL$4:FL$40,MATCH(ROW()-3,FM$4:FM$40,0)))</f>
        <v>#N/A</v>
      </c>
      <c r="FO32" t="str">
        <f>IF('Final Calculation Sheet'!$AG$32="","",'Final Calculation Sheet'!$AG$32)</f>
        <v>27.08.2026</v>
      </c>
      <c r="FP32">
        <f>IF(FO32="","",COUNTIFS(FO$4:FO$40,"&lt;"&amp;FO32,FO$4:FO$40,"&lt;&gt;"&amp;"")+COUNTIF(FO$4:FO32,FO32))</f>
        <v>35</v>
      </c>
      <c r="FQ32" t="str">
        <f>IF(ROW()-3&gt;COUNTIF(FO$4:FO$40,"&lt;&gt;"&amp;""),"",INDEX(FO$4:FO$40,MATCH(ROW()-3,FP$4:FP$40,0)))</f>
        <v>27.08.2026</v>
      </c>
      <c r="FR32" t="e">
        <f>FR31+IF(AND(FQ32&lt;&gt;"",COUNTIF(FQ$4:FQ32,FQ32)=1),1,0)</f>
        <v>#N/A</v>
      </c>
      <c r="FS32" t="e">
        <f>IF(ROW()-3&gt;MAX(FR$4:FR$40),"",INDEX(FQ$4:FQ$40,MATCH(ROW()-3,FR$4:FR$40,0)))</f>
        <v>#N/A</v>
      </c>
      <c r="FU32" t="str">
        <f>IF(FT32="","",COUNTIFS(FT$4:FT$40,"&lt;"&amp;FT32,FT$4:FT$40,"&lt;&gt;"&amp;"")+COUNTIF(FT$4:FT32,FT32))</f>
        <v/>
      </c>
      <c r="FV32" t="str">
        <f>IF(ROW()-3&gt;COUNTIF(FT$4:FT$40,"&lt;&gt;"&amp;""),"",INDEX(FT$4:FT$40,MATCH(ROW()-3,FU$4:FU$40,0)))</f>
        <v/>
      </c>
      <c r="FW32">
        <f>FW31+IF(AND(FV32&lt;&gt;"",COUNTIF(FV$4:FV32,FV32)=1),1,0)</f>
        <v>2</v>
      </c>
      <c r="FX32" t="str">
        <f>IF(ROW()-3&gt;MAX(FW$4:FW$40),"",INDEX(FV$4:FV$40,MATCH(ROW()-3,FW$4:FW$40,0)))</f>
        <v/>
      </c>
    </row>
    <row r="33">
      <c r="A33">
        <f>IF('Final Calculation Sheet'!$F$33="","",'Final Calculation Sheet'!$F$33)</f>
        <v>2059</v>
      </c>
      <c r="B33">
        <f>IF(A33="","",COUNTIFS(A$4:A$114,"&lt;"&amp;A33,A$4:A$114,"&lt;&gt;"&amp;"")+COUNTIF(A$4:A33,A33))</f>
        <v>30</v>
      </c>
      <c r="C33">
        <f>IF(ROW()-3&gt;COUNTIF(A$4:A$114,"&lt;&gt;"&amp;""),"",INDEX(A$4:A$114,MATCH(ROW()-3,B$4:B$114,0)))</f>
        <v>2059</v>
      </c>
      <c r="D33">
        <f>D32+IF(AND(C33&lt;&gt;"",COUNTIF(C$4:C33,C33)=1),1,0)</f>
        <v>30</v>
      </c>
      <c r="E33" t="e">
        <f>IF(ROW()-3&gt;MAX(D$4:D$114),"",INDEX(C$4:C$114,MATCH(ROW()-3,D$4:D$114,0)))</f>
        <v>#N/A</v>
      </c>
      <c r="F33">
        <f>ROW()-3</f>
        <v>30</v>
      </c>
      <c r="G33">
        <f>IF(F33="","",COUNTIFS(F$4:F$40,"&lt;"&amp;F33,F$4:F$40,"&lt;&gt;"&amp;"")+COUNTIF(F$4:F33,F33))</f>
        <v>30</v>
      </c>
      <c r="H33">
        <f>IF(ROW()-3&gt;COUNTIF(F$4:F$40,"&lt;&gt;"&amp;""),"",INDEX(F$4:F$40,MATCH(ROW()-3,G$4:G$40,0)))</f>
        <v>30</v>
      </c>
      <c r="I33">
        <f>I32+IF(AND(H33&lt;&gt;"",COUNTIF(H$4:H33,H33)=1),1,0)</f>
        <v>30</v>
      </c>
      <c r="J33">
        <f>IF(ROW()-3&gt;MAX(I$4:I$40),"",INDEX(H$4:H$40,MATCH(ROW()-3,I$4:I$40,0)))</f>
        <v>30</v>
      </c>
      <c r="K33">
        <f>IF('Final Calculation Sheet'!$F$33="","",'Final Calculation Sheet'!$F$33)</f>
        <v>2059</v>
      </c>
      <c r="L33">
        <f>IF(K33="","",COUNTIFS(K$4:K$40,"&lt;"&amp;K33,K$4:K$40,"&lt;&gt;"&amp;"")+COUNTIF(K$4:K33,K33))</f>
        <v>30</v>
      </c>
      <c r="M33">
        <f>IF(ROW()-3&gt;COUNTIF(K$4:K$40,"&lt;&gt;"&amp;""),"",INDEX(K$4:K$40,MATCH(ROW()-3,L$4:L$40,0)))</f>
        <v>2059</v>
      </c>
      <c r="N33">
        <f>N32+IF(AND(M33&lt;&gt;"",COUNTIF(M$4:M33,M33)=1),1,0)</f>
        <v>30</v>
      </c>
      <c r="O33">
        <f>IF(ROW()-3&gt;MAX(N$4:N$40),"",INDEX(M$4:M$40,MATCH(ROW()-3,N$4:N$40,0)))</f>
        <v>2059</v>
      </c>
      <c r="P33" t="str">
        <f>IF('Final Calculation Sheet'!$G$33="","",'Final Calculation Sheet'!$G$33)</f>
        <v>NATIONAL ENTERPRISES</v>
      </c>
      <c r="Q33">
        <f>IF(P33="","",COUNTIFS(P$4:P$40,"&lt;"&amp;P33,P$4:P$40,"&lt;&gt;"&amp;"")+COUNTIF(P$4:P33,P33))</f>
        <v>18</v>
      </c>
      <c r="R33" t="str">
        <f>IF(ROW()-3&gt;COUNTIF(P$4:P$40,"&lt;&gt;"&amp;""),"",INDEX(P$4:P$40,MATCH(ROW()-3,Q$4:Q$40,0)))</f>
        <v>STERLING ENTERPRISES</v>
      </c>
      <c r="S33">
        <f>S32+IF(AND(R33&lt;&gt;"",COUNTIF(R$4:R33,R33)=1),1,0)</f>
        <v>12</v>
      </c>
      <c r="T33" t="str">
        <f>IF(ROW()-3&gt;MAX(S$4:S$40),"",INDEX(R$4:R$40,MATCH(ROW()-3,S$4:S$40,0)))</f>
        <v/>
      </c>
      <c r="U33" t="str">
        <f>IF('Final Calculation Sheet'!$B$33="","",'Final Calculation Sheet'!$B$33)</f>
        <v>Scrap of 33 KV GCB</v>
      </c>
      <c r="V33">
        <f>IF(U33="","",COUNTIFS(U$4:U$40,"&lt;"&amp;U33,U$4:U$40,"&lt;&gt;"&amp;"")+COUNTIF(U$4:U33,U33))</f>
        <v>21</v>
      </c>
      <c r="W33" t="str">
        <f>IF(ROW()-3&gt;COUNTIF(U$4:U$40,"&lt;&gt;"&amp;""),"",INDEX(U$4:U$40,MATCH(ROW()-3,V$4:V$40,0)))</f>
        <v>Scrap of Empty oil Barrels</v>
      </c>
      <c r="X33">
        <f>X32+IF(AND(W33&lt;&gt;"",COUNTIF(W$4:W33,W33)=1),1,0)</f>
        <v>20</v>
      </c>
      <c r="Y33" t="str">
        <f>IF(ROW()-3&gt;MAX(X$4:X$40),"",INDEX(W$4:W$40,MATCH(ROW()-3,X$4:X$40,0)))</f>
        <v/>
      </c>
      <c r="Z33">
        <f>IF('Final Calculation Sheet'!$D$33="","",'Final Calculation Sheet'!$D$33)</f>
        <v>21979</v>
      </c>
      <c r="AA33">
        <f>IF(Z33="","",COUNTIFS(Z$4:Z$40,"&lt;"&amp;Z33,Z$4:Z$40,"&lt;&gt;"&amp;"")+COUNTIF(Z$4:Z33,Z33))</f>
        <v>28</v>
      </c>
      <c r="AB33">
        <f>IF(ROW()-3&gt;COUNTIF(Z$4:Z$40,"&lt;&gt;"&amp;""),"",INDEX(Z$4:Z$40,MATCH(ROW()-3,AA$4:AA$40,0)))</f>
        <v>21980</v>
      </c>
      <c r="AC33">
        <f>AC32+IF(AND(AB33&lt;&gt;"",COUNTIF(AB$4:AB33,AB33)=1),1,0)</f>
        <v>4</v>
      </c>
      <c r="AD33" t="str">
        <f>IF(ROW()-3&gt;MAX(AC$4:AC$40),"",INDEX(AB$4:AB$40,MATCH(ROW()-3,AC$4:AC$40,0)))</f>
        <v/>
      </c>
      <c r="AE33">
        <f>IF('Final Calculation Sheet'!$A$33="","",'Final Calculation Sheet'!$A$33)</f>
        <v>1</v>
      </c>
      <c r="AF33">
        <f>IF(AE33="","",COUNTIFS(AE$4:AE$40,"&lt;"&amp;AE33,AE$4:AE$40,"&lt;&gt;"&amp;"")+COUNTIF(AE$4:AE33,AE33))</f>
        <v>8</v>
      </c>
      <c r="AG33">
        <f>IF(ROW()-3&gt;COUNTIF(AE$4:AE$40,"&lt;&gt;"&amp;""),"",INDEX(AE$4:AE$40,MATCH(ROW()-3,AF$4:AF$40,0)))</f>
        <v>250</v>
      </c>
      <c r="AH33">
        <f>AH32+IF(AND(AG33&lt;&gt;"",COUNTIF(AG$4:AG33,AG33)=1),1,0)</f>
        <v>15</v>
      </c>
      <c r="AI33" t="str">
        <f>IF(ROW()-3&gt;MAX(AH$4:AH$40),"",INDEX(AG$4:AG$40,MATCH(ROW()-3,AH$4:AH$40,0)))</f>
        <v/>
      </c>
      <c r="AJ33" t="str">
        <f>IF('Final Calculation Sheet'!$E$33="","",'Final Calculation Sheet'!$E$33)</f>
        <v>NO</v>
      </c>
      <c r="AK33">
        <f>IF(AJ33="","",COUNTIFS(AJ$4:AJ$40,"&lt;"&amp;AJ33,AJ$4:AJ$40,"&lt;&gt;"&amp;"")+COUNTIF(AJ$4:AJ33,AJ33))</f>
        <v>30</v>
      </c>
      <c r="AL33" t="str">
        <f>IF(ROW()-3&gt;COUNTIF(AJ$4:AJ$40,"&lt;&gt;"&amp;""),"",INDEX(AJ$4:AJ$40,MATCH(ROW()-3,AK$4:AK$40,0)))</f>
        <v>NO</v>
      </c>
      <c r="AM33">
        <f>AM32+IF(AND(AL33&lt;&gt;"",COUNTIF(AL$4:AL33,AL33)=1),1,0)</f>
        <v>3</v>
      </c>
      <c r="AN33" t="str">
        <f>IF(ROW()-3&gt;MAX(AM$4:AM$40),"",INDEX(AL$4:AL$40,MATCH(ROW()-3,AM$4:AM$40,0)))</f>
        <v/>
      </c>
      <c r="AO33" s="55">
        <f>IF('Final Calculation Sheet'!$C$33="","",'Final Calculation Sheet'!$C$33)</f>
        <v>29502</v>
      </c>
      <c r="AP33">
        <f>IF(AO33="","",COUNTIFS(AO$4:AO$40,"&lt;"&amp;AO33,AO$4:AO$40,"&lt;&gt;"&amp;"")+COUNTIF(AO$4:AO33,AO33))</f>
        <v>20</v>
      </c>
      <c r="AQ33" s="55">
        <f>IF(ROW()-3&gt;COUNTIF(AO$4:AO$40,"&lt;&gt;"&amp;""),"",INDEX(AO$4:AO$40,MATCH(ROW()-3,AP$4:AP$40,0)))</f>
        <v>80006</v>
      </c>
      <c r="AR33">
        <f>AR32+IF(AND(AQ33&lt;&gt;"",COUNTIF(AQ$4:AQ33,AQ33)=1),1,0)</f>
        <v>28</v>
      </c>
      <c r="AS33" s="55">
        <f>IF(ROW()-3&gt;MAX(AR$4:AR$40),"",INDEX(AQ$4:AQ$40,MATCH(ROW()-3,AR$4:AR$40,0)))</f>
        <v>90002</v>
      </c>
      <c r="AT33" s="55">
        <f>IF('Final Calculation Sheet'!$H$33="","",'Final Calculation Sheet'!$H$33)</f>
        <v>29502</v>
      </c>
      <c r="AU33">
        <f>IF(AT33="","",COUNTIFS(AT$4:AT$40,"&lt;"&amp;AT33,AT$4:AT$40,"&lt;&gt;"&amp;"")+COUNTIF(AT$4:AT33,AT33))</f>
        <v>6</v>
      </c>
      <c r="AV33" s="55">
        <f>IF(ROW()-3&gt;COUNTIF(AT$4:AT$40,"&lt;&gt;"&amp;""),"",INDEX(AT$4:AT$40,MATCH(ROW()-3,AU$4:AU$40,0)))</f>
        <v>400000</v>
      </c>
      <c r="AW33">
        <f>AW32+IF(AND(AV33&lt;&gt;"",COUNTIF(AV$4:AV33,AV33)=1),1,0)</f>
        <v>30</v>
      </c>
      <c r="AX33" s="55">
        <f>IF(ROW()-3&gt;MAX(AW$4:AW$40),"",INDEX(AV$4:AV$40,MATCH(ROW()-3,AW$4:AW$40,0)))</f>
        <v>400000</v>
      </c>
      <c r="AY33" s="55">
        <f>IF('Final Calculation Sheet'!$I$33="","",'Final Calculation Sheet'!$I$33)</f>
        <v>5310</v>
      </c>
      <c r="AZ33">
        <f>IF(AY33="","",COUNTIFS(AY$4:AY$40,"&lt;"&amp;AY33,AY$4:AY$40,"&lt;&gt;"&amp;"")+COUNTIF(AY$4:AY33,AY33))</f>
        <v>6</v>
      </c>
      <c r="BA33" s="55">
        <f>IF(ROW()-3&gt;COUNTIF(AY$4:AY$40,"&lt;&gt;"&amp;""),"",INDEX(AY$4:AY$40,MATCH(ROW()-3,AZ$4:AZ$40,0)))</f>
        <v>72000</v>
      </c>
      <c r="BB33">
        <f>BB32+IF(AND(BA33&lt;&gt;"",COUNTIF(BA$4:BA33,BA33)=1),1,0)</f>
        <v>30</v>
      </c>
      <c r="BC33" s="55">
        <f>IF(ROW()-3&gt;MAX(BB$4:BB$40),"",INDEX(BA$4:BA$40,MATCH(ROW()-3,BB$4:BB$40,0)))</f>
        <v>72000</v>
      </c>
      <c r="BD33" s="55">
        <f>IF('Final Calculation Sheet'!$J$33="","",'Final Calculation Sheet'!$J$33)</f>
        <v>34812</v>
      </c>
      <c r="BE33">
        <f>IF(BD33="","",COUNTIFS(BD$4:BD$40,"&lt;"&amp;BD33,BD$4:BD$40,"&lt;&gt;"&amp;"")+COUNTIF(BD$4:BD33,BD33))</f>
        <v>6</v>
      </c>
      <c r="BF33" s="55">
        <f>IF(ROW()-3&gt;COUNTIF(BD$4:BD$40,"&lt;&gt;"&amp;""),"",INDEX(BD$4:BD$40,MATCH(ROW()-3,BE$4:BE$40,0)))</f>
        <v>472000</v>
      </c>
      <c r="BG33">
        <f>BG32+IF(AND(BF33&lt;&gt;"",COUNTIF(BF$4:BF33,BF33)=1),1,0)</f>
        <v>30</v>
      </c>
      <c r="BH33" s="55">
        <f>IF(ROW()-3&gt;MAX(BG$4:BG$40),"",INDEX(BF$4:BF$40,MATCH(ROW()-3,BG$4:BG$40,0)))</f>
        <v>472000</v>
      </c>
      <c r="BI33" s="55">
        <f>IF('Final Calculation Sheet'!$K$33="","",'Final Calculation Sheet'!$K$33)</f>
        <v>696</v>
      </c>
      <c r="BJ33">
        <f>IF(BI33="","",COUNTIFS(BI$4:BI$40,"&lt;"&amp;BI33,BI$4:BI$40,"&lt;&gt;"&amp;"")+COUNTIF(BI$4:BI33,BI33))</f>
        <v>6</v>
      </c>
      <c r="BK33" s="55">
        <f>IF(ROW()-3&gt;COUNTIF(BI$4:BI$40,"&lt;&gt;"&amp;""),"",INDEX(BI$4:BI$40,MATCH(ROW()-3,BJ$4:BJ$40,0)))</f>
        <v>9440</v>
      </c>
      <c r="BL33">
        <f>BL32+IF(AND(BK33&lt;&gt;"",COUNTIF(BK$4:BK33,BK33)=1),1,0)</f>
        <v>29</v>
      </c>
      <c r="BM33" s="55">
        <f>IF(ROW()-3&gt;MAX(BL$4:BL$40),"",INDEX(BK$4:BK$40,MATCH(ROW()-3,BL$4:BL$40,0)))</f>
        <v>12201</v>
      </c>
      <c r="BN33" s="55">
        <f>IF('Final Calculation Sheet'!$L$33="","",'Final Calculation Sheet'!$L$33)</f>
        <v>29.501999999999999</v>
      </c>
      <c r="BO33">
        <f>IF(BN33="","",COUNTIFS(BN$4:BN$40,"&lt;"&amp;BN33,BN$4:BN$40,"&lt;&gt;"&amp;"")+COUNTIF(BN$4:BN33,BN33))</f>
        <v>6</v>
      </c>
      <c r="BP33" s="55">
        <f>IF(ROW()-3&gt;COUNTIF(BN$4:BN$40,"&lt;&gt;"&amp;""),"",INDEX(BN$4:BN$40,MATCH(ROW()-3,BO$4:BO$40,0)))</f>
        <v>400</v>
      </c>
      <c r="BQ33">
        <f>BQ32+IF(AND(BP33&lt;&gt;"",COUNTIF(BP$4:BP33,BP33)=1),1,0)</f>
        <v>30</v>
      </c>
      <c r="BR33" s="55">
        <f>IF(ROW()-3&gt;MAX(BQ$4:BQ$40),"",INDEX(BP$4:BP$40,MATCH(ROW()-3,BQ$4:BQ$40,0)))</f>
        <v>400</v>
      </c>
      <c r="BS33" s="55">
        <f>IF('Final Calculation Sheet'!$M$33="","",'Final Calculation Sheet'!$M$33)</f>
        <v>783.27809999999988</v>
      </c>
      <c r="BT33">
        <f>IF(BS33="","",COUNTIFS(BS$4:BS$40,"&lt;"&amp;BS33,BS$4:BS$40,"&lt;&gt;"&amp;"")+COUNTIF(BS$4:BS33,BS33))</f>
        <v>6</v>
      </c>
      <c r="BU33" s="55">
        <f>IF(ROW()-3&gt;COUNTIF(BS$4:BS$40,"&lt;&gt;"&amp;""),"",INDEX(BS$4:BS$40,MATCH(ROW()-3,BT$4:BT$40,0)))</f>
        <v>10620</v>
      </c>
      <c r="BV33">
        <f>BV32+IF(AND(BU33&lt;&gt;"",COUNTIF(BU$4:BU33,BU33)=1),1,0)</f>
        <v>30</v>
      </c>
      <c r="BW33" s="55">
        <f>IF(ROW()-3&gt;MAX(BV$4:BV$40),"",INDEX(BU$4:BU$40,MATCH(ROW()-3,BV$4:BV$40,0)))</f>
        <v>10620</v>
      </c>
      <c r="BX33" s="138">
        <f>IF('Final Calculation Sheet'!$N$33="","",'Final Calculation Sheet'!$N$33)</f>
        <v>13.2759</v>
      </c>
      <c r="BY33">
        <f>IF(BX33="","",COUNTIFS(BX$4:BX$40,"&lt;"&amp;BX33,BX$4:BX$40,"&lt;&gt;"&amp;"")+COUNTIF(BX$4:BX33,BX33))</f>
        <v>6</v>
      </c>
      <c r="BZ33" s="138">
        <f>IF(ROW()-3&gt;COUNTIF(BX$4:BX$40,"&lt;&gt;"&amp;""),"",INDEX(BX$4:BX$40,MATCH(ROW()-3,BY$4:BY$40,0)))</f>
        <v>180</v>
      </c>
      <c r="CA33">
        <f>CA32+IF(AND(BZ33&lt;&gt;"",COUNTIF(BZ$4:BZ33,BZ33)=1),1,0)</f>
        <v>30</v>
      </c>
      <c r="CB33" s="138">
        <f>IF(ROW()-3&gt;MAX(CA$4:CA$40),"",INDEX(BZ$4:BZ$40,MATCH(ROW()-3,CA$4:CA$40,0)))</f>
        <v>180</v>
      </c>
      <c r="CC33" s="55">
        <f>IF('Final Calculation Sheet'!$O$33="","",'Final Calculation Sheet'!$O$33)</f>
        <v>770.0021999999999</v>
      </c>
      <c r="CD33">
        <f>IF(CC33="","",COUNTIFS(CC$4:CC$40,"&lt;"&amp;CC33,CC$4:CC$40,"&lt;&gt;"&amp;"")+COUNTIF(CC$4:CC33,CC33))</f>
        <v>6</v>
      </c>
      <c r="CE33" s="55">
        <f>IF(ROW()-3&gt;COUNTIF(CC$4:CC$40,"&lt;&gt;"&amp;""),"",INDEX(CC$4:CC$40,MATCH(ROW()-3,CD$4:CD$40,0)))</f>
        <v>10440</v>
      </c>
      <c r="CF33">
        <f>CF32+IF(AND(CE33&lt;&gt;"",COUNTIF(CE$4:CE33,CE33)=1),1,0)</f>
        <v>30</v>
      </c>
      <c r="CG33" s="55">
        <f>IF(ROW()-3&gt;MAX(CF$4:CF$40),"",INDEX(CE$4:CE$40,MATCH(ROW()-3,CF$4:CF$40,0)))</f>
        <v>10440</v>
      </c>
      <c r="CH33" s="55">
        <f>IF('Final Calculation Sheet'!$P$33="","",'Final Calculation Sheet'!$P$33)</f>
        <v>800</v>
      </c>
      <c r="CI33">
        <f>IF(CH33="","",COUNTIFS(CH$4:CH$40,"&lt;"&amp;CH33,CH$4:CH$40,"&lt;&gt;"&amp;"")+COUNTIF(CH$4:CH33,CH33))</f>
        <v>6</v>
      </c>
      <c r="CJ33" s="55">
        <f>IF(ROW()-3&gt;COUNTIF(CH$4:CH$40,"&lt;&gt;"&amp;""),"",INDEX(CH$4:CH$40,MATCH(ROW()-3,CI$4:CI$40,0)))</f>
        <v>10840</v>
      </c>
      <c r="CK33">
        <f>CK32+IF(AND(CJ33&lt;&gt;"",COUNTIF(CJ$4:CJ33,CJ33)=1),1,0)</f>
        <v>29</v>
      </c>
      <c r="CL33" s="55">
        <f>IF(ROW()-3&gt;MAX(CK$4:CK$40),"",INDEX(CJ$4:CJ$40,MATCH(ROW()-3,CK$4:CK$40,0)))</f>
        <v>14011</v>
      </c>
      <c r="CM33" s="139">
        <f>IF('Final Calculation Sheet'!$Q$33="","",'Final Calculation Sheet'!$Q$33)</f>
        <v>0</v>
      </c>
      <c r="CN33">
        <f>IF(CM33="","",COUNTIFS(CM$4:CM$40,"&lt;"&amp;CM33,CM$4:CM$40,"&lt;&gt;"&amp;"")+COUNTIF(CM$4:CM33,CM33))</f>
        <v>26</v>
      </c>
      <c r="CO33" s="139">
        <f>IF(ROW()-3&gt;COUNTIF(CM$4:CM$40,"&lt;&gt;"&amp;""),"",INDEX(CM$4:CM$40,MATCH(ROW()-3,CN$4:CN$40,0)))</f>
        <v>0</v>
      </c>
      <c r="CP33">
        <f>CP32+IF(AND(CO33&lt;&gt;"",COUNTIF(CO$4:CO33,CO33)=1),1,0)</f>
        <v>1</v>
      </c>
      <c r="CQ33" t="str">
        <f>IF(ROW()-3&gt;MAX(CP$4:CP$40),"",INDEX(CO$4:CO$40,MATCH(ROW()-3,CP$4:CP$40,0)))</f>
        <v/>
      </c>
      <c r="CR33" s="55">
        <f>IF('Final Calculation Sheet'!$R$33="","",'Final Calculation Sheet'!$R$33)</f>
        <v>0</v>
      </c>
      <c r="CS33">
        <f>IF(CR33="","",COUNTIFS(CR$4:CR$40,"&lt;"&amp;CR33,CR$4:CR$40,"&lt;&gt;"&amp;"")+COUNTIF(CR$4:CR33,CR33))</f>
        <v>26</v>
      </c>
      <c r="CT33" s="55">
        <f>IF(ROW()-3&gt;COUNTIF(CR$4:CR$40,"&lt;&gt;"&amp;""),"",INDEX(CR$4:CR$40,MATCH(ROW()-3,CS$4:CS$40,0)))</f>
        <v>0</v>
      </c>
      <c r="CU33">
        <f>CU32+IF(AND(CT33&lt;&gt;"",COUNTIF(CT$4:CT33,CT33)=1),1,0)</f>
        <v>1</v>
      </c>
      <c r="CV33" t="str">
        <f>IF(ROW()-3&gt;MAX(CU$4:CU$40),"",INDEX(CT$4:CT$40,MATCH(ROW()-3,CU$4:CU$40,0)))</f>
        <v/>
      </c>
      <c r="CW33" s="55">
        <f>IF('Final Calculation Sheet'!$S$33="","",'Final Calculation Sheet'!$S$33)</f>
        <v>34709</v>
      </c>
      <c r="CX33">
        <f>IF(CW33="","",COUNTIFS(CW$4:CW$40,"&lt;"&amp;CW33,CW$4:CW$40,"&lt;&gt;"&amp;"")+COUNTIF(CW$4:CW33,CW33))</f>
        <v>6</v>
      </c>
      <c r="CY33" s="55">
        <f>IF(ROW()-3&gt;COUNTIF(CW$4:CW$40,"&lt;&gt;"&amp;""),"",INDEX(CW$4:CW$40,MATCH(ROW()-3,CX$4:CX$40,0)))</f>
        <v>470600</v>
      </c>
      <c r="CZ33">
        <f>CZ32+IF(AND(CY33&lt;&gt;"",COUNTIF(CY$4:CY33,CY33)=1),1,0)</f>
        <v>30</v>
      </c>
      <c r="DA33" s="55">
        <f>IF(ROW()-3&gt;MAX(CZ$4:CZ$40),"",INDEX(CY$4:CY$40,MATCH(ROW()-3,CZ$4:CZ$40,0)))</f>
        <v>470600</v>
      </c>
      <c r="DB33" s="55">
        <f>IF('Final Calculation Sheet'!$T$33="","",'Final Calculation Sheet'!$T$33)</f>
        <v>7376</v>
      </c>
      <c r="DC33">
        <f>IF(DB33="","",COUNTIFS(DB$4:DB$40,"&lt;"&amp;DB33,DB$4:DB$40,"&lt;&gt;"&amp;"")+COUNTIF(DB$4:DB33,DB33))</f>
        <v>6</v>
      </c>
      <c r="DD33" s="55">
        <f>IF(ROW()-3&gt;COUNTIF(DB$4:DB$40,"&lt;&gt;"&amp;""),"",INDEX(DB$4:DB$40,MATCH(ROW()-3,DC$4:DC$40,0)))</f>
        <v>100000</v>
      </c>
      <c r="DE33">
        <f>DE32+IF(AND(DD33&lt;&gt;"",COUNTIF(DD$4:DD33,DD33)=1),1,0)</f>
        <v>30</v>
      </c>
      <c r="DF33" s="55">
        <f>IF(ROW()-3&gt;MAX(DE$4:DE$40),"",INDEX(DD$4:DD$40,MATCH(ROW()-3,DE$4:DE$40,0)))</f>
        <v>100000</v>
      </c>
      <c r="DG33" s="140">
        <f>IF('Final Calculation Sheet'!$U$33="","",'Final Calculation Sheet'!$U$33)</f>
        <v>7376</v>
      </c>
      <c r="DH33">
        <f>IF(DG33="","",COUNTIFS(DG$4:DG$40,"&lt;"&amp;DG33,DG$4:DG$40,"&lt;&gt;"&amp;"")+COUNTIF(DG$4:DG33,DG33))</f>
        <v>6</v>
      </c>
      <c r="DI33" s="140">
        <f>IF(ROW()-3&gt;COUNTIF(DG$4:DG$40,"&lt;&gt;"&amp;""),"",INDEX(DG$4:DG$40,MATCH(ROW()-3,DH$4:DH$40,0)))</f>
        <v>100000</v>
      </c>
      <c r="DJ33">
        <f>DJ32+IF(AND(DI33&lt;&gt;"",COUNTIF(DI$4:DI33,DI33)=1),1,0)</f>
        <v>30</v>
      </c>
      <c r="DK33" s="140">
        <f>IF(ROW()-3&gt;MAX(DJ$4:DJ$40),"",INDEX(DI$4:DI$40,MATCH(ROW()-3,DJ$4:DJ$40,0)))</f>
        <v>100000</v>
      </c>
      <c r="DL33" t="str">
        <f>IF('Final Calculation Sheet'!$V$33="","",'Final Calculation Sheet'!$V$33)</f>
        <v>13.08.2026</v>
      </c>
      <c r="DM33">
        <f>IF(DL33="","",COUNTIFS(DL$4:DL$40,"&lt;"&amp;DL33,DL$4:DL$40,"&lt;&gt;"&amp;"")+COUNTIF(DL$4:DL33,DL33))</f>
        <v>25</v>
      </c>
      <c r="DN33" t="str">
        <f>IF(ROW()-3&gt;COUNTIF(DL$4:DL$40,"&lt;&gt;"&amp;""),"",INDEX(DL$4:DL$40,MATCH(ROW()-3,DM$4:DM$40,0)))</f>
        <v>14.08.2026</v>
      </c>
      <c r="DO33">
        <f>DO32+IF(AND(DN33&lt;&gt;"",COUNTIF(DN$4:DN33,DN33)=1),1,0)</f>
        <v>4</v>
      </c>
      <c r="DP33" t="str">
        <f>IF(ROW()-3&gt;MAX(DO$4:DO$40),"",INDEX(DN$4:DN$40,MATCH(ROW()-3,DO$4:DO$40,0)))</f>
        <v/>
      </c>
      <c r="DQ33" s="55">
        <f>IF('Final Calculation Sheet'!$W$33="","",'Final Calculation Sheet'!$W$33)</f>
        <v>27334</v>
      </c>
      <c r="DR33">
        <f>IF(DQ33="","",COUNTIFS(DQ$4:DQ$40,"&lt;"&amp;DQ33,DQ$4:DQ$40,"&lt;&gt;"&amp;"")+COUNTIF(DQ$4:DQ33,DQ33))</f>
        <v>6</v>
      </c>
      <c r="DS33" s="55">
        <f>IF(ROW()-3&gt;COUNTIF(DQ$4:DQ$40,"&lt;&gt;"&amp;""),"",INDEX(DQ$4:DQ$40,MATCH(ROW()-3,DR$4:DR$40,0)))</f>
        <v>370600</v>
      </c>
      <c r="DT33">
        <f>DT32+IF(AND(DS33&lt;&gt;"",COUNTIF(DS$4:DS33,DS33)=1),1,0)</f>
        <v>30</v>
      </c>
      <c r="DU33" s="55">
        <f>IF(ROW()-3&gt;MAX(DT$4:DT$40),"",INDEX(DS$4:DS$40,MATCH(ROW()-3,DT$4:DT$40,0)))</f>
        <v>370600</v>
      </c>
      <c r="DV33" s="55">
        <f>IF('Final Calculation Sheet'!$X$33="","",'Final Calculation Sheet'!$X$33)</f>
        <v>27332</v>
      </c>
      <c r="DW33">
        <f>IF(DV33="","",COUNTIFS(DV$4:DV$40,"&lt;"&amp;DV33,DV$4:DV$40,"&lt;&gt;"&amp;"")+COUNTIF(DV$4:DV33,DV33))</f>
        <v>6</v>
      </c>
      <c r="DX33" s="55">
        <f>IF(ROW()-3&gt;COUNTIF(DV$4:DV$40,"&lt;&gt;"&amp;""),"",INDEX(DV$4:DV$40,MATCH(ROW()-3,DW$4:DW$40,0)))</f>
        <v>716216</v>
      </c>
      <c r="DY33">
        <f>DY32+IF(AND(DX33&lt;&gt;"",COUNTIF(DX$4:DX33,DX33)=1),1,0)</f>
        <v>30</v>
      </c>
      <c r="DZ33" t="e">
        <f>IF(ROW()-3&gt;MAX(DY$4:DY$40),"",INDEX(DX$4:DX$40,MATCH(ROW()-3,DY$4:DY$40,0)))</f>
        <v>#N/A</v>
      </c>
      <c r="EA33" t="str">
        <f>IF('Final Calculation Sheet'!$Y$33="","",'Final Calculation Sheet'!$Y$33)</f>
        <v>24.08.2026</v>
      </c>
      <c r="EB33">
        <f>IF(EA33="","",COUNTIFS(EA$4:EA$40,"&lt;"&amp;EA33,EA$4:EA$40,"&lt;&gt;"&amp;"")+COUNTIF(EA$4:EA33,EA33))</f>
        <v>33</v>
      </c>
      <c r="EC33" t="str">
        <f>IF(ROW()-3&gt;COUNTIF(EA$4:EA$40,"&lt;&gt;"&amp;""),"",INDEX(EA$4:EA$40,MATCH(ROW()-3,EB$4:EB$40,0)))</f>
        <v>24.08.2026</v>
      </c>
      <c r="ED33">
        <f>ED32+IF(AND(EC33&lt;&gt;"",COUNTIF(EC$4:EC33,EC33)=1),1,0)</f>
        <v>9</v>
      </c>
      <c r="EE33" t="e">
        <f>IF(ROW()-3&gt;MAX(ED$4:ED$40),"",INDEX(EC$4:EC$40,MATCH(ROW()-3,ED$4:ED$40,0)))</f>
        <v>#N/A</v>
      </c>
      <c r="EF33" s="55">
        <f>IF('Final Calculation Sheet'!$Z$33="","",'Final Calculation Sheet'!$Z$33)</f>
        <v>0</v>
      </c>
      <c r="EG33">
        <f>IF(EF33="","",COUNTIFS(EF$4:EF$40,"&lt;"&amp;EF33,EF$4:EF$40,"&lt;&gt;"&amp;"")+COUNTIF(EF$4:EF33,EF33))</f>
        <v>28</v>
      </c>
      <c r="EH33" s="55">
        <f>IF(ROW()-3&gt;COUNTIF(EF$4:EF$40,"&lt;&gt;"&amp;""),"",INDEX(EF$4:EF$40,MATCH(ROW()-3,EG$4:EG$40,0)))</f>
        <v>0</v>
      </c>
      <c r="EI33">
        <f>EI32+IF(AND(EH33&lt;&gt;"",COUNTIF(EH$4:EH33,EH33)=1),1,0)</f>
        <v>1</v>
      </c>
      <c r="EJ33" t="str">
        <f>IF(ROW()-3&gt;MAX(EI$4:EI$40),"",INDEX(EH$4:EH$40,MATCH(ROW()-3,EI$4:EI$40,0)))</f>
        <v/>
      </c>
      <c r="EK33" t="str">
        <f>IF('Final Calculation Sheet'!$AA$33="","",'Final Calculation Sheet'!$AA$33)</f>
        <v/>
      </c>
      <c r="EL33" t="str">
        <f>IF(EK33="","",COUNTIFS(EK$4:EK$40,"&lt;"&amp;EK33,EK$4:EK$40,"&lt;&gt;"&amp;"")+COUNTIF(EK$4:EK33,EK33))</f>
        <v/>
      </c>
      <c r="EM33" t="e">
        <f>IF(ROW()-3&gt;COUNTIF(EK$4:EK$40,"&lt;&gt;"&amp;""),"",INDEX(EK$4:EK$40,MATCH(ROW()-3,EL$4:EL$40,0)))</f>
        <v>#N/A</v>
      </c>
      <c r="EN33" t="e">
        <f>EN32+IF(AND(EM33&lt;&gt;"",COUNTIF(EM$4:EM33,EM33)=1),1,0)</f>
        <v>#N/A</v>
      </c>
      <c r="EO33" t="e">
        <f>IF(ROW()-3&gt;MAX(EN$4:EN$40),"",INDEX(EM$4:EM$40,MATCH(ROW()-3,EN$4:EN$40,0)))</f>
        <v>#N/A</v>
      </c>
      <c r="EP33" t="str">
        <f>IF('Final Calculation Sheet'!$AB$33="","",'Final Calculation Sheet'!$AB$33)</f>
        <v/>
      </c>
      <c r="EQ33" t="str">
        <f>IF(EP33="","",COUNTIFS(EP$4:EP$40,"&lt;"&amp;EP33,EP$4:EP$40,"&lt;&gt;"&amp;"")+COUNTIF(EP$4:EP33,EP33))</f>
        <v/>
      </c>
      <c r="ER33" t="e">
        <f>IF(ROW()-3&gt;COUNTIF(EP$4:EP$40,"&lt;&gt;"&amp;""),"",INDEX(EP$4:EP$40,MATCH(ROW()-3,EQ$4:EQ$40,0)))</f>
        <v>#N/A</v>
      </c>
      <c r="ES33" t="e">
        <f>ES32+IF(AND(ER33&lt;&gt;"",COUNTIF(ER$4:ER33,ER33)=1),1,0)</f>
        <v>#N/A</v>
      </c>
      <c r="ET33" t="e">
        <f>IF(ROW()-3&gt;MAX(ES$4:ES$40),"",INDEX(ER$4:ER$40,MATCH(ROW()-3,ES$4:ES$40,0)))</f>
        <v>#N/A</v>
      </c>
      <c r="EU33" s="55">
        <f>IF('Final Calculation Sheet'!$AC$33="","",'Final Calculation Sheet'!$AC$33)</f>
        <v>34708</v>
      </c>
      <c r="EV33">
        <f>IF(EU33="","",COUNTIFS(EU$4:EU$40,"&lt;"&amp;EU33,EU$4:EU$40,"&lt;&gt;"&amp;"")+COUNTIF(EU$4:EU33,EU33))</f>
        <v>7</v>
      </c>
      <c r="EW33" s="55">
        <f>IF(ROW()-3&gt;COUNTIF(EU$4:EU$40,"&lt;&gt;"&amp;""),"",INDEX(EU$4:EU$40,MATCH(ROW()-3,EV$4:EV$40,0)))</f>
        <v>388951</v>
      </c>
      <c r="EX33">
        <f>EX32+IF(AND(EW33&lt;&gt;"",COUNTIF(EW$4:EW33,EW33)=1),1,0)</f>
        <v>30</v>
      </c>
      <c r="EY33" s="55">
        <f>IF(ROW()-3&gt;MAX(EX$4:EX$40),"",INDEX(EW$4:EW$40,MATCH(ROW()-3,EX$4:EX$40,0)))</f>
        <v>388951</v>
      </c>
      <c r="EZ33" s="55">
        <f>IF('Final Calculation Sheet'!$AD$33="","",'Final Calculation Sheet'!$AD$33)</f>
        <v>1</v>
      </c>
      <c r="FA33">
        <f>IF(EZ33="","",COUNTIFS(EZ$4:EZ$40,"&lt;"&amp;EZ33,EZ$4:EZ$40,"&lt;&gt;"&amp;"")+COUNTIF(EZ$4:EZ33,EZ33))</f>
        <v>34</v>
      </c>
      <c r="FB33" s="55">
        <f>IF(ROW()-3&gt;COUNTIF(EZ$4:EZ$40,"&lt;&gt;"&amp;""),"",INDEX(EZ$4:EZ$40,MATCH(ROW()-3,FA$4:FA$40,0)))</f>
        <v>1</v>
      </c>
      <c r="FC33" t="e">
        <f>FC32+IF(AND(FB33&lt;&gt;"",COUNTIF(FB$4:FB33,FB33)=1),1,0)</f>
        <v>#N/A</v>
      </c>
      <c r="FD33" t="e">
        <f>IF(ROW()-3&gt;MAX(FC$4:FC$40),"",INDEX(FB$4:FB$40,MATCH(ROW()-3,FC$4:FC$40,0)))</f>
        <v>#N/A</v>
      </c>
      <c r="FE33" t="str">
        <f>IF('Final Calculation Sheet'!$AE$33="","",'Final Calculation Sheet'!$AE$33)</f>
        <v>DR2640100046</v>
      </c>
      <c r="FF33">
        <f>IF(FE33="","",COUNTIFS(FE$4:FE$40,"&lt;"&amp;FE33,FE$4:FE$40,"&lt;&gt;"&amp;"")+COUNTIF(FE$4:FE33,FE33))</f>
        <v>35</v>
      </c>
      <c r="FG33" t="str">
        <f>IF(ROW()-3&gt;COUNTIF(FE$4:FE$40,"&lt;&gt;"&amp;""),"",INDEX(FE$4:FE$40,MATCH(ROW()-3,FF$4:FF$40,0)))</f>
        <v>DR2640100041</v>
      </c>
      <c r="FH33" t="e">
        <f>FH32+IF(AND(FG33&lt;&gt;"",COUNTIF(FG$4:FG33,FG33)=1),1,0)</f>
        <v>#N/A</v>
      </c>
      <c r="FI33" t="e">
        <f>IF(ROW()-3&gt;MAX(FH$4:FH$40),"",INDEX(FG$4:FG$40,MATCH(ROW()-3,FH$4:FH$40,0)))</f>
        <v>#N/A</v>
      </c>
      <c r="FJ33" s="141">
        <f>IF('Final Calculation Sheet'!$AF$33="","",'Final Calculation Sheet'!$AF$33)</f>
        <v>1800003313</v>
      </c>
      <c r="FK33">
        <f>IF(FJ33="","",COUNTIFS(FJ$4:FJ$40,"&lt;"&amp;FJ33,FJ$4:FJ$40,"&lt;&gt;"&amp;"")+COUNTIF(FJ$4:FJ33,FJ33))</f>
        <v>25</v>
      </c>
      <c r="FL33" s="141">
        <f>IF(ROW()-3&gt;COUNTIF(FJ$4:FJ$40,"&lt;&gt;"&amp;""),"",INDEX(FJ$4:FJ$40,MATCH(ROW()-3,FK$4:FK$40,0)))</f>
        <v>1800003318</v>
      </c>
      <c r="FM33">
        <f>FM32+IF(AND(FL33&lt;&gt;"",COUNTIF(FL$4:FL33,FL33)=1),1,0)</f>
        <v>30</v>
      </c>
      <c r="FN33" t="e">
        <f>IF(ROW()-3&gt;MAX(FM$4:FM$40),"",INDEX(FL$4:FL$40,MATCH(ROW()-3,FM$4:FM$40,0)))</f>
        <v>#N/A</v>
      </c>
      <c r="FO33" t="str">
        <f>IF('Final Calculation Sheet'!$AG$33="","",'Final Calculation Sheet'!$AG$33)</f>
        <v>27.08.2026</v>
      </c>
      <c r="FP33">
        <f>IF(FO33="","",COUNTIFS(FO$4:FO$40,"&lt;"&amp;FO33,FO$4:FO$40,"&lt;&gt;"&amp;"")+COUNTIF(FO$4:FO33,FO33))</f>
        <v>36</v>
      </c>
      <c r="FQ33" t="str">
        <f>IF(ROW()-3&gt;COUNTIF(FO$4:FO$40,"&lt;&gt;"&amp;""),"",INDEX(FO$4:FO$40,MATCH(ROW()-3,FP$4:FP$40,0)))</f>
        <v>27.08.2026</v>
      </c>
      <c r="FR33" t="e">
        <f>FR32+IF(AND(FQ33&lt;&gt;"",COUNTIF(FQ$4:FQ33,FQ33)=1),1,0)</f>
        <v>#N/A</v>
      </c>
      <c r="FS33" t="e">
        <f>IF(ROW()-3&gt;MAX(FR$4:FR$40),"",INDEX(FQ$4:FQ$40,MATCH(ROW()-3,FR$4:FR$40,0)))</f>
        <v>#N/A</v>
      </c>
      <c r="FU33" t="str">
        <f>IF(FT33="","",COUNTIFS(FT$4:FT$40,"&lt;"&amp;FT33,FT$4:FT$40,"&lt;&gt;"&amp;"")+COUNTIF(FT$4:FT33,FT33))</f>
        <v/>
      </c>
      <c r="FV33" t="str">
        <f>IF(ROW()-3&gt;COUNTIF(FT$4:FT$40,"&lt;&gt;"&amp;""),"",INDEX(FT$4:FT$40,MATCH(ROW()-3,FU$4:FU$40,0)))</f>
        <v/>
      </c>
      <c r="FW33">
        <f>FW32+IF(AND(FV33&lt;&gt;"",COUNTIF(FV$4:FV33,FV33)=1),1,0)</f>
        <v>2</v>
      </c>
      <c r="FX33" t="str">
        <f>IF(ROW()-3&gt;MAX(FW$4:FW$40),"",INDEX(FV$4:FV$40,MATCH(ROW()-3,FW$4:FW$40,0)))</f>
        <v/>
      </c>
    </row>
    <row r="34">
      <c r="A34">
        <f>IF('Final Calculation Sheet'!$F$34="","",'Final Calculation Sheet'!$F$34)</f>
        <v>2062</v>
      </c>
      <c r="B34">
        <f>IF(A34="","",COUNTIFS(A$4:A$114,"&lt;"&amp;A34,A$4:A$114,"&lt;&gt;"&amp;"")+COUNTIF(A$4:A34,A34))</f>
        <v>31</v>
      </c>
      <c r="C34">
        <f>IF(ROW()-3&gt;COUNTIF(A$4:A$114,"&lt;&gt;"&amp;""),"",INDEX(A$4:A$114,MATCH(ROW()-3,B$4:B$114,0)))</f>
        <v>2062</v>
      </c>
      <c r="D34">
        <f>D33+IF(AND(C34&lt;&gt;"",COUNTIF(C$4:C34,C34)=1),1,0)</f>
        <v>31</v>
      </c>
      <c r="E34" t="e">
        <f>IF(ROW()-3&gt;MAX(D$4:D$114),"",INDEX(C$4:C$114,MATCH(ROW()-3,D$4:D$114,0)))</f>
        <v>#N/A</v>
      </c>
      <c r="F34">
        <f>ROW()-3</f>
        <v>31</v>
      </c>
      <c r="G34">
        <f>IF(F34="","",COUNTIFS(F$4:F$40,"&lt;"&amp;F34,F$4:F$40,"&lt;&gt;"&amp;"")+COUNTIF(F$4:F34,F34))</f>
        <v>31</v>
      </c>
      <c r="H34">
        <f>IF(ROW()-3&gt;COUNTIF(F$4:F$40,"&lt;&gt;"&amp;""),"",INDEX(F$4:F$40,MATCH(ROW()-3,G$4:G$40,0)))</f>
        <v>31</v>
      </c>
      <c r="I34">
        <f>I33+IF(AND(H34&lt;&gt;"",COUNTIF(H$4:H34,H34)=1),1,0)</f>
        <v>31</v>
      </c>
      <c r="J34">
        <f>IF(ROW()-3&gt;MAX(I$4:I$40),"",INDEX(H$4:H$40,MATCH(ROW()-3,I$4:I$40,0)))</f>
        <v>31</v>
      </c>
      <c r="K34">
        <f>IF('Final Calculation Sheet'!$F$34="","",'Final Calculation Sheet'!$F$34)</f>
        <v>2062</v>
      </c>
      <c r="L34">
        <f>IF(K34="","",COUNTIFS(K$4:K$40,"&lt;"&amp;K34,K$4:K$40,"&lt;&gt;"&amp;"")+COUNTIF(K$4:K34,K34))</f>
        <v>31</v>
      </c>
      <c r="M34">
        <f>IF(ROW()-3&gt;COUNTIF(K$4:K$40,"&lt;&gt;"&amp;""),"",INDEX(K$4:K$40,MATCH(ROW()-3,L$4:L$40,0)))</f>
        <v>2062</v>
      </c>
      <c r="N34">
        <f>N33+IF(AND(M34&lt;&gt;"",COUNTIF(M$4:M34,M34)=1),1,0)</f>
        <v>31</v>
      </c>
      <c r="O34">
        <f>IF(ROW()-3&gt;MAX(N$4:N$40),"",INDEX(M$4:M$40,MATCH(ROW()-3,N$4:N$40,0)))</f>
        <v>2062</v>
      </c>
      <c r="P34" t="str">
        <f>IF('Final Calculation Sheet'!$G$34="","",'Final Calculation Sheet'!$G$34)</f>
        <v>STERLING ENTERPRISES</v>
      </c>
      <c r="Q34">
        <f>IF(P34="","",COUNTIFS(P$4:P$40,"&lt;"&amp;P34,P$4:P$40,"&lt;&gt;"&amp;"")+COUNTIF(P$4:P34,P34))</f>
        <v>33</v>
      </c>
      <c r="R34" t="str">
        <f>IF(ROW()-3&gt;COUNTIF(P$4:P$40,"&lt;&gt;"&amp;""),"",INDEX(P$4:P$40,MATCH(ROW()-3,Q$4:Q$40,0)))</f>
        <v>STERLING ENTERPRISES</v>
      </c>
      <c r="S34">
        <f>S33+IF(AND(R34&lt;&gt;"",COUNTIF(R$4:R34,R34)=1),1,0)</f>
        <v>12</v>
      </c>
      <c r="T34" t="str">
        <f>IF(ROW()-3&gt;MAX(S$4:S$40),"",INDEX(R$4:R$40,MATCH(ROW()-3,S$4:S$40,0)))</f>
        <v/>
      </c>
      <c r="U34" t="str">
        <f>IF('Final Calculation Sheet'!$B$34="","",'Final Calculation Sheet'!$B$34)</f>
        <v>Scrap of Empty oil Barrels</v>
      </c>
      <c r="V34">
        <f>IF(U34="","",COUNTIFS(U$4:U$40,"&lt;"&amp;U34,U$4:U$40,"&lt;&gt;"&amp;"")+COUNTIF(U$4:U34,U34))</f>
        <v>30</v>
      </c>
      <c r="W34" t="str">
        <f>IF(ROW()-3&gt;COUNTIF(U$4:U$40,"&lt;&gt;"&amp;""),"",INDEX(U$4:U$40,MATCH(ROW()-3,V$4:V$40,0)))</f>
        <v>Scrap of empty oil Druam</v>
      </c>
      <c r="X34">
        <f>X33+IF(AND(W34&lt;&gt;"",COUNTIF(W$4:W34,W34)=1),1,0)</f>
        <v>21</v>
      </c>
      <c r="Y34" t="str">
        <f>IF(ROW()-3&gt;MAX(X$4:X$40),"",INDEX(W$4:W$40,MATCH(ROW()-3,X$4:X$40,0)))</f>
        <v/>
      </c>
      <c r="Z34">
        <f>IF('Final Calculation Sheet'!$D$34="","",'Final Calculation Sheet'!$D$34)</f>
        <v>21979</v>
      </c>
      <c r="AA34">
        <f>IF(Z34="","",COUNTIFS(Z$4:Z$40,"&lt;"&amp;Z34,Z$4:Z$40,"&lt;&gt;"&amp;"")+COUNTIF(Z$4:Z34,Z34))</f>
        <v>29</v>
      </c>
      <c r="AB34">
        <f>IF(ROW()-3&gt;COUNTIF(Z$4:Z$40,"&lt;&gt;"&amp;""),"",INDEX(Z$4:Z$40,MATCH(ROW()-3,AA$4:AA$40,0)))</f>
        <v>21980</v>
      </c>
      <c r="AC34">
        <f>AC33+IF(AND(AB34&lt;&gt;"",COUNTIF(AB$4:AB34,AB34)=1),1,0)</f>
        <v>4</v>
      </c>
      <c r="AD34" t="str">
        <f>IF(ROW()-3&gt;MAX(AC$4:AC$40),"",INDEX(AB$4:AB$40,MATCH(ROW()-3,AC$4:AC$40,0)))</f>
        <v/>
      </c>
      <c r="AE34">
        <f>IF('Final Calculation Sheet'!$A$34="","",'Final Calculation Sheet'!$A$34)</f>
        <v>30</v>
      </c>
      <c r="AF34">
        <f>IF(AE34="","",COUNTIFS(AE$4:AE$40,"&lt;"&amp;AE34,AE$4:AE$40,"&lt;&gt;"&amp;"")+COUNTIF(AE$4:AE34,AE34))</f>
        <v>25</v>
      </c>
      <c r="AG34">
        <f>IF(ROW()-3&gt;COUNTIF(AE$4:AE$40,"&lt;&gt;"&amp;""),"",INDEX(AE$4:AE$40,MATCH(ROW()-3,AF$4:AF$40,0)))</f>
        <v>270</v>
      </c>
      <c r="AH34">
        <f>AH33+IF(AND(AG34&lt;&gt;"",COUNTIF(AG$4:AG34,AG34)=1),1,0)</f>
        <v>16</v>
      </c>
      <c r="AI34" t="str">
        <f>IF(ROW()-3&gt;MAX(AH$4:AH$40),"",INDEX(AG$4:AG$40,MATCH(ROW()-3,AH$4:AH$40,0)))</f>
        <v/>
      </c>
      <c r="AJ34" t="str">
        <f>IF('Final Calculation Sheet'!$E$34="","",'Final Calculation Sheet'!$E$34)</f>
        <v>NO</v>
      </c>
      <c r="AK34">
        <f>IF(AJ34="","",COUNTIFS(AJ$4:AJ$40,"&lt;"&amp;AJ34,AJ$4:AJ$40,"&lt;&gt;"&amp;"")+COUNTIF(AJ$4:AJ34,AJ34))</f>
        <v>31</v>
      </c>
      <c r="AL34" t="str">
        <f>IF(ROW()-3&gt;COUNTIF(AJ$4:AJ$40,"&lt;&gt;"&amp;""),"",INDEX(AJ$4:AJ$40,MATCH(ROW()-3,AK$4:AK$40,0)))</f>
        <v>NO</v>
      </c>
      <c r="AM34">
        <f>AM33+IF(AND(AL34&lt;&gt;"",COUNTIF(AL$4:AL34,AL34)=1),1,0)</f>
        <v>3</v>
      </c>
      <c r="AN34" t="str">
        <f>IF(ROW()-3&gt;MAX(AM$4:AM$40),"",INDEX(AL$4:AL$40,MATCH(ROW()-3,AM$4:AM$40,0)))</f>
        <v/>
      </c>
      <c r="AO34" s="55">
        <f>IF('Final Calculation Sheet'!$C$34="","",'Final Calculation Sheet'!$C$34)</f>
        <v>702</v>
      </c>
      <c r="AP34">
        <f>IF(AO34="","",COUNTIFS(AO$4:AO$40,"&lt;"&amp;AO34,AO$4:AO$40,"&lt;&gt;"&amp;"")+COUNTIF(AO$4:AO34,AO34))</f>
        <v>13</v>
      </c>
      <c r="AQ34" s="55">
        <f>IF(ROW()-3&gt;COUNTIF(AO$4:AO$40,"&lt;&gt;"&amp;""),"",INDEX(AO$4:AO$40,MATCH(ROW()-3,AP$4:AP$40,0)))</f>
        <v>83743</v>
      </c>
      <c r="AR34">
        <f>AR33+IF(AND(AQ34&lt;&gt;"",COUNTIF(AQ$4:AQ34,AQ34)=1),1,0)</f>
        <v>29</v>
      </c>
      <c r="AS34" s="55">
        <f>IF(ROW()-3&gt;MAX(AR$4:AR$40),"",INDEX(AQ$4:AQ$40,MATCH(ROW()-3,AR$4:AR$40,0)))</f>
        <v>110200</v>
      </c>
      <c r="AT34" s="55">
        <f>IF('Final Calculation Sheet'!$H$34="","",'Final Calculation Sheet'!$H$34)</f>
        <v>21060</v>
      </c>
      <c r="AU34">
        <f>IF(AT34="","",COUNTIFS(AT$4:AT$40,"&lt;"&amp;AT34,AT$4:AT$40,"&lt;&gt;"&amp;"")+COUNTIF(AT$4:AT34,AT34))</f>
        <v>3</v>
      </c>
      <c r="AV34" s="55">
        <f>IF(ROW()-3&gt;COUNTIF(AT$4:AT$40,"&lt;&gt;"&amp;""),"",INDEX(AT$4:AT$40,MATCH(ROW()-3,AU$4:AU$40,0)))</f>
        <v>517000</v>
      </c>
      <c r="AW34">
        <f>AW33+IF(AND(AV34&lt;&gt;"",COUNTIF(AV$4:AV34,AV34)=1),1,0)</f>
        <v>31</v>
      </c>
      <c r="AX34" s="55">
        <f>IF(ROW()-3&gt;MAX(AW$4:AW$40),"",INDEX(AV$4:AV$40,MATCH(ROW()-3,AW$4:AW$40,0)))</f>
        <v>517000</v>
      </c>
      <c r="AY34" s="55">
        <f>IF('Final Calculation Sheet'!$I$34="","",'Final Calculation Sheet'!$I$34)</f>
        <v>3791</v>
      </c>
      <c r="AZ34">
        <f>IF(AY34="","",COUNTIFS(AY$4:AY$40,"&lt;"&amp;AY34,AY$4:AY$40,"&lt;&gt;"&amp;"")+COUNTIF(AY$4:AY34,AY34))</f>
        <v>3</v>
      </c>
      <c r="BA34" s="55">
        <f>IF(ROW()-3&gt;COUNTIF(AY$4:AY$40,"&lt;&gt;"&amp;""),"",INDEX(AY$4:AY$40,MATCH(ROW()-3,AZ$4:AZ$40,0)))</f>
        <v>93060</v>
      </c>
      <c r="BB34">
        <f>BB33+IF(AND(BA34&lt;&gt;"",COUNTIF(BA$4:BA34,BA34)=1),1,0)</f>
        <v>31</v>
      </c>
      <c r="BC34" s="55">
        <f>IF(ROW()-3&gt;MAX(BB$4:BB$40),"",INDEX(BA$4:BA$40,MATCH(ROW()-3,BB$4:BB$40,0)))</f>
        <v>93060</v>
      </c>
      <c r="BD34" s="55">
        <f>IF('Final Calculation Sheet'!$J$34="","",'Final Calculation Sheet'!$J$34)</f>
        <v>24851</v>
      </c>
      <c r="BE34">
        <f>IF(BD34="","",COUNTIFS(BD$4:BD$40,"&lt;"&amp;BD34,BD$4:BD$40,"&lt;&gt;"&amp;"")+COUNTIF(BD$4:BD34,BD34))</f>
        <v>3</v>
      </c>
      <c r="BF34" s="55">
        <f>IF(ROW()-3&gt;COUNTIF(BD$4:BD$40,"&lt;&gt;"&amp;""),"",INDEX(BD$4:BD$40,MATCH(ROW()-3,BE$4:BE$40,0)))</f>
        <v>610060</v>
      </c>
      <c r="BG34">
        <f>BG33+IF(AND(BF34&lt;&gt;"",COUNTIF(BF$4:BF34,BF34)=1),1,0)</f>
        <v>31</v>
      </c>
      <c r="BH34" s="55">
        <f>IF(ROW()-3&gt;MAX(BG$4:BG$40),"",INDEX(BF$4:BF$40,MATCH(ROW()-3,BG$4:BG$40,0)))</f>
        <v>610060</v>
      </c>
      <c r="BI34" s="55">
        <f>IF('Final Calculation Sheet'!$K$34="","",'Final Calculation Sheet'!$K$34)</f>
        <v>497</v>
      </c>
      <c r="BJ34">
        <f>IF(BI34="","",COUNTIFS(BI$4:BI$40,"&lt;"&amp;BI34,BI$4:BI$40,"&lt;&gt;"&amp;"")+COUNTIF(BI$4:BI34,BI34))</f>
        <v>3</v>
      </c>
      <c r="BK34" s="55">
        <f>IF(ROW()-3&gt;COUNTIF(BI$4:BI$40,"&lt;&gt;"&amp;""),"",INDEX(BI$4:BI$40,MATCH(ROW()-3,BJ$4:BJ$40,0)))</f>
        <v>12201</v>
      </c>
      <c r="BL34">
        <f>BL33+IF(AND(BK34&lt;&gt;"",COUNTIF(BK$4:BK34,BK34)=1),1,0)</f>
        <v>30</v>
      </c>
      <c r="BM34" s="55">
        <f>IF(ROW()-3&gt;MAX(BL$4:BL$40),"",INDEX(BK$4:BK$40,MATCH(ROW()-3,BL$4:BL$40,0)))</f>
        <v>12966</v>
      </c>
      <c r="BN34" s="55">
        <f>IF('Final Calculation Sheet'!$L$34="","",'Final Calculation Sheet'!$L$34)</f>
        <v>21.06</v>
      </c>
      <c r="BO34">
        <f>IF(BN34="","",COUNTIFS(BN$4:BN$40,"&lt;"&amp;BN34,BN$4:BN$40,"&lt;&gt;"&amp;"")+COUNTIF(BN$4:BN34,BN34))</f>
        <v>3</v>
      </c>
      <c r="BP34" s="55">
        <f>IF(ROW()-3&gt;COUNTIF(BN$4:BN$40,"&lt;&gt;"&amp;""),"",INDEX(BN$4:BN$40,MATCH(ROW()-3,BO$4:BO$40,0)))</f>
        <v>517</v>
      </c>
      <c r="BQ34">
        <f>BQ33+IF(AND(BP34&lt;&gt;"",COUNTIF(BP$4:BP34,BP34)=1),1,0)</f>
        <v>31</v>
      </c>
      <c r="BR34" s="55">
        <f>IF(ROW()-3&gt;MAX(BQ$4:BQ$40),"",INDEX(BP$4:BP$40,MATCH(ROW()-3,BQ$4:BQ$40,0)))</f>
        <v>517</v>
      </c>
      <c r="BS34" s="55">
        <f>IF('Final Calculation Sheet'!$M$34="","",'Final Calculation Sheet'!$M$34)</f>
        <v>559.14299999999992</v>
      </c>
      <c r="BT34">
        <f>IF(BS34="","",COUNTIFS(BS$4:BS$40,"&lt;"&amp;BS34,BS$4:BS$40,"&lt;&gt;"&amp;"")+COUNTIF(BS$4:BS34,BS34))</f>
        <v>3</v>
      </c>
      <c r="BU34" s="55">
        <f>IF(ROW()-3&gt;COUNTIF(BS$4:BS$40,"&lt;&gt;"&amp;""),"",INDEX(BS$4:BS$40,MATCH(ROW()-3,BT$4:BT$40,0)))</f>
        <v>13726.349999999999</v>
      </c>
      <c r="BV34">
        <f>BV33+IF(AND(BU34&lt;&gt;"",COUNTIF(BU$4:BU34,BU34)=1),1,0)</f>
        <v>31</v>
      </c>
      <c r="BW34" s="55">
        <f>IF(ROW()-3&gt;MAX(BV$4:BV$40),"",INDEX(BU$4:BU$40,MATCH(ROW()-3,BV$4:BV$40,0)))</f>
        <v>13726.349999999999</v>
      </c>
      <c r="BX34" s="138">
        <f>IF('Final Calculation Sheet'!$N$34="","",'Final Calculation Sheet'!$N$34)</f>
        <v>9.4770000000000003</v>
      </c>
      <c r="BY34">
        <f>IF(BX34="","",COUNTIFS(BX$4:BX$40,"&lt;"&amp;BX34,BX$4:BX$40,"&lt;&gt;"&amp;"")+COUNTIF(BX$4:BX34,BX34))</f>
        <v>3</v>
      </c>
      <c r="BZ34" s="138">
        <f>IF(ROW()-3&gt;COUNTIF(BX$4:BX$40,"&lt;&gt;"&amp;""),"",INDEX(BX$4:BX$40,MATCH(ROW()-3,BY$4:BY$40,0)))</f>
        <v>232.65</v>
      </c>
      <c r="CA34">
        <f>CA33+IF(AND(BZ34&lt;&gt;"",COUNTIF(BZ$4:BZ34,BZ34)=1),1,0)</f>
        <v>31</v>
      </c>
      <c r="CB34" s="138">
        <f>IF(ROW()-3&gt;MAX(CA$4:CA$40),"",INDEX(BZ$4:BZ$40,MATCH(ROW()-3,CA$4:CA$40,0)))</f>
        <v>232.65</v>
      </c>
      <c r="CC34" s="55">
        <f>IF('Final Calculation Sheet'!$O$34="","",'Final Calculation Sheet'!$O$34)</f>
        <v>549.66599999999994</v>
      </c>
      <c r="CD34">
        <f>IF(CC34="","",COUNTIFS(CC$4:CC$40,"&lt;"&amp;CC34,CC$4:CC$40,"&lt;&gt;"&amp;"")+COUNTIF(CC$4:CC34,CC34))</f>
        <v>3</v>
      </c>
      <c r="CE34" s="55">
        <f>IF(ROW()-3&gt;COUNTIF(CC$4:CC$40,"&lt;&gt;"&amp;""),"",INDEX(CC$4:CC$40,MATCH(ROW()-3,CD$4:CD$40,0)))</f>
        <v>13493.699999999999</v>
      </c>
      <c r="CF34">
        <f>CF33+IF(AND(CE34&lt;&gt;"",COUNTIF(CE$4:CE34,CE34)=1),1,0)</f>
        <v>31</v>
      </c>
      <c r="CG34" s="55">
        <f>IF(ROW()-3&gt;MAX(CF$4:CF$40),"",INDEX(CE$4:CE$40,MATCH(ROW()-3,CF$4:CF$40,0)))</f>
        <v>13493.699999999999</v>
      </c>
      <c r="CH34" s="55">
        <f>IF('Final Calculation Sheet'!$P$34="","",'Final Calculation Sheet'!$P$34)</f>
        <v>571</v>
      </c>
      <c r="CI34">
        <f>IF(CH34="","",COUNTIFS(CH$4:CH$40,"&lt;"&amp;CH34,CH$4:CH$40,"&lt;&gt;"&amp;"")+COUNTIF(CH$4:CH34,CH34))</f>
        <v>3</v>
      </c>
      <c r="CJ34" s="55">
        <f>IF(ROW()-3&gt;COUNTIF(CH$4:CH$40,"&lt;&gt;"&amp;""),"",INDEX(CH$4:CH$40,MATCH(ROW()-3,CI$4:CI$40,0)))</f>
        <v>14011</v>
      </c>
      <c r="CK34">
        <f>CK33+IF(AND(CJ34&lt;&gt;"",COUNTIF(CJ$4:CJ34,CJ34)=1),1,0)</f>
        <v>30</v>
      </c>
      <c r="CL34" s="55">
        <f>IF(ROW()-3&gt;MAX(CK$4:CK$40),"",INDEX(CJ$4:CJ$40,MATCH(ROW()-3,CK$4:CK$40,0)))</f>
        <v>14889</v>
      </c>
      <c r="CM34" s="139">
        <f>IF('Final Calculation Sheet'!$Q$34="","",'Final Calculation Sheet'!$Q$34)</f>
        <v>0</v>
      </c>
      <c r="CN34">
        <f>IF(CM34="","",COUNTIFS(CM$4:CM$40,"&lt;"&amp;CM34,CM$4:CM$40,"&lt;&gt;"&amp;"")+COUNTIF(CM$4:CM34,CM34))</f>
        <v>27</v>
      </c>
      <c r="CO34" s="139">
        <f>IF(ROW()-3&gt;COUNTIF(CM$4:CM$40,"&lt;&gt;"&amp;""),"",INDEX(CM$4:CM$40,MATCH(ROW()-3,CN$4:CN$40,0)))</f>
        <v>0</v>
      </c>
      <c r="CP34">
        <f>CP33+IF(AND(CO34&lt;&gt;"",COUNTIF(CO$4:CO34,CO34)=1),1,0)</f>
        <v>1</v>
      </c>
      <c r="CQ34" t="str">
        <f>IF(ROW()-3&gt;MAX(CP$4:CP$40),"",INDEX(CO$4:CO$40,MATCH(ROW()-3,CP$4:CP$40,0)))</f>
        <v/>
      </c>
      <c r="CR34" s="55">
        <f>IF('Final Calculation Sheet'!$R$34="","",'Final Calculation Sheet'!$R$34)</f>
        <v>0</v>
      </c>
      <c r="CS34">
        <f>IF(CR34="","",COUNTIFS(CR$4:CR$40,"&lt;"&amp;CR34,CR$4:CR$40,"&lt;&gt;"&amp;"")+COUNTIF(CR$4:CR34,CR34))</f>
        <v>27</v>
      </c>
      <c r="CT34" s="55">
        <f>IF(ROW()-3&gt;COUNTIF(CR$4:CR$40,"&lt;&gt;"&amp;""),"",INDEX(CR$4:CR$40,MATCH(ROW()-3,CS$4:CS$40,0)))</f>
        <v>0</v>
      </c>
      <c r="CU34">
        <f>CU33+IF(AND(CT34&lt;&gt;"",COUNTIF(CT$4:CT34,CT34)=1),1,0)</f>
        <v>1</v>
      </c>
      <c r="CV34" t="str">
        <f>IF(ROW()-3&gt;MAX(CU$4:CU$40),"",INDEX(CT$4:CT$40,MATCH(ROW()-3,CU$4:CU$40,0)))</f>
        <v/>
      </c>
      <c r="CW34" s="55">
        <f>IF('Final Calculation Sheet'!$S$34="","",'Final Calculation Sheet'!$S$34)</f>
        <v>24777</v>
      </c>
      <c r="CX34">
        <f>IF(CW34="","",COUNTIFS(CW$4:CW$40,"&lt;"&amp;CW34,CW$4:CW$40,"&lt;&gt;"&amp;"")+COUNTIF(CW$4:CW34,CW34))</f>
        <v>3</v>
      </c>
      <c r="CY34" s="55">
        <f>IF(ROW()-3&gt;COUNTIF(CW$4:CW$40,"&lt;&gt;"&amp;""),"",INDEX(CW$4:CW$40,MATCH(ROW()-3,CX$4:CX$40,0)))</f>
        <v>608251</v>
      </c>
      <c r="CZ34">
        <f>CZ33+IF(AND(CY34&lt;&gt;"",COUNTIF(CY$4:CY34,CY34)=1),1,0)</f>
        <v>31</v>
      </c>
      <c r="DA34" s="55">
        <f>IF(ROW()-3&gt;MAX(CZ$4:CZ$40),"",INDEX(CY$4:CY$40,MATCH(ROW()-3,CZ$4:CZ$40,0)))</f>
        <v>608251</v>
      </c>
      <c r="DB34" s="55">
        <f>IF('Final Calculation Sheet'!$T$34="","",'Final Calculation Sheet'!$T$34)</f>
        <v>5265</v>
      </c>
      <c r="DC34">
        <f>IF(DB34="","",COUNTIFS(DB$4:DB$40,"&lt;"&amp;DB34,DB$4:DB$40,"&lt;&gt;"&amp;"")+COUNTIF(DB$4:DB34,DB34))</f>
        <v>3</v>
      </c>
      <c r="DD34" s="55">
        <f>IF(ROW()-3&gt;COUNTIF(DB$4:DB$40,"&lt;&gt;"&amp;""),"",INDEX(DB$4:DB$40,MATCH(ROW()-3,DC$4:DC$40,0)))</f>
        <v>129250</v>
      </c>
      <c r="DE34">
        <f>DE33+IF(AND(DD34&lt;&gt;"",COUNTIF(DD$4:DD34,DD34)=1),1,0)</f>
        <v>31</v>
      </c>
      <c r="DF34" s="55">
        <f>IF(ROW()-3&gt;MAX(DE$4:DE$40),"",INDEX(DD$4:DD$40,MATCH(ROW()-3,DE$4:DE$40,0)))</f>
        <v>129250</v>
      </c>
      <c r="DG34" s="140">
        <f>IF('Final Calculation Sheet'!$U$34="","",'Final Calculation Sheet'!$U$34)</f>
        <v>5265</v>
      </c>
      <c r="DH34">
        <f>IF(DG34="","",COUNTIFS(DG$4:DG$40,"&lt;"&amp;DG34,DG$4:DG$40,"&lt;&gt;"&amp;"")+COUNTIF(DG$4:DG34,DG34))</f>
        <v>3</v>
      </c>
      <c r="DI34" s="140">
        <f>IF(ROW()-3&gt;COUNTIF(DG$4:DG$40,"&lt;&gt;"&amp;""),"",INDEX(DG$4:DG$40,MATCH(ROW()-3,DH$4:DH$40,0)))</f>
        <v>129250</v>
      </c>
      <c r="DJ34">
        <f>DJ33+IF(AND(DI34&lt;&gt;"",COUNTIF(DI$4:DI34,DI34)=1),1,0)</f>
        <v>31</v>
      </c>
      <c r="DK34" s="140">
        <f>IF(ROW()-3&gt;MAX(DJ$4:DJ$40),"",INDEX(DI$4:DI$40,MATCH(ROW()-3,DJ$4:DJ$40,0)))</f>
        <v>129250</v>
      </c>
      <c r="DL34" t="str">
        <f>IF('Final Calculation Sheet'!$V$34="","",'Final Calculation Sheet'!$V$34)</f>
        <v>11.08.2026</v>
      </c>
      <c r="DM34">
        <f>IF(DL34="","",COUNTIFS(DL$4:DL$40,"&lt;"&amp;DL34,DL$4:DL$40,"&lt;&gt;"&amp;"")+COUNTIF(DL$4:DL34,DL34))</f>
        <v>10</v>
      </c>
      <c r="DN34" t="str">
        <f>IF(ROW()-3&gt;COUNTIF(DL$4:DL$40,"&lt;&gt;"&amp;""),"",INDEX(DL$4:DL$40,MATCH(ROW()-3,DM$4:DM$40,0)))</f>
        <v>14.08.2026</v>
      </c>
      <c r="DO34">
        <f>DO33+IF(AND(DN34&lt;&gt;"",COUNTIF(DN$4:DN34,DN34)=1),1,0)</f>
        <v>4</v>
      </c>
      <c r="DP34" t="str">
        <f>IF(ROW()-3&gt;MAX(DO$4:DO$40),"",INDEX(DN$4:DN$40,MATCH(ROW()-3,DO$4:DO$40,0)))</f>
        <v/>
      </c>
      <c r="DQ34" s="55">
        <f>IF('Final Calculation Sheet'!$W$34="","",'Final Calculation Sheet'!$W$34)</f>
        <v>19512</v>
      </c>
      <c r="DR34">
        <f>IF(DQ34="","",COUNTIFS(DQ$4:DQ$40,"&lt;"&amp;DQ34,DQ$4:DQ$40,"&lt;&gt;"&amp;"")+COUNTIF(DQ$4:DQ34,DQ34))</f>
        <v>3</v>
      </c>
      <c r="DS34" s="55">
        <f>IF(ROW()-3&gt;COUNTIF(DQ$4:DQ$40,"&lt;&gt;"&amp;""),"",INDEX(DQ$4:DQ$40,MATCH(ROW()-3,DR$4:DR$40,0)))</f>
        <v>479001</v>
      </c>
      <c r="DT34">
        <f>DT33+IF(AND(DS34&lt;&gt;"",COUNTIF(DS$4:DS34,DS34)=1),1,0)</f>
        <v>31</v>
      </c>
      <c r="DU34" s="55">
        <f>IF(ROW()-3&gt;MAX(DT$4:DT$40),"",INDEX(DS$4:DS$40,MATCH(ROW()-3,DT$4:DT$40,0)))</f>
        <v>479001</v>
      </c>
      <c r="DV34" s="55">
        <f>IF('Final Calculation Sheet'!$X$34="","",'Final Calculation Sheet'!$X$34)</f>
        <v>19512</v>
      </c>
      <c r="DW34">
        <f>IF(DV34="","",COUNTIFS(DV$4:DV$40,"&lt;"&amp;DV34,DV$4:DV$40,"&lt;&gt;"&amp;"")+COUNTIF(DV$4:DV34,DV34))</f>
        <v>3</v>
      </c>
      <c r="DX34" s="55">
        <f>IF(ROW()-3&gt;COUNTIF(DV$4:DV$40,"&lt;&gt;"&amp;""),"",INDEX(DV$4:DV$40,MATCH(ROW()-3,DW$4:DW$40,0)))</f>
        <v>1056525</v>
      </c>
      <c r="DY34">
        <f>DY33+IF(AND(DX34&lt;&gt;"",COUNTIF(DX$4:DX34,DX34)=1),1,0)</f>
        <v>31</v>
      </c>
      <c r="DZ34" t="e">
        <f>IF(ROW()-3&gt;MAX(DY$4:DY$40),"",INDEX(DX$4:DX$40,MATCH(ROW()-3,DY$4:DY$40,0)))</f>
        <v>#N/A</v>
      </c>
      <c r="EA34" t="str">
        <f>IF('Final Calculation Sheet'!$Y$34="","",'Final Calculation Sheet'!$Y$34)</f>
        <v>11.08.2026</v>
      </c>
      <c r="EB34">
        <f>IF(EA34="","",COUNTIFS(EA$4:EA$40,"&lt;"&amp;EA34,EA$4:EA$40,"&lt;&gt;"&amp;"")+COUNTIF(EA$4:EA34,EA34))</f>
        <v>8</v>
      </c>
      <c r="EC34" t="str">
        <f>IF(ROW()-3&gt;COUNTIF(EA$4:EA$40,"&lt;&gt;"&amp;""),"",INDEX(EA$4:EA$40,MATCH(ROW()-3,EB$4:EB$40,0)))</f>
        <v>24.08.2026</v>
      </c>
      <c r="ED34">
        <f>ED33+IF(AND(EC34&lt;&gt;"",COUNTIF(EC$4:EC34,EC34)=1),1,0)</f>
        <v>9</v>
      </c>
      <c r="EE34" t="e">
        <f>IF(ROW()-3&gt;MAX(ED$4:ED$40),"",INDEX(EC$4:EC$40,MATCH(ROW()-3,ED$4:ED$40,0)))</f>
        <v>#N/A</v>
      </c>
      <c r="EF34" s="55">
        <f>IF('Final Calculation Sheet'!$Z$34="","",'Final Calculation Sheet'!$Z$34)</f>
        <v>0</v>
      </c>
      <c r="EG34">
        <f>IF(EF34="","",COUNTIFS(EF$4:EF$40,"&lt;"&amp;EF34,EF$4:EF$40,"&lt;&gt;"&amp;"")+COUNTIF(EF$4:EF34,EF34))</f>
        <v>29</v>
      </c>
      <c r="EH34" s="55">
        <f>IF(ROW()-3&gt;COUNTIF(EF$4:EF$40,"&lt;&gt;"&amp;""),"",INDEX(EF$4:EF$40,MATCH(ROW()-3,EG$4:EG$40,0)))</f>
        <v>0</v>
      </c>
      <c r="EI34">
        <f>EI33+IF(AND(EH34&lt;&gt;"",COUNTIF(EH$4:EH34,EH34)=1),1,0)</f>
        <v>1</v>
      </c>
      <c r="EJ34" t="str">
        <f>IF(ROW()-3&gt;MAX(EI$4:EI$40),"",INDEX(EH$4:EH$40,MATCH(ROW()-3,EI$4:EI$40,0)))</f>
        <v/>
      </c>
      <c r="EK34" t="str">
        <f>IF('Final Calculation Sheet'!$AA$34="","",'Final Calculation Sheet'!$AA$34)</f>
        <v/>
      </c>
      <c r="EL34" t="str">
        <f>IF(EK34="","",COUNTIFS(EK$4:EK$40,"&lt;"&amp;EK34,EK$4:EK$40,"&lt;&gt;"&amp;"")+COUNTIF(EK$4:EK34,EK34))</f>
        <v/>
      </c>
      <c r="EM34" t="e">
        <f>IF(ROW()-3&gt;COUNTIF(EK$4:EK$40,"&lt;&gt;"&amp;""),"",INDEX(EK$4:EK$40,MATCH(ROW()-3,EL$4:EL$40,0)))</f>
        <v>#N/A</v>
      </c>
      <c r="EN34" t="e">
        <f>EN33+IF(AND(EM34&lt;&gt;"",COUNTIF(EM$4:EM34,EM34)=1),1,0)</f>
        <v>#N/A</v>
      </c>
      <c r="EO34" t="e">
        <f>IF(ROW()-3&gt;MAX(EN$4:EN$40),"",INDEX(EM$4:EM$40,MATCH(ROW()-3,EN$4:EN$40,0)))</f>
        <v>#N/A</v>
      </c>
      <c r="EP34" t="str">
        <f>IF('Final Calculation Sheet'!$AB$34="","",'Final Calculation Sheet'!$AB$34)</f>
        <v/>
      </c>
      <c r="EQ34" t="str">
        <f>IF(EP34="","",COUNTIFS(EP$4:EP$40,"&lt;"&amp;EP34,EP$4:EP$40,"&lt;&gt;"&amp;"")+COUNTIF(EP$4:EP34,EP34))</f>
        <v/>
      </c>
      <c r="ER34" t="e">
        <f>IF(ROW()-3&gt;COUNTIF(EP$4:EP$40,"&lt;&gt;"&amp;""),"",INDEX(EP$4:EP$40,MATCH(ROW()-3,EQ$4:EQ$40,0)))</f>
        <v>#N/A</v>
      </c>
      <c r="ES34" t="e">
        <f>ES33+IF(AND(ER34&lt;&gt;"",COUNTIF(ER$4:ER34,ER34)=1),1,0)</f>
        <v>#N/A</v>
      </c>
      <c r="ET34" t="e">
        <f>IF(ROW()-3&gt;MAX(ES$4:ES$40),"",INDEX(ER$4:ER$40,MATCH(ROW()-3,ES$4:ES$40,0)))</f>
        <v>#N/A</v>
      </c>
      <c r="EU34" s="55">
        <f>IF('Final Calculation Sheet'!$AC$34="","",'Final Calculation Sheet'!$AC$34)</f>
        <v>24777</v>
      </c>
      <c r="EV34">
        <f>IF(EU34="","",COUNTIFS(EU$4:EU$40,"&lt;"&amp;EU34,EU$4:EU$40,"&lt;&gt;"&amp;"")+COUNTIF(EU$4:EU34,EU34))</f>
        <v>4</v>
      </c>
      <c r="EW34" s="55">
        <f>IF(ROW()-3&gt;COUNTIF(EU$4:EU$40,"&lt;&gt;"&amp;""),"",INDEX(EU$4:EU$40,MATCH(ROW()-3,EV$4:EV$40,0)))</f>
        <v>470600</v>
      </c>
      <c r="EX34">
        <f>EX33+IF(AND(EW34&lt;&gt;"",COUNTIF(EW$4:EW34,EW34)=1),1,0)</f>
        <v>31</v>
      </c>
      <c r="EY34" s="55">
        <f>IF(ROW()-3&gt;MAX(EX$4:EX$40),"",INDEX(EW$4:EW$40,MATCH(ROW()-3,EX$4:EX$40,0)))</f>
        <v>470600</v>
      </c>
      <c r="EZ34" s="55">
        <f>IF('Final Calculation Sheet'!$AD$34="","",'Final Calculation Sheet'!$AD$34)</f>
        <v>0</v>
      </c>
      <c r="FA34">
        <f>IF(EZ34="","",COUNTIFS(EZ$4:EZ$40,"&lt;"&amp;EZ34,EZ$4:EZ$40,"&lt;&gt;"&amp;"")+COUNTIF(EZ$4:EZ34,EZ34))</f>
        <v>26</v>
      </c>
      <c r="FB34" s="55">
        <f>IF(ROW()-3&gt;COUNTIF(EZ$4:EZ$40,"&lt;&gt;"&amp;""),"",INDEX(EZ$4:EZ$40,MATCH(ROW()-3,FA$4:FA$40,0)))</f>
        <v>1</v>
      </c>
      <c r="FC34" t="e">
        <f>FC33+IF(AND(FB34&lt;&gt;"",COUNTIF(FB$4:FB34,FB34)=1),1,0)</f>
        <v>#N/A</v>
      </c>
      <c r="FD34" t="e">
        <f>IF(ROW()-3&gt;MAX(FC$4:FC$40),"",INDEX(FB$4:FB$40,MATCH(ROW()-3,FC$4:FC$40,0)))</f>
        <v>#N/A</v>
      </c>
      <c r="FE34" t="str">
        <f>IF('Final Calculation Sheet'!$AE$34="","",'Final Calculation Sheet'!$AE$34)</f>
        <v>DR2640100022</v>
      </c>
      <c r="FF34">
        <f>IF(FE34="","",COUNTIFS(FE$4:FE$40,"&lt;"&amp;FE34,FE$4:FE$40,"&lt;&gt;"&amp;"")+COUNTIF(FE$4:FE34,FE34))</f>
        <v>11</v>
      </c>
      <c r="FG34" t="str">
        <f>IF(ROW()-3&gt;COUNTIF(FE$4:FE$40,"&lt;&gt;"&amp;""),"",INDEX(FE$4:FE$40,MATCH(ROW()-3,FF$4:FF$40,0)))</f>
        <v>DR2640100042</v>
      </c>
      <c r="FH34" t="e">
        <f>FH33+IF(AND(FG34&lt;&gt;"",COUNTIF(FG$4:FG34,FG34)=1),1,0)</f>
        <v>#N/A</v>
      </c>
      <c r="FI34" t="e">
        <f>IF(ROW()-3&gt;MAX(FH$4:FH$40),"",INDEX(FG$4:FG$40,MATCH(ROW()-3,FH$4:FH$40,0)))</f>
        <v>#N/A</v>
      </c>
      <c r="FJ34" s="141">
        <f>IF('Final Calculation Sheet'!$AF$34="","",'Final Calculation Sheet'!$AF$34)</f>
        <v>1800003161</v>
      </c>
      <c r="FK34">
        <f>IF(FJ34="","",COUNTIFS(FJ$4:FJ$40,"&lt;"&amp;FJ34,FJ$4:FJ$40,"&lt;&gt;"&amp;"")+COUNTIF(FJ$4:FJ34,FJ34))</f>
        <v>6</v>
      </c>
      <c r="FL34" s="141">
        <f>IF(ROW()-3&gt;COUNTIF(FJ$4:FJ$40,"&lt;&gt;"&amp;""),"",INDEX(FJ$4:FJ$40,MATCH(ROW()-3,FK$4:FK$40,0)))</f>
        <v>1800003346</v>
      </c>
      <c r="FM34">
        <f>FM33+IF(AND(FL34&lt;&gt;"",COUNTIF(FL$4:FL34,FL34)=1),1,0)</f>
        <v>31</v>
      </c>
      <c r="FN34" t="e">
        <f>IF(ROW()-3&gt;MAX(FM$4:FM$40),"",INDEX(FL$4:FL$40,MATCH(ROW()-3,FM$4:FM$40,0)))</f>
        <v>#N/A</v>
      </c>
      <c r="FO34" t="str">
        <f>IF('Final Calculation Sheet'!$AG$34="","",'Final Calculation Sheet'!$AG$34)</f>
        <v>14.08.2026</v>
      </c>
      <c r="FP34">
        <f>IF(FO34="","",COUNTIFS(FO$4:FO$40,"&lt;"&amp;FO34,FO$4:FO$40,"&lt;&gt;"&amp;"")+COUNTIF(FO$4:FO34,FO34))</f>
        <v>11</v>
      </c>
      <c r="FQ34" t="str">
        <f>IF(ROW()-3&gt;COUNTIF(FO$4:FO$40,"&lt;&gt;"&amp;""),"",INDEX(FO$4:FO$40,MATCH(ROW()-3,FP$4:FP$40,0)))</f>
        <v>27.08.2026</v>
      </c>
      <c r="FR34" t="e">
        <f>FR33+IF(AND(FQ34&lt;&gt;"",COUNTIF(FQ$4:FQ34,FQ34)=1),1,0)</f>
        <v>#N/A</v>
      </c>
      <c r="FS34" t="e">
        <f>IF(ROW()-3&gt;MAX(FR$4:FR$40),"",INDEX(FQ$4:FQ$40,MATCH(ROW()-3,FR$4:FR$40,0)))</f>
        <v>#N/A</v>
      </c>
      <c r="FU34" t="str">
        <f>IF(FT34="","",COUNTIFS(FT$4:FT$40,"&lt;"&amp;FT34,FT$4:FT$40,"&lt;&gt;"&amp;"")+COUNTIF(FT$4:FT34,FT34))</f>
        <v/>
      </c>
      <c r="FV34" t="str">
        <f>IF(ROW()-3&gt;COUNTIF(FT$4:FT$40,"&lt;&gt;"&amp;""),"",INDEX(FT$4:FT$40,MATCH(ROW()-3,FU$4:FU$40,0)))</f>
        <v/>
      </c>
      <c r="FW34">
        <f>FW33+IF(AND(FV34&lt;&gt;"",COUNTIF(FV$4:FV34,FV34)=1),1,0)</f>
        <v>2</v>
      </c>
      <c r="FX34" t="str">
        <f>IF(ROW()-3&gt;MAX(FW$4:FW$40),"",INDEX(FV$4:FV$40,MATCH(ROW()-3,FW$4:FW$40,0)))</f>
        <v/>
      </c>
    </row>
    <row r="35">
      <c r="A35">
        <f>IF('Final Calculation Sheet'!$F$35="","",'Final Calculation Sheet'!$F$35)</f>
        <v>2067</v>
      </c>
      <c r="B35">
        <f>IF(A35="","",COUNTIFS(A$4:A$114,"&lt;"&amp;A35,A$4:A$114,"&lt;&gt;"&amp;"")+COUNTIF(A$4:A35,A35))</f>
        <v>32</v>
      </c>
      <c r="C35">
        <f>IF(ROW()-3&gt;COUNTIF(A$4:A$114,"&lt;&gt;"&amp;""),"",INDEX(A$4:A$114,MATCH(ROW()-3,B$4:B$114,0)))</f>
        <v>2067</v>
      </c>
      <c r="D35">
        <f>D34+IF(AND(C35&lt;&gt;"",COUNTIF(C$4:C35,C35)=1),1,0)</f>
        <v>32</v>
      </c>
      <c r="E35" t="e">
        <f>IF(ROW()-3&gt;MAX(D$4:D$114),"",INDEX(C$4:C$114,MATCH(ROW()-3,D$4:D$114,0)))</f>
        <v>#N/A</v>
      </c>
      <c r="F35">
        <f>ROW()-3</f>
        <v>32</v>
      </c>
      <c r="G35">
        <f>IF(F35="","",COUNTIFS(F$4:F$40,"&lt;"&amp;F35,F$4:F$40,"&lt;&gt;"&amp;"")+COUNTIF(F$4:F35,F35))</f>
        <v>32</v>
      </c>
      <c r="H35">
        <f>IF(ROW()-3&gt;COUNTIF(F$4:F$40,"&lt;&gt;"&amp;""),"",INDEX(F$4:F$40,MATCH(ROW()-3,G$4:G$40,0)))</f>
        <v>32</v>
      </c>
      <c r="I35">
        <f>I34+IF(AND(H35&lt;&gt;"",COUNTIF(H$4:H35,H35)=1),1,0)</f>
        <v>32</v>
      </c>
      <c r="J35">
        <f>IF(ROW()-3&gt;MAX(I$4:I$40),"",INDEX(H$4:H$40,MATCH(ROW()-3,I$4:I$40,0)))</f>
        <v>32</v>
      </c>
      <c r="K35">
        <f>IF('Final Calculation Sheet'!$F$35="","",'Final Calculation Sheet'!$F$35)</f>
        <v>2067</v>
      </c>
      <c r="L35">
        <f>IF(K35="","",COUNTIFS(K$4:K$40,"&lt;"&amp;K35,K$4:K$40,"&lt;&gt;"&amp;"")+COUNTIF(K$4:K35,K35))</f>
        <v>32</v>
      </c>
      <c r="M35">
        <f>IF(ROW()-3&gt;COUNTIF(K$4:K$40,"&lt;&gt;"&amp;""),"",INDEX(K$4:K$40,MATCH(ROW()-3,L$4:L$40,0)))</f>
        <v>2067</v>
      </c>
      <c r="N35">
        <f>N34+IF(AND(M35&lt;&gt;"",COUNTIF(M$4:M35,M35)=1),1,0)</f>
        <v>32</v>
      </c>
      <c r="O35">
        <f>IF(ROW()-3&gt;MAX(N$4:N$40),"",INDEX(M$4:M$40,MATCH(ROW()-3,N$4:N$40,0)))</f>
        <v>2067</v>
      </c>
      <c r="P35" t="str">
        <f>IF('Final Calculation Sheet'!$G$35="","",'Final Calculation Sheet'!$G$35)</f>
        <v>WATAN SCRAP TRADERS</v>
      </c>
      <c r="Q35">
        <f>IF(P35="","",COUNTIFS(P$4:P$40,"&lt;"&amp;P35,P$4:P$40,"&lt;&gt;"&amp;"")+COUNTIF(P$4:P35,P35))</f>
        <v>37</v>
      </c>
      <c r="R35" t="str">
        <f>IF(ROW()-3&gt;COUNTIF(P$4:P$40,"&lt;&gt;"&amp;""),"",INDEX(P$4:P$40,MATCH(ROW()-3,Q$4:Q$40,0)))</f>
        <v>STERLING ENTERPRISES</v>
      </c>
      <c r="S35">
        <f>S34+IF(AND(R35&lt;&gt;"",COUNTIF(R$4:R35,R35)=1),1,0)</f>
        <v>12</v>
      </c>
      <c r="T35" t="str">
        <f>IF(ROW()-3&gt;MAX(S$4:S$40),"",INDEX(R$4:R$40,MATCH(ROW()-3,S$4:S$40,0)))</f>
        <v/>
      </c>
      <c r="U35" t="str">
        <f>IF('Final Calculation Sheet'!$B$35="","",'Final Calculation Sheet'!$B$35)</f>
        <v>Scrap of empty oil drums</v>
      </c>
      <c r="V35">
        <f>IF(U35="","",COUNTIFS(U$4:U$40,"&lt;"&amp;U35,U$4:U$40,"&lt;&gt;"&amp;"")+COUNTIF(U$4:U35,U35))</f>
        <v>34</v>
      </c>
      <c r="W35" t="str">
        <f>IF(ROW()-3&gt;COUNTIF(U$4:U$40,"&lt;&gt;"&amp;""),"",INDEX(U$4:U$40,MATCH(ROW()-3,V$4:V$40,0)))</f>
        <v>Scrap of Empty oil drum</v>
      </c>
      <c r="X35">
        <f>X34+IF(AND(W35&lt;&gt;"",COUNTIF(W$4:W35,W35)=1),1,0)</f>
        <v>22</v>
      </c>
      <c r="Y35" t="str">
        <f>IF(ROW()-3&gt;MAX(X$4:X$40),"",INDEX(W$4:W$40,MATCH(ROW()-3,X$4:X$40,0)))</f>
        <v/>
      </c>
      <c r="Z35">
        <f>IF('Final Calculation Sheet'!$D$35="","",'Final Calculation Sheet'!$D$35)</f>
        <v>21980</v>
      </c>
      <c r="AA35">
        <f>IF(Z35="","",COUNTIFS(Z$4:Z$40,"&lt;"&amp;Z35,Z$4:Z$40,"&lt;&gt;"&amp;"")+COUNTIF(Z$4:Z35,Z35))</f>
        <v>32</v>
      </c>
      <c r="AB35">
        <f>IF(ROW()-3&gt;COUNTIF(Z$4:Z$40,"&lt;&gt;"&amp;""),"",INDEX(Z$4:Z$40,MATCH(ROW()-3,AA$4:AA$40,0)))</f>
        <v>21980</v>
      </c>
      <c r="AC35">
        <f>AC34+IF(AND(AB35&lt;&gt;"",COUNTIF(AB$4:AB35,AB35)=1),1,0)</f>
        <v>4</v>
      </c>
      <c r="AD35" t="str">
        <f>IF(ROW()-3&gt;MAX(AC$4:AC$40),"",INDEX(AB$4:AB$40,MATCH(ROW()-3,AC$4:AC$40,0)))</f>
        <v/>
      </c>
      <c r="AE35">
        <f>IF('Final Calculation Sheet'!$A$35="","",'Final Calculation Sheet'!$A$35)</f>
        <v>150</v>
      </c>
      <c r="AF35">
        <f>IF(AE35="","",COUNTIFS(AE$4:AE$40,"&lt;"&amp;AE35,AE$4:AE$40,"&lt;&gt;"&amp;"")+COUNTIF(AE$4:AE35,AE35))</f>
        <v>29</v>
      </c>
      <c r="AG35">
        <f>IF(ROW()-3&gt;COUNTIF(AE$4:AE$40,"&lt;&gt;"&amp;""),"",INDEX(AE$4:AE$40,MATCH(ROW()-3,AF$4:AF$40,0)))</f>
        <v>669</v>
      </c>
      <c r="AH35">
        <f>AH34+IF(AND(AG35&lt;&gt;"",COUNTIF(AG$4:AG35,AG35)=1),1,0)</f>
        <v>17</v>
      </c>
      <c r="AI35" t="str">
        <f>IF(ROW()-3&gt;MAX(AH$4:AH$40),"",INDEX(AG$4:AG$40,MATCH(ROW()-3,AH$4:AH$40,0)))</f>
        <v/>
      </c>
      <c r="AJ35" t="str">
        <f>IF('Final Calculation Sheet'!$E$35="","",'Final Calculation Sheet'!$E$35)</f>
        <v>NO</v>
      </c>
      <c r="AK35">
        <f>IF(AJ35="","",COUNTIFS(AJ$4:AJ$40,"&lt;"&amp;AJ35,AJ$4:AJ$40,"&lt;&gt;"&amp;"")+COUNTIF(AJ$4:AJ35,AJ35))</f>
        <v>32</v>
      </c>
      <c r="AL35" t="str">
        <f>IF(ROW()-3&gt;COUNTIF(AJ$4:AJ$40,"&lt;&gt;"&amp;""),"",INDEX(AJ$4:AJ$40,MATCH(ROW()-3,AK$4:AK$40,0)))</f>
        <v>NO</v>
      </c>
      <c r="AM35">
        <f>AM34+IF(AND(AL35&lt;&gt;"",COUNTIF(AL$4:AL35,AL35)=1),1,0)</f>
        <v>3</v>
      </c>
      <c r="AN35" t="str">
        <f>IF(ROW()-3&gt;MAX(AM$4:AM$40),"",INDEX(AL$4:AL$40,MATCH(ROW()-3,AM$4:AM$40,0)))</f>
        <v/>
      </c>
      <c r="AO35" s="55">
        <f>IF('Final Calculation Sheet'!$C$35="","",'Final Calculation Sheet'!$C$35)</f>
        <v>571</v>
      </c>
      <c r="AP35">
        <f>IF(AO35="","",COUNTIFS(AO$4:AO$40,"&lt;"&amp;AO35,AO$4:AO$40,"&lt;&gt;"&amp;"")+COUNTIF(AO$4:AO35,AO35))</f>
        <v>8</v>
      </c>
      <c r="AQ35" s="55">
        <f>IF(ROW()-3&gt;COUNTIF(AO$4:AO$40,"&lt;&gt;"&amp;""),"",INDEX(AO$4:AO$40,MATCH(ROW()-3,AP$4:AP$40,0)))</f>
        <v>90002</v>
      </c>
      <c r="AR35">
        <f>AR34+IF(AND(AQ35&lt;&gt;"",COUNTIF(AQ$4:AQ35,AQ35)=1),1,0)</f>
        <v>30</v>
      </c>
      <c r="AS35" s="55">
        <f>IF(ROW()-3&gt;MAX(AR$4:AR$40),"",INDEX(AQ$4:AQ$40,MATCH(ROW()-3,AR$4:AR$40,0)))</f>
        <v>210001</v>
      </c>
      <c r="AT35" s="55">
        <f>IF('Final Calculation Sheet'!$H$35="","",'Final Calculation Sheet'!$H$35)</f>
        <v>85650</v>
      </c>
      <c r="AU35">
        <f>IF(AT35="","",COUNTIFS(AT$4:AT$40,"&lt;"&amp;AT35,AT$4:AT$40,"&lt;&gt;"&amp;"")+COUNTIF(AT$4:AT35,AT35))</f>
        <v>16</v>
      </c>
      <c r="AV35" s="55">
        <f>IF(ROW()-3&gt;COUNTIF(AT$4:AT$40,"&lt;&gt;"&amp;""),"",INDEX(AT$4:AT$40,MATCH(ROW()-3,AU$4:AU$40,0)))</f>
        <v>549400</v>
      </c>
      <c r="AW35">
        <f>AW34+IF(AND(AV35&lt;&gt;"",COUNTIF(AV$4:AV35,AV35)=1),1,0)</f>
        <v>32</v>
      </c>
      <c r="AX35" s="55">
        <f>IF(ROW()-3&gt;MAX(AW$4:AW$40),"",INDEX(AV$4:AV$40,MATCH(ROW()-3,AW$4:AW$40,0)))</f>
        <v>549400</v>
      </c>
      <c r="AY35" s="55">
        <f>IF('Final Calculation Sheet'!$I$35="","",'Final Calculation Sheet'!$I$35)</f>
        <v>15417</v>
      </c>
      <c r="AZ35">
        <f>IF(AY35="","",COUNTIFS(AY$4:AY$40,"&lt;"&amp;AY35,AY$4:AY$40,"&lt;&gt;"&amp;"")+COUNTIF(AY$4:AY35,AY35))</f>
        <v>16</v>
      </c>
      <c r="BA35" s="55">
        <f>IF(ROW()-3&gt;COUNTIF(AY$4:AY$40,"&lt;&gt;"&amp;""),"",INDEX(AY$4:AY$40,MATCH(ROW()-3,AZ$4:AZ$40,0)))</f>
        <v>98892</v>
      </c>
      <c r="BB35">
        <f>BB34+IF(AND(BA35&lt;&gt;"",COUNTIF(BA$4:BA35,BA35)=1),1,0)</f>
        <v>32</v>
      </c>
      <c r="BC35" s="55">
        <f>IF(ROW()-3&gt;MAX(BB$4:BB$40),"",INDEX(BA$4:BA$40,MATCH(ROW()-3,BB$4:BB$40,0)))</f>
        <v>98892</v>
      </c>
      <c r="BD35" s="55">
        <f>IF('Final Calculation Sheet'!$J$35="","",'Final Calculation Sheet'!$J$35)</f>
        <v>101067</v>
      </c>
      <c r="BE35">
        <f>IF(BD35="","",COUNTIFS(BD$4:BD$40,"&lt;"&amp;BD35,BD$4:BD$40,"&lt;&gt;"&amp;"")+COUNTIF(BD$4:BD35,BD35))</f>
        <v>16</v>
      </c>
      <c r="BF35" s="55">
        <f>IF(ROW()-3&gt;COUNTIF(BD$4:BD$40,"&lt;&gt;"&amp;""),"",INDEX(BD$4:BD$40,MATCH(ROW()-3,BE$4:BE$40,0)))</f>
        <v>648292</v>
      </c>
      <c r="BG35">
        <f>BG34+IF(AND(BF35&lt;&gt;"",COUNTIF(BF$4:BF35,BF35)=1),1,0)</f>
        <v>32</v>
      </c>
      <c r="BH35" s="55">
        <f>IF(ROW()-3&gt;MAX(BG$4:BG$40),"",INDEX(BF$4:BF$40,MATCH(ROW()-3,BG$4:BG$40,0)))</f>
        <v>648292</v>
      </c>
      <c r="BI35" s="55">
        <f>IF('Final Calculation Sheet'!$K$35="","",'Final Calculation Sheet'!$K$35)</f>
        <v>2021</v>
      </c>
      <c r="BJ35">
        <f>IF(BI35="","",COUNTIFS(BI$4:BI$40,"&lt;"&amp;BI35,BI$4:BI$40,"&lt;&gt;"&amp;"")+COUNTIF(BI$4:BI35,BI35))</f>
        <v>16</v>
      </c>
      <c r="BK35" s="55">
        <f>IF(ROW()-3&gt;COUNTIF(BI$4:BI$40,"&lt;&gt;"&amp;""),"",INDEX(BI$4:BI$40,MATCH(ROW()-3,BJ$4:BJ$40,0)))</f>
        <v>12966</v>
      </c>
      <c r="BL35">
        <f>BL34+IF(AND(BK35&lt;&gt;"",COUNTIF(BK$4:BK35,BK35)=1),1,0)</f>
        <v>31</v>
      </c>
      <c r="BM35" s="55">
        <f>IF(ROW()-3&gt;MAX(BL$4:BL$40),"",INDEX(BK$4:BK$40,MATCH(ROW()-3,BL$4:BL$40,0)))</f>
        <v>18646</v>
      </c>
      <c r="BN35" s="55">
        <f>IF('Final Calculation Sheet'!$L$35="","",'Final Calculation Sheet'!$L$35)</f>
        <v>85.65</v>
      </c>
      <c r="BO35">
        <f>IF(BN35="","",COUNTIFS(BN$4:BN$40,"&lt;"&amp;BN35,BN$4:BN$40,"&lt;&gt;"&amp;"")+COUNTIF(BN$4:BN35,BN35))</f>
        <v>16</v>
      </c>
      <c r="BP35" s="55">
        <f>IF(ROW()-3&gt;COUNTIF(BN$4:BN$40,"&lt;&gt;"&amp;""),"",INDEX(BN$4:BN$40,MATCH(ROW()-3,BO$4:BO$40,0)))</f>
        <v>549.4</v>
      </c>
      <c r="BQ35">
        <f>BQ34+IF(AND(BP35&lt;&gt;"",COUNTIF(BP$4:BP35,BP35)=1),1,0)</f>
        <v>32</v>
      </c>
      <c r="BR35" s="55">
        <f>IF(ROW()-3&gt;MAX(BQ$4:BQ$40),"",INDEX(BP$4:BP$40,MATCH(ROW()-3,BQ$4:BQ$40,0)))</f>
        <v>549.4</v>
      </c>
      <c r="BS35" s="55">
        <f>IF('Final Calculation Sheet'!$M$35="","",'Final Calculation Sheet'!$M$35)</f>
        <v>2274.0074999999997</v>
      </c>
      <c r="BT35">
        <f>IF(BS35="","",COUNTIFS(BS$4:BS$40,"&lt;"&amp;BS35,BS$4:BS$40,"&lt;&gt;"&amp;"")+COUNTIF(BS$4:BS35,BS35))</f>
        <v>16</v>
      </c>
      <c r="BU35" s="55">
        <f>IF(ROW()-3&gt;COUNTIF(BS$4:BS$40,"&lt;&gt;"&amp;""),"",INDEX(BS$4:BS$40,MATCH(ROW()-3,BT$4:BT$40,0)))</f>
        <v>14586.57</v>
      </c>
      <c r="BV35">
        <f>BV34+IF(AND(BU35&lt;&gt;"",COUNTIF(BU$4:BU35,BU35)=1),1,0)</f>
        <v>32</v>
      </c>
      <c r="BW35" s="55">
        <f>IF(ROW()-3&gt;MAX(BV$4:BV$40),"",INDEX(BU$4:BU$40,MATCH(ROW()-3,BV$4:BV$40,0)))</f>
        <v>14586.57</v>
      </c>
      <c r="BX35" s="138">
        <f>IF('Final Calculation Sheet'!$N$35="","",'Final Calculation Sheet'!$N$35)</f>
        <v>38.542500000000004</v>
      </c>
      <c r="BY35">
        <f>IF(BX35="","",COUNTIFS(BX$4:BX$40,"&lt;"&amp;BX35,BX$4:BX$40,"&lt;&gt;"&amp;"")+COUNTIF(BX$4:BX35,BX35))</f>
        <v>16</v>
      </c>
      <c r="BZ35" s="138">
        <f>IF(ROW()-3&gt;COUNTIF(BX$4:BX$40,"&lt;&gt;"&amp;""),"",INDEX(BX$4:BX$40,MATCH(ROW()-3,BY$4:BY$40,0)))</f>
        <v>247.23000000000002</v>
      </c>
      <c r="CA35">
        <f>CA34+IF(AND(BZ35&lt;&gt;"",COUNTIF(BZ$4:BZ35,BZ35)=1),1,0)</f>
        <v>32</v>
      </c>
      <c r="CB35" s="138">
        <f>IF(ROW()-3&gt;MAX(CA$4:CA$40),"",INDEX(BZ$4:BZ$40,MATCH(ROW()-3,CA$4:CA$40,0)))</f>
        <v>247.23000000000002</v>
      </c>
      <c r="CC35" s="55">
        <f>IF('Final Calculation Sheet'!$O$35="","",'Final Calculation Sheet'!$O$35)</f>
        <v>2235.4649999999997</v>
      </c>
      <c r="CD35">
        <f>IF(CC35="","",COUNTIFS(CC$4:CC$40,"&lt;"&amp;CC35,CC$4:CC$40,"&lt;&gt;"&amp;"")+COUNTIF(CC$4:CC35,CC35))</f>
        <v>16</v>
      </c>
      <c r="CE35" s="55">
        <f>IF(ROW()-3&gt;COUNTIF(CC$4:CC$40,"&lt;&gt;"&amp;""),"",INDEX(CC$4:CC$40,MATCH(ROW()-3,CD$4:CD$40,0)))</f>
        <v>14339.34</v>
      </c>
      <c r="CF35">
        <f>CF34+IF(AND(CE35&lt;&gt;"",COUNTIF(CE$4:CE35,CE35)=1),1,0)</f>
        <v>32</v>
      </c>
      <c r="CG35" s="55">
        <f>IF(ROW()-3&gt;MAX(CF$4:CF$40),"",INDEX(CE$4:CE$40,MATCH(ROW()-3,CF$4:CF$40,0)))</f>
        <v>14339.34</v>
      </c>
      <c r="CH35" s="55">
        <f>IF('Final Calculation Sheet'!$P$35="","",'Final Calculation Sheet'!$P$35)</f>
        <v>2321</v>
      </c>
      <c r="CI35">
        <f>IF(CH35="","",COUNTIFS(CH$4:CH$40,"&lt;"&amp;CH35,CH$4:CH$40,"&lt;&gt;"&amp;"")+COUNTIF(CH$4:CH35,CH35))</f>
        <v>16</v>
      </c>
      <c r="CJ35" s="55">
        <f>IF(ROW()-3&gt;COUNTIF(CH$4:CH$40,"&lt;&gt;"&amp;""),"",INDEX(CH$4:CH$40,MATCH(ROW()-3,CI$4:CI$40,0)))</f>
        <v>14889</v>
      </c>
      <c r="CK35">
        <f>CK34+IF(AND(CJ35&lt;&gt;"",COUNTIF(CJ$4:CJ35,CJ35)=1),1,0)</f>
        <v>31</v>
      </c>
      <c r="CL35" s="55">
        <f>IF(ROW()-3&gt;MAX(CK$4:CK$40),"",INDEX(CJ$4:CJ$40,MATCH(ROW()-3,CK$4:CK$40,0)))</f>
        <v>21411</v>
      </c>
      <c r="CM35" s="139">
        <f>IF('Final Calculation Sheet'!$Q$35="","",'Final Calculation Sheet'!$Q$35)</f>
        <v>0</v>
      </c>
      <c r="CN35">
        <f>IF(CM35="","",COUNTIFS(CM$4:CM$40,"&lt;"&amp;CM35,CM$4:CM$40,"&lt;&gt;"&amp;"")+COUNTIF(CM$4:CM35,CM35))</f>
        <v>28</v>
      </c>
      <c r="CO35" s="139">
        <f>IF(ROW()-3&gt;COUNTIF(CM$4:CM$40,"&lt;&gt;"&amp;""),"",INDEX(CM$4:CM$40,MATCH(ROW()-3,CN$4:CN$40,0)))</f>
        <v>0</v>
      </c>
      <c r="CP35">
        <f>CP34+IF(AND(CO35&lt;&gt;"",COUNTIF(CO$4:CO35,CO35)=1),1,0)</f>
        <v>1</v>
      </c>
      <c r="CQ35" t="str">
        <f>IF(ROW()-3&gt;MAX(CP$4:CP$40),"",INDEX(CO$4:CO$40,MATCH(ROW()-3,CP$4:CP$40,0)))</f>
        <v/>
      </c>
      <c r="CR35" s="55">
        <f>IF('Final Calculation Sheet'!$R$35="","",'Final Calculation Sheet'!$R$35)</f>
        <v>0</v>
      </c>
      <c r="CS35">
        <f>IF(CR35="","",COUNTIFS(CR$4:CR$40,"&lt;"&amp;CR35,CR$4:CR$40,"&lt;&gt;"&amp;"")+COUNTIF(CR$4:CR35,CR35))</f>
        <v>28</v>
      </c>
      <c r="CT35" s="55">
        <f>IF(ROW()-3&gt;COUNTIF(CR$4:CR$40,"&lt;&gt;"&amp;""),"",INDEX(CR$4:CR$40,MATCH(ROW()-3,CS$4:CS$40,0)))</f>
        <v>0</v>
      </c>
      <c r="CU35">
        <f>CU34+IF(AND(CT35&lt;&gt;"",COUNTIF(CT$4:CT35,CT35)=1),1,0)</f>
        <v>1</v>
      </c>
      <c r="CV35" t="str">
        <f>IF(ROW()-3&gt;MAX(CU$4:CU$40),"",INDEX(CT$4:CT$40,MATCH(ROW()-3,CU$4:CU$40,0)))</f>
        <v/>
      </c>
      <c r="CW35" s="55">
        <f>IF('Final Calculation Sheet'!$S$35="","",'Final Calculation Sheet'!$S$35)</f>
        <v>100767</v>
      </c>
      <c r="CX35">
        <f>IF(CW35="","",COUNTIFS(CW$4:CW$40,"&lt;"&amp;CW35,CW$4:CW$40,"&lt;&gt;"&amp;"")+COUNTIF(CW$4:CW35,CW35))</f>
        <v>16</v>
      </c>
      <c r="CY35" s="55">
        <f>IF(ROW()-3&gt;COUNTIF(CW$4:CW$40,"&lt;&gt;"&amp;""),"",INDEX(CW$4:CW$40,MATCH(ROW()-3,CX$4:CX$40,0)))</f>
        <v>635381</v>
      </c>
      <c r="CZ35">
        <f>CZ34+IF(AND(CY35&lt;&gt;"",COUNTIF(CY$4:CY35,CY35)=1),1,0)</f>
        <v>32</v>
      </c>
      <c r="DA35" s="55">
        <f>IF(ROW()-3&gt;MAX(CZ$4:CZ$40),"",INDEX(CY$4:CY$40,MATCH(ROW()-3,CZ$4:CZ$40,0)))</f>
        <v>635381</v>
      </c>
      <c r="DB35" s="55">
        <f>IF('Final Calculation Sheet'!$T$35="","",'Final Calculation Sheet'!$T$35)</f>
        <v>21413</v>
      </c>
      <c r="DC35">
        <f>IF(DB35="","",COUNTIFS(DB$4:DB$40,"&lt;"&amp;DB35,DB$4:DB$40,"&lt;&gt;"&amp;"")+COUNTIF(DB$4:DB35,DB35))</f>
        <v>16</v>
      </c>
      <c r="DD35" s="55">
        <f>IF(ROW()-3&gt;COUNTIF(DB$4:DB$40,"&lt;&gt;"&amp;""),"",INDEX(DB$4:DB$40,MATCH(ROW()-3,DC$4:DC$40,0)))</f>
        <v>137350</v>
      </c>
      <c r="DE35">
        <f>DE34+IF(AND(DD35&lt;&gt;"",COUNTIF(DD$4:DD35,DD35)=1),1,0)</f>
        <v>32</v>
      </c>
      <c r="DF35" s="55">
        <f>IF(ROW()-3&gt;MAX(DE$4:DE$40),"",INDEX(DD$4:DD$40,MATCH(ROW()-3,DE$4:DE$40,0)))</f>
        <v>137350</v>
      </c>
      <c r="DG35" s="140">
        <f>IF('Final Calculation Sheet'!$U$35="","",'Final Calculation Sheet'!$U$35)</f>
        <v>21413</v>
      </c>
      <c r="DH35">
        <f>IF(DG35="","",COUNTIFS(DG$4:DG$40,"&lt;"&amp;DG35,DG$4:DG$40,"&lt;&gt;"&amp;"")+COUNTIF(DG$4:DG35,DG35))</f>
        <v>16</v>
      </c>
      <c r="DI35" s="140">
        <f>IF(ROW()-3&gt;COUNTIF(DG$4:DG$40,"&lt;&gt;"&amp;""),"",INDEX(DG$4:DG$40,MATCH(ROW()-3,DH$4:DH$40,0)))</f>
        <v>137350</v>
      </c>
      <c r="DJ35">
        <f>DJ34+IF(AND(DI35&lt;&gt;"",COUNTIF(DI$4:DI35,DI35)=1),1,0)</f>
        <v>32</v>
      </c>
      <c r="DK35" s="140">
        <f>IF(ROW()-3&gt;MAX(DJ$4:DJ$40),"",INDEX(DI$4:DI$40,MATCH(ROW()-3,DJ$4:DJ$40,0)))</f>
        <v>137350</v>
      </c>
      <c r="DL35" t="str">
        <f>IF('Final Calculation Sheet'!$V$35="","",'Final Calculation Sheet'!$V$35)</f>
        <v>14.08.2026</v>
      </c>
      <c r="DM35">
        <f>IF(DL35="","",COUNTIFS(DL$4:DL$40,"&lt;"&amp;DL35,DL$4:DL$40,"&lt;&gt;"&amp;"")+COUNTIF(DL$4:DL35,DL35))</f>
        <v>33</v>
      </c>
      <c r="DN35" t="str">
        <f>IF(ROW()-3&gt;COUNTIF(DL$4:DL$40,"&lt;&gt;"&amp;""),"",INDEX(DL$4:DL$40,MATCH(ROW()-3,DM$4:DM$40,0)))</f>
        <v>14.08.2026</v>
      </c>
      <c r="DO35">
        <f>DO34+IF(AND(DN35&lt;&gt;"",COUNTIF(DN$4:DN35,DN35)=1),1,0)</f>
        <v>4</v>
      </c>
      <c r="DP35" t="str">
        <f>IF(ROW()-3&gt;MAX(DO$4:DO$40),"",INDEX(DN$4:DN$40,MATCH(ROW()-3,DO$4:DO$40,0)))</f>
        <v/>
      </c>
      <c r="DQ35" s="55">
        <f>IF('Final Calculation Sheet'!$W$35="","",'Final Calculation Sheet'!$W$35)</f>
        <v>79355</v>
      </c>
      <c r="DR35">
        <f>IF(DQ35="","",COUNTIFS(DQ$4:DQ$40,"&lt;"&amp;DQ35,DQ$4:DQ$40,"&lt;&gt;"&amp;"")+COUNTIF(DQ$4:DQ35,DQ35))</f>
        <v>16</v>
      </c>
      <c r="DS35" s="55">
        <f>IF(ROW()-3&gt;COUNTIF(DQ$4:DQ$40,"&lt;&gt;"&amp;""),"",INDEX(DQ$4:DQ$40,MATCH(ROW()-3,DR$4:DR$40,0)))</f>
        <v>498031</v>
      </c>
      <c r="DT35">
        <f>DT34+IF(AND(DS35&lt;&gt;"",COUNTIF(DS$4:DS35,DS35)=1),1,0)</f>
        <v>32</v>
      </c>
      <c r="DU35" s="55">
        <f>IF(ROW()-3&gt;MAX(DT$4:DT$40),"",INDEX(DS$4:DS$40,MATCH(ROW()-3,DT$4:DT$40,0)))</f>
        <v>498031</v>
      </c>
      <c r="DV35" s="55">
        <f>IF('Final Calculation Sheet'!$X$35="","",'Final Calculation Sheet'!$X$35)</f>
        <v>79354</v>
      </c>
      <c r="DW35">
        <f>IF(DV35="","",COUNTIFS(DV$4:DV$40,"&lt;"&amp;DV35,DV$4:DV$40,"&lt;&gt;"&amp;"")+COUNTIF(DV$4:DV35,DV35))</f>
        <v>15</v>
      </c>
      <c r="DX35" s="55">
        <f>IF(ROW()-3&gt;COUNTIF(DV$4:DV$40,"&lt;&gt;"&amp;""),"",INDEX(DV$4:DV$40,MATCH(ROW()-3,DW$4:DW$40,0)))</f>
        <v>1492490</v>
      </c>
      <c r="DY35">
        <f>DY34+IF(AND(DX35&lt;&gt;"",COUNTIF(DX$4:DX35,DX35)=1),1,0)</f>
        <v>32</v>
      </c>
      <c r="DZ35" t="e">
        <f>IF(ROW()-3&gt;MAX(DY$4:DY$40),"",INDEX(DX$4:DX$40,MATCH(ROW()-3,DY$4:DY$40,0)))</f>
        <v>#N/A</v>
      </c>
      <c r="EA35" t="str">
        <f>IF('Final Calculation Sheet'!$Y$35="","",'Final Calculation Sheet'!$Y$35)</f>
        <v>20.08.2026</v>
      </c>
      <c r="EB35">
        <f>IF(EA35="","",COUNTIFS(EA$4:EA$40,"&lt;"&amp;EA35,EA$4:EA$40,"&lt;&gt;"&amp;"")+COUNTIF(EA$4:EA35,EA35))</f>
        <v>16</v>
      </c>
      <c r="EC35" t="str">
        <f>IF(ROW()-3&gt;COUNTIF(EA$4:EA$40,"&lt;&gt;"&amp;""),"",INDEX(EA$4:EA$40,MATCH(ROW()-3,EB$4:EB$40,0)))</f>
        <v>24.08.2026</v>
      </c>
      <c r="ED35">
        <f>ED34+IF(AND(EC35&lt;&gt;"",COUNTIF(EC$4:EC35,EC35)=1),1,0)</f>
        <v>9</v>
      </c>
      <c r="EE35" t="e">
        <f>IF(ROW()-3&gt;MAX(ED$4:ED$40),"",INDEX(EC$4:EC$40,MATCH(ROW()-3,ED$4:ED$40,0)))</f>
        <v>#N/A</v>
      </c>
      <c r="EF35" s="55">
        <f>IF('Final Calculation Sheet'!$Z$35="","",'Final Calculation Sheet'!$Z$35)</f>
        <v>0</v>
      </c>
      <c r="EG35">
        <f>IF(EF35="","",COUNTIFS(EF$4:EF$40,"&lt;"&amp;EF35,EF$4:EF$40,"&lt;&gt;"&amp;"")+COUNTIF(EF$4:EF35,EF35))</f>
        <v>30</v>
      </c>
      <c r="EH35" s="55">
        <f>IF(ROW()-3&gt;COUNTIF(EF$4:EF$40,"&lt;&gt;"&amp;""),"",INDEX(EF$4:EF$40,MATCH(ROW()-3,EG$4:EG$40,0)))</f>
        <v>0</v>
      </c>
      <c r="EI35">
        <f>EI34+IF(AND(EH35&lt;&gt;"",COUNTIF(EH$4:EH35,EH35)=1),1,0)</f>
        <v>1</v>
      </c>
      <c r="EJ35" t="str">
        <f>IF(ROW()-3&gt;MAX(EI$4:EI$40),"",INDEX(EH$4:EH$40,MATCH(ROW()-3,EI$4:EI$40,0)))</f>
        <v/>
      </c>
      <c r="EK35" t="str">
        <f>IF('Final Calculation Sheet'!$AA$35="","",'Final Calculation Sheet'!$AA$35)</f>
        <v/>
      </c>
      <c r="EL35" t="str">
        <f>IF(EK35="","",COUNTIFS(EK$4:EK$40,"&lt;"&amp;EK35,EK$4:EK$40,"&lt;&gt;"&amp;"")+COUNTIF(EK$4:EK35,EK35))</f>
        <v/>
      </c>
      <c r="EM35" t="e">
        <f>IF(ROW()-3&gt;COUNTIF(EK$4:EK$40,"&lt;&gt;"&amp;""),"",INDEX(EK$4:EK$40,MATCH(ROW()-3,EL$4:EL$40,0)))</f>
        <v>#N/A</v>
      </c>
      <c r="EN35" t="e">
        <f>EN34+IF(AND(EM35&lt;&gt;"",COUNTIF(EM$4:EM35,EM35)=1),1,0)</f>
        <v>#N/A</v>
      </c>
      <c r="EO35" t="e">
        <f>IF(ROW()-3&gt;MAX(EN$4:EN$40),"",INDEX(EM$4:EM$40,MATCH(ROW()-3,EN$4:EN$40,0)))</f>
        <v>#N/A</v>
      </c>
      <c r="EP35" t="str">
        <f>IF('Final Calculation Sheet'!$AB$35="","",'Final Calculation Sheet'!$AB$35)</f>
        <v/>
      </c>
      <c r="EQ35" t="str">
        <f>IF(EP35="","",COUNTIFS(EP$4:EP$40,"&lt;"&amp;EP35,EP$4:EP$40,"&lt;&gt;"&amp;"")+COUNTIF(EP$4:EP35,EP35))</f>
        <v/>
      </c>
      <c r="ER35" t="e">
        <f>IF(ROW()-3&gt;COUNTIF(EP$4:EP$40,"&lt;&gt;"&amp;""),"",INDEX(EP$4:EP$40,MATCH(ROW()-3,EQ$4:EQ$40,0)))</f>
        <v>#N/A</v>
      </c>
      <c r="ES35" t="e">
        <f>ES34+IF(AND(ER35&lt;&gt;"",COUNTIF(ER$4:ER35,ER35)=1),1,0)</f>
        <v>#N/A</v>
      </c>
      <c r="ET35" t="e">
        <f>IF(ROW()-3&gt;MAX(ES$4:ES$40),"",INDEX(ER$4:ER$40,MATCH(ROW()-3,ES$4:ES$40,0)))</f>
        <v>#N/A</v>
      </c>
      <c r="EU35" s="55">
        <f>IF('Final Calculation Sheet'!$AC$35="","",'Final Calculation Sheet'!$AC$35)</f>
        <v>100767</v>
      </c>
      <c r="EV35">
        <f>IF(EU35="","",COUNTIFS(EU$4:EU$40,"&lt;"&amp;EU35,EU$4:EU$40,"&lt;&gt;"&amp;"")+COUNTIF(EU$4:EU35,EU35))</f>
        <v>17</v>
      </c>
      <c r="EW35" s="55">
        <f>IF(ROW()-3&gt;COUNTIF(EU$4:EU$40,"&lt;&gt;"&amp;""),"",INDEX(EU$4:EU$40,MATCH(ROW()-3,EV$4:EV$40,0)))</f>
        <v>608251</v>
      </c>
      <c r="EX35">
        <f>EX34+IF(AND(EW35&lt;&gt;"",COUNTIF(EW$4:EW35,EW35)=1),1,0)</f>
        <v>32</v>
      </c>
      <c r="EY35" s="55">
        <f>IF(ROW()-3&gt;MAX(EX$4:EX$40),"",INDEX(EW$4:EW$40,MATCH(ROW()-3,EX$4:EX$40,0)))</f>
        <v>608251</v>
      </c>
      <c r="EZ35" s="55">
        <f>IF('Final Calculation Sheet'!$AD$35="","",'Final Calculation Sheet'!$AD$35)</f>
        <v>0</v>
      </c>
      <c r="FA35">
        <f>IF(EZ35="","",COUNTIFS(EZ$4:EZ$40,"&lt;"&amp;EZ35,EZ$4:EZ$40,"&lt;&gt;"&amp;"")+COUNTIF(EZ$4:EZ35,EZ35))</f>
        <v>27</v>
      </c>
      <c r="FB35" s="55">
        <f>IF(ROW()-3&gt;COUNTIF(EZ$4:EZ$40,"&lt;&gt;"&amp;""),"",INDEX(EZ$4:EZ$40,MATCH(ROW()-3,FA$4:FA$40,0)))</f>
        <v>1</v>
      </c>
      <c r="FC35" t="e">
        <f>FC34+IF(AND(FB35&lt;&gt;"",COUNTIF(FB$4:FB35,FB35)=1),1,0)</f>
        <v>#N/A</v>
      </c>
      <c r="FD35" t="e">
        <f>IF(ROW()-3&gt;MAX(FC$4:FC$40),"",INDEX(FB$4:FB$40,MATCH(ROW()-3,FC$4:FC$40,0)))</f>
        <v>#N/A</v>
      </c>
      <c r="FE35" t="str">
        <f>IF('Final Calculation Sheet'!$AE$35="","",'Final Calculation Sheet'!$AE$35)</f>
        <v>DR2640100027</v>
      </c>
      <c r="FF35">
        <f>IF(FE35="","",COUNTIFS(FE$4:FE$40,"&lt;"&amp;FE35,FE$4:FE$40,"&lt;&gt;"&amp;"")+COUNTIF(FE$4:FE35,FE35))</f>
        <v>16</v>
      </c>
      <c r="FG35" t="str">
        <f>IF(ROW()-3&gt;COUNTIF(FE$4:FE$40,"&lt;&gt;"&amp;""),"",INDEX(FE$4:FE$40,MATCH(ROW()-3,FF$4:FF$40,0)))</f>
        <v>DR2640100043</v>
      </c>
      <c r="FH35" t="e">
        <f>FH34+IF(AND(FG35&lt;&gt;"",COUNTIF(FG$4:FG35,FG35)=1),1,0)</f>
        <v>#N/A</v>
      </c>
      <c r="FI35" t="e">
        <f>IF(ROW()-3&gt;MAX(FH$4:FH$40),"",INDEX(FG$4:FG$40,MATCH(ROW()-3,FH$4:FH$40,0)))</f>
        <v>#N/A</v>
      </c>
      <c r="FJ35" s="141">
        <f>IF('Final Calculation Sheet'!$AF$35="","",'Final Calculation Sheet'!$AF$35)</f>
        <v>1800003248</v>
      </c>
      <c r="FK35">
        <f>IF(FJ35="","",COUNTIFS(FJ$4:FJ$40,"&lt;"&amp;FJ35,FJ$4:FJ$40,"&lt;&gt;"&amp;"")+COUNTIF(FJ$4:FJ35,FJ35))</f>
        <v>11</v>
      </c>
      <c r="FL35" s="141">
        <f>IF(ROW()-3&gt;COUNTIF(FJ$4:FJ$40,"&lt;&gt;"&amp;""),"",INDEX(FJ$4:FJ$40,MATCH(ROW()-3,FK$4:FK$40,0)))</f>
        <v>1800003347</v>
      </c>
      <c r="FM35">
        <f>FM34+IF(AND(FL35&lt;&gt;"",COUNTIF(FL$4:FL35,FL35)=1),1,0)</f>
        <v>32</v>
      </c>
      <c r="FN35" t="e">
        <f>IF(ROW()-3&gt;MAX(FM$4:FM$40),"",INDEX(FL$4:FL$40,MATCH(ROW()-3,FM$4:FM$40,0)))</f>
        <v>#N/A</v>
      </c>
      <c r="FO35" t="str">
        <f>IF('Final Calculation Sheet'!$AG$35="","",'Final Calculation Sheet'!$AG$35)</f>
        <v>20.08.2026</v>
      </c>
      <c r="FP35">
        <f>IF(FO35="","",COUNTIFS(FO$4:FO$40,"&lt;"&amp;FO35,FO$4:FO$40,"&lt;&gt;"&amp;"")+COUNTIF(FO$4:FO35,FO35))</f>
        <v>16</v>
      </c>
      <c r="FQ35" t="str">
        <f>IF(ROW()-3&gt;COUNTIF(FO$4:FO$40,"&lt;&gt;"&amp;""),"",INDEX(FO$4:FO$40,MATCH(ROW()-3,FP$4:FP$40,0)))</f>
        <v>27.08.2026</v>
      </c>
      <c r="FR35" t="e">
        <f>FR34+IF(AND(FQ35&lt;&gt;"",COUNTIF(FQ$4:FQ35,FQ35)=1),1,0)</f>
        <v>#N/A</v>
      </c>
      <c r="FS35" t="e">
        <f>IF(ROW()-3&gt;MAX(FR$4:FR$40),"",INDEX(FQ$4:FQ$40,MATCH(ROW()-3,FR$4:FR$40,0)))</f>
        <v>#N/A</v>
      </c>
      <c r="FU35" t="str">
        <f>IF(FT35="","",COUNTIFS(FT$4:FT$40,"&lt;"&amp;FT35,FT$4:FT$40,"&lt;&gt;"&amp;"")+COUNTIF(FT$4:FT35,FT35))</f>
        <v/>
      </c>
      <c r="FV35" t="str">
        <f>IF(ROW()-3&gt;COUNTIF(FT$4:FT$40,"&lt;&gt;"&amp;""),"",INDEX(FT$4:FT$40,MATCH(ROW()-3,FU$4:FU$40,0)))</f>
        <v/>
      </c>
      <c r="FW35">
        <f>FW34+IF(AND(FV35&lt;&gt;"",COUNTIF(FV$4:FV35,FV35)=1),1,0)</f>
        <v>2</v>
      </c>
      <c r="FX35" t="str">
        <f>IF(ROW()-3&gt;MAX(FW$4:FW$40),"",INDEX(FV$4:FV$40,MATCH(ROW()-3,FW$4:FW$40,0)))</f>
        <v/>
      </c>
    </row>
    <row r="36">
      <c r="A36">
        <f>IF('Final Calculation Sheet'!$F$36="","",'Final Calculation Sheet'!$F$36)</f>
        <v>2069</v>
      </c>
      <c r="B36">
        <f>IF(A36="","",COUNTIFS(A$4:A$114,"&lt;"&amp;A36,A$4:A$114,"&lt;&gt;"&amp;"")+COUNTIF(A$4:A36,A36))</f>
        <v>33</v>
      </c>
      <c r="C36">
        <f>IF(ROW()-3&gt;COUNTIF(A$4:A$114,"&lt;&gt;"&amp;""),"",INDEX(A$4:A$114,MATCH(ROW()-3,B$4:B$114,0)))</f>
        <v>2069</v>
      </c>
      <c r="D36">
        <f>D35+IF(AND(C36&lt;&gt;"",COUNTIF(C$4:C36,C36)=1),1,0)</f>
        <v>33</v>
      </c>
      <c r="E36" t="e">
        <f>IF(ROW()-3&gt;MAX(D$4:D$114),"",INDEX(C$4:C$114,MATCH(ROW()-3,D$4:D$114,0)))</f>
        <v>#N/A</v>
      </c>
      <c r="F36">
        <f>ROW()-3</f>
        <v>33</v>
      </c>
      <c r="G36">
        <f>IF(F36="","",COUNTIFS(F$4:F$40,"&lt;"&amp;F36,F$4:F$40,"&lt;&gt;"&amp;"")+COUNTIF(F$4:F36,F36))</f>
        <v>33</v>
      </c>
      <c r="H36">
        <f>IF(ROW()-3&gt;COUNTIF(F$4:F$40,"&lt;&gt;"&amp;""),"",INDEX(F$4:F$40,MATCH(ROW()-3,G$4:G$40,0)))</f>
        <v>33</v>
      </c>
      <c r="I36">
        <f>I35+IF(AND(H36&lt;&gt;"",COUNTIF(H$4:H36,H36)=1),1,0)</f>
        <v>33</v>
      </c>
      <c r="J36">
        <f>IF(ROW()-3&gt;MAX(I$4:I$40),"",INDEX(H$4:H$40,MATCH(ROW()-3,I$4:I$40,0)))</f>
        <v>33</v>
      </c>
      <c r="K36">
        <f>IF('Final Calculation Sheet'!$F$36="","",'Final Calculation Sheet'!$F$36)</f>
        <v>2069</v>
      </c>
      <c r="L36">
        <f>IF(K36="","",COUNTIFS(K$4:K$40,"&lt;"&amp;K36,K$4:K$40,"&lt;&gt;"&amp;"")+COUNTIF(K$4:K36,K36))</f>
        <v>33</v>
      </c>
      <c r="M36">
        <f>IF(ROW()-3&gt;COUNTIF(K$4:K$40,"&lt;&gt;"&amp;""),"",INDEX(K$4:K$40,MATCH(ROW()-3,L$4:L$40,0)))</f>
        <v>2069</v>
      </c>
      <c r="N36">
        <f>N35+IF(AND(M36&lt;&gt;"",COUNTIF(M$4:M36,M36)=1),1,0)</f>
        <v>33</v>
      </c>
      <c r="O36">
        <f>IF(ROW()-3&gt;MAX(N$4:N$40),"",INDEX(M$4:M$40,MATCH(ROW()-3,N$4:N$40,0)))</f>
        <v>2069</v>
      </c>
      <c r="P36" t="str">
        <f>IF('Final Calculation Sheet'!$G$36="","",'Final Calculation Sheet'!$G$36)</f>
        <v>STERLING ENTERPRISES</v>
      </c>
      <c r="Q36">
        <f>IF(P36="","",COUNTIFS(P$4:P$40,"&lt;"&amp;P36,P$4:P$40,"&lt;&gt;"&amp;"")+COUNTIF(P$4:P36,P36))</f>
        <v>34</v>
      </c>
      <c r="R36" t="str">
        <f>IF(ROW()-3&gt;COUNTIF(P$4:P$40,"&lt;&gt;"&amp;""),"",INDEX(P$4:P$40,MATCH(ROW()-3,Q$4:Q$40,0)))</f>
        <v>STERLING ENTERPRISES</v>
      </c>
      <c r="S36">
        <f>S35+IF(AND(R36&lt;&gt;"",COUNTIF(R$4:R36,R36)=1),1,0)</f>
        <v>12</v>
      </c>
      <c r="T36" t="str">
        <f>IF(ROW()-3&gt;MAX(S$4:S$40),"",INDEX(R$4:R$40,MATCH(ROW()-3,S$4:S$40,0)))</f>
        <v/>
      </c>
      <c r="U36" t="str">
        <f>IF('Final Calculation Sheet'!$B$36="","",'Final Calculation Sheet'!$B$36)</f>
        <v>Scrap of 33 KV CB</v>
      </c>
      <c r="V36">
        <f>IF(U36="","",COUNTIFS(U$4:U$40,"&lt;"&amp;U36,U$4:U$40,"&lt;&gt;"&amp;"")+COUNTIF(U$4:U36,U36))</f>
        <v>19</v>
      </c>
      <c r="W36" t="str">
        <f>IF(ROW()-3&gt;COUNTIF(U$4:U$40,"&lt;&gt;"&amp;""),"",INDEX(U$4:U$40,MATCH(ROW()-3,V$4:V$40,0)))</f>
        <v>Scrap of empty oil drums</v>
      </c>
      <c r="X36">
        <f>X35+IF(AND(W36&lt;&gt;"",COUNTIF(W$4:W36,W36)=1),1,0)</f>
        <v>23</v>
      </c>
      <c r="Y36" t="str">
        <f>IF(ROW()-3&gt;MAX(X$4:X$40),"",INDEX(W$4:W$40,MATCH(ROW()-3,X$4:X$40,0)))</f>
        <v/>
      </c>
      <c r="Z36">
        <f>IF('Final Calculation Sheet'!$D$36="","",'Final Calculation Sheet'!$D$36)</f>
        <v>21980</v>
      </c>
      <c r="AA36">
        <f>IF(Z36="","",COUNTIFS(Z$4:Z$40,"&lt;"&amp;Z36,Z$4:Z$40,"&lt;&gt;"&amp;"")+COUNTIF(Z$4:Z36,Z36))</f>
        <v>33</v>
      </c>
      <c r="AB36">
        <f>IF(ROW()-3&gt;COUNTIF(Z$4:Z$40,"&lt;&gt;"&amp;""),"",INDEX(Z$4:Z$40,MATCH(ROW()-3,AA$4:AA$40,0)))</f>
        <v>21980</v>
      </c>
      <c r="AC36">
        <f>AC35+IF(AND(AB36&lt;&gt;"",COUNTIF(AB$4:AB36,AB36)=1),1,0)</f>
        <v>4</v>
      </c>
      <c r="AD36" t="str">
        <f>IF(ROW()-3&gt;MAX(AC$4:AC$40),"",INDEX(AB$4:AB$40,MATCH(ROW()-3,AC$4:AC$40,0)))</f>
        <v/>
      </c>
      <c r="AE36">
        <f>IF('Final Calculation Sheet'!$A$36="","",'Final Calculation Sheet'!$A$36)</f>
        <v>1</v>
      </c>
      <c r="AF36">
        <f>IF(AE36="","",COUNTIFS(AE$4:AE$40,"&lt;"&amp;AE36,AE$4:AE$40,"&lt;&gt;"&amp;"")+COUNTIF(AE$4:AE36,AE36))</f>
        <v>9</v>
      </c>
      <c r="AG36">
        <f>IF(ROW()-3&gt;COUNTIF(AE$4:AE$40,"&lt;&gt;"&amp;""),"",INDEX(AE$4:AE$40,MATCH(ROW()-3,AF$4:AF$40,0)))</f>
        <v>670</v>
      </c>
      <c r="AH36">
        <f>AH35+IF(AND(AG36&lt;&gt;"",COUNTIF(AG$4:AG36,AG36)=1),1,0)</f>
        <v>18</v>
      </c>
      <c r="AI36" t="str">
        <f>IF(ROW()-3&gt;MAX(AH$4:AH$40),"",INDEX(AG$4:AG$40,MATCH(ROW()-3,AH$4:AH$40,0)))</f>
        <v/>
      </c>
      <c r="AJ36" t="str">
        <f>IF('Final Calculation Sheet'!$E$36="","",'Final Calculation Sheet'!$E$36)</f>
        <v>NO</v>
      </c>
      <c r="AK36">
        <f>IF(AJ36="","",COUNTIFS(AJ$4:AJ$40,"&lt;"&amp;AJ36,AJ$4:AJ$40,"&lt;&gt;"&amp;"")+COUNTIF(AJ$4:AJ36,AJ36))</f>
        <v>33</v>
      </c>
      <c r="AL36" t="str">
        <f>IF(ROW()-3&gt;COUNTIF(AJ$4:AJ$40,"&lt;&gt;"&amp;""),"",INDEX(AJ$4:AJ$40,MATCH(ROW()-3,AK$4:AK$40,0)))</f>
        <v>NO</v>
      </c>
      <c r="AM36">
        <f>AM35+IF(AND(AL36&lt;&gt;"",COUNTIF(AL$4:AL36,AL36)=1),1,0)</f>
        <v>3</v>
      </c>
      <c r="AN36" t="str">
        <f>IF(ROW()-3&gt;MAX(AM$4:AM$40),"",INDEX(AL$4:AL$40,MATCH(ROW()-3,AM$4:AM$40,0)))</f>
        <v/>
      </c>
      <c r="AO36" s="55">
        <f>IF('Final Calculation Sheet'!$C$36="","",'Final Calculation Sheet'!$C$36)</f>
        <v>54000</v>
      </c>
      <c r="AP36">
        <f>IF(AO36="","",COUNTIFS(AO$4:AO$40,"&lt;"&amp;AO36,AO$4:AO$40,"&lt;&gt;"&amp;"")+COUNTIF(AO$4:AO36,AO36))</f>
        <v>24</v>
      </c>
      <c r="AQ36" s="55">
        <f>IF(ROW()-3&gt;COUNTIF(AO$4:AO$40,"&lt;&gt;"&amp;""),"",INDEX(AO$4:AO$40,MATCH(ROW()-3,AP$4:AP$40,0)))</f>
        <v>110200</v>
      </c>
      <c r="AR36">
        <f>AR35+IF(AND(AQ36&lt;&gt;"",COUNTIF(AQ$4:AQ36,AQ36)=1),1,0)</f>
        <v>31</v>
      </c>
      <c r="AS36" s="55">
        <f>IF(ROW()-3&gt;MAX(AR$4:AR$40),"",INDEX(AQ$4:AQ$40,MATCH(ROW()-3,AR$4:AR$40,0)))</f>
        <v>220001</v>
      </c>
      <c r="AT36" s="55">
        <f>IF('Final Calculation Sheet'!$H$36="","",'Final Calculation Sheet'!$H$36)</f>
        <v>54000</v>
      </c>
      <c r="AU36">
        <f>IF(AT36="","",COUNTIFS(AT$4:AT$40,"&lt;"&amp;AT36,AT$4:AT$40,"&lt;&gt;"&amp;"")+COUNTIF(AT$4:AT36,AT36))</f>
        <v>10</v>
      </c>
      <c r="AV36" s="55">
        <f>IF(ROW()-3&gt;COUNTIF(AT$4:AT$40,"&lt;&gt;"&amp;""),"",INDEX(AT$4:AT$40,MATCH(ROW()-3,AU$4:AU$40,0)))</f>
        <v>790089</v>
      </c>
      <c r="AW36">
        <f>AW35+IF(AND(AV36&lt;&gt;"",COUNTIF(AV$4:AV36,AV36)=1),1,0)</f>
        <v>33</v>
      </c>
      <c r="AX36" s="55">
        <f>IF(ROW()-3&gt;MAX(AW$4:AW$40),"",INDEX(AV$4:AV$40,MATCH(ROW()-3,AW$4:AW$40,0)))</f>
        <v>790089</v>
      </c>
      <c r="AY36" s="55">
        <f>IF('Final Calculation Sheet'!$I$36="","",'Final Calculation Sheet'!$I$36)</f>
        <v>9720</v>
      </c>
      <c r="AZ36">
        <f>IF(AY36="","",COUNTIFS(AY$4:AY$40,"&lt;"&amp;AY36,AY$4:AY$40,"&lt;&gt;"&amp;"")+COUNTIF(AY$4:AY36,AY36))</f>
        <v>10</v>
      </c>
      <c r="BA36" s="55">
        <f>IF(ROW()-3&gt;COUNTIF(AY$4:AY$40,"&lt;&gt;"&amp;""),"",INDEX(AY$4:AY$40,MATCH(ROW()-3,AZ$4:AZ$40,0)))</f>
        <v>142216</v>
      </c>
      <c r="BB36">
        <f>BB35+IF(AND(BA36&lt;&gt;"",COUNTIF(BA$4:BA36,BA36)=1),1,0)</f>
        <v>33</v>
      </c>
      <c r="BC36" s="55">
        <f>IF(ROW()-3&gt;MAX(BB$4:BB$40),"",INDEX(BA$4:BA$40,MATCH(ROW()-3,BB$4:BB$40,0)))</f>
        <v>142216</v>
      </c>
      <c r="BD36" s="55">
        <f>IF('Final Calculation Sheet'!$J$36="","",'Final Calculation Sheet'!$J$36)</f>
        <v>63720</v>
      </c>
      <c r="BE36">
        <f>IF(BD36="","",COUNTIFS(BD$4:BD$40,"&lt;"&amp;BD36,BD$4:BD$40,"&lt;&gt;"&amp;"")+COUNTIF(BD$4:BD36,BD36))</f>
        <v>10</v>
      </c>
      <c r="BF36" s="55">
        <f>IF(ROW()-3&gt;COUNTIF(BD$4:BD$40,"&lt;&gt;"&amp;""),"",INDEX(BD$4:BD$40,MATCH(ROW()-3,BE$4:BE$40,0)))</f>
        <v>932305</v>
      </c>
      <c r="BG36">
        <f>BG35+IF(AND(BF36&lt;&gt;"",COUNTIF(BF$4:BF36,BF36)=1),1,0)</f>
        <v>33</v>
      </c>
      <c r="BH36" s="55">
        <f>IF(ROW()-3&gt;MAX(BG$4:BG$40),"",INDEX(BF$4:BF$40,MATCH(ROW()-3,BG$4:BG$40,0)))</f>
        <v>932305</v>
      </c>
      <c r="BI36" s="55">
        <f>IF('Final Calculation Sheet'!$K$36="","",'Final Calculation Sheet'!$K$36)</f>
        <v>1274</v>
      </c>
      <c r="BJ36">
        <f>IF(BI36="","",COUNTIFS(BI$4:BI$40,"&lt;"&amp;BI36,BI$4:BI$40,"&lt;&gt;"&amp;"")+COUNTIF(BI$4:BI36,BI36))</f>
        <v>10</v>
      </c>
      <c r="BK36" s="55">
        <f>IF(ROW()-3&gt;COUNTIF(BI$4:BI$40,"&lt;&gt;"&amp;""),"",INDEX(BI$4:BI$40,MATCH(ROW()-3,BJ$4:BJ$40,0)))</f>
        <v>18646</v>
      </c>
      <c r="BL36">
        <f>BL35+IF(AND(BK36&lt;&gt;"",COUNTIF(BK$4:BK36,BK36)=1),1,0)</f>
        <v>32</v>
      </c>
      <c r="BM36" s="55">
        <f>IF(ROW()-3&gt;MAX(BL$4:BL$40),"",INDEX(BK$4:BK$40,MATCH(ROW()-3,BL$4:BL$40,0)))</f>
        <v>27506</v>
      </c>
      <c r="BN36" s="55">
        <f>IF('Final Calculation Sheet'!$L$36="","",'Final Calculation Sheet'!$L$36)</f>
        <v>54</v>
      </c>
      <c r="BO36">
        <f>IF(BN36="","",COUNTIFS(BN$4:BN$40,"&lt;"&amp;BN36,BN$4:BN$40,"&lt;&gt;"&amp;"")+COUNTIF(BN$4:BN36,BN36))</f>
        <v>10</v>
      </c>
      <c r="BP36" s="55">
        <f>IF(ROW()-3&gt;COUNTIF(BN$4:BN$40,"&lt;&gt;"&amp;""),"",INDEX(BN$4:BN$40,MATCH(ROW()-3,BO$4:BO$40,0)))</f>
        <v>790.08900000000006</v>
      </c>
      <c r="BQ36">
        <f>BQ35+IF(AND(BP36&lt;&gt;"",COUNTIF(BP$4:BP36,BP36)=1),1,0)</f>
        <v>33</v>
      </c>
      <c r="BR36" s="55">
        <f>IF(ROW()-3&gt;MAX(BQ$4:BQ$40),"",INDEX(BP$4:BP$40,MATCH(ROW()-3,BQ$4:BQ$40,0)))</f>
        <v>790.08900000000006</v>
      </c>
      <c r="BS36" s="55">
        <f>IF('Final Calculation Sheet'!$M$36="","",'Final Calculation Sheet'!$M$36)</f>
        <v>1433.6999999999998</v>
      </c>
      <c r="BT36">
        <f>IF(BS36="","",COUNTIFS(BS$4:BS$40,"&lt;"&amp;BS36,BS$4:BS$40,"&lt;&gt;"&amp;"")+COUNTIF(BS$4:BS36,BS36))</f>
        <v>10</v>
      </c>
      <c r="BU36" s="55">
        <f>IF(ROW()-3&gt;COUNTIF(BS$4:BS$40,"&lt;&gt;"&amp;""),"",INDEX(BS$4:BS$40,MATCH(ROW()-3,BT$4:BT$40,0)))</f>
        <v>20976.862949999999</v>
      </c>
      <c r="BV36">
        <f>BV35+IF(AND(BU36&lt;&gt;"",COUNTIF(BU$4:BU36,BU36)=1),1,0)</f>
        <v>33</v>
      </c>
      <c r="BW36" s="55">
        <f>IF(ROW()-3&gt;MAX(BV$4:BV$40),"",INDEX(BU$4:BU$40,MATCH(ROW()-3,BV$4:BV$40,0)))</f>
        <v>20976.862949999999</v>
      </c>
      <c r="BX36" s="138">
        <f>IF('Final Calculation Sheet'!$N$36="","",'Final Calculation Sheet'!$N$36)</f>
        <v>24.3</v>
      </c>
      <c r="BY36">
        <f>IF(BX36="","",COUNTIFS(BX$4:BX$40,"&lt;"&amp;BX36,BX$4:BX$40,"&lt;&gt;"&amp;"")+COUNTIF(BX$4:BX36,BX36))</f>
        <v>10</v>
      </c>
      <c r="BZ36" s="138">
        <f>IF(ROW()-3&gt;COUNTIF(BX$4:BX$40,"&lt;&gt;"&amp;""),"",INDEX(BX$4:BX$40,MATCH(ROW()-3,BY$4:BY$40,0)))</f>
        <v>355.54005000000001</v>
      </c>
      <c r="CA36">
        <f>CA35+IF(AND(BZ36&lt;&gt;"",COUNTIF(BZ$4:BZ36,BZ36)=1),1,0)</f>
        <v>33</v>
      </c>
      <c r="CB36" s="138">
        <f>IF(ROW()-3&gt;MAX(CA$4:CA$40),"",INDEX(BZ$4:BZ$40,MATCH(ROW()-3,CA$4:CA$40,0)))</f>
        <v>355.54005000000001</v>
      </c>
      <c r="CC36" s="55">
        <f>IF('Final Calculation Sheet'!$O$36="","",'Final Calculation Sheet'!$O$36)</f>
        <v>1409.3999999999999</v>
      </c>
      <c r="CD36">
        <f>IF(CC36="","",COUNTIFS(CC$4:CC$40,"&lt;"&amp;CC36,CC$4:CC$40,"&lt;&gt;"&amp;"")+COUNTIF(CC$4:CC36,CC36))</f>
        <v>10</v>
      </c>
      <c r="CE36" s="55">
        <f>IF(ROW()-3&gt;COUNTIF(CC$4:CC$40,"&lt;&gt;"&amp;""),"",INDEX(CC$4:CC$40,MATCH(ROW()-3,CD$4:CD$40,0)))</f>
        <v>20621.322899999999</v>
      </c>
      <c r="CF36">
        <f>CF35+IF(AND(CE36&lt;&gt;"",COUNTIF(CE$4:CE36,CE36)=1),1,0)</f>
        <v>33</v>
      </c>
      <c r="CG36" s="55">
        <f>IF(ROW()-3&gt;MAX(CF$4:CF$40),"",INDEX(CE$4:CE$40,MATCH(ROW()-3,CF$4:CF$40,0)))</f>
        <v>20621.322899999999</v>
      </c>
      <c r="CH36" s="55">
        <f>IF('Final Calculation Sheet'!$P$36="","",'Final Calculation Sheet'!$P$36)</f>
        <v>1463</v>
      </c>
      <c r="CI36">
        <f>IF(CH36="","",COUNTIFS(CH$4:CH$40,"&lt;"&amp;CH36,CH$4:CH$40,"&lt;&gt;"&amp;"")+COUNTIF(CH$4:CH36,CH36))</f>
        <v>10</v>
      </c>
      <c r="CJ36" s="55">
        <f>IF(ROW()-3&gt;COUNTIF(CH$4:CH$40,"&lt;&gt;"&amp;""),"",INDEX(CH$4:CH$40,MATCH(ROW()-3,CI$4:CI$40,0)))</f>
        <v>21411</v>
      </c>
      <c r="CK36">
        <f>CK35+IF(AND(CJ36&lt;&gt;"",COUNTIF(CJ$4:CJ36,CJ36)=1),1,0)</f>
        <v>32</v>
      </c>
      <c r="CL36" s="55">
        <f>IF(ROW()-3&gt;MAX(CK$4:CK$40),"",INDEX(CJ$4:CJ$40,MATCH(ROW()-3,CK$4:CK$40,0)))</f>
        <v>31585</v>
      </c>
      <c r="CM36" s="139">
        <f>IF('Final Calculation Sheet'!$Q$36="","",'Final Calculation Sheet'!$Q$36)</f>
        <v>0</v>
      </c>
      <c r="CN36">
        <f>IF(CM36="","",COUNTIFS(CM$4:CM$40,"&lt;"&amp;CM36,CM$4:CM$40,"&lt;&gt;"&amp;"")+COUNTIF(CM$4:CM36,CM36))</f>
        <v>29</v>
      </c>
      <c r="CO36" s="139">
        <f>IF(ROW()-3&gt;COUNTIF(CM$4:CM$40,"&lt;&gt;"&amp;""),"",INDEX(CM$4:CM$40,MATCH(ROW()-3,CN$4:CN$40,0)))</f>
        <v>0</v>
      </c>
      <c r="CP36">
        <f>CP35+IF(AND(CO36&lt;&gt;"",COUNTIF(CO$4:CO36,CO36)=1),1,0)</f>
        <v>1</v>
      </c>
      <c r="CQ36" t="str">
        <f>IF(ROW()-3&gt;MAX(CP$4:CP$40),"",INDEX(CO$4:CO$40,MATCH(ROW()-3,CP$4:CP$40,0)))</f>
        <v/>
      </c>
      <c r="CR36" s="55">
        <f>IF('Final Calculation Sheet'!$R$36="","",'Final Calculation Sheet'!$R$36)</f>
        <v>0</v>
      </c>
      <c r="CS36">
        <f>IF(CR36="","",COUNTIFS(CR$4:CR$40,"&lt;"&amp;CR36,CR$4:CR$40,"&lt;&gt;"&amp;"")+COUNTIF(CR$4:CR36,CR36))</f>
        <v>29</v>
      </c>
      <c r="CT36" s="55">
        <f>IF(ROW()-3&gt;COUNTIF(CR$4:CR$40,"&lt;&gt;"&amp;""),"",INDEX(CR$4:CR$40,MATCH(ROW()-3,CS$4:CS$40,0)))</f>
        <v>0</v>
      </c>
      <c r="CU36">
        <f>CU35+IF(AND(CT36&lt;&gt;"",COUNTIF(CT$4:CT36,CT36)=1),1,0)</f>
        <v>1</v>
      </c>
      <c r="CV36" t="str">
        <f>IF(ROW()-3&gt;MAX(CU$4:CU$40),"",INDEX(CT$4:CT$40,MATCH(ROW()-3,CU$4:CU$40,0)))</f>
        <v/>
      </c>
      <c r="CW36" s="55">
        <f>IF('Final Calculation Sheet'!$S$36="","",'Final Calculation Sheet'!$S$36)</f>
        <v>63531</v>
      </c>
      <c r="CX36">
        <f>IF(CW36="","",COUNTIFS(CW$4:CW$40,"&lt;"&amp;CW36,CW$4:CW$40,"&lt;&gt;"&amp;"")+COUNTIF(CW$4:CW36,CW36))</f>
        <v>10</v>
      </c>
      <c r="CY36" s="55">
        <f>IF(ROW()-3&gt;COUNTIF(CW$4:CW$40,"&lt;&gt;"&amp;""),"",INDEX(CW$4:CW$40,MATCH(ROW()-3,CX$4:CX$40,0)))</f>
        <v>913738</v>
      </c>
      <c r="CZ36">
        <f>CZ35+IF(AND(CY36&lt;&gt;"",COUNTIF(CY$4:CY36,CY36)=1),1,0)</f>
        <v>33</v>
      </c>
      <c r="DA36" s="55">
        <f>IF(ROW()-3&gt;MAX(CZ$4:CZ$40),"",INDEX(CY$4:CY$40,MATCH(ROW()-3,CZ$4:CZ$40,0)))</f>
        <v>913738</v>
      </c>
      <c r="DB36" s="55">
        <f>IF('Final Calculation Sheet'!$T$36="","",'Final Calculation Sheet'!$T$36)</f>
        <v>13500</v>
      </c>
      <c r="DC36">
        <f>IF(DB36="","",COUNTIFS(DB$4:DB$40,"&lt;"&amp;DB36,DB$4:DB$40,"&lt;&gt;"&amp;"")+COUNTIF(DB$4:DB36,DB36))</f>
        <v>10</v>
      </c>
      <c r="DD36" s="55">
        <f>IF(ROW()-3&gt;COUNTIF(DB$4:DB$40,"&lt;&gt;"&amp;""),"",INDEX(DB$4:DB$40,MATCH(ROW()-3,DC$4:DC$40,0)))</f>
        <v>197522</v>
      </c>
      <c r="DE36">
        <f>DE35+IF(AND(DD36&lt;&gt;"",COUNTIF(DD$4:DD36,DD36)=1),1,0)</f>
        <v>33</v>
      </c>
      <c r="DF36" s="55">
        <f>IF(ROW()-3&gt;MAX(DE$4:DE$40),"",INDEX(DD$4:DD$40,MATCH(ROW()-3,DE$4:DE$40,0)))</f>
        <v>197522</v>
      </c>
      <c r="DG36" s="140">
        <f>IF('Final Calculation Sheet'!$U$36="","",'Final Calculation Sheet'!$U$36)</f>
        <v>13500</v>
      </c>
      <c r="DH36">
        <f>IF(DG36="","",COUNTIFS(DG$4:DG$40,"&lt;"&amp;DG36,DG$4:DG$40,"&lt;&gt;"&amp;"")+COUNTIF(DG$4:DG36,DG36))</f>
        <v>10</v>
      </c>
      <c r="DI36" s="140">
        <f>IF(ROW()-3&gt;COUNTIF(DG$4:DG$40,"&lt;&gt;"&amp;""),"",INDEX(DG$4:DG$40,MATCH(ROW()-3,DH$4:DH$40,0)))</f>
        <v>197522</v>
      </c>
      <c r="DJ36">
        <f>DJ35+IF(AND(DI36&lt;&gt;"",COUNTIF(DI$4:DI36,DI36)=1),1,0)</f>
        <v>33</v>
      </c>
      <c r="DK36" s="140">
        <f>IF(ROW()-3&gt;MAX(DJ$4:DJ$40),"",INDEX(DI$4:DI$40,MATCH(ROW()-3,DJ$4:DJ$40,0)))</f>
        <v>197522</v>
      </c>
      <c r="DL36" t="str">
        <f>IF('Final Calculation Sheet'!$V$36="","",'Final Calculation Sheet'!$V$36)</f>
        <v>11.08.2026</v>
      </c>
      <c r="DM36">
        <f>IF(DL36="","",COUNTIFS(DL$4:DL$40,"&lt;"&amp;DL36,DL$4:DL$40,"&lt;&gt;"&amp;"")+COUNTIF(DL$4:DL36,DL36))</f>
        <v>11</v>
      </c>
      <c r="DN36" t="str">
        <f>IF(ROW()-3&gt;COUNTIF(DL$4:DL$40,"&lt;&gt;"&amp;""),"",INDEX(DL$4:DL$40,MATCH(ROW()-3,DM$4:DM$40,0)))</f>
        <v>14.08.2026</v>
      </c>
      <c r="DO36">
        <f>DO35+IF(AND(DN36&lt;&gt;"",COUNTIF(DN$4:DN36,DN36)=1),1,0)</f>
        <v>4</v>
      </c>
      <c r="DP36" t="str">
        <f>IF(ROW()-3&gt;MAX(DO$4:DO$40),"",INDEX(DN$4:DN$40,MATCH(ROW()-3,DO$4:DO$40,0)))</f>
        <v/>
      </c>
      <c r="DQ36" s="55">
        <f>IF('Final Calculation Sheet'!$W$36="","",'Final Calculation Sheet'!$W$36)</f>
        <v>50031</v>
      </c>
      <c r="DR36">
        <f>IF(DQ36="","",COUNTIFS(DQ$4:DQ$40,"&lt;"&amp;DQ36,DQ$4:DQ$40,"&lt;&gt;"&amp;"")+COUNTIF(DQ$4:DQ36,DQ36))</f>
        <v>10</v>
      </c>
      <c r="DS36" s="55">
        <f>IF(ROW()-3&gt;COUNTIF(DQ$4:DQ$40,"&lt;&gt;"&amp;""),"",INDEX(DQ$4:DQ$40,MATCH(ROW()-3,DR$4:DR$40,0)))</f>
        <v>716215</v>
      </c>
      <c r="DT36">
        <f>DT35+IF(AND(DS36&lt;&gt;"",COUNTIF(DS$4:DS36,DS36)=1),1,0)</f>
        <v>33</v>
      </c>
      <c r="DU36" s="55">
        <f>IF(ROW()-3&gt;MAX(DT$4:DT$40),"",INDEX(DS$4:DS$40,MATCH(ROW()-3,DT$4:DT$40,0)))</f>
        <v>716215</v>
      </c>
      <c r="DV36" t="str">
        <f>IF('Final Calculation Sheet'!$X$36="","",'Final Calculation Sheet'!$X$36)</f>
        <v/>
      </c>
      <c r="DW36" t="str">
        <f>IF(DV36="","",COUNTIFS(DV$4:DV$40,"&lt;"&amp;DV36,DV$4:DV$40,"&lt;&gt;"&amp;"")+COUNTIF(DV$4:DV36,DV36))</f>
        <v/>
      </c>
      <c r="DX36" s="55">
        <f>IF(ROW()-3&gt;COUNTIF(DV$4:DV$40,"&lt;&gt;"&amp;""),"",INDEX(DV$4:DV$40,MATCH(ROW()-3,DW$4:DW$40,0)))</f>
        <v>2582447.0942916102</v>
      </c>
      <c r="DY36">
        <f>DY35+IF(AND(DX36&lt;&gt;"",COUNTIF(DX$4:DX36,DX36)=1),1,0)</f>
        <v>33</v>
      </c>
      <c r="DZ36" t="e">
        <f>IF(ROW()-3&gt;MAX(DY$4:DY$40),"",INDEX(DX$4:DX$40,MATCH(ROW()-3,DY$4:DY$40,0)))</f>
        <v>#N/A</v>
      </c>
      <c r="EA36" s="55">
        <f>IF('Final Calculation Sheet'!$Y$36="","",'Final Calculation Sheet'!$Y$36)</f>
        <v>0</v>
      </c>
      <c r="EB36">
        <f>IF(EA36="","",COUNTIFS(EA$4:EA$40,"&lt;"&amp;EA36,EA$4:EA$40,"&lt;&gt;"&amp;"")+COUNTIF(EA$4:EA36,EA36))</f>
        <v>3</v>
      </c>
      <c r="EC36" t="str">
        <f>IF(ROW()-3&gt;COUNTIF(EA$4:EA$40,"&lt;&gt;"&amp;""),"",INDEX(EA$4:EA$40,MATCH(ROW()-3,EB$4:EB$40,0)))</f>
        <v>24.08.2026</v>
      </c>
      <c r="ED36">
        <f>ED35+IF(AND(EC36&lt;&gt;"",COUNTIF(EC$4:EC36,EC36)=1),1,0)</f>
        <v>9</v>
      </c>
      <c r="EE36" t="e">
        <f>IF(ROW()-3&gt;MAX(ED$4:ED$40),"",INDEX(EC$4:EC$40,MATCH(ROW()-3,ED$4:ED$40,0)))</f>
        <v>#N/A</v>
      </c>
      <c r="EF36" s="55">
        <f>IF('Final Calculation Sheet'!$Z$36="","",'Final Calculation Sheet'!$Z$36)</f>
        <v>1911.6</v>
      </c>
      <c r="EG36">
        <f>IF(EF36="","",COUNTIFS(EF$4:EF$40,"&lt;"&amp;EF36,EF$4:EF$40,"&lt;&gt;"&amp;"")+COUNTIF(EF$4:EF36,EF36))</f>
        <v>34</v>
      </c>
      <c r="EH36" s="55">
        <f>IF(ROW()-3&gt;COUNTIF(EF$4:EF$40,"&lt;&gt;"&amp;""),"",INDEX(EF$4:EF$40,MATCH(ROW()-3,EG$4:EG$40,0)))</f>
        <v>708.28319999999997</v>
      </c>
      <c r="EI36">
        <f>EI35+IF(AND(EH36&lt;&gt;"",COUNTIF(EH$4:EH36,EH36)=1),1,0)</f>
        <v>2</v>
      </c>
      <c r="EJ36" t="str">
        <f>IF(ROW()-3&gt;MAX(EI$4:EI$40),"",INDEX(EH$4:EH$40,MATCH(ROW()-3,EI$4:EI$40,0)))</f>
        <v/>
      </c>
      <c r="EK36" t="str">
        <f>IF('Final Calculation Sheet'!$AA$36="","",'Final Calculation Sheet'!$AA$36)</f>
        <v/>
      </c>
      <c r="EL36" t="str">
        <f>IF(EK36="","",COUNTIFS(EK$4:EK$40,"&lt;"&amp;EK36,EK$4:EK$40,"&lt;&gt;"&amp;"")+COUNTIF(EK$4:EK36,EK36))</f>
        <v/>
      </c>
      <c r="EM36" t="e">
        <f>IF(ROW()-3&gt;COUNTIF(EK$4:EK$40,"&lt;&gt;"&amp;""),"",INDEX(EK$4:EK$40,MATCH(ROW()-3,EL$4:EL$40,0)))</f>
        <v>#N/A</v>
      </c>
      <c r="EN36" t="e">
        <f>EN35+IF(AND(EM36&lt;&gt;"",COUNTIF(EM$4:EM36,EM36)=1),1,0)</f>
        <v>#N/A</v>
      </c>
      <c r="EO36" t="e">
        <f>IF(ROW()-3&gt;MAX(EN$4:EN$40),"",INDEX(EM$4:EM$40,MATCH(ROW()-3,EN$4:EN$40,0)))</f>
        <v>#N/A</v>
      </c>
      <c r="EP36" t="str">
        <f>IF('Final Calculation Sheet'!$AB$36="","",'Final Calculation Sheet'!$AB$36)</f>
        <v/>
      </c>
      <c r="EQ36" t="str">
        <f>IF(EP36="","",COUNTIFS(EP$4:EP$40,"&lt;"&amp;EP36,EP$4:EP$40,"&lt;&gt;"&amp;"")+COUNTIF(EP$4:EP36,EP36))</f>
        <v/>
      </c>
      <c r="ER36" t="e">
        <f>IF(ROW()-3&gt;COUNTIF(EP$4:EP$40,"&lt;&gt;"&amp;""),"",INDEX(EP$4:EP$40,MATCH(ROW()-3,EQ$4:EQ$40,0)))</f>
        <v>#N/A</v>
      </c>
      <c r="ES36" t="e">
        <f>ES35+IF(AND(ER36&lt;&gt;"",COUNTIF(ER$4:ER36,ER36)=1),1,0)</f>
        <v>#N/A</v>
      </c>
      <c r="ET36" t="e">
        <f>IF(ROW()-3&gt;MAX(ES$4:ES$40),"",INDEX(ER$4:ER$40,MATCH(ROW()-3,ES$4:ES$40,0)))</f>
        <v>#N/A</v>
      </c>
      <c r="EU36" s="55">
        <f>IF('Final Calculation Sheet'!$AC$36="","",'Final Calculation Sheet'!$AC$36)</f>
        <v>13500</v>
      </c>
      <c r="EV36">
        <f>IF(EU36="","",COUNTIFS(EU$4:EU$40,"&lt;"&amp;EU36,EU$4:EU$40,"&lt;&gt;"&amp;"")+COUNTIF(EU$4:EU36,EU36))</f>
        <v>1</v>
      </c>
      <c r="EW36" s="55">
        <f>IF(ROW()-3&gt;COUNTIF(EU$4:EU$40,"&lt;&gt;"&amp;""),"",INDEX(EU$4:EU$40,MATCH(ROW()-3,EV$4:EV$40,0)))</f>
        <v>913738</v>
      </c>
      <c r="EX36">
        <f>EX35+IF(AND(EW36&lt;&gt;"",COUNTIF(EW$4:EW36,EW36)=1),1,0)</f>
        <v>33</v>
      </c>
      <c r="EY36" s="55">
        <f>IF(ROW()-3&gt;MAX(EX$4:EX$40),"",INDEX(EW$4:EW$40,MATCH(ROW()-3,EX$4:EX$40,0)))</f>
        <v>913738</v>
      </c>
      <c r="EZ36" s="55">
        <f>IF('Final Calculation Sheet'!$AD$36="","",'Final Calculation Sheet'!$AD$36)</f>
        <v>50031</v>
      </c>
      <c r="FA36">
        <f>IF(EZ36="","",COUNTIFS(EZ$4:EZ$40,"&lt;"&amp;EZ36,EZ$4:EZ$40,"&lt;&gt;"&amp;"")+COUNTIF(EZ$4:EZ36,EZ36))</f>
        <v>35</v>
      </c>
      <c r="FB36" s="55">
        <f>IF(ROW()-3&gt;COUNTIF(EZ$4:EZ$40,"&lt;&gt;"&amp;""),"",INDEX(EZ$4:EZ$40,MATCH(ROW()-3,FA$4:FA$40,0)))</f>
        <v>1</v>
      </c>
      <c r="FC36" t="e">
        <f>FC35+IF(AND(FB36&lt;&gt;"",COUNTIF(FB$4:FB36,FB36)=1),1,0)</f>
        <v>#N/A</v>
      </c>
      <c r="FD36" t="e">
        <f>IF(ROW()-3&gt;MAX(FC$4:FC$40),"",INDEX(FB$4:FB$40,MATCH(ROW()-3,FC$4:FC$40,0)))</f>
        <v>#N/A</v>
      </c>
      <c r="FE36" t="str">
        <f>IF('Final Calculation Sheet'!$AE$36="","",'Final Calculation Sheet'!$AE$36)</f>
        <v/>
      </c>
      <c r="FF36" t="str">
        <f>IF(FE36="","",COUNTIFS(FE$4:FE$40,"&lt;"&amp;FE36,FE$4:FE$40,"&lt;&gt;"&amp;"")+COUNTIF(FE$4:FE36,FE36))</f>
        <v/>
      </c>
      <c r="FG36" t="str">
        <f>IF(ROW()-3&gt;COUNTIF(FE$4:FE$40,"&lt;&gt;"&amp;""),"",INDEX(FE$4:FE$40,MATCH(ROW()-3,FF$4:FF$40,0)))</f>
        <v>DR2640100044</v>
      </c>
      <c r="FH36" t="e">
        <f>FH35+IF(AND(FG36&lt;&gt;"",COUNTIF(FG$4:FG36,FG36)=1),1,0)</f>
        <v>#N/A</v>
      </c>
      <c r="FI36" t="e">
        <f>IF(ROW()-3&gt;MAX(FH$4:FH$40),"",INDEX(FG$4:FG$40,MATCH(ROW()-3,FH$4:FH$40,0)))</f>
        <v>#N/A</v>
      </c>
      <c r="FJ36" t="str">
        <f>IF('Final Calculation Sheet'!$AF$36="","",'Final Calculation Sheet'!$AF$36)</f>
        <v/>
      </c>
      <c r="FK36" t="str">
        <f>IF(FJ36="","",COUNTIFS(FJ$4:FJ$40,"&lt;"&amp;FJ36,FJ$4:FJ$40,"&lt;&gt;"&amp;"")+COUNTIF(FJ$4:FJ36,FJ36))</f>
        <v/>
      </c>
      <c r="FL36" t="e">
        <f>IF(ROW()-3&gt;COUNTIF(FJ$4:FJ$40,"&lt;&gt;"&amp;""),"",INDEX(FJ$4:FJ$40,MATCH(ROW()-3,FK$4:FK$40,0)))</f>
        <v>#N/A</v>
      </c>
      <c r="FM36" t="e">
        <f>FM35+IF(AND(FL36&lt;&gt;"",COUNTIF(FL$4:FL36,FL36)=1),1,0)</f>
        <v>#N/A</v>
      </c>
      <c r="FN36" t="e">
        <f>IF(ROW()-3&gt;MAX(FM$4:FM$40),"",INDEX(FL$4:FL$40,MATCH(ROW()-3,FM$4:FM$40,0)))</f>
        <v>#N/A</v>
      </c>
      <c r="FO36" t="str">
        <f>IF('Final Calculation Sheet'!$AG$36="","",'Final Calculation Sheet'!$AG$36)</f>
        <v/>
      </c>
      <c r="FP36" t="str">
        <f>IF(FO36="","",COUNTIFS(FO$4:FO$40,"&lt;"&amp;FO36,FO$4:FO$40,"&lt;&gt;"&amp;"")+COUNTIF(FO$4:FO36,FO36))</f>
        <v/>
      </c>
      <c r="FQ36" t="str">
        <f>IF(ROW()-3&gt;COUNTIF(FO$4:FO$40,"&lt;&gt;"&amp;""),"",INDEX(FO$4:FO$40,MATCH(ROW()-3,FP$4:FP$40,0)))</f>
        <v>27.08.2026</v>
      </c>
      <c r="FR36" t="e">
        <f>FR35+IF(AND(FQ36&lt;&gt;"",COUNTIF(FQ$4:FQ36,FQ36)=1),1,0)</f>
        <v>#N/A</v>
      </c>
      <c r="FS36" t="e">
        <f>IF(ROW()-3&gt;MAX(FR$4:FR$40),"",INDEX(FQ$4:FQ$40,MATCH(ROW()-3,FR$4:FR$40,0)))</f>
        <v>#N/A</v>
      </c>
      <c r="FU36" t="str">
        <f>IF(FT36="","",COUNTIFS(FT$4:FT$40,"&lt;"&amp;FT36,FT$4:FT$40,"&lt;&gt;"&amp;"")+COUNTIF(FT$4:FT36,FT36))</f>
        <v/>
      </c>
      <c r="FV36" t="str">
        <f>IF(ROW()-3&gt;COUNTIF(FT$4:FT$40,"&lt;&gt;"&amp;""),"",INDEX(FT$4:FT$40,MATCH(ROW()-3,FU$4:FU$40,0)))</f>
        <v/>
      </c>
      <c r="FW36">
        <f>FW35+IF(AND(FV36&lt;&gt;"",COUNTIF(FV$4:FV36,FV36)=1),1,0)</f>
        <v>2</v>
      </c>
      <c r="FX36" t="str">
        <f>IF(ROW()-3&gt;MAX(FW$4:FW$40),"",INDEX(FV$4:FV$40,MATCH(ROW()-3,FW$4:FW$40,0)))</f>
        <v/>
      </c>
    </row>
    <row r="37">
      <c r="A37">
        <f>IF('Final Calculation Sheet'!$F$37="","",'Final Calculation Sheet'!$F$37)</f>
        <v>2071</v>
      </c>
      <c r="B37">
        <f>IF(A37="","",COUNTIFS(A$4:A$114,"&lt;"&amp;A37,A$4:A$114,"&lt;&gt;"&amp;"")+COUNTIF(A$4:A37,A37))</f>
        <v>34</v>
      </c>
      <c r="C37">
        <f>IF(ROW()-3&gt;COUNTIF(A$4:A$114,"&lt;&gt;"&amp;""),"",INDEX(A$4:A$114,MATCH(ROW()-3,B$4:B$114,0)))</f>
        <v>2071</v>
      </c>
      <c r="D37">
        <f>D36+IF(AND(C37&lt;&gt;"",COUNTIF(C$4:C37,C37)=1),1,0)</f>
        <v>34</v>
      </c>
      <c r="E37" t="e">
        <f>IF(ROW()-3&gt;MAX(D$4:D$114),"",INDEX(C$4:C$114,MATCH(ROW()-3,D$4:D$114,0)))</f>
        <v>#N/A</v>
      </c>
      <c r="F37">
        <f>ROW()-3</f>
        <v>34</v>
      </c>
      <c r="G37">
        <f>IF(F37="","",COUNTIFS(F$4:F$40,"&lt;"&amp;F37,F$4:F$40,"&lt;&gt;"&amp;"")+COUNTIF(F$4:F37,F37))</f>
        <v>34</v>
      </c>
      <c r="H37">
        <f>IF(ROW()-3&gt;COUNTIF(F$4:F$40,"&lt;&gt;"&amp;""),"",INDEX(F$4:F$40,MATCH(ROW()-3,G$4:G$40,0)))</f>
        <v>34</v>
      </c>
      <c r="I37">
        <f>I36+IF(AND(H37&lt;&gt;"",COUNTIF(H$4:H37,H37)=1),1,0)</f>
        <v>34</v>
      </c>
      <c r="J37">
        <f>IF(ROW()-3&gt;MAX(I$4:I$40),"",INDEX(H$4:H$40,MATCH(ROW()-3,I$4:I$40,0)))</f>
        <v>34</v>
      </c>
      <c r="K37">
        <f>IF('Final Calculation Sheet'!$F$37="","",'Final Calculation Sheet'!$F$37)</f>
        <v>2071</v>
      </c>
      <c r="L37">
        <f>IF(K37="","",COUNTIFS(K$4:K$40,"&lt;"&amp;K37,K$4:K$40,"&lt;&gt;"&amp;"")+COUNTIF(K$4:K37,K37))</f>
        <v>34</v>
      </c>
      <c r="M37">
        <f>IF(ROW()-3&gt;COUNTIF(K$4:K$40,"&lt;&gt;"&amp;""),"",INDEX(K$4:K$40,MATCH(ROW()-3,L$4:L$40,0)))</f>
        <v>2071</v>
      </c>
      <c r="N37">
        <f>N36+IF(AND(M37&lt;&gt;"",COUNTIF(M$4:M37,M37)=1),1,0)</f>
        <v>34</v>
      </c>
      <c r="O37">
        <f>IF(ROW()-3&gt;MAX(N$4:N$40),"",INDEX(M$4:M$40,MATCH(ROW()-3,N$4:N$40,0)))</f>
        <v>2071</v>
      </c>
      <c r="P37" t="str">
        <f>IF('Final Calculation Sheet'!$G$37="","",'Final Calculation Sheet'!$G$37)</f>
        <v>NATIONAL ENTERPRISES</v>
      </c>
      <c r="Q37">
        <f>IF(P37="","",COUNTIFS(P$4:P$40,"&lt;"&amp;P37,P$4:P$40,"&lt;&gt;"&amp;"")+COUNTIF(P$4:P37,P37))</f>
        <v>19</v>
      </c>
      <c r="R37" t="str">
        <f>IF(ROW()-3&gt;COUNTIF(P$4:P$40,"&lt;&gt;"&amp;""),"",INDEX(P$4:P$40,MATCH(ROW()-3,Q$4:Q$40,0)))</f>
        <v>STERLING ENTERPRISES</v>
      </c>
      <c r="S37">
        <f>S36+IF(AND(R37&lt;&gt;"",COUNTIF(R$4:R37,R37)=1),1,0)</f>
        <v>12</v>
      </c>
      <c r="T37" t="str">
        <f>IF(ROW()-3&gt;MAX(S$4:S$40),"",INDEX(R$4:R$40,MATCH(ROW()-3,S$4:S$40,0)))</f>
        <v/>
      </c>
      <c r="U37" t="str">
        <f>IF('Final Calculation Sheet'!$B$37="","",'Final Calculation Sheet'!$B$37)</f>
        <v>Scrap of 66 KV Isolater</v>
      </c>
      <c r="V37">
        <f>IF(U37="","",COUNTIFS(U$4:U$40,"&lt;"&amp;U37,U$4:U$40,"&lt;&gt;"&amp;"")+COUNTIF(U$4:U37,U37))</f>
        <v>22</v>
      </c>
      <c r="W37" t="str">
        <f>IF(ROW()-3&gt;COUNTIF(U$4:U$40,"&lt;&gt;"&amp;""),"",INDEX(U$4:U$40,MATCH(ROW()-3,V$4:V$40,0)))</f>
        <v>Scrap of empty oil drums</v>
      </c>
      <c r="X37">
        <f>X36+IF(AND(W37&lt;&gt;"",COUNTIF(W$4:W37,W37)=1),1,0)</f>
        <v>23</v>
      </c>
      <c r="Y37" t="str">
        <f>IF(ROW()-3&gt;MAX(X$4:X$40),"",INDEX(W$4:W$40,MATCH(ROW()-3,X$4:X$40,0)))</f>
        <v/>
      </c>
      <c r="Z37">
        <f>IF('Final Calculation Sheet'!$D$37="","",'Final Calculation Sheet'!$D$37)</f>
        <v>21980</v>
      </c>
      <c r="AA37">
        <f>IF(Z37="","",COUNTIFS(Z$4:Z$40,"&lt;"&amp;Z37,Z$4:Z$40,"&lt;&gt;"&amp;"")+COUNTIF(Z$4:Z37,Z37))</f>
        <v>34</v>
      </c>
      <c r="AB37">
        <f>IF(ROW()-3&gt;COUNTIF(Z$4:Z$40,"&lt;&gt;"&amp;""),"",INDEX(Z$4:Z$40,MATCH(ROW()-3,AA$4:AA$40,0)))</f>
        <v>21980</v>
      </c>
      <c r="AC37">
        <f>AC36+IF(AND(AB37&lt;&gt;"",COUNTIF(AB$4:AB37,AB37)=1),1,0)</f>
        <v>4</v>
      </c>
      <c r="AD37" t="str">
        <f>IF(ROW()-3&gt;MAX(AC$4:AC$40),"",INDEX(AB$4:AB$40,MATCH(ROW()-3,AC$4:AC$40,0)))</f>
        <v/>
      </c>
      <c r="AE37">
        <f>IF('Final Calculation Sheet'!$A$37="","",'Final Calculation Sheet'!$A$37)</f>
        <v>3</v>
      </c>
      <c r="AF37">
        <f>IF(AE37="","",COUNTIFS(AE$4:AE$40,"&lt;"&amp;AE37,AE$4:AE$40,"&lt;&gt;"&amp;"")+COUNTIF(AE$4:AE37,AE37))</f>
        <v>16</v>
      </c>
      <c r="AG37">
        <f>IF(ROW()-3&gt;COUNTIF(AE$4:AE$40,"&lt;&gt;"&amp;""),"",INDEX(AE$4:AE$40,MATCH(ROW()-3,AF$4:AF$40,0)))</f>
        <v>1000</v>
      </c>
      <c r="AH37">
        <f>AH36+IF(AND(AG37&lt;&gt;"",COUNTIF(AG$4:AG37,AG37)=1),1,0)</f>
        <v>19</v>
      </c>
      <c r="AI37" t="str">
        <f>IF(ROW()-3&gt;MAX(AH$4:AH$40),"",INDEX(AG$4:AG$40,MATCH(ROW()-3,AH$4:AH$40,0)))</f>
        <v/>
      </c>
      <c r="AJ37" t="str">
        <f>IF('Final Calculation Sheet'!$E$37="","",'Final Calculation Sheet'!$E$37)</f>
        <v>NO</v>
      </c>
      <c r="AK37">
        <f>IF(AJ37="","",COUNTIFS(AJ$4:AJ$40,"&lt;"&amp;AJ37,AJ$4:AJ$40,"&lt;&gt;"&amp;"")+COUNTIF(AJ$4:AJ37,AJ37))</f>
        <v>34</v>
      </c>
      <c r="AL37" t="str">
        <f>IF(ROW()-3&gt;COUNTIF(AJ$4:AJ$40,"&lt;&gt;"&amp;""),"",INDEX(AJ$4:AJ$40,MATCH(ROW()-3,AK$4:AK$40,0)))</f>
        <v>NO</v>
      </c>
      <c r="AM37">
        <f>AM36+IF(AND(AL37&lt;&gt;"",COUNTIF(AL$4:AL37,AL37)=1),1,0)</f>
        <v>3</v>
      </c>
      <c r="AN37" t="str">
        <f>IF(ROW()-3&gt;MAX(AM$4:AM$40),"",INDEX(AL$4:AL$40,MATCH(ROW()-3,AM$4:AM$40,0)))</f>
        <v/>
      </c>
      <c r="AO37" s="55">
        <f>IF('Final Calculation Sheet'!$C$37="","",'Final Calculation Sheet'!$C$37)</f>
        <v>25001</v>
      </c>
      <c r="AP37">
        <f>IF(AO37="","",COUNTIFS(AO$4:AO$40,"&lt;"&amp;AO37,AO$4:AO$40,"&lt;&gt;"&amp;"")+COUNTIF(AO$4:AO37,AO37))</f>
        <v>19</v>
      </c>
      <c r="AQ37" s="55">
        <f>IF(ROW()-3&gt;COUNTIF(AO$4:AO$40,"&lt;&gt;"&amp;""),"",INDEX(AO$4:AO$40,MATCH(ROW()-3,AP$4:AP$40,0)))</f>
        <v>210001</v>
      </c>
      <c r="AR37">
        <f>AR36+IF(AND(AQ37&lt;&gt;"",COUNTIF(AQ$4:AQ37,AQ37)=1),1,0)</f>
        <v>32</v>
      </c>
      <c r="AS37" s="55">
        <f>IF(ROW()-3&gt;MAX(AR$4:AR$40),"",INDEX(AQ$4:AQ$40,MATCH(ROW()-3,AR$4:AR$40,0)))</f>
        <v>2787314</v>
      </c>
      <c r="AT37" s="55">
        <f>IF('Final Calculation Sheet'!$H$37="","",'Final Calculation Sheet'!$H$37)</f>
        <v>75003</v>
      </c>
      <c r="AU37">
        <f>IF(AT37="","",COUNTIFS(AT$4:AT$40,"&lt;"&amp;AT37,AT$4:AT$40,"&lt;&gt;"&amp;"")+COUNTIF(AT$4:AT37,AT37))</f>
        <v>15</v>
      </c>
      <c r="AV37" s="55">
        <f>IF(ROW()-3&gt;COUNTIF(AT$4:AT$40,"&lt;&gt;"&amp;""),"",INDEX(AT$4:AT$40,MATCH(ROW()-3,AU$4:AU$40,0)))</f>
        <v>1165500</v>
      </c>
      <c r="AW37">
        <f>AW36+IF(AND(AV37&lt;&gt;"",COUNTIF(AV$4:AV37,AV37)=1),1,0)</f>
        <v>34</v>
      </c>
      <c r="AX37" s="55">
        <f>IF(ROW()-3&gt;MAX(AW$4:AW$40),"",INDEX(AV$4:AV$40,MATCH(ROW()-3,AW$4:AW$40,0)))</f>
        <v>1165500</v>
      </c>
      <c r="AY37" s="55">
        <f>IF('Final Calculation Sheet'!$I$37="","",'Final Calculation Sheet'!$I$37)</f>
        <v>13501</v>
      </c>
      <c r="AZ37">
        <f>IF(AY37="","",COUNTIFS(AY$4:AY$40,"&lt;"&amp;AY37,AY$4:AY$40,"&lt;&gt;"&amp;"")+COUNTIF(AY$4:AY37,AY37))</f>
        <v>15</v>
      </c>
      <c r="BA37" s="55">
        <f>IF(ROW()-3&gt;COUNTIF(AY$4:AY$40,"&lt;&gt;"&amp;""),"",INDEX(AY$4:AY$40,MATCH(ROW()-3,AZ$4:AZ$40,0)))</f>
        <v>209790</v>
      </c>
      <c r="BB37">
        <f>BB36+IF(AND(BA37&lt;&gt;"",COUNTIF(BA$4:BA37,BA37)=1),1,0)</f>
        <v>34</v>
      </c>
      <c r="BC37" s="55">
        <f>IF(ROW()-3&gt;MAX(BB$4:BB$40),"",INDEX(BA$4:BA$40,MATCH(ROW()-3,BB$4:BB$40,0)))</f>
        <v>209790</v>
      </c>
      <c r="BD37" s="55">
        <f>IF('Final Calculation Sheet'!$J$37="","",'Final Calculation Sheet'!$J$37)</f>
        <v>88504</v>
      </c>
      <c r="BE37">
        <f>IF(BD37="","",COUNTIFS(BD$4:BD$40,"&lt;"&amp;BD37,BD$4:BD$40,"&lt;&gt;"&amp;"")+COUNTIF(BD$4:BD37,BD37))</f>
        <v>15</v>
      </c>
      <c r="BF37" s="55">
        <f>IF(ROW()-3&gt;COUNTIF(BD$4:BD$40,"&lt;&gt;"&amp;""),"",INDEX(BD$4:BD$40,MATCH(ROW()-3,BE$4:BE$40,0)))</f>
        <v>1375290</v>
      </c>
      <c r="BG37">
        <f>BG36+IF(AND(BF37&lt;&gt;"",COUNTIF(BF$4:BF37,BF37)=1),1,0)</f>
        <v>34</v>
      </c>
      <c r="BH37" s="55">
        <f>IF(ROW()-3&gt;MAX(BG$4:BG$40),"",INDEX(BF$4:BF$40,MATCH(ROW()-3,BG$4:BG$40,0)))</f>
        <v>1375290</v>
      </c>
      <c r="BI37" s="55">
        <f>IF('Final Calculation Sheet'!$K$37="","",'Final Calculation Sheet'!$K$37)</f>
        <v>1770</v>
      </c>
      <c r="BJ37">
        <f>IF(BI37="","",COUNTIFS(BI$4:BI$40,"&lt;"&amp;BI37,BI$4:BI$40,"&lt;&gt;"&amp;"")+COUNTIF(BI$4:BI37,BI37))</f>
        <v>15</v>
      </c>
      <c r="BK37" s="55">
        <f>IF(ROW()-3&gt;COUNTIF(BI$4:BI$40,"&lt;&gt;"&amp;""),"",INDEX(BI$4:BI$40,MATCH(ROW()-3,BJ$4:BJ$40,0)))</f>
        <v>27506</v>
      </c>
      <c r="BL37">
        <f>BL36+IF(AND(BK37&lt;&gt;"",COUNTIF(BK$4:BK37,BK37)=1),1,0)</f>
        <v>33</v>
      </c>
      <c r="BM37" s="55">
        <f>IF(ROW()-3&gt;MAX(BL$4:BL$40),"",INDEX(BK$4:BK$40,MATCH(ROW()-3,BL$4:BL$40,0)))</f>
        <v>38856</v>
      </c>
      <c r="BN37" s="55">
        <f>IF('Final Calculation Sheet'!$L$37="","",'Final Calculation Sheet'!$L$37)</f>
        <v>75.003</v>
      </c>
      <c r="BO37">
        <f>IF(BN37="","",COUNTIFS(BN$4:BN$40,"&lt;"&amp;BN37,BN$4:BN$40,"&lt;&gt;"&amp;"")+COUNTIF(BN$4:BN37,BN37))</f>
        <v>15</v>
      </c>
      <c r="BP37" s="55">
        <f>IF(ROW()-3&gt;COUNTIF(BN$4:BN$40,"&lt;&gt;"&amp;""),"",INDEX(BN$4:BN$40,MATCH(ROW()-3,BO$4:BO$40,0)))</f>
        <v>1165.5</v>
      </c>
      <c r="BQ37">
        <f>BQ36+IF(AND(BP37&lt;&gt;"",COUNTIF(BP$4:BP37,BP37)=1),1,0)</f>
        <v>34</v>
      </c>
      <c r="BR37" s="55">
        <f>IF(ROW()-3&gt;MAX(BQ$4:BQ$40),"",INDEX(BP$4:BP$40,MATCH(ROW()-3,BQ$4:BQ$40,0)))</f>
        <v>1165.5</v>
      </c>
      <c r="BS37" s="55">
        <f>IF('Final Calculation Sheet'!$M$37="","",'Final Calculation Sheet'!$M$37)</f>
        <v>1991.3296499999997</v>
      </c>
      <c r="BT37">
        <f>IF(BS37="","",COUNTIFS(BS$4:BS$40,"&lt;"&amp;BS37,BS$4:BS$40,"&lt;&gt;"&amp;"")+COUNTIF(BS$4:BS37,BS37))</f>
        <v>15</v>
      </c>
      <c r="BU37" s="55">
        <f>IF(ROW()-3&gt;COUNTIF(BS$4:BS$40,"&lt;&gt;"&amp;""),"",INDEX(BS$4:BS$40,MATCH(ROW()-3,BT$4:BT$40,0)))</f>
        <v>30944.024999999998</v>
      </c>
      <c r="BV37">
        <f>BV36+IF(AND(BU37&lt;&gt;"",COUNTIF(BU$4:BU37,BU37)=1),1,0)</f>
        <v>34</v>
      </c>
      <c r="BW37" s="55">
        <f>IF(ROW()-3&gt;MAX(BV$4:BV$40),"",INDEX(BU$4:BU$40,MATCH(ROW()-3,BV$4:BV$40,0)))</f>
        <v>30944.024999999998</v>
      </c>
      <c r="BX37" s="138">
        <f>IF('Final Calculation Sheet'!$N$37="","",'Final Calculation Sheet'!$N$37)</f>
        <v>33.751349999999995</v>
      </c>
      <c r="BY37">
        <f>IF(BX37="","",COUNTIFS(BX$4:BX$40,"&lt;"&amp;BX37,BX$4:BX$40,"&lt;&gt;"&amp;"")+COUNTIF(BX$4:BX37,BX37))</f>
        <v>15</v>
      </c>
      <c r="BZ37" s="138">
        <f>IF(ROW()-3&gt;COUNTIF(BX$4:BX$40,"&lt;&gt;"&amp;""),"",INDEX(BX$4:BX$40,MATCH(ROW()-3,BY$4:BY$40,0)))</f>
        <v>524.47500000000002</v>
      </c>
      <c r="CA37">
        <f>CA36+IF(AND(BZ37&lt;&gt;"",COUNTIF(BZ$4:BZ37,BZ37)=1),1,0)</f>
        <v>34</v>
      </c>
      <c r="CB37" s="138">
        <f>IF(ROW()-3&gt;MAX(CA$4:CA$40),"",INDEX(BZ$4:BZ$40,MATCH(ROW()-3,CA$4:CA$40,0)))</f>
        <v>524.47500000000002</v>
      </c>
      <c r="CC37" s="55">
        <f>IF('Final Calculation Sheet'!$O$37="","",'Final Calculation Sheet'!$O$37)</f>
        <v>1957.5782999999997</v>
      </c>
      <c r="CD37">
        <f>IF(CC37="","",COUNTIFS(CC$4:CC$40,"&lt;"&amp;CC37,CC$4:CC$40,"&lt;&gt;"&amp;"")+COUNTIF(CC$4:CC37,CC37))</f>
        <v>15</v>
      </c>
      <c r="CE37" s="55">
        <f>IF(ROW()-3&gt;COUNTIF(CC$4:CC$40,"&lt;&gt;"&amp;""),"",INDEX(CC$4:CC$40,MATCH(ROW()-3,CD$4:CD$40,0)))</f>
        <v>30419.55</v>
      </c>
      <c r="CF37">
        <f>CF36+IF(AND(CE37&lt;&gt;"",COUNTIF(CE$4:CE37,CE37)=1),1,0)</f>
        <v>34</v>
      </c>
      <c r="CG37" s="55">
        <f>IF(ROW()-3&gt;MAX(CF$4:CF$40),"",INDEX(CE$4:CE$40,MATCH(ROW()-3,CF$4:CF$40,0)))</f>
        <v>30419.55</v>
      </c>
      <c r="CH37" s="55">
        <f>IF('Final Calculation Sheet'!$P$37="","",'Final Calculation Sheet'!$P$37)</f>
        <v>2033</v>
      </c>
      <c r="CI37">
        <f>IF(CH37="","",COUNTIFS(CH$4:CH$40,"&lt;"&amp;CH37,CH$4:CH$40,"&lt;&gt;"&amp;"")+COUNTIF(CH$4:CH37,CH37))</f>
        <v>15</v>
      </c>
      <c r="CJ37" s="55">
        <f>IF(ROW()-3&gt;COUNTIF(CH$4:CH$40,"&lt;&gt;"&amp;""),"",INDEX(CH$4:CH$40,MATCH(ROW()-3,CI$4:CI$40,0)))</f>
        <v>31585</v>
      </c>
      <c r="CK37">
        <f>CK36+IF(AND(CJ37&lt;&gt;"",COUNTIF(CJ$4:CJ37,CJ37)=1),1,0)</f>
        <v>33</v>
      </c>
      <c r="CL37" s="55">
        <f>IF(ROW()-3&gt;MAX(CK$4:CK$40),"",INDEX(CJ$4:CJ$40,MATCH(ROW()-3,CK$4:CK$40,0)))</f>
        <v>44618</v>
      </c>
      <c r="CM37" s="139">
        <f>IF('Final Calculation Sheet'!$Q$37="","",'Final Calculation Sheet'!$Q$37)</f>
        <v>0</v>
      </c>
      <c r="CN37">
        <f>IF(CM37="","",COUNTIFS(CM$4:CM$40,"&lt;"&amp;CM37,CM$4:CM$40,"&lt;&gt;"&amp;"")+COUNTIF(CM$4:CM37,CM37))</f>
        <v>30</v>
      </c>
      <c r="CO37" s="139">
        <f>IF(ROW()-3&gt;COUNTIF(CM$4:CM$40,"&lt;&gt;"&amp;""),"",INDEX(CM$4:CM$40,MATCH(ROW()-3,CN$4:CN$40,0)))</f>
        <v>0.02</v>
      </c>
      <c r="CP37">
        <f>CP36+IF(AND(CO37&lt;&gt;"",COUNTIF(CO$4:CO37,CO37)=1),1,0)</f>
        <v>2</v>
      </c>
      <c r="CQ37" t="str">
        <f>IF(ROW()-3&gt;MAX(CP$4:CP$40),"",INDEX(CO$4:CO$40,MATCH(ROW()-3,CP$4:CP$40,0)))</f>
        <v/>
      </c>
      <c r="CR37" s="55">
        <f>IF('Final Calculation Sheet'!$R$37="","",'Final Calculation Sheet'!$R$37)</f>
        <v>0</v>
      </c>
      <c r="CS37">
        <f>IF(CR37="","",COUNTIFS(CR$4:CR$40,"&lt;"&amp;CR37,CR$4:CR$40,"&lt;&gt;"&amp;"")+COUNTIF(CR$4:CR37,CR37))</f>
        <v>30</v>
      </c>
      <c r="CT37" s="55">
        <f>IF(ROW()-3&gt;COUNTIF(CR$4:CR$40,"&lt;&gt;"&amp;""),"",INDEX(CR$4:CR$40,MATCH(ROW()-3,CS$4:CS$40,0)))</f>
        <v>10988</v>
      </c>
      <c r="CU37">
        <f>CU36+IF(AND(CT37&lt;&gt;"",COUNTIF(CT$4:CT37,CT37)=1),1,0)</f>
        <v>2</v>
      </c>
      <c r="CV37" t="str">
        <f>IF(ROW()-3&gt;MAX(CU$4:CU$40),"",INDEX(CT$4:CT$40,MATCH(ROW()-3,CU$4:CU$40,0)))</f>
        <v/>
      </c>
      <c r="CW37" s="55">
        <f>IF('Final Calculation Sheet'!$S$37="","",'Final Calculation Sheet'!$S$37)</f>
        <v>88241</v>
      </c>
      <c r="CX37">
        <f>IF(CW37="","",COUNTIFS(CW$4:CW$40,"&lt;"&amp;CW37,CW$4:CW$40,"&lt;&gt;"&amp;"")+COUNTIF(CW$4:CW37,CW37))</f>
        <v>15</v>
      </c>
      <c r="CY37" s="55">
        <f>IF(ROW()-3&gt;COUNTIF(CW$4:CW$40,"&lt;&gt;"&amp;""),"",INDEX(CW$4:CW$40,MATCH(ROW()-3,CX$4:CX$40,0)))</f>
        <v>1347901</v>
      </c>
      <c r="CZ37">
        <f>CZ36+IF(AND(CY37&lt;&gt;"",COUNTIF(CY$4:CY37,CY37)=1),1,0)</f>
        <v>34</v>
      </c>
      <c r="DA37" s="55">
        <f>IF(ROW()-3&gt;MAX(CZ$4:CZ$40),"",INDEX(CY$4:CY$40,MATCH(ROW()-3,CZ$4:CZ$40,0)))</f>
        <v>1347901</v>
      </c>
      <c r="DB37" s="55">
        <f>IF('Final Calculation Sheet'!$T$37="","",'Final Calculation Sheet'!$T$37)</f>
        <v>18751</v>
      </c>
      <c r="DC37">
        <f>IF(DB37="","",COUNTIFS(DB$4:DB$40,"&lt;"&amp;DB37,DB$4:DB$40,"&lt;&gt;"&amp;"")+COUNTIF(DB$4:DB37,DB37))</f>
        <v>15</v>
      </c>
      <c r="DD37" s="55">
        <f>IF(ROW()-3&gt;COUNTIF(DB$4:DB$40,"&lt;&gt;"&amp;""),"",INDEX(DB$4:DB$40,MATCH(ROW()-3,DC$4:DC$40,0)))</f>
        <v>291375</v>
      </c>
      <c r="DE37">
        <f>DE36+IF(AND(DD37&lt;&gt;"",COUNTIF(DD$4:DD37,DD37)=1),1,0)</f>
        <v>34</v>
      </c>
      <c r="DF37" s="55">
        <f>IF(ROW()-3&gt;MAX(DE$4:DE$40),"",INDEX(DD$4:DD$40,MATCH(ROW()-3,DE$4:DE$40,0)))</f>
        <v>291375</v>
      </c>
      <c r="DG37" s="140">
        <f>IF('Final Calculation Sheet'!$U$37="","",'Final Calculation Sheet'!$U$37)</f>
        <v>18751</v>
      </c>
      <c r="DH37">
        <f>IF(DG37="","",COUNTIFS(DG$4:DG$40,"&lt;"&amp;DG37,DG$4:DG$40,"&lt;&gt;"&amp;"")+COUNTIF(DG$4:DG37,DG37))</f>
        <v>15</v>
      </c>
      <c r="DI37" s="140">
        <f>IF(ROW()-3&gt;COUNTIF(DG$4:DG$40,"&lt;&gt;"&amp;""),"",INDEX(DG$4:DG$40,MATCH(ROW()-3,DH$4:DH$40,0)))</f>
        <v>291375</v>
      </c>
      <c r="DJ37">
        <f>DJ36+IF(AND(DI37&lt;&gt;"",COUNTIF(DI$4:DI37,DI37)=1),1,0)</f>
        <v>34</v>
      </c>
      <c r="DK37" s="140">
        <f>IF(ROW()-3&gt;MAX(DJ$4:DJ$40),"",INDEX(DI$4:DI$40,MATCH(ROW()-3,DJ$4:DJ$40,0)))</f>
        <v>291375</v>
      </c>
      <c r="DL37" t="str">
        <f>IF('Final Calculation Sheet'!$V$37="","",'Final Calculation Sheet'!$V$37)</f>
        <v>13.08.2026</v>
      </c>
      <c r="DM37">
        <f>IF(DL37="","",COUNTIFS(DL$4:DL$40,"&lt;"&amp;DL37,DL$4:DL$40,"&lt;&gt;"&amp;"")+COUNTIF(DL$4:DL37,DL37))</f>
        <v>26</v>
      </c>
      <c r="DN37" t="str">
        <f>IF(ROW()-3&gt;COUNTIF(DL$4:DL$40,"&lt;&gt;"&amp;""),"",INDEX(DL$4:DL$40,MATCH(ROW()-3,DM$4:DM$40,0)))</f>
        <v>14.08.2026</v>
      </c>
      <c r="DO37">
        <f>DO36+IF(AND(DN37&lt;&gt;"",COUNTIF(DN$4:DN37,DN37)=1),1,0)</f>
        <v>4</v>
      </c>
      <c r="DP37" t="str">
        <f>IF(ROW()-3&gt;MAX(DO$4:DO$40),"",INDEX(DN$4:DN$40,MATCH(ROW()-3,DO$4:DO$40,0)))</f>
        <v/>
      </c>
      <c r="DQ37" s="55">
        <f>IF('Final Calculation Sheet'!$W$37="","",'Final Calculation Sheet'!$W$37)</f>
        <v>69490</v>
      </c>
      <c r="DR37">
        <f>IF(DQ37="","",COUNTIFS(DQ$4:DQ$40,"&lt;"&amp;DQ37,DQ$4:DQ$40,"&lt;&gt;"&amp;"")+COUNTIF(DQ$4:DQ37,DQ37))</f>
        <v>15</v>
      </c>
      <c r="DS37" s="55">
        <f>IF(ROW()-3&gt;COUNTIF(DQ$4:DQ$40,"&lt;&gt;"&amp;""),"",INDEX(DQ$4:DQ$40,MATCH(ROW()-3,DR$4:DR$40,0)))</f>
        <v>1056526</v>
      </c>
      <c r="DT37">
        <f>DT36+IF(AND(DS37&lt;&gt;"",COUNTIF(DS$4:DS37,DS37)=1),1,0)</f>
        <v>34</v>
      </c>
      <c r="DU37" s="55">
        <f>IF(ROW()-3&gt;MAX(DT$4:DT$40),"",INDEX(DS$4:DS$40,MATCH(ROW()-3,DT$4:DT$40,0)))</f>
        <v>1056526</v>
      </c>
      <c r="DV37" s="55">
        <f>IF('Final Calculation Sheet'!$X$37="","",'Final Calculation Sheet'!$X$37)</f>
        <v>69491</v>
      </c>
      <c r="DW37">
        <f>IF(DV37="","",COUNTIFS(DV$4:DV$40,"&lt;"&amp;DV37,DV$4:DV$40,"&lt;&gt;"&amp;"")+COUNTIF(DV$4:DV37,DV37))</f>
        <v>14</v>
      </c>
      <c r="DX37" s="55">
        <f>IF(ROW()-3&gt;COUNTIF(DV$4:DV$40,"&lt;&gt;"&amp;""),"",INDEX(DV$4:DV$40,MATCH(ROW()-3,DW$4:DW$40,0)))</f>
        <v>3573618.9057083898</v>
      </c>
      <c r="DY37">
        <f>DY36+IF(AND(DX37&lt;&gt;"",COUNTIF(DX$4:DX37,DX37)=1),1,0)</f>
        <v>34</v>
      </c>
      <c r="DZ37" t="e">
        <f>IF(ROW()-3&gt;MAX(DY$4:DY$40),"",INDEX(DX$4:DX$40,MATCH(ROW()-3,DY$4:DY$40,0)))</f>
        <v>#N/A</v>
      </c>
      <c r="EA37" t="str">
        <f>IF('Final Calculation Sheet'!$Y$37="","",'Final Calculation Sheet'!$Y$37)</f>
        <v>24.08.2026</v>
      </c>
      <c r="EB37">
        <f>IF(EA37="","",COUNTIFS(EA$4:EA$40,"&lt;"&amp;EA37,EA$4:EA$40,"&lt;&gt;"&amp;"")+COUNTIF(EA$4:EA37,EA37))</f>
        <v>34</v>
      </c>
      <c r="EC37" t="str">
        <f>IF(ROW()-3&gt;COUNTIF(EA$4:EA$40,"&lt;&gt;"&amp;""),"",INDEX(EA$4:EA$40,MATCH(ROW()-3,EB$4:EB$40,0)))</f>
        <v>24.08.2026</v>
      </c>
      <c r="ED37">
        <f>ED36+IF(AND(EC37&lt;&gt;"",COUNTIF(EC$4:EC37,EC37)=1),1,0)</f>
        <v>9</v>
      </c>
      <c r="EE37" t="e">
        <f>IF(ROW()-3&gt;MAX(ED$4:ED$40),"",INDEX(EC$4:EC$40,MATCH(ROW()-3,ED$4:ED$40,0)))</f>
        <v>#N/A</v>
      </c>
      <c r="EF37" s="55">
        <f>IF('Final Calculation Sheet'!$Z$37="","",'Final Calculation Sheet'!$Z$37)</f>
        <v>0</v>
      </c>
      <c r="EG37">
        <f>IF(EF37="","",COUNTIFS(EF$4:EF$40,"&lt;"&amp;EF37,EF$4:EF$40,"&lt;&gt;"&amp;"")+COUNTIF(EF$4:EF37,EF37))</f>
        <v>31</v>
      </c>
      <c r="EH37" s="55">
        <f>IF(ROW()-3&gt;COUNTIF(EF$4:EF$40,"&lt;&gt;"&amp;""),"",INDEX(EF$4:EF$40,MATCH(ROW()-3,EG$4:EG$40,0)))</f>
        <v>1911.6</v>
      </c>
      <c r="EI37">
        <f>EI36+IF(AND(EH37&lt;&gt;"",COUNTIF(EH$4:EH37,EH37)=1),1,0)</f>
        <v>3</v>
      </c>
      <c r="EJ37" t="str">
        <f>IF(ROW()-3&gt;MAX(EI$4:EI$40),"",INDEX(EH$4:EH$40,MATCH(ROW()-3,EI$4:EI$40,0)))</f>
        <v/>
      </c>
      <c r="EK37" t="str">
        <f>IF('Final Calculation Sheet'!$AA$37="","",'Final Calculation Sheet'!$AA$37)</f>
        <v/>
      </c>
      <c r="EL37" t="str">
        <f>IF(EK37="","",COUNTIFS(EK$4:EK$40,"&lt;"&amp;EK37,EK$4:EK$40,"&lt;&gt;"&amp;"")+COUNTIF(EK$4:EK37,EK37))</f>
        <v/>
      </c>
      <c r="EM37" t="e">
        <f>IF(ROW()-3&gt;COUNTIF(EK$4:EK$40,"&lt;&gt;"&amp;""),"",INDEX(EK$4:EK$40,MATCH(ROW()-3,EL$4:EL$40,0)))</f>
        <v>#N/A</v>
      </c>
      <c r="EN37" t="e">
        <f>EN36+IF(AND(EM37&lt;&gt;"",COUNTIF(EM$4:EM37,EM37)=1),1,0)</f>
        <v>#N/A</v>
      </c>
      <c r="EO37" t="e">
        <f>IF(ROW()-3&gt;MAX(EN$4:EN$40),"",INDEX(EM$4:EM$40,MATCH(ROW()-3,EN$4:EN$40,0)))</f>
        <v>#N/A</v>
      </c>
      <c r="EP37" t="str">
        <f>IF('Final Calculation Sheet'!$AB$37="","",'Final Calculation Sheet'!$AB$37)</f>
        <v/>
      </c>
      <c r="EQ37" t="str">
        <f>IF(EP37="","",COUNTIFS(EP$4:EP$40,"&lt;"&amp;EP37,EP$4:EP$40,"&lt;&gt;"&amp;"")+COUNTIF(EP$4:EP37,EP37))</f>
        <v/>
      </c>
      <c r="ER37" t="e">
        <f>IF(ROW()-3&gt;COUNTIF(EP$4:EP$40,"&lt;&gt;"&amp;""),"",INDEX(EP$4:EP$40,MATCH(ROW()-3,EQ$4:EQ$40,0)))</f>
        <v>#N/A</v>
      </c>
      <c r="ES37" t="e">
        <f>ES36+IF(AND(ER37&lt;&gt;"",COUNTIF(ER$4:ER37,ER37)=1),1,0)</f>
        <v>#N/A</v>
      </c>
      <c r="ET37" t="e">
        <f>IF(ROW()-3&gt;MAX(ES$4:ES$40),"",INDEX(ER$4:ER$40,MATCH(ROW()-3,ES$4:ES$40,0)))</f>
        <v>#N/A</v>
      </c>
      <c r="EU37" s="55">
        <f>IF('Final Calculation Sheet'!$AC$37="","",'Final Calculation Sheet'!$AC$37)</f>
        <v>88242</v>
      </c>
      <c r="EV37">
        <f>IF(EU37="","",COUNTIFS(EU$4:EU$40,"&lt;"&amp;EU37,EU$4:EU$40,"&lt;&gt;"&amp;"")+COUNTIF(EU$4:EU37,EU37))</f>
        <v>16</v>
      </c>
      <c r="EW37" s="55">
        <f>IF(ROW()-3&gt;COUNTIF(EU$4:EU$40,"&lt;&gt;"&amp;""),"",INDEX(EU$4:EU$40,MATCH(ROW()-3,EV$4:EV$40,0)))</f>
        <v>1347900</v>
      </c>
      <c r="EX37">
        <f>EX36+IF(AND(EW37&lt;&gt;"",COUNTIF(EW$4:EW37,EW37)=1),1,0)</f>
        <v>34</v>
      </c>
      <c r="EY37" s="55">
        <f>IF(ROW()-3&gt;MAX(EX$4:EX$40),"",INDEX(EW$4:EW$40,MATCH(ROW()-3,EX$4:EX$40,0)))</f>
        <v>1347900</v>
      </c>
      <c r="EZ37" s="55">
        <f>IF('Final Calculation Sheet'!$AD$37="","",'Final Calculation Sheet'!$AD$37)</f>
        <v>-1</v>
      </c>
      <c r="FA37">
        <f>IF(EZ37="","",COUNTIFS(EZ$4:EZ$40,"&lt;"&amp;EZ37,EZ$4:EZ$40,"&lt;&gt;"&amp;"")+COUNTIF(EZ$4:EZ37,EZ37))</f>
        <v>6</v>
      </c>
      <c r="FB37" s="55">
        <f>IF(ROW()-3&gt;COUNTIF(EZ$4:EZ$40,"&lt;&gt;"&amp;""),"",INDEX(EZ$4:EZ$40,MATCH(ROW()-3,FA$4:FA$40,0)))</f>
        <v>1</v>
      </c>
      <c r="FC37" t="e">
        <f>FC36+IF(AND(FB37&lt;&gt;"",COUNTIF(FB$4:FB37,FB37)=1),1,0)</f>
        <v>#N/A</v>
      </c>
      <c r="FD37" t="e">
        <f>IF(ROW()-3&gt;MAX(FC$4:FC$40),"",INDEX(FB$4:FB$40,MATCH(ROW()-3,FC$4:FC$40,0)))</f>
        <v>#N/A</v>
      </c>
      <c r="FE37" t="str">
        <f>IF('Final Calculation Sheet'!$AE$37="","",'Final Calculation Sheet'!$AE$37)</f>
        <v>DR2640100040</v>
      </c>
      <c r="FF37">
        <f>IF(FE37="","",COUNTIFS(FE$4:FE$40,"&lt;"&amp;FE37,FE$4:FE$40,"&lt;&gt;"&amp;"")+COUNTIF(FE$4:FE37,FE37))</f>
        <v>29</v>
      </c>
      <c r="FG37" t="str">
        <f>IF(ROW()-3&gt;COUNTIF(FE$4:FE$40,"&lt;&gt;"&amp;""),"",INDEX(FE$4:FE$40,MATCH(ROW()-3,FF$4:FF$40,0)))</f>
        <v>DR2640100045</v>
      </c>
      <c r="FH37" t="e">
        <f>FH36+IF(AND(FG37&lt;&gt;"",COUNTIF(FG$4:FG37,FG37)=1),1,0)</f>
        <v>#N/A</v>
      </c>
      <c r="FI37" t="e">
        <f>IF(ROW()-3&gt;MAX(FH$4:FH$40),"",INDEX(FG$4:FG$40,MATCH(ROW()-3,FH$4:FH$40,0)))</f>
        <v>#N/A</v>
      </c>
      <c r="FJ37" s="141">
        <f>IF('Final Calculation Sheet'!$AF$37="","",'Final Calculation Sheet'!$AF$37)</f>
        <v>1800003314</v>
      </c>
      <c r="FK37">
        <f>IF(FJ37="","",COUNTIFS(FJ$4:FJ$40,"&lt;"&amp;FJ37,FJ$4:FJ$40,"&lt;&gt;"&amp;"")+COUNTIF(FJ$4:FJ37,FJ37))</f>
        <v>26</v>
      </c>
      <c r="FL37" t="e">
        <f>IF(ROW()-3&gt;COUNTIF(FJ$4:FJ$40,"&lt;&gt;"&amp;""),"",INDEX(FJ$4:FJ$40,MATCH(ROW()-3,FK$4:FK$40,0)))</f>
        <v>#N/A</v>
      </c>
      <c r="FM37" t="e">
        <f>FM36+IF(AND(FL37&lt;&gt;"",COUNTIF(FL$4:FL37,FL37)=1),1,0)</f>
        <v>#N/A</v>
      </c>
      <c r="FN37" t="e">
        <f>IF(ROW()-3&gt;MAX(FM$4:FM$40),"",INDEX(FL$4:FL$40,MATCH(ROW()-3,FM$4:FM$40,0)))</f>
        <v>#N/A</v>
      </c>
      <c r="FO37" t="str">
        <f>IF('Final Calculation Sheet'!$AG$37="","",'Final Calculation Sheet'!$AG$37)</f>
        <v>27.08.2026</v>
      </c>
      <c r="FP37">
        <f>IF(FO37="","",COUNTIFS(FO$4:FO$40,"&lt;"&amp;FO37,FO$4:FO$40,"&lt;&gt;"&amp;"")+COUNTIF(FO$4:FO37,FO37))</f>
        <v>37</v>
      </c>
      <c r="FQ37" t="str">
        <f>IF(ROW()-3&gt;COUNTIF(FO$4:FO$40,"&lt;&gt;"&amp;""),"",INDEX(FO$4:FO$40,MATCH(ROW()-3,FP$4:FP$40,0)))</f>
        <v>27.08.2026</v>
      </c>
      <c r="FR37" t="e">
        <f>FR36+IF(AND(FQ37&lt;&gt;"",COUNTIF(FQ$4:FQ37,FQ37)=1),1,0)</f>
        <v>#N/A</v>
      </c>
      <c r="FS37" t="e">
        <f>IF(ROW()-3&gt;MAX(FR$4:FR$40),"",INDEX(FQ$4:FQ$40,MATCH(ROW()-3,FR$4:FR$40,0)))</f>
        <v>#N/A</v>
      </c>
      <c r="FU37" t="str">
        <f>IF(FT37="","",COUNTIFS(FT$4:FT$40,"&lt;"&amp;FT37,FT$4:FT$40,"&lt;&gt;"&amp;"")+COUNTIF(FT$4:FT37,FT37))</f>
        <v/>
      </c>
      <c r="FV37" t="str">
        <f>IF(ROW()-3&gt;COUNTIF(FT$4:FT$40,"&lt;&gt;"&amp;""),"",INDEX(FT$4:FT$40,MATCH(ROW()-3,FU$4:FU$40,0)))</f>
        <v/>
      </c>
      <c r="FW37">
        <f>FW36+IF(AND(FV37&lt;&gt;"",COUNTIF(FV$4:FV37,FV37)=1),1,0)</f>
        <v>2</v>
      </c>
      <c r="FX37" t="str">
        <f>IF(ROW()-3&gt;MAX(FW$4:FW$40),"",INDEX(FV$4:FV$40,MATCH(ROW()-3,FW$4:FW$40,0)))</f>
        <v/>
      </c>
    </row>
    <row r="38">
      <c r="A38">
        <f>IF('Final Calculation Sheet'!$F$38="","",'Final Calculation Sheet'!$F$38)</f>
        <v>2086</v>
      </c>
      <c r="B38">
        <f>IF(A38="","",COUNTIFS(A$4:A$114,"&lt;"&amp;A38,A$4:A$114,"&lt;&gt;"&amp;"")+COUNTIF(A$4:A38,A38))</f>
        <v>35</v>
      </c>
      <c r="C38">
        <f>IF(ROW()-3&gt;COUNTIF(A$4:A$114,"&lt;&gt;"&amp;""),"",INDEX(A$4:A$114,MATCH(ROW()-3,B$4:B$114,0)))</f>
        <v>2086</v>
      </c>
      <c r="D38">
        <f>D37+IF(AND(C38&lt;&gt;"",COUNTIF(C$4:C38,C38)=1),1,0)</f>
        <v>35</v>
      </c>
      <c r="E38" t="e">
        <f>IF(ROW()-3&gt;MAX(D$4:D$114),"",INDEX(C$4:C$114,MATCH(ROW()-3,D$4:D$114,0)))</f>
        <v>#N/A</v>
      </c>
      <c r="F38">
        <f>ROW()-3</f>
        <v>35</v>
      </c>
      <c r="G38">
        <f>IF(F38="","",COUNTIFS(F$4:F$40,"&lt;"&amp;F38,F$4:F$40,"&lt;&gt;"&amp;"")+COUNTIF(F$4:F38,F38))</f>
        <v>35</v>
      </c>
      <c r="H38">
        <f>IF(ROW()-3&gt;COUNTIF(F$4:F$40,"&lt;&gt;"&amp;""),"",INDEX(F$4:F$40,MATCH(ROW()-3,G$4:G$40,0)))</f>
        <v>35</v>
      </c>
      <c r="I38">
        <f>I37+IF(AND(H38&lt;&gt;"",COUNTIF(H$4:H38,H38)=1),1,0)</f>
        <v>35</v>
      </c>
      <c r="J38">
        <f>IF(ROW()-3&gt;MAX(I$4:I$40),"",INDEX(H$4:H$40,MATCH(ROW()-3,I$4:I$40,0)))</f>
        <v>35</v>
      </c>
      <c r="K38">
        <f>IF('Final Calculation Sheet'!$F$38="","",'Final Calculation Sheet'!$F$38)</f>
        <v>2086</v>
      </c>
      <c r="L38">
        <f>IF(K38="","",COUNTIFS(K$4:K$40,"&lt;"&amp;K38,K$4:K$40,"&lt;&gt;"&amp;"")+COUNTIF(K$4:K38,K38))</f>
        <v>35</v>
      </c>
      <c r="M38">
        <f>IF(ROW()-3&gt;COUNTIF(K$4:K$40,"&lt;&gt;"&amp;""),"",INDEX(K$4:K$40,MATCH(ROW()-3,L$4:L$40,0)))</f>
        <v>2086</v>
      </c>
      <c r="N38">
        <f>N37+IF(AND(M38&lt;&gt;"",COUNTIF(M$4:M38,M38)=1),1,0)</f>
        <v>35</v>
      </c>
      <c r="O38">
        <f>IF(ROW()-3&gt;MAX(N$4:N$40),"",INDEX(M$4:M$40,MATCH(ROW()-3,N$4:N$40,0)))</f>
        <v>2086</v>
      </c>
      <c r="P38" t="str">
        <f>IF('Final Calculation Sheet'!$G$38="","",'Final Calculation Sheet'!$G$38)</f>
        <v>KASHYAP TRADING CO</v>
      </c>
      <c r="Q38">
        <f>IF(P38="","",COUNTIFS(P$4:P$40,"&lt;"&amp;P38,P$4:P$40,"&lt;&gt;"&amp;"")+COUNTIF(P$4:P38,P38))</f>
        <v>5</v>
      </c>
      <c r="R38" t="str">
        <f>IF(ROW()-3&gt;COUNTIF(P$4:P$40,"&lt;&gt;"&amp;""),"",INDEX(P$4:P$40,MATCH(ROW()-3,Q$4:Q$40,0)))</f>
        <v>WATAN SCRAP TRADERS</v>
      </c>
      <c r="S38">
        <f>S37+IF(AND(R38&lt;&gt;"",COUNTIF(R$4:R38,R38)=1),1,0)</f>
        <v>13</v>
      </c>
      <c r="T38" t="str">
        <f>IF(ROW()-3&gt;MAX(S$4:S$40),"",INDEX(R$4:R$40,MATCH(ROW()-3,S$4:S$40,0)))</f>
        <v/>
      </c>
      <c r="U38" t="str">
        <f>IF('Final Calculation Sheet'!$B$38="","",'Final Calculation Sheet'!$B$38)</f>
        <v>Scrap of 132 KV CT</v>
      </c>
      <c r="V38">
        <f>IF(U38="","",COUNTIFS(U$4:U$40,"&lt;"&amp;U38,U$4:U$40,"&lt;&gt;"&amp;"")+COUNTIF(U$4:U38,U38))</f>
        <v>11</v>
      </c>
      <c r="W38" t="str">
        <f>IF(ROW()-3&gt;COUNTIF(U$4:U$40,"&lt;&gt;"&amp;""),"",INDEX(U$4:U$40,MATCH(ROW()-3,V$4:V$40,0)))</f>
        <v>Scrap of MS (extracted from equip cage and empty Sf6 gas cylinder)</v>
      </c>
      <c r="X38">
        <f>X37+IF(AND(W38&lt;&gt;"",COUNTIF(W$4:W38,W38)=1),1,0)</f>
        <v>24</v>
      </c>
      <c r="Y38" t="str">
        <f>IF(ROW()-3&gt;MAX(X$4:X$40),"",INDEX(W$4:W$40,MATCH(ROW()-3,X$4:X$40,0)))</f>
        <v/>
      </c>
      <c r="Z38">
        <f>IF('Final Calculation Sheet'!$D$38="","",'Final Calculation Sheet'!$D$38)</f>
        <v>21980</v>
      </c>
      <c r="AA38">
        <f>IF(Z38="","",COUNTIFS(Z$4:Z$40,"&lt;"&amp;Z38,Z$4:Z$40,"&lt;&gt;"&amp;"")+COUNTIF(Z$4:Z38,Z38))</f>
        <v>35</v>
      </c>
      <c r="AB38">
        <f>IF(ROW()-3&gt;COUNTIF(Z$4:Z$40,"&lt;&gt;"&amp;""),"",INDEX(Z$4:Z$40,MATCH(ROW()-3,AA$4:AA$40,0)))</f>
        <v>21980</v>
      </c>
      <c r="AC38">
        <f>AC37+IF(AND(AB38&lt;&gt;"",COUNTIF(AB$4:AB38,AB38)=1),1,0)</f>
        <v>4</v>
      </c>
      <c r="AD38" t="str">
        <f>IF(ROW()-3&gt;MAX(AC$4:AC$40),"",INDEX(AB$4:AB$40,MATCH(ROW()-3,AC$4:AC$40,0)))</f>
        <v/>
      </c>
      <c r="AE38">
        <f>IF('Final Calculation Sheet'!$A$38="","",'Final Calculation Sheet'!$A$38)</f>
        <v>3</v>
      </c>
      <c r="AF38">
        <f>IF(AE38="","",COUNTIFS(AE$4:AE$40,"&lt;"&amp;AE38,AE$4:AE$40,"&lt;&gt;"&amp;"")+COUNTIF(AE$4:AE38,AE38))</f>
        <v>17</v>
      </c>
      <c r="AG38">
        <f>IF(ROW()-3&gt;COUNTIF(AE$4:AE$40,"&lt;&gt;"&amp;""),"",INDEX(AE$4:AE$40,MATCH(ROW()-3,AF$4:AF$40,0)))</f>
        <v>3000</v>
      </c>
      <c r="AH38">
        <f>AH37+IF(AND(AG38&lt;&gt;"",COUNTIF(AG$4:AG38,AG38)=1),1,0)</f>
        <v>20</v>
      </c>
      <c r="AI38" t="str">
        <f>IF(ROW()-3&gt;MAX(AH$4:AH$40),"",INDEX(AG$4:AG$40,MATCH(ROW()-3,AH$4:AH$40,0)))</f>
        <v/>
      </c>
      <c r="AJ38" t="str">
        <f>IF('Final Calculation Sheet'!$E$38="","",'Final Calculation Sheet'!$E$38)</f>
        <v>NO</v>
      </c>
      <c r="AK38">
        <f>IF(AJ38="","",COUNTIFS(AJ$4:AJ$40,"&lt;"&amp;AJ38,AJ$4:AJ$40,"&lt;&gt;"&amp;"")+COUNTIF(AJ$4:AJ38,AJ38))</f>
        <v>35</v>
      </c>
      <c r="AL38" t="str">
        <f>IF(ROW()-3&gt;COUNTIF(AJ$4:AJ$40,"&lt;&gt;"&amp;""),"",INDEX(AJ$4:AJ$40,MATCH(ROW()-3,AK$4:AK$40,0)))</f>
        <v>NO</v>
      </c>
      <c r="AM38">
        <f>AM37+IF(AND(AL38&lt;&gt;"",COUNTIF(AL$4:AL38,AL38)=1),1,0)</f>
        <v>3</v>
      </c>
      <c r="AN38" t="str">
        <f>IF(ROW()-3&gt;MAX(AM$4:AM$40),"",INDEX(AL$4:AL$40,MATCH(ROW()-3,AM$4:AM$40,0)))</f>
        <v/>
      </c>
      <c r="AO38" s="55">
        <f>IF('Final Calculation Sheet'!$C$38="","",'Final Calculation Sheet'!$C$38)</f>
        <v>70001</v>
      </c>
      <c r="AP38">
        <f>IF(AO38="","",COUNTIFS(AO$4:AO$40,"&lt;"&amp;AO38,AO$4:AO$40,"&lt;&gt;"&amp;"")+COUNTIF(AO$4:AO38,AO38))</f>
        <v>27</v>
      </c>
      <c r="AQ38" s="55">
        <f>IF(ROW()-3&gt;COUNTIF(AO$4:AO$40,"&lt;&gt;"&amp;""),"",INDEX(AO$4:AO$40,MATCH(ROW()-3,AP$4:AP$40,0)))</f>
        <v>220001</v>
      </c>
      <c r="AR38">
        <f>AR37+IF(AND(AQ38&lt;&gt;"",COUNTIF(AQ$4:AQ38,AQ38)=1),1,0)</f>
        <v>33</v>
      </c>
      <c r="AS38" s="55">
        <f>IF(ROW()-3&gt;MAX(AR$4:AR$40),"",INDEX(AQ$4:AQ$40,MATCH(ROW()-3,AR$4:AR$40,0)))</f>
        <v>3857116</v>
      </c>
      <c r="AT38" s="55">
        <f>IF('Final Calculation Sheet'!$H$38="","",'Final Calculation Sheet'!$H$38)</f>
        <v>210003</v>
      </c>
      <c r="AU38">
        <f>IF(AT38="","",COUNTIFS(AT$4:AT$40,"&lt;"&amp;AT38,AT$4:AT$40,"&lt;&gt;"&amp;"")+COUNTIF(AT$4:AT38,AT38))</f>
        <v>25</v>
      </c>
      <c r="AV38" s="55">
        <f>IF(ROW()-3&gt;COUNTIF(AT$4:AT$40,"&lt;&gt;"&amp;""),"",INDEX(AT$4:AT$40,MATCH(ROW()-3,AU$4:AU$40,0)))</f>
        <v>1646431</v>
      </c>
      <c r="AW38">
        <f>AW37+IF(AND(AV38&lt;&gt;"",COUNTIF(AV$4:AV38,AV38)=1),1,0)</f>
        <v>35</v>
      </c>
      <c r="AX38" s="55">
        <f>IF(ROW()-3&gt;MAX(AW$4:AW$40),"",INDEX(AV$4:AV$40,MATCH(ROW()-3,AW$4:AW$40,0)))</f>
        <v>1646431</v>
      </c>
      <c r="AY38" s="55">
        <f>IF('Final Calculation Sheet'!$I$38="","",'Final Calculation Sheet'!$I$38)</f>
        <v>37801</v>
      </c>
      <c r="AZ38">
        <f>IF(AY38="","",COUNTIFS(AY$4:AY$40,"&lt;"&amp;AY38,AY$4:AY$40,"&lt;&gt;"&amp;"")+COUNTIF(AY$4:AY38,AY38))</f>
        <v>25</v>
      </c>
      <c r="BA38" s="55">
        <f>IF(ROW()-3&gt;COUNTIF(AY$4:AY$40,"&lt;&gt;"&amp;""),"",INDEX(AY$4:AY$40,MATCH(ROW()-3,AZ$4:AZ$40,0)))</f>
        <v>296358</v>
      </c>
      <c r="BB38">
        <f>BB37+IF(AND(BA38&lt;&gt;"",COUNTIF(BA$4:BA38,BA38)=1),1,0)</f>
        <v>35</v>
      </c>
      <c r="BC38" s="55">
        <f>IF(ROW()-3&gt;MAX(BB$4:BB$40),"",INDEX(BA$4:BA$40,MATCH(ROW()-3,BB$4:BB$40,0)))</f>
        <v>296358</v>
      </c>
      <c r="BD38" s="55">
        <f>IF('Final Calculation Sheet'!$J$38="","",'Final Calculation Sheet'!$J$38)</f>
        <v>247804</v>
      </c>
      <c r="BE38">
        <f>IF(BD38="","",COUNTIFS(BD$4:BD$40,"&lt;"&amp;BD38,BD$4:BD$40,"&lt;&gt;"&amp;"")+COUNTIF(BD$4:BD38,BD38))</f>
        <v>25</v>
      </c>
      <c r="BF38" s="55">
        <f>IF(ROW()-3&gt;COUNTIF(BD$4:BD$40,"&lt;&gt;"&amp;""),"",INDEX(BD$4:BD$40,MATCH(ROW()-3,BE$4:BE$40,0)))</f>
        <v>1942789</v>
      </c>
      <c r="BG38">
        <f>BG37+IF(AND(BF38&lt;&gt;"",COUNTIF(BF$4:BF38,BF38)=1),1,0)</f>
        <v>35</v>
      </c>
      <c r="BH38" s="55">
        <f>IF(ROW()-3&gt;MAX(BG$4:BG$40),"",INDEX(BF$4:BF$40,MATCH(ROW()-3,BG$4:BG$40,0)))</f>
        <v>1942789</v>
      </c>
      <c r="BI38" s="55">
        <f>IF('Final Calculation Sheet'!$K$38="","",'Final Calculation Sheet'!$K$38)</f>
        <v>4956</v>
      </c>
      <c r="BJ38">
        <f>IF(BI38="","",COUNTIFS(BI$4:BI$40,"&lt;"&amp;BI38,BI$4:BI$40,"&lt;&gt;"&amp;"")+COUNTIF(BI$4:BI38,BI38))</f>
        <v>25</v>
      </c>
      <c r="BK38" s="55">
        <f>IF(ROW()-3&gt;COUNTIF(BI$4:BI$40,"&lt;&gt;"&amp;""),"",INDEX(BI$4:BI$40,MATCH(ROW()-3,BJ$4:BJ$40,0)))</f>
        <v>38856</v>
      </c>
      <c r="BL38">
        <f>BL37+IF(AND(BK38&lt;&gt;"",COUNTIF(BK$4:BK38,BK38)=1),1,0)</f>
        <v>34</v>
      </c>
      <c r="BM38" s="55">
        <f>IF(ROW()-3&gt;MAX(BL$4:BL$40),"",INDEX(BK$4:BK$40,MATCH(ROW()-3,BL$4:BL$40,0)))</f>
        <v>65781</v>
      </c>
      <c r="BN38" s="55">
        <f>IF('Final Calculation Sheet'!$L$38="","",'Final Calculation Sheet'!$L$38)</f>
        <v>210.00300000000001</v>
      </c>
      <c r="BO38">
        <f>IF(BN38="","",COUNTIFS(BN$4:BN$40,"&lt;"&amp;BN38,BN$4:BN$40,"&lt;&gt;"&amp;"")+COUNTIF(BN$4:BN38,BN38))</f>
        <v>25</v>
      </c>
      <c r="BP38" s="55">
        <f>IF(ROW()-3&gt;COUNTIF(BN$4:BN$40,"&lt;&gt;"&amp;""),"",INDEX(BN$4:BN$40,MATCH(ROW()-3,BO$4:BO$40,0)))</f>
        <v>1646.431</v>
      </c>
      <c r="BQ38">
        <f>BQ37+IF(AND(BP38&lt;&gt;"",COUNTIF(BP$4:BP38,BP38)=1),1,0)</f>
        <v>35</v>
      </c>
      <c r="BR38" s="55">
        <f>IF(ROW()-3&gt;MAX(BQ$4:BQ$40),"",INDEX(BP$4:BP$40,MATCH(ROW()-3,BQ$4:BQ$40,0)))</f>
        <v>1646.431</v>
      </c>
      <c r="BS38" s="55">
        <f>IF('Final Calculation Sheet'!$M$38="","",'Final Calculation Sheet'!$M$38)</f>
        <v>5575.5796499999997</v>
      </c>
      <c r="BT38">
        <f>IF(BS38="","",COUNTIFS(BS$4:BS$40,"&lt;"&amp;BS38,BS$4:BS$40,"&lt;&gt;"&amp;"")+COUNTIF(BS$4:BS38,BS38))</f>
        <v>25</v>
      </c>
      <c r="BU38" s="55">
        <f>IF(ROW()-3&gt;COUNTIF(BS$4:BS$40,"&lt;&gt;"&amp;""),"",INDEX(BS$4:BS$40,MATCH(ROW()-3,BT$4:BT$40,0)))</f>
        <v>43712.743049999997</v>
      </c>
      <c r="BV38">
        <f>BV37+IF(AND(BU38&lt;&gt;"",COUNTIF(BU$4:BU38,BU38)=1),1,0)</f>
        <v>35</v>
      </c>
      <c r="BW38" s="55">
        <f>IF(ROW()-3&gt;MAX(BV$4:BV$40),"",INDEX(BU$4:BU$40,MATCH(ROW()-3,BV$4:BV$40,0)))</f>
        <v>43712.743049999997</v>
      </c>
      <c r="BX38" s="138">
        <f>IF('Final Calculation Sheet'!$N$38="","",'Final Calculation Sheet'!$N$38)</f>
        <v>94.501350000000002</v>
      </c>
      <c r="BY38">
        <f>IF(BX38="","",COUNTIFS(BX$4:BX$40,"&lt;"&amp;BX38,BX$4:BX$40,"&lt;&gt;"&amp;"")+COUNTIF(BX$4:BX38,BX38))</f>
        <v>25</v>
      </c>
      <c r="BZ38" s="138">
        <f>IF(ROW()-3&gt;COUNTIF(BX$4:BX$40,"&lt;&gt;"&amp;""),"",INDEX(BX$4:BX$40,MATCH(ROW()-3,BY$4:BY$40,0)))</f>
        <v>740.89395000000002</v>
      </c>
      <c r="CA38">
        <f>CA37+IF(AND(BZ38&lt;&gt;"",COUNTIF(BZ$4:BZ38,BZ38)=1),1,0)</f>
        <v>35</v>
      </c>
      <c r="CB38" s="138">
        <f>IF(ROW()-3&gt;MAX(CA$4:CA$40),"",INDEX(BZ$4:BZ$40,MATCH(ROW()-3,CA$4:CA$40,0)))</f>
        <v>740.89395000000002</v>
      </c>
      <c r="CC38" s="55">
        <f>IF('Final Calculation Sheet'!$O$38="","",'Final Calculation Sheet'!$O$38)</f>
        <v>5481.0782999999992</v>
      </c>
      <c r="CD38">
        <f>IF(CC38="","",COUNTIFS(CC$4:CC$40,"&lt;"&amp;CC38,CC$4:CC$40,"&lt;&gt;"&amp;"")+COUNTIF(CC$4:CC38,CC38))</f>
        <v>25</v>
      </c>
      <c r="CE38" s="55">
        <f>IF(ROW()-3&gt;COUNTIF(CC$4:CC$40,"&lt;&gt;"&amp;""),"",INDEX(CC$4:CC$40,MATCH(ROW()-3,CD$4:CD$40,0)))</f>
        <v>42971.849099999999</v>
      </c>
      <c r="CF38">
        <f>CF37+IF(AND(CE38&lt;&gt;"",COUNTIF(CE$4:CE38,CE38)=1),1,0)</f>
        <v>35</v>
      </c>
      <c r="CG38" s="55">
        <f>IF(ROW()-3&gt;MAX(CF$4:CF$40),"",INDEX(CE$4:CE$40,MATCH(ROW()-3,CF$4:CF$40,0)))</f>
        <v>42971.849099999999</v>
      </c>
      <c r="CH38" s="55">
        <f>IF('Final Calculation Sheet'!$P$38="","",'Final Calculation Sheet'!$P$38)</f>
        <v>5691</v>
      </c>
      <c r="CI38">
        <f>IF(CH38="","",COUNTIFS(CH$4:CH$40,"&lt;"&amp;CH38,CH$4:CH$40,"&lt;&gt;"&amp;"")+COUNTIF(CH$4:CH38,CH38))</f>
        <v>25</v>
      </c>
      <c r="CJ38" s="55">
        <f>IF(ROW()-3&gt;COUNTIF(CH$4:CH$40,"&lt;&gt;"&amp;""),"",INDEX(CH$4:CH$40,MATCH(ROW()-3,CI$4:CI$40,0)))</f>
        <v>44618</v>
      </c>
      <c r="CK38">
        <f>CK37+IF(AND(CJ38&lt;&gt;"",COUNTIF(CJ$4:CJ38,CJ38)=1),1,0)</f>
        <v>34</v>
      </c>
      <c r="CL38" s="55">
        <f>IF(ROW()-3&gt;MAX(CK$4:CK$40),"",INDEX(CJ$4:CJ$40,MATCH(ROW()-3,CK$4:CK$40,0)))</f>
        <v>75536</v>
      </c>
      <c r="CM38" s="139">
        <f>IF('Final Calculation Sheet'!$Q$38="","",'Final Calculation Sheet'!$Q$38)</f>
        <v>0</v>
      </c>
      <c r="CN38">
        <f>IF(CM38="","",COUNTIFS(CM$4:CM$40,"&lt;"&amp;CM38,CM$4:CM$40,"&lt;&gt;"&amp;"")+COUNTIF(CM$4:CM38,CM38))</f>
        <v>31</v>
      </c>
      <c r="CO38" s="139">
        <f>IF(ROW()-3&gt;COUNTIF(CM$4:CM$40,"&lt;&gt;"&amp;""),"",INDEX(CM$4:CM$40,MATCH(ROW()-3,CN$4:CN$40,0)))</f>
        <v>0.02</v>
      </c>
      <c r="CP38">
        <f>CP37+IF(AND(CO38&lt;&gt;"",COUNTIF(CO$4:CO38,CO38)=1),1,0)</f>
        <v>2</v>
      </c>
      <c r="CQ38" t="str">
        <f>IF(ROW()-3&gt;MAX(CP$4:CP$40),"",INDEX(CO$4:CO$40,MATCH(ROW()-3,CP$4:CP$40,0)))</f>
        <v/>
      </c>
      <c r="CR38" s="55">
        <f>IF('Final Calculation Sheet'!$R$38="","",'Final Calculation Sheet'!$R$38)</f>
        <v>0</v>
      </c>
      <c r="CS38">
        <f>IF(CR38="","",COUNTIFS(CR$4:CR$40,"&lt;"&amp;CR38,CR$4:CR$40,"&lt;&gt;"&amp;"")+COUNTIF(CR$4:CR38,CR38))</f>
        <v>31</v>
      </c>
      <c r="CT38" s="55">
        <f>IF(ROW()-3&gt;COUNTIF(CR$4:CR$40,"&lt;&gt;"&amp;""),"",INDEX(CR$4:CR$40,MATCH(ROW()-3,CS$4:CS$40,0)))</f>
        <v>15802</v>
      </c>
      <c r="CU38">
        <f>CU37+IF(AND(CT38&lt;&gt;"",COUNTIF(CT$4:CT38,CT38)=1),1,0)</f>
        <v>3</v>
      </c>
      <c r="CV38" t="str">
        <f>IF(ROW()-3&gt;MAX(CU$4:CU$40),"",INDEX(CT$4:CT$40,MATCH(ROW()-3,CU$4:CU$40,0)))</f>
        <v/>
      </c>
      <c r="CW38" s="55">
        <f>IF('Final Calculation Sheet'!$S$38="","",'Final Calculation Sheet'!$S$38)</f>
        <v>247069</v>
      </c>
      <c r="CX38">
        <f>IF(CW38="","",COUNTIFS(CW$4:CW$40,"&lt;"&amp;CW38,CW$4:CW$40,"&lt;&gt;"&amp;"")+COUNTIF(CW$4:CW38,CW38))</f>
        <v>25</v>
      </c>
      <c r="CY38" s="55">
        <f>IF(ROW()-3&gt;COUNTIF(CW$4:CW$40,"&lt;&gt;"&amp;""),"",INDEX(CW$4:CW$40,MATCH(ROW()-3,CX$4:CX$40,0)))</f>
        <v>1904097</v>
      </c>
      <c r="CZ38">
        <f>CZ37+IF(AND(CY38&lt;&gt;"",COUNTIF(CY$4:CY38,CY38)=1),1,0)</f>
        <v>35</v>
      </c>
      <c r="DA38" s="55">
        <f>IF(ROW()-3&gt;MAX(CZ$4:CZ$40),"",INDEX(CY$4:CY$40,MATCH(ROW()-3,CZ$4:CZ$40,0)))</f>
        <v>1904097</v>
      </c>
      <c r="DB38" s="55">
        <f>IF('Final Calculation Sheet'!$T$38="","",'Final Calculation Sheet'!$T$38)</f>
        <v>52501</v>
      </c>
      <c r="DC38">
        <f>IF(DB38="","",COUNTIFS(DB$4:DB$40,"&lt;"&amp;DB38,DB$4:DB$40,"&lt;&gt;"&amp;"")+COUNTIF(DB$4:DB38,DB38))</f>
        <v>25</v>
      </c>
      <c r="DD38" s="55">
        <f>IF(ROW()-3&gt;COUNTIF(DB$4:DB$40,"&lt;&gt;"&amp;""),"",INDEX(DB$4:DB$40,MATCH(ROW()-3,DC$4:DC$40,0)))</f>
        <v>411608</v>
      </c>
      <c r="DE38">
        <f>DE37+IF(AND(DD38&lt;&gt;"",COUNTIF(DD$4:DD38,DD38)=1),1,0)</f>
        <v>35</v>
      </c>
      <c r="DF38" s="55">
        <f>IF(ROW()-3&gt;MAX(DE$4:DE$40),"",INDEX(DD$4:DD$40,MATCH(ROW()-3,DE$4:DE$40,0)))</f>
        <v>411608</v>
      </c>
      <c r="DG38" s="140">
        <f>IF('Final Calculation Sheet'!$U$38="","",'Final Calculation Sheet'!$U$38)</f>
        <v>52501</v>
      </c>
      <c r="DH38">
        <f>IF(DG38="","",COUNTIFS(DG$4:DG$40,"&lt;"&amp;DG38,DG$4:DG$40,"&lt;&gt;"&amp;"")+COUNTIF(DG$4:DG38,DG38))</f>
        <v>25</v>
      </c>
      <c r="DI38" s="140">
        <f>IF(ROW()-3&gt;COUNTIF(DG$4:DG$40,"&lt;&gt;"&amp;""),"",INDEX(DG$4:DG$40,MATCH(ROW()-3,DH$4:DH$40,0)))</f>
        <v>411608</v>
      </c>
      <c r="DJ38">
        <f>DJ37+IF(AND(DI38&lt;&gt;"",COUNTIF(DI$4:DI38,DI38)=1),1,0)</f>
        <v>35</v>
      </c>
      <c r="DK38" s="140">
        <f>IF(ROW()-3&gt;MAX(DJ$4:DJ$40),"",INDEX(DI$4:DI$40,MATCH(ROW()-3,DJ$4:DJ$40,0)))</f>
        <v>411608</v>
      </c>
      <c r="DL38" t="str">
        <f>IF('Final Calculation Sheet'!$V$38="","",'Final Calculation Sheet'!$V$38)</f>
        <v>17.08.2026</v>
      </c>
      <c r="DM38">
        <f>IF(DL38="","",COUNTIFS(DL$4:DL$40,"&lt;"&amp;DL38,DL$4:DL$40,"&lt;&gt;"&amp;"")+COUNTIF(DL$4:DL38,DL38))</f>
        <v>36</v>
      </c>
      <c r="DN38" t="str">
        <f>IF(ROW()-3&gt;COUNTIF(DL$4:DL$40,"&lt;&gt;"&amp;""),"",INDEX(DL$4:DL$40,MATCH(ROW()-3,DM$4:DM$40,0)))</f>
        <v>14.08.2026</v>
      </c>
      <c r="DO38">
        <f>DO37+IF(AND(DN38&lt;&gt;"",COUNTIF(DN$4:DN38,DN38)=1),1,0)</f>
        <v>4</v>
      </c>
      <c r="DP38" t="str">
        <f>IF(ROW()-3&gt;MAX(DO$4:DO$40),"",INDEX(DN$4:DN$40,MATCH(ROW()-3,DO$4:DO$40,0)))</f>
        <v/>
      </c>
      <c r="DQ38" s="55">
        <f>IF('Final Calculation Sheet'!$W$38="","",'Final Calculation Sheet'!$W$38)</f>
        <v>194568</v>
      </c>
      <c r="DR38">
        <f>IF(DQ38="","",COUNTIFS(DQ$4:DQ$40,"&lt;"&amp;DQ38,DQ$4:DQ$40,"&lt;&gt;"&amp;"")+COUNTIF(DQ$4:DQ38,DQ38))</f>
        <v>25</v>
      </c>
      <c r="DS38" s="55">
        <f>IF(ROW()-3&gt;COUNTIF(DQ$4:DQ$40,"&lt;&gt;"&amp;""),"",INDEX(DQ$4:DQ$40,MATCH(ROW()-3,DR$4:DR$40,0)))</f>
        <v>1492489</v>
      </c>
      <c r="DT38">
        <f>DT37+IF(AND(DS38&lt;&gt;"",COUNTIF(DS$4:DS38,DS38)=1),1,0)</f>
        <v>35</v>
      </c>
      <c r="DU38" s="55">
        <f>IF(ROW()-3&gt;MAX(DT$4:DT$40),"",INDEX(DS$4:DS$40,MATCH(ROW()-3,DT$4:DT$40,0)))</f>
        <v>1492489</v>
      </c>
      <c r="DV38" s="55">
        <f>IF('Final Calculation Sheet'!$X$38="","",'Final Calculation Sheet'!$X$38)</f>
        <v>194568</v>
      </c>
      <c r="DW38">
        <f>IF(DV38="","",COUNTIFS(DV$4:DV$40,"&lt;"&amp;DV38,DV$4:DV$40,"&lt;&gt;"&amp;"")+COUNTIF(DV$4:DV38,DV38))</f>
        <v>24</v>
      </c>
      <c r="DX38" t="e">
        <f>IF(ROW()-3&gt;COUNTIF(DV$4:DV$40,"&lt;&gt;"&amp;""),"",INDEX(DV$4:DV$40,MATCH(ROW()-3,DW$4:DW$40,0)))</f>
        <v>#N/A</v>
      </c>
      <c r="DY38" t="e">
        <f>DY37+IF(AND(DX38&lt;&gt;"",COUNTIF(DX$4:DX38,DX38)=1),1,0)</f>
        <v>#N/A</v>
      </c>
      <c r="DZ38" t="e">
        <f>IF(ROW()-3&gt;MAX(DY$4:DY$40),"",INDEX(DX$4:DX$40,MATCH(ROW()-3,DY$4:DY$40,0)))</f>
        <v>#N/A</v>
      </c>
      <c r="EA38" t="str">
        <f>IF('Final Calculation Sheet'!$Y$38="","",'Final Calculation Sheet'!$Y$38)</f>
        <v>17.08.2026</v>
      </c>
      <c r="EB38">
        <f>IF(EA38="","",COUNTIFS(EA$4:EA$40,"&lt;"&amp;EA38,EA$4:EA$40,"&lt;&gt;"&amp;"")+COUNTIF(EA$4:EA38,EA38))</f>
        <v>11</v>
      </c>
      <c r="EC38" t="e">
        <f>IF(ROW()-3&gt;COUNTIF(EA$4:EA$40,"&lt;&gt;"&amp;""),"",INDEX(EA$4:EA$40,MATCH(ROW()-3,EB$4:EB$40,0)))</f>
        <v>#N/A</v>
      </c>
      <c r="ED38" t="e">
        <f>ED37+IF(AND(EC38&lt;&gt;"",COUNTIF(EC$4:EC38,EC38)=1),1,0)</f>
        <v>#N/A</v>
      </c>
      <c r="EE38" t="e">
        <f>IF(ROW()-3&gt;MAX(ED$4:ED$40),"",INDEX(EC$4:EC$40,MATCH(ROW()-3,ED$4:ED$40,0)))</f>
        <v>#N/A</v>
      </c>
      <c r="EF38" s="55">
        <f>IF('Final Calculation Sheet'!$Z$38="","",'Final Calculation Sheet'!$Z$38)</f>
        <v>0</v>
      </c>
      <c r="EG38">
        <f>IF(EF38="","",COUNTIFS(EF$4:EF$40,"&lt;"&amp;EF38,EF$4:EF$40,"&lt;&gt;"&amp;"")+COUNTIF(EF$4:EF38,EF38))</f>
        <v>32</v>
      </c>
      <c r="EH38" s="55">
        <f>IF(ROW()-3&gt;COUNTIF(EF$4:EF$40,"&lt;&gt;"&amp;""),"",INDEX(EF$4:EF$40,MATCH(ROW()-3,EG$4:EG$40,0)))</f>
        <v>2832.2123999999999</v>
      </c>
      <c r="EI38">
        <f>EI37+IF(AND(EH38&lt;&gt;"",COUNTIF(EH$4:EH38,EH38)=1),1,0)</f>
        <v>4</v>
      </c>
      <c r="EJ38" t="str">
        <f>IF(ROW()-3&gt;MAX(EI$4:EI$40),"",INDEX(EH$4:EH$40,MATCH(ROW()-3,EI$4:EI$40,0)))</f>
        <v/>
      </c>
      <c r="EK38" t="str">
        <f>IF('Final Calculation Sheet'!$AA$38="","",'Final Calculation Sheet'!$AA$38)</f>
        <v/>
      </c>
      <c r="EL38" t="str">
        <f>IF(EK38="","",COUNTIFS(EK$4:EK$40,"&lt;"&amp;EK38,EK$4:EK$40,"&lt;&gt;"&amp;"")+COUNTIF(EK$4:EK38,EK38))</f>
        <v/>
      </c>
      <c r="EM38" t="e">
        <f>IF(ROW()-3&gt;COUNTIF(EK$4:EK$40,"&lt;&gt;"&amp;""),"",INDEX(EK$4:EK$40,MATCH(ROW()-3,EL$4:EL$40,0)))</f>
        <v>#N/A</v>
      </c>
      <c r="EN38" t="e">
        <f>EN37+IF(AND(EM38&lt;&gt;"",COUNTIF(EM$4:EM38,EM38)=1),1,0)</f>
        <v>#N/A</v>
      </c>
      <c r="EO38" t="e">
        <f>IF(ROW()-3&gt;MAX(EN$4:EN$40),"",INDEX(EM$4:EM$40,MATCH(ROW()-3,EN$4:EN$40,0)))</f>
        <v>#N/A</v>
      </c>
      <c r="EP38" t="str">
        <f>IF('Final Calculation Sheet'!$AB$38="","",'Final Calculation Sheet'!$AB$38)</f>
        <v/>
      </c>
      <c r="EQ38" t="str">
        <f>IF(EP38="","",COUNTIFS(EP$4:EP$40,"&lt;"&amp;EP38,EP$4:EP$40,"&lt;&gt;"&amp;"")+COUNTIF(EP$4:EP38,EP38))</f>
        <v/>
      </c>
      <c r="ER38" t="e">
        <f>IF(ROW()-3&gt;COUNTIF(EP$4:EP$40,"&lt;&gt;"&amp;""),"",INDEX(EP$4:EP$40,MATCH(ROW()-3,EQ$4:EQ$40,0)))</f>
        <v>#N/A</v>
      </c>
      <c r="ES38" t="e">
        <f>ES37+IF(AND(ER38&lt;&gt;"",COUNTIF(ER$4:ER38,ER38)=1),1,0)</f>
        <v>#N/A</v>
      </c>
      <c r="ET38" t="e">
        <f>IF(ROW()-3&gt;MAX(ES$4:ES$40),"",INDEX(ER$4:ER$40,MATCH(ROW()-3,ES$4:ES$40,0)))</f>
        <v>#N/A</v>
      </c>
      <c r="EU38" s="55">
        <f>IF('Final Calculation Sheet'!$AC$38="","",'Final Calculation Sheet'!$AC$38)</f>
        <v>247069</v>
      </c>
      <c r="EV38">
        <f>IF(EU38="","",COUNTIFS(EU$4:EU$40,"&lt;"&amp;EU38,EU$4:EU$40,"&lt;&gt;"&amp;"")+COUNTIF(EU$4:EU38,EU38))</f>
        <v>27</v>
      </c>
      <c r="EW38" s="55">
        <f>IF(ROW()-3&gt;COUNTIF(EU$4:EU$40,"&lt;&gt;"&amp;""),"",INDEX(EU$4:EU$40,MATCH(ROW()-3,EV$4:EV$40,0)))</f>
        <v>1904098</v>
      </c>
      <c r="EX38">
        <f>EX37+IF(AND(EW38&lt;&gt;"",COUNTIF(EW$4:EW38,EW38)=1),1,0)</f>
        <v>35</v>
      </c>
      <c r="EY38" s="55">
        <f>IF(ROW()-3&gt;MAX(EX$4:EX$40),"",INDEX(EW$4:EW$40,MATCH(ROW()-3,EX$4:EX$40,0)))</f>
        <v>1904098</v>
      </c>
      <c r="EZ38" s="55">
        <f>IF('Final Calculation Sheet'!$AD$38="","",'Final Calculation Sheet'!$AD$38)</f>
        <v>0</v>
      </c>
      <c r="FA38">
        <f>IF(EZ38="","",COUNTIFS(EZ$4:EZ$40,"&lt;"&amp;EZ38,EZ$4:EZ$40,"&lt;&gt;"&amp;"")+COUNTIF(EZ$4:EZ38,EZ38))</f>
        <v>28</v>
      </c>
      <c r="FB38" s="55">
        <f>IF(ROW()-3&gt;COUNTIF(EZ$4:EZ$40,"&lt;&gt;"&amp;""),"",INDEX(EZ$4:EZ$40,MATCH(ROW()-3,FA$4:FA$40,0)))</f>
        <v>50031</v>
      </c>
      <c r="FC38" t="e">
        <f>FC37+IF(AND(FB38&lt;&gt;"",COUNTIF(FB$4:FB38,FB38)=1),1,0)</f>
        <v>#N/A</v>
      </c>
      <c r="FD38" t="e">
        <f>IF(ROW()-3&gt;MAX(FC$4:FC$40),"",INDEX(FB$4:FB$40,MATCH(ROW()-3,FC$4:FC$40,0)))</f>
        <v>#N/A</v>
      </c>
      <c r="FE38" t="str">
        <f>IF('Final Calculation Sheet'!$AE$38="","",'Final Calculation Sheet'!$AE$38)</f>
        <v>DR2640100025</v>
      </c>
      <c r="FF38">
        <f>IF(FE38="","",COUNTIFS(FE$4:FE$40,"&lt;"&amp;FE38,FE$4:FE$40,"&lt;&gt;"&amp;"")+COUNTIF(FE$4:FE38,FE38))</f>
        <v>14</v>
      </c>
      <c r="FG38" t="str">
        <f>IF(ROW()-3&gt;COUNTIF(FE$4:FE$40,"&lt;&gt;"&amp;""),"",INDEX(FE$4:FE$40,MATCH(ROW()-3,FF$4:FF$40,0)))</f>
        <v>DR2640100046</v>
      </c>
      <c r="FH38" t="e">
        <f>FH37+IF(AND(FG38&lt;&gt;"",COUNTIF(FG$4:FG38,FG38)=1),1,0)</f>
        <v>#N/A</v>
      </c>
      <c r="FI38" t="e">
        <f>IF(ROW()-3&gt;MAX(FH$4:FH$40),"",INDEX(FG$4:FG$40,MATCH(ROW()-3,FH$4:FH$40,0)))</f>
        <v>#N/A</v>
      </c>
      <c r="FJ38" s="141">
        <f>IF('Final Calculation Sheet'!$AF$38="","",'Final Calculation Sheet'!$AF$38)</f>
        <v>1800003226</v>
      </c>
      <c r="FK38">
        <f>IF(FJ38="","",COUNTIFS(FJ$4:FJ$40,"&lt;"&amp;FJ38,FJ$4:FJ$40,"&lt;&gt;"&amp;"")+COUNTIF(FJ$4:FJ38,FJ38))</f>
        <v>9</v>
      </c>
      <c r="FL38" t="e">
        <f>IF(ROW()-3&gt;COUNTIF(FJ$4:FJ$40,"&lt;&gt;"&amp;""),"",INDEX(FJ$4:FJ$40,MATCH(ROW()-3,FK$4:FK$40,0)))</f>
        <v>#N/A</v>
      </c>
      <c r="FM38" t="e">
        <f>FM37+IF(AND(FL38&lt;&gt;"",COUNTIF(FL$4:FL38,FL38)=1),1,0)</f>
        <v>#N/A</v>
      </c>
      <c r="FN38" t="e">
        <f>IF(ROW()-3&gt;MAX(FM$4:FM$40),"",INDEX(FL$4:FL$40,MATCH(ROW()-3,FM$4:FM$40,0)))</f>
        <v>#N/A</v>
      </c>
      <c r="FO38" t="str">
        <f>IF('Final Calculation Sheet'!$AG$38="","",'Final Calculation Sheet'!$AG$38)</f>
        <v>19.08.2026</v>
      </c>
      <c r="FP38">
        <f>IF(FO38="","",COUNTIFS(FO$4:FO$40,"&lt;"&amp;FO38,FO$4:FO$40,"&lt;&gt;"&amp;"")+COUNTIF(FO$4:FO38,FO38))</f>
        <v>14</v>
      </c>
      <c r="FQ38" t="str">
        <f>IF(ROW()-3&gt;COUNTIF(FO$4:FO$40,"&lt;&gt;"&amp;""),"",INDEX(FO$4:FO$40,MATCH(ROW()-3,FP$4:FP$40,0)))</f>
        <v>27.08.2026</v>
      </c>
      <c r="FR38" t="e">
        <f>FR37+IF(AND(FQ38&lt;&gt;"",COUNTIF(FQ$4:FQ38,FQ38)=1),1,0)</f>
        <v>#N/A</v>
      </c>
      <c r="FS38" t="e">
        <f>IF(ROW()-3&gt;MAX(FR$4:FR$40),"",INDEX(FQ$4:FQ$40,MATCH(ROW()-3,FR$4:FR$40,0)))</f>
        <v>#N/A</v>
      </c>
      <c r="FU38" t="str">
        <f>IF(FT38="","",COUNTIFS(FT$4:FT$40,"&lt;"&amp;FT38,FT$4:FT$40,"&lt;&gt;"&amp;"")+COUNTIF(FT$4:FT38,FT38))</f>
        <v/>
      </c>
      <c r="FV38" t="str">
        <f>IF(ROW()-3&gt;COUNTIF(FT$4:FT$40,"&lt;&gt;"&amp;""),"",INDEX(FT$4:FT$40,MATCH(ROW()-3,FU$4:FU$40,0)))</f>
        <v/>
      </c>
      <c r="FW38">
        <f>FW37+IF(AND(FV38&lt;&gt;"",COUNTIF(FV$4:FV38,FV38)=1),1,0)</f>
        <v>2</v>
      </c>
      <c r="FX38" t="str">
        <f>IF(ROW()-3&gt;MAX(FW$4:FW$40),"",INDEX(FV$4:FV$40,MATCH(ROW()-3,FW$4:FW$40,0)))</f>
        <v/>
      </c>
    </row>
    <row r="39">
      <c r="A39">
        <f>IF('Final Calculation Sheet'!$F$39="","",'Final Calculation Sheet'!$F$39)</f>
        <v>2089</v>
      </c>
      <c r="B39">
        <f>IF(A39="","",COUNTIFS(A$4:A$114,"&lt;"&amp;A39,A$4:A$114,"&lt;&gt;"&amp;"")+COUNTIF(A$4:A39,A39))</f>
        <v>36</v>
      </c>
      <c r="C39">
        <f>IF(ROW()-3&gt;COUNTIF(A$4:A$114,"&lt;&gt;"&amp;""),"",INDEX(A$4:A$114,MATCH(ROW()-3,B$4:B$114,0)))</f>
        <v>2089</v>
      </c>
      <c r="D39">
        <f>D38+IF(AND(C39&lt;&gt;"",COUNTIF(C$4:C39,C39)=1),1,0)</f>
        <v>36</v>
      </c>
      <c r="E39" t="e">
        <f>IF(ROW()-3&gt;MAX(D$4:D$114),"",INDEX(C$4:C$114,MATCH(ROW()-3,D$4:D$114,0)))</f>
        <v>#N/A</v>
      </c>
      <c r="F39">
        <f>ROW()-3</f>
        <v>36</v>
      </c>
      <c r="G39">
        <f>IF(F39="","",COUNTIFS(F$4:F$40,"&lt;"&amp;F39,F$4:F$40,"&lt;&gt;"&amp;"")+COUNTIF(F$4:F39,F39))</f>
        <v>36</v>
      </c>
      <c r="H39">
        <f>IF(ROW()-3&gt;COUNTIF(F$4:F$40,"&lt;&gt;"&amp;""),"",INDEX(F$4:F$40,MATCH(ROW()-3,G$4:G$40,0)))</f>
        <v>36</v>
      </c>
      <c r="I39">
        <f>I38+IF(AND(H39&lt;&gt;"",COUNTIF(H$4:H39,H39)=1),1,0)</f>
        <v>36</v>
      </c>
      <c r="J39">
        <f>IF(ROW()-3&gt;MAX(I$4:I$40),"",INDEX(H$4:H$40,MATCH(ROW()-3,I$4:I$40,0)))</f>
        <v>36</v>
      </c>
      <c r="K39">
        <f>IF('Final Calculation Sheet'!$F$39="","",'Final Calculation Sheet'!$F$39)</f>
        <v>2089</v>
      </c>
      <c r="L39">
        <f>IF(K39="","",COUNTIFS(K$4:K$40,"&lt;"&amp;K39,K$4:K$40,"&lt;&gt;"&amp;"")+COUNTIF(K$4:K39,K39))</f>
        <v>36</v>
      </c>
      <c r="M39">
        <f>IF(ROW()-3&gt;COUNTIF(K$4:K$40,"&lt;&gt;"&amp;""),"",INDEX(K$4:K$40,MATCH(ROW()-3,L$4:L$40,0)))</f>
        <v>2089</v>
      </c>
      <c r="N39">
        <f>N38+IF(AND(M39&lt;&gt;"",COUNTIF(M$4:M39,M39)=1),1,0)</f>
        <v>36</v>
      </c>
      <c r="O39">
        <f>IF(ROW()-3&gt;MAX(N$4:N$40),"",INDEX(M$4:M$40,MATCH(ROW()-3,N$4:N$40,0)))</f>
        <v>2089</v>
      </c>
      <c r="P39" t="str">
        <f>IF('Final Calculation Sheet'!$G$39="","",'Final Calculation Sheet'!$G$39)</f>
        <v>S M ENTERPRISES</v>
      </c>
      <c r="Q39">
        <f>IF(P39="","",COUNTIFS(P$4:P$40,"&lt;"&amp;P39,P$4:P$40,"&lt;&gt;"&amp;"")+COUNTIF(P$4:P39,P39))</f>
        <v>23</v>
      </c>
      <c r="R39" t="str">
        <f>IF(ROW()-3&gt;COUNTIF(P$4:P$40,"&lt;&gt;"&amp;""),"",INDEX(P$4:P$40,MATCH(ROW()-3,Q$4:Q$40,0)))</f>
        <v>WATAN SCRAP TRADERS</v>
      </c>
      <c r="S39">
        <f>S38+IF(AND(R39&lt;&gt;"",COUNTIF(R$4:R39,R39)=1),1,0)</f>
        <v>13</v>
      </c>
      <c r="T39" t="str">
        <f>IF(ROW()-3&gt;MAX(S$4:S$40),"",INDEX(R$4:R$40,MATCH(ROW()-3,S$4:S$40,0)))</f>
        <v/>
      </c>
      <c r="U39" t="str">
        <f>IF('Final Calculation Sheet'!$B$39="","",'Final Calculation Sheet'!$B$39)</f>
        <v>Scrap of 66 kv TBC C &amp; R Panel</v>
      </c>
      <c r="V39">
        <f>IF(U39="","",COUNTIFS(U$4:U$40,"&lt;"&amp;U39,U$4:U$40,"&lt;&gt;"&amp;"")+COUNTIF(U$4:U39,U39))</f>
        <v>23</v>
      </c>
      <c r="W39" t="str">
        <f>IF(ROW()-3&gt;COUNTIF(U$4:U$40,"&lt;&gt;"&amp;""),"",INDEX(U$4:U$40,MATCH(ROW()-3,V$4:V$40,0)))</f>
        <v>Scrap Power Transformer</v>
      </c>
      <c r="X39">
        <f>X38+IF(AND(W39&lt;&gt;"",COUNTIF(W$4:W39,W39)=1),1,0)</f>
        <v>25</v>
      </c>
      <c r="Y39" t="str">
        <f>IF(ROW()-3&gt;MAX(X$4:X$40),"",INDEX(W$4:W$40,MATCH(ROW()-3,X$4:X$40,0)))</f>
        <v/>
      </c>
      <c r="Z39">
        <f>IF('Final Calculation Sheet'!$D$39="","",'Final Calculation Sheet'!$D$39)</f>
        <v>21980</v>
      </c>
      <c r="AA39">
        <f>IF(Z39="","",COUNTIFS(Z$4:Z$40,"&lt;"&amp;Z39,Z$4:Z$40,"&lt;&gt;"&amp;"")+COUNTIF(Z$4:Z39,Z39))</f>
        <v>36</v>
      </c>
      <c r="AB39">
        <f>IF(ROW()-3&gt;COUNTIF(Z$4:Z$40,"&lt;&gt;"&amp;""),"",INDEX(Z$4:Z$40,MATCH(ROW()-3,AA$4:AA$40,0)))</f>
        <v>21980</v>
      </c>
      <c r="AC39">
        <f>AC38+IF(AND(AB39&lt;&gt;"",COUNTIF(AB$4:AB39,AB39)=1),1,0)</f>
        <v>4</v>
      </c>
      <c r="AD39" t="str">
        <f>IF(ROW()-3&gt;MAX(AC$4:AC$40),"",INDEX(AB$4:AB$40,MATCH(ROW()-3,AC$4:AC$40,0)))</f>
        <v/>
      </c>
      <c r="AE39">
        <f>IF('Final Calculation Sheet'!$A$39="","",'Final Calculation Sheet'!$A$39)</f>
        <v>2</v>
      </c>
      <c r="AF39">
        <f>IF(AE39="","",COUNTIFS(AE$4:AE$40,"&lt;"&amp;AE39,AE$4:AE$40,"&lt;&gt;"&amp;"")+COUNTIF(AE$4:AE39,AE39))</f>
        <v>12</v>
      </c>
      <c r="AG39">
        <f>IF(ROW()-3&gt;COUNTIF(AE$4:AE$40,"&lt;&gt;"&amp;""),"",INDEX(AE$4:AE$40,MATCH(ROW()-3,AF$4:AF$40,0)))</f>
        <v>3500</v>
      </c>
      <c r="AH39">
        <f>AH38+IF(AND(AG39&lt;&gt;"",COUNTIF(AG$4:AG39,AG39)=1),1,0)</f>
        <v>21</v>
      </c>
      <c r="AI39" t="str">
        <f>IF(ROW()-3&gt;MAX(AH$4:AH$40),"",INDEX(AG$4:AG$40,MATCH(ROW()-3,AH$4:AH$40,0)))</f>
        <v/>
      </c>
      <c r="AJ39" t="str">
        <f>IF('Final Calculation Sheet'!$E$39="","",'Final Calculation Sheet'!$E$39)</f>
        <v>NO</v>
      </c>
      <c r="AK39">
        <f>IF(AJ39="","",COUNTIFS(AJ$4:AJ$40,"&lt;"&amp;AJ39,AJ$4:AJ$40,"&lt;&gt;"&amp;"")+COUNTIF(AJ$4:AJ39,AJ39))</f>
        <v>36</v>
      </c>
      <c r="AL39" t="str">
        <f>IF(ROW()-3&gt;COUNTIF(AJ$4:AJ$40,"&lt;&gt;"&amp;""),"",INDEX(AJ$4:AJ$40,MATCH(ROW()-3,AK$4:AK$40,0)))</f>
        <v>NO</v>
      </c>
      <c r="AM39">
        <f>AM38+IF(AND(AL39&lt;&gt;"",COUNTIF(AL$4:AL39,AL39)=1),1,0)</f>
        <v>3</v>
      </c>
      <c r="AN39" t="str">
        <f>IF(ROW()-3&gt;MAX(AM$4:AM$40),"",INDEX(AL$4:AL$40,MATCH(ROW()-3,AM$4:AM$40,0)))</f>
        <v/>
      </c>
      <c r="AO39" s="55">
        <f>IF('Final Calculation Sheet'!$C$39="","",'Final Calculation Sheet'!$C$39)</f>
        <v>15006</v>
      </c>
      <c r="AP39">
        <f>IF(AO39="","",COUNTIFS(AO$4:AO$40,"&lt;"&amp;AO39,AO$4:AO$40,"&lt;&gt;"&amp;"")+COUNTIF(AO$4:AO39,AO39))</f>
        <v>18</v>
      </c>
      <c r="AQ39" s="55">
        <f>IF(ROW()-3&gt;COUNTIF(AO$4:AO$40,"&lt;&gt;"&amp;""),"",INDEX(AO$4:AO$40,MATCH(ROW()-3,AP$4:AP$40,0)))</f>
        <v>2787314</v>
      </c>
      <c r="AR39">
        <f>AR38+IF(AND(AQ39&lt;&gt;"",COUNTIF(AQ$4:AQ39,AQ39)=1),1,0)</f>
        <v>34</v>
      </c>
      <c r="AS39" t="str">
        <f>IF(ROW()-3&gt;MAX(AR$4:AR$40),"",INDEX(AQ$4:AQ$40,MATCH(ROW()-3,AR$4:AR$40,0)))</f>
        <v/>
      </c>
      <c r="AT39" s="55">
        <f>IF('Final Calculation Sheet'!$H$39="","",'Final Calculation Sheet'!$H$39)</f>
        <v>30012</v>
      </c>
      <c r="AU39">
        <f>IF(AT39="","",COUNTIFS(AT$4:AT$40,"&lt;"&amp;AT39,AT$4:AT$40,"&lt;&gt;"&amp;"")+COUNTIF(AT$4:AT39,AT39))</f>
        <v>7</v>
      </c>
      <c r="AV39" s="55">
        <f>IF(ROW()-3&gt;COUNTIF(AT$4:AT$40,"&lt;&gt;"&amp;""),"",INDEX(AT$4:AT$40,MATCH(ROW()-3,AU$4:AU$40,0)))</f>
        <v>2787314</v>
      </c>
      <c r="AW39">
        <f>AW38+IF(AND(AV39&lt;&gt;"",COUNTIF(AV$4:AV39,AV39)=1),1,0)</f>
        <v>36</v>
      </c>
      <c r="AX39" s="55">
        <f>IF(ROW()-3&gt;MAX(AW$4:AW$40),"",INDEX(AV$4:AV$40,MATCH(ROW()-3,AW$4:AW$40,0)))</f>
        <v>2787314</v>
      </c>
      <c r="AY39" s="55">
        <f>IF('Final Calculation Sheet'!$I$39="","",'Final Calculation Sheet'!$I$39)</f>
        <v>5402</v>
      </c>
      <c r="AZ39">
        <f>IF(AY39="","",COUNTIFS(AY$4:AY$40,"&lt;"&amp;AY39,AY$4:AY$40,"&lt;&gt;"&amp;"")+COUNTIF(AY$4:AY39,AY39))</f>
        <v>7</v>
      </c>
      <c r="BA39" s="55">
        <f>IF(ROW()-3&gt;COUNTIF(AY$4:AY$40,"&lt;&gt;"&amp;""),"",INDEX(AY$4:AY$40,MATCH(ROW()-3,AZ$4:AZ$40,0)))</f>
        <v>501717</v>
      </c>
      <c r="BB39">
        <f>BB38+IF(AND(BA39&lt;&gt;"",COUNTIF(BA$4:BA39,BA39)=1),1,0)</f>
        <v>36</v>
      </c>
      <c r="BC39" s="55">
        <f>IF(ROW()-3&gt;MAX(BB$4:BB$40),"",INDEX(BA$4:BA$40,MATCH(ROW()-3,BB$4:BB$40,0)))</f>
        <v>501717</v>
      </c>
      <c r="BD39" s="55">
        <f>IF('Final Calculation Sheet'!$J$39="","",'Final Calculation Sheet'!$J$39)</f>
        <v>35414</v>
      </c>
      <c r="BE39">
        <f>IF(BD39="","",COUNTIFS(BD$4:BD$40,"&lt;"&amp;BD39,BD$4:BD$40,"&lt;&gt;"&amp;"")+COUNTIF(BD$4:BD39,BD39))</f>
        <v>7</v>
      </c>
      <c r="BF39" s="55">
        <f>IF(ROW()-3&gt;COUNTIF(BD$4:BD$40,"&lt;&gt;"&amp;""),"",INDEX(BD$4:BD$40,MATCH(ROW()-3,BE$4:BE$40,0)))</f>
        <v>3289031</v>
      </c>
      <c r="BG39">
        <f>BG38+IF(AND(BF39&lt;&gt;"",COUNTIF(BF$4:BF39,BF39)=1),1,0)</f>
        <v>36</v>
      </c>
      <c r="BH39" s="55">
        <f>IF(ROW()-3&gt;MAX(BG$4:BG$40),"",INDEX(BF$4:BF$40,MATCH(ROW()-3,BG$4:BG$40,0)))</f>
        <v>3289031</v>
      </c>
      <c r="BI39" s="55">
        <f>IF('Final Calculation Sheet'!$K$39="","",'Final Calculation Sheet'!$K$39)</f>
        <v>708</v>
      </c>
      <c r="BJ39">
        <f>IF(BI39="","",COUNTIFS(BI$4:BI$40,"&lt;"&amp;BI39,BI$4:BI$40,"&lt;&gt;"&amp;"")+COUNTIF(BI$4:BI39,BI39))</f>
        <v>7</v>
      </c>
      <c r="BK39" s="55">
        <f>IF(ROW()-3&gt;COUNTIF(BI$4:BI$40,"&lt;&gt;"&amp;""),"",INDEX(BI$4:BI$40,MATCH(ROW()-3,BJ$4:BJ$40,0)))</f>
        <v>65781</v>
      </c>
      <c r="BL39">
        <f>BL38+IF(AND(BK39&lt;&gt;"",COUNTIF(BK$4:BK39,BK39)=1),1,0)</f>
        <v>35</v>
      </c>
      <c r="BM39" s="55">
        <f>IF(ROW()-3&gt;MAX(BL$4:BL$40),"",INDEX(BK$4:BK$40,MATCH(ROW()-3,BL$4:BL$40,0)))</f>
        <v>91028</v>
      </c>
      <c r="BN39" s="55">
        <f>IF('Final Calculation Sheet'!$L$39="","",'Final Calculation Sheet'!$L$39)</f>
        <v>30.012</v>
      </c>
      <c r="BO39">
        <f>IF(BN39="","",COUNTIFS(BN$4:BN$40,"&lt;"&amp;BN39,BN$4:BN$40,"&lt;&gt;"&amp;"")+COUNTIF(BN$4:BN39,BN39))</f>
        <v>7</v>
      </c>
      <c r="BP39" s="55">
        <f>IF(ROW()-3&gt;COUNTIF(BN$4:BN$40,"&lt;&gt;"&amp;""),"",INDEX(BN$4:BN$40,MATCH(ROW()-3,BO$4:BO$40,0)))</f>
        <v>2787.3139999999999</v>
      </c>
      <c r="BQ39">
        <f>BQ38+IF(AND(BP39&lt;&gt;"",COUNTIF(BP$4:BP39,BP39)=1),1,0)</f>
        <v>36</v>
      </c>
      <c r="BR39" s="55">
        <f>IF(ROW()-3&gt;MAX(BQ$4:BQ$40),"",INDEX(BP$4:BP$40,MATCH(ROW()-3,BQ$4:BQ$40,0)))</f>
        <v>2787.3139999999999</v>
      </c>
      <c r="BS39" s="55">
        <f>IF('Final Calculation Sheet'!$M$39="","",'Final Calculation Sheet'!$M$39)</f>
        <v>796.81859999999995</v>
      </c>
      <c r="BT39">
        <f>IF(BS39="","",COUNTIFS(BS$4:BS$40,"&lt;"&amp;BS39,BS$4:BS$40,"&lt;&gt;"&amp;"")+COUNTIF(BS$4:BS39,BS39))</f>
        <v>7</v>
      </c>
      <c r="BU39" s="55">
        <f>IF(ROW()-3&gt;COUNTIF(BS$4:BS$40,"&lt;&gt;"&amp;""),"",INDEX(BS$4:BS$40,MATCH(ROW()-3,BT$4:BT$40,0)))</f>
        <v>74003.186699999991</v>
      </c>
      <c r="BV39">
        <f>BV38+IF(AND(BU39&lt;&gt;"",COUNTIF(BU$4:BU39,BU39)=1),1,0)</f>
        <v>36</v>
      </c>
      <c r="BW39" s="55">
        <f>IF(ROW()-3&gt;MAX(BV$4:BV$40),"",INDEX(BU$4:BU$40,MATCH(ROW()-3,BV$4:BV$40,0)))</f>
        <v>74003.186699999991</v>
      </c>
      <c r="BX39" s="138">
        <f>IF('Final Calculation Sheet'!$N$39="","",'Final Calculation Sheet'!$N$39)</f>
        <v>13.5054</v>
      </c>
      <c r="BY39">
        <f>IF(BX39="","",COUNTIFS(BX$4:BX$40,"&lt;"&amp;BX39,BX$4:BX$40,"&lt;&gt;"&amp;"")+COUNTIF(BX$4:BX39,BX39))</f>
        <v>7</v>
      </c>
      <c r="BZ39" s="138">
        <f>IF(ROW()-3&gt;COUNTIF(BX$4:BX$40,"&lt;&gt;"&amp;""),"",INDEX(BX$4:BX$40,MATCH(ROW()-3,BY$4:BY$40,0)))</f>
        <v>1254.2912999999999</v>
      </c>
      <c r="CA39">
        <f>CA38+IF(AND(BZ39&lt;&gt;"",COUNTIF(BZ$4:BZ39,BZ39)=1),1,0)</f>
        <v>36</v>
      </c>
      <c r="CB39" s="138">
        <f>IF(ROW()-3&gt;MAX(CA$4:CA$40),"",INDEX(BZ$4:BZ$40,MATCH(ROW()-3,CA$4:CA$40,0)))</f>
        <v>1254.2912999999999</v>
      </c>
      <c r="CC39" s="55">
        <f>IF('Final Calculation Sheet'!$O$39="","",'Final Calculation Sheet'!$O$39)</f>
        <v>783.31319999999994</v>
      </c>
      <c r="CD39">
        <f>IF(CC39="","",COUNTIFS(CC$4:CC$40,"&lt;"&amp;CC39,CC$4:CC$40,"&lt;&gt;"&amp;"")+COUNTIF(CC$4:CC39,CC39))</f>
        <v>7</v>
      </c>
      <c r="CE39" s="55">
        <f>IF(ROW()-3&gt;COUNTIF(CC$4:CC$40,"&lt;&gt;"&amp;""),"",INDEX(CC$4:CC$40,MATCH(ROW()-3,CD$4:CD$40,0)))</f>
        <v>72748.895399999994</v>
      </c>
      <c r="CF39">
        <f>CF38+IF(AND(CE39&lt;&gt;"",COUNTIF(CE$4:CE39,CE39)=1),1,0)</f>
        <v>36</v>
      </c>
      <c r="CG39" s="55">
        <f>IF(ROW()-3&gt;MAX(CF$4:CF$40),"",INDEX(CE$4:CE$40,MATCH(ROW()-3,CF$4:CF$40,0)))</f>
        <v>72748.895399999994</v>
      </c>
      <c r="CH39" s="55">
        <f>IF('Final Calculation Sheet'!$P$39="","",'Final Calculation Sheet'!$P$39)</f>
        <v>813</v>
      </c>
      <c r="CI39">
        <f>IF(CH39="","",COUNTIFS(CH$4:CH$40,"&lt;"&amp;CH39,CH$4:CH$40,"&lt;&gt;"&amp;"")+COUNTIF(CH$4:CH39,CH39))</f>
        <v>7</v>
      </c>
      <c r="CJ39" s="55">
        <f>IF(ROW()-3&gt;COUNTIF(CH$4:CH$40,"&lt;&gt;"&amp;""),"",INDEX(CH$4:CH$40,MATCH(ROW()-3,CI$4:CI$40,0)))</f>
        <v>75536</v>
      </c>
      <c r="CK39">
        <f>CK38+IF(AND(CJ39&lt;&gt;"",COUNTIF(CJ$4:CJ39,CJ39)=1),1,0)</f>
        <v>35</v>
      </c>
      <c r="CL39" s="55">
        <f>IF(ROW()-3&gt;MAX(CK$4:CK$40),"",INDEX(CJ$4:CJ$40,MATCH(ROW()-3,CK$4:CK$40,0)))</f>
        <v>104528</v>
      </c>
      <c r="CM39" s="139">
        <f>IF('Final Calculation Sheet'!$Q$39="","",'Final Calculation Sheet'!$Q$39)</f>
        <v>0</v>
      </c>
      <c r="CN39">
        <f>IF(CM39="","",COUNTIFS(CM$4:CM$40,"&lt;"&amp;CM39,CM$4:CM$40,"&lt;&gt;"&amp;"")+COUNTIF(CM$4:CM39,CM39))</f>
        <v>32</v>
      </c>
      <c r="CO39" s="139">
        <f>IF(ROW()-3&gt;COUNTIF(CM$4:CM$40,"&lt;&gt;"&amp;""),"",INDEX(CM$4:CM$40,MATCH(ROW()-3,CN$4:CN$40,0)))</f>
        <v>0.02</v>
      </c>
      <c r="CP39">
        <f>CP38+IF(AND(CO39&lt;&gt;"",COUNTIF(CO$4:CO39,CO39)=1),1,0)</f>
        <v>2</v>
      </c>
      <c r="CQ39" t="str">
        <f>IF(ROW()-3&gt;MAX(CP$4:CP$40),"",INDEX(CO$4:CO$40,MATCH(ROW()-3,CP$4:CP$40,0)))</f>
        <v/>
      </c>
      <c r="CR39" s="55">
        <f>IF('Final Calculation Sheet'!$R$39="","",'Final Calculation Sheet'!$R$39)</f>
        <v>0</v>
      </c>
      <c r="CS39">
        <f>IF(CR39="","",COUNTIFS(CR$4:CR$40,"&lt;"&amp;CR39,CR$4:CR$40,"&lt;&gt;"&amp;"")+COUNTIF(CR$4:CR39,CR39))</f>
        <v>32</v>
      </c>
      <c r="CT39" s="55">
        <f>IF(ROW()-3&gt;COUNTIF(CR$4:CR$40,"&lt;&gt;"&amp;""),"",INDEX(CR$4:CR$40,MATCH(ROW()-3,CS$4:CS$40,0)))</f>
        <v>23310</v>
      </c>
      <c r="CU39">
        <f>CU38+IF(AND(CT39&lt;&gt;"",COUNTIF(CT$4:CT39,CT39)=1),1,0)</f>
        <v>4</v>
      </c>
      <c r="CV39" t="str">
        <f>IF(ROW()-3&gt;MAX(CU$4:CU$40),"",INDEX(CT$4:CT$40,MATCH(ROW()-3,CU$4:CU$40,0)))</f>
        <v/>
      </c>
      <c r="CW39" s="55">
        <f>IF('Final Calculation Sheet'!$S$39="","",'Final Calculation Sheet'!$S$39)</f>
        <v>35309</v>
      </c>
      <c r="CX39">
        <f>IF(CW39="","",COUNTIFS(CW$4:CW$40,"&lt;"&amp;CW39,CW$4:CW$40,"&lt;&gt;"&amp;"")+COUNTIF(CW$4:CW39,CW39))</f>
        <v>7</v>
      </c>
      <c r="CY39" s="55">
        <f>IF(ROW()-3&gt;COUNTIF(CW$4:CW$40,"&lt;&gt;"&amp;""),"",INDEX(CW$4:CW$40,MATCH(ROW()-3,CX$4:CX$40,0)))</f>
        <v>3279275</v>
      </c>
      <c r="CZ39">
        <f>CZ38+IF(AND(CY39&lt;&gt;"",COUNTIF(CY$4:CY39,CY39)=1),1,0)</f>
        <v>36</v>
      </c>
      <c r="DA39" s="55">
        <f>IF(ROW()-3&gt;MAX(CZ$4:CZ$40),"",INDEX(CY$4:CY$40,MATCH(ROW()-3,CZ$4:CZ$40,0)))</f>
        <v>3279275</v>
      </c>
      <c r="DB39" s="55">
        <f>IF('Final Calculation Sheet'!$T$39="","",'Final Calculation Sheet'!$T$39)</f>
        <v>7503</v>
      </c>
      <c r="DC39">
        <f>IF(DB39="","",COUNTIFS(DB$4:DB$40,"&lt;"&amp;DB39,DB$4:DB$40,"&lt;&gt;"&amp;"")+COUNTIF(DB$4:DB39,DB39))</f>
        <v>7</v>
      </c>
      <c r="DD39" s="55">
        <f>IF(ROW()-3&gt;COUNTIF(DB$4:DB$40,"&lt;&gt;"&amp;""),"",INDEX(DB$4:DB$40,MATCH(ROW()-3,DC$4:DC$40,0)))</f>
        <v>696829</v>
      </c>
      <c r="DE39">
        <f>DE38+IF(AND(DD39&lt;&gt;"",COUNTIF(DD$4:DD39,DD39)=1),1,0)</f>
        <v>36</v>
      </c>
      <c r="DF39" s="55">
        <f>IF(ROW()-3&gt;MAX(DE$4:DE$40),"",INDEX(DD$4:DD$40,MATCH(ROW()-3,DE$4:DE$40,0)))</f>
        <v>696829</v>
      </c>
      <c r="DG39" s="140">
        <f>IF('Final Calculation Sheet'!$U$39="","",'Final Calculation Sheet'!$U$39)</f>
        <v>7503</v>
      </c>
      <c r="DH39">
        <f>IF(DG39="","",COUNTIFS(DG$4:DG$40,"&lt;"&amp;DG39,DG$4:DG$40,"&lt;&gt;"&amp;"")+COUNTIF(DG$4:DG39,DG39))</f>
        <v>7</v>
      </c>
      <c r="DI39" s="140">
        <f>IF(ROW()-3&gt;COUNTIF(DG$4:DG$40,"&lt;&gt;"&amp;""),"",INDEX(DG$4:DG$40,MATCH(ROW()-3,DH$4:DH$40,0)))</f>
        <v>696829</v>
      </c>
      <c r="DJ39">
        <f>DJ38+IF(AND(DI39&lt;&gt;"",COUNTIF(DI$4:DI39,DI39)=1),1,0)</f>
        <v>36</v>
      </c>
      <c r="DK39" s="140">
        <f>IF(ROW()-3&gt;MAX(DJ$4:DJ$40),"",INDEX(DI$4:DI$40,MATCH(ROW()-3,DJ$4:DJ$40,0)))</f>
        <v>696829</v>
      </c>
      <c r="DL39" t="str">
        <f>IF('Final Calculation Sheet'!$V$39="","",'Final Calculation Sheet'!$V$39)</f>
        <v>14.08.2026</v>
      </c>
      <c r="DM39">
        <f>IF(DL39="","",COUNTIFS(DL$4:DL$40,"&lt;"&amp;DL39,DL$4:DL$40,"&lt;&gt;"&amp;"")+COUNTIF(DL$4:DL39,DL39))</f>
        <v>34</v>
      </c>
      <c r="DN39" t="str">
        <f>IF(ROW()-3&gt;COUNTIF(DL$4:DL$40,"&lt;&gt;"&amp;""),"",INDEX(DL$4:DL$40,MATCH(ROW()-3,DM$4:DM$40,0)))</f>
        <v>17.08.2026</v>
      </c>
      <c r="DO39">
        <f>DO38+IF(AND(DN39&lt;&gt;"",COUNTIF(DN$4:DN39,DN39)=1),1,0)</f>
        <v>5</v>
      </c>
      <c r="DP39" t="str">
        <f>IF(ROW()-3&gt;MAX(DO$4:DO$40),"",INDEX(DN$4:DN$40,MATCH(ROW()-3,DO$4:DO$40,0)))</f>
        <v/>
      </c>
      <c r="DQ39" s="55">
        <f>IF('Final Calculation Sheet'!$W$39="","",'Final Calculation Sheet'!$W$39)</f>
        <v>27806</v>
      </c>
      <c r="DR39">
        <f>IF(DQ39="","",COUNTIFS(DQ$4:DQ$40,"&lt;"&amp;DQ39,DQ$4:DQ$40,"&lt;&gt;"&amp;"")+COUNTIF(DQ$4:DQ39,DQ39))</f>
        <v>7</v>
      </c>
      <c r="DS39" s="55">
        <f>IF(ROW()-3&gt;COUNTIF(DQ$4:DQ$40,"&lt;&gt;"&amp;""),"",INDEX(DQ$4:DQ$40,MATCH(ROW()-3,DR$4:DR$40,0)))</f>
        <v>2582446</v>
      </c>
      <c r="DT39">
        <f>DT38+IF(AND(DS39&lt;&gt;"",COUNTIF(DS$4:DS39,DS39)=1),1,0)</f>
        <v>36</v>
      </c>
      <c r="DU39" s="55">
        <f>IF(ROW()-3&gt;MAX(DT$4:DT$40),"",INDEX(DS$4:DS$40,MATCH(ROW()-3,DT$4:DT$40,0)))</f>
        <v>2582446</v>
      </c>
      <c r="DV39" s="55">
        <f>IF('Final Calculation Sheet'!$X$39="","",'Final Calculation Sheet'!$X$39)</f>
        <v>27806</v>
      </c>
      <c r="DW39">
        <f>IF(DV39="","",COUNTIFS(DV$4:DV$40,"&lt;"&amp;DV39,DV$4:DV$40,"&lt;&gt;"&amp;"")+COUNTIF(DV$4:DV39,DV39))</f>
        <v>7</v>
      </c>
      <c r="DX39" t="e">
        <f>IF(ROW()-3&gt;COUNTIF(DV$4:DV$40,"&lt;&gt;"&amp;""),"",INDEX(DV$4:DV$40,MATCH(ROW()-3,DW$4:DW$40,0)))</f>
        <v>#N/A</v>
      </c>
      <c r="DY39" t="e">
        <f>DY38+IF(AND(DX39&lt;&gt;"",COUNTIF(DX$4:DX39,DX39)=1),1,0)</f>
        <v>#N/A</v>
      </c>
      <c r="DZ39" t="e">
        <f>IF(ROW()-3&gt;MAX(DY$4:DY$40),"",INDEX(DX$4:DX$40,MATCH(ROW()-3,DY$4:DY$40,0)))</f>
        <v>#N/A</v>
      </c>
      <c r="EA39" t="str">
        <f>IF('Final Calculation Sheet'!$Y$39="","",'Final Calculation Sheet'!$Y$39)</f>
        <v>01.09.2026</v>
      </c>
      <c r="EB39">
        <f>IF(EA39="","",COUNTIFS(EA$4:EA$40,"&lt;"&amp;EA39,EA$4:EA$40,"&lt;&gt;"&amp;"")+COUNTIF(EA$4:EA39,EA39))</f>
        <v>1</v>
      </c>
      <c r="EC39" t="e">
        <f>IF(ROW()-3&gt;COUNTIF(EA$4:EA$40,"&lt;&gt;"&amp;""),"",INDEX(EA$4:EA$40,MATCH(ROW()-3,EB$4:EB$40,0)))</f>
        <v>#N/A</v>
      </c>
      <c r="ED39" t="e">
        <f>ED38+IF(AND(EC39&lt;&gt;"",COUNTIF(EC$4:EC39,EC39)=1),1,0)</f>
        <v>#N/A</v>
      </c>
      <c r="EE39" t="e">
        <f>IF(ROW()-3&gt;MAX(ED$4:ED$40),"",INDEX(EC$4:EC$40,MATCH(ROW()-3,ED$4:ED$40,0)))</f>
        <v>#N/A</v>
      </c>
      <c r="EF39" s="55">
        <f>IF('Final Calculation Sheet'!$Z$39="","",'Final Calculation Sheet'!$Z$39)</f>
        <v>708.28319999999997</v>
      </c>
      <c r="EG39">
        <f>IF(EF39="","",COUNTIFS(EF$4:EF$40,"&lt;"&amp;EF39,EF$4:EF$40,"&lt;&gt;"&amp;"")+COUNTIF(EF$4:EF39,EF39))</f>
        <v>33</v>
      </c>
      <c r="EH39" s="55">
        <f>IF(ROW()-3&gt;COUNTIF(EF$4:EF$40,"&lt;&gt;"&amp;""),"",INDEX(EF$4:EF$40,MATCH(ROW()-3,EG$4:EG$40,0)))</f>
        <v>9558.2124000000003</v>
      </c>
      <c r="EI39">
        <f>EI38+IF(AND(EH39&lt;&gt;"",COUNTIF(EH$4:EH39,EH39)=1),1,0)</f>
        <v>5</v>
      </c>
      <c r="EJ39" t="str">
        <f>IF(ROW()-3&gt;MAX(EI$4:EI$40),"",INDEX(EH$4:EH$40,MATCH(ROW()-3,EI$4:EI$40,0)))</f>
        <v/>
      </c>
      <c r="EK39" s="55">
        <f>IF('Final Calculation Sheet'!$AA$39="","",'Final Calculation Sheet'!$AA$39)</f>
        <v>708</v>
      </c>
      <c r="EL39">
        <f>IF(EK39="","",COUNTIFS(EK$4:EK$40,"&lt;"&amp;EK39,EK$4:EK$40,"&lt;&gt;"&amp;"")+COUNTIF(EK$4:EK39,EK39))</f>
        <v>1</v>
      </c>
      <c r="EM39" t="e">
        <f>IF(ROW()-3&gt;COUNTIF(EK$4:EK$40,"&lt;&gt;"&amp;""),"",INDEX(EK$4:EK$40,MATCH(ROW()-3,EL$4:EL$40,0)))</f>
        <v>#N/A</v>
      </c>
      <c r="EN39" t="e">
        <f>EN38+IF(AND(EM39&lt;&gt;"",COUNTIF(EM$4:EM39,EM39)=1),1,0)</f>
        <v>#N/A</v>
      </c>
      <c r="EO39" t="e">
        <f>IF(ROW()-3&gt;MAX(EN$4:EN$40),"",INDEX(EM$4:EM$40,MATCH(ROW()-3,EN$4:EN$40,0)))</f>
        <v>#N/A</v>
      </c>
      <c r="EP39" t="str">
        <f>IF('Final Calculation Sheet'!$AB$39="","",'Final Calculation Sheet'!$AB$39)</f>
        <v>01.09.2026</v>
      </c>
      <c r="EQ39">
        <f>IF(EP39="","",COUNTIFS(EP$4:EP$40,"&lt;"&amp;EP39,EP$4:EP$40,"&lt;&gt;"&amp;"")+COUNTIF(EP$4:EP39,EP39))</f>
        <v>36</v>
      </c>
      <c r="ER39" t="str">
        <f>IF(ROW()-3&gt;COUNTIF(EP$4:EP$40,"&lt;&gt;"&amp;""),"",INDEX(EP$4:EP$40,MATCH(ROW()-3,EQ$4:EQ$40,0)))</f>
        <v>01.09.2026</v>
      </c>
      <c r="ES39" t="e">
        <f>ES38+IF(AND(ER39&lt;&gt;"",COUNTIF(ER$4:ER39,ER39)=1),1,0)</f>
        <v>#N/A</v>
      </c>
      <c r="ET39" t="e">
        <f>IF(ROW()-3&gt;MAX(ES$4:ES$40),"",INDEX(ER$4:ER$40,MATCH(ROW()-3,ES$4:ES$40,0)))</f>
        <v>#N/A</v>
      </c>
      <c r="EU39" s="55">
        <f>IF('Final Calculation Sheet'!$AC$39="","",'Final Calculation Sheet'!$AC$39)</f>
        <v>36017</v>
      </c>
      <c r="EV39">
        <f>IF(EU39="","",COUNTIFS(EU$4:EU$40,"&lt;"&amp;EU39,EU$4:EU$40,"&lt;&gt;"&amp;"")+COUNTIF(EU$4:EU39,EU39))</f>
        <v>8</v>
      </c>
      <c r="EW39" s="55">
        <f>IF(ROW()-3&gt;COUNTIF(EU$4:EU$40,"&lt;&gt;"&amp;""),"",INDEX(EU$4:EU$40,MATCH(ROW()-3,EV$4:EV$40,0)))</f>
        <v>3279276.0942916102</v>
      </c>
      <c r="EX39">
        <f>EX38+IF(AND(EW39&lt;&gt;"",COUNTIF(EW$4:EW39,EW39)=1),1,0)</f>
        <v>36</v>
      </c>
      <c r="EY39" s="55">
        <f>IF(ROW()-3&gt;MAX(EX$4:EX$40),"",INDEX(EW$4:EW$40,MATCH(ROW()-3,EX$4:EX$40,0)))</f>
        <v>3279276.0942916102</v>
      </c>
      <c r="EZ39" s="55">
        <f>IF('Final Calculation Sheet'!$AD$39="","",'Final Calculation Sheet'!$AD$39)</f>
        <v>-708</v>
      </c>
      <c r="FA39">
        <f>IF(EZ39="","",COUNTIFS(EZ$4:EZ$40,"&lt;"&amp;EZ39,EZ$4:EZ$40,"&lt;&gt;"&amp;"")+COUNTIF(EZ$4:EZ39,EZ39))</f>
        <v>2</v>
      </c>
      <c r="FB39" s="55">
        <f>IF(ROW()-3&gt;COUNTIF(EZ$4:EZ$40,"&lt;&gt;"&amp;""),"",INDEX(EZ$4:EZ$40,MATCH(ROW()-3,FA$4:FA$40,0)))</f>
        <v>250160</v>
      </c>
      <c r="FC39" t="e">
        <f>FC38+IF(AND(FB39&lt;&gt;"",COUNTIF(FB$4:FB39,FB39)=1),1,0)</f>
        <v>#N/A</v>
      </c>
      <c r="FD39" t="e">
        <f>IF(ROW()-3&gt;MAX(FC$4:FC$40),"",INDEX(FB$4:FB$40,MATCH(ROW()-3,FC$4:FC$40,0)))</f>
        <v>#N/A</v>
      </c>
      <c r="FE39" t="str">
        <f>IF('Final Calculation Sheet'!$AE$39="","",'Final Calculation Sheet'!$AE$39)</f>
        <v/>
      </c>
      <c r="FF39" t="str">
        <f>IF(FE39="","",COUNTIFS(FE$4:FE$40,"&lt;"&amp;FE39,FE$4:FE$40,"&lt;&gt;"&amp;"")+COUNTIF(FE$4:FE39,FE39))</f>
        <v/>
      </c>
      <c r="FG39" t="str">
        <f>IF(ROW()-3&gt;COUNTIF(FE$4:FE$40,"&lt;&gt;"&amp;""),"",INDEX(FE$4:FE$40,MATCH(ROW()-3,FF$4:FF$40,0)))</f>
        <v>DR2640100047</v>
      </c>
      <c r="FH39" t="e">
        <f>FH38+IF(AND(FG39&lt;&gt;"",COUNTIF(FG$4:FG39,FG39)=1),1,0)</f>
        <v>#N/A</v>
      </c>
      <c r="FI39" t="e">
        <f>IF(ROW()-3&gt;MAX(FH$4:FH$40),"",INDEX(FG$4:FG$40,MATCH(ROW()-3,FH$4:FH$40,0)))</f>
        <v>#N/A</v>
      </c>
      <c r="FJ39" t="str">
        <f>IF('Final Calculation Sheet'!$AF$39="","",'Final Calculation Sheet'!$AF$39)</f>
        <v/>
      </c>
      <c r="FK39" t="str">
        <f>IF(FJ39="","",COUNTIFS(FJ$4:FJ$40,"&lt;"&amp;FJ39,FJ$4:FJ$40,"&lt;&gt;"&amp;"")+COUNTIF(FJ$4:FJ39,FJ39))</f>
        <v/>
      </c>
      <c r="FL39" t="e">
        <f>IF(ROW()-3&gt;COUNTIF(FJ$4:FJ$40,"&lt;&gt;"&amp;""),"",INDEX(FJ$4:FJ$40,MATCH(ROW()-3,FK$4:FK$40,0)))</f>
        <v>#N/A</v>
      </c>
      <c r="FM39" t="e">
        <f>FM38+IF(AND(FL39&lt;&gt;"",COUNTIF(FL$4:FL39,FL39)=1),1,0)</f>
        <v>#N/A</v>
      </c>
      <c r="FN39" t="e">
        <f>IF(ROW()-3&gt;MAX(FM$4:FM$40),"",INDEX(FL$4:FL$40,MATCH(ROW()-3,FM$4:FM$40,0)))</f>
        <v>#N/A</v>
      </c>
      <c r="FO39" t="str">
        <f>IF('Final Calculation Sheet'!$AG$39="","",'Final Calculation Sheet'!$AG$39)</f>
        <v/>
      </c>
      <c r="FP39" t="str">
        <f>IF(FO39="","",COUNTIFS(FO$4:FO$40,"&lt;"&amp;FO39,FO$4:FO$40,"&lt;&gt;"&amp;"")+COUNTIF(FO$4:FO39,FO39))</f>
        <v/>
      </c>
      <c r="FQ39" t="str">
        <f>IF(ROW()-3&gt;COUNTIF(FO$4:FO$40,"&lt;&gt;"&amp;""),"",INDEX(FO$4:FO$40,MATCH(ROW()-3,FP$4:FP$40,0)))</f>
        <v>27.08.2026</v>
      </c>
      <c r="FR39" t="e">
        <f>FR38+IF(AND(FQ39&lt;&gt;"",COUNTIF(FQ$4:FQ39,FQ39)=1),1,0)</f>
        <v>#N/A</v>
      </c>
      <c r="FS39" t="e">
        <f>IF(ROW()-3&gt;MAX(FR$4:FR$40),"",INDEX(FQ$4:FQ$40,MATCH(ROW()-3,FR$4:FR$40,0)))</f>
        <v>#N/A</v>
      </c>
      <c r="FU39" t="str">
        <f>IF(FT39="","",COUNTIFS(FT$4:FT$40,"&lt;"&amp;FT39,FT$4:FT$40,"&lt;&gt;"&amp;"")+COUNTIF(FT$4:FT39,FT39))</f>
        <v/>
      </c>
      <c r="FV39" t="str">
        <f>IF(ROW()-3&gt;COUNTIF(FT$4:FT$40,"&lt;&gt;"&amp;""),"",INDEX(FT$4:FT$40,MATCH(ROW()-3,FU$4:FU$40,0)))</f>
        <v/>
      </c>
      <c r="FW39">
        <f>FW38+IF(AND(FV39&lt;&gt;"",COUNTIF(FV$4:FV39,FV39)=1),1,0)</f>
        <v>2</v>
      </c>
      <c r="FX39" t="str">
        <f>IF(ROW()-3&gt;MAX(FW$4:FW$40),"",INDEX(FV$4:FV$40,MATCH(ROW()-3,FW$4:FW$40,0)))</f>
        <v/>
      </c>
    </row>
    <row r="40">
      <c r="A40">
        <f>IF('Final Calculation Sheet'!$F$40="","",'Final Calculation Sheet'!$F$40)</f>
        <v>2091</v>
      </c>
      <c r="B40">
        <f>IF(A40="","",COUNTIFS(A$4:A$114,"&lt;"&amp;A40,A$4:A$114,"&lt;&gt;"&amp;"")+COUNTIF(A$4:A40,A40))</f>
        <v>37</v>
      </c>
      <c r="C40">
        <f>IF(ROW()-3&gt;COUNTIF(A$4:A$114,"&lt;&gt;"&amp;""),"",INDEX(A$4:A$114,MATCH(ROW()-3,B$4:B$114,0)))</f>
        <v>2091</v>
      </c>
      <c r="D40">
        <f>D39+IF(AND(C40&lt;&gt;"",COUNTIF(C$4:C40,C40)=1),1,0)</f>
        <v>37</v>
      </c>
      <c r="E40" t="e">
        <f>IF(ROW()-3&gt;MAX(D$4:D$114),"",INDEX(C$4:C$114,MATCH(ROW()-3,D$4:D$114,0)))</f>
        <v>#N/A</v>
      </c>
      <c r="F40">
        <f>ROW()-3</f>
        <v>37</v>
      </c>
      <c r="G40">
        <f>IF(F40="","",COUNTIFS(F$4:F$40,"&lt;"&amp;F40,F$4:F$40,"&lt;&gt;"&amp;"")+COUNTIF(F$4:F40,F40))</f>
        <v>37</v>
      </c>
      <c r="H40">
        <f>IF(ROW()-3&gt;COUNTIF(F$4:F$40,"&lt;&gt;"&amp;""),"",INDEX(F$4:F$40,MATCH(ROW()-3,G$4:G$40,0)))</f>
        <v>37</v>
      </c>
      <c r="I40">
        <f>I39+IF(AND(H40&lt;&gt;"",COUNTIF(H$4:H40,H40)=1),1,0)</f>
        <v>37</v>
      </c>
      <c r="J40">
        <f>IF(ROW()-3&gt;MAX(I$4:I$40),"",INDEX(H$4:H$40,MATCH(ROW()-3,I$4:I$40,0)))</f>
        <v>37</v>
      </c>
      <c r="K40">
        <f>IF('Final Calculation Sheet'!$F$40="","",'Final Calculation Sheet'!$F$40)</f>
        <v>2091</v>
      </c>
      <c r="L40">
        <f>IF(K40="","",COUNTIFS(K$4:K$40,"&lt;"&amp;K40,K$4:K$40,"&lt;&gt;"&amp;"")+COUNTIF(K$4:K40,K40))</f>
        <v>37</v>
      </c>
      <c r="M40">
        <f>IF(ROW()-3&gt;COUNTIF(K$4:K$40,"&lt;&gt;"&amp;""),"",INDEX(K$4:K$40,MATCH(ROW()-3,L$4:L$40,0)))</f>
        <v>2091</v>
      </c>
      <c r="N40">
        <f>N39+IF(AND(M40&lt;&gt;"",COUNTIF(M$4:M40,M40)=1),1,0)</f>
        <v>37</v>
      </c>
      <c r="O40">
        <f>IF(ROW()-3&gt;MAX(N$4:N$40),"",INDEX(M$4:M$40,MATCH(ROW()-3,N$4:N$40,0)))</f>
        <v>2091</v>
      </c>
      <c r="P40" t="str">
        <f>IF('Final Calculation Sheet'!$G$40="","",'Final Calculation Sheet'!$G$40)</f>
        <v>S M ENTERPRISES</v>
      </c>
      <c r="Q40">
        <f>IF(P40="","",COUNTIFS(P$4:P$40,"&lt;"&amp;P40,P$4:P$40,"&lt;&gt;"&amp;"")+COUNTIF(P$4:P40,P40))</f>
        <v>24</v>
      </c>
      <c r="R40" t="str">
        <f>IF(ROW()-3&gt;COUNTIF(P$4:P$40,"&lt;&gt;"&amp;""),"",INDEX(P$4:P$40,MATCH(ROW()-3,Q$4:Q$40,0)))</f>
        <v>WATAN SCRAP TRADERS</v>
      </c>
      <c r="S40">
        <f>S39+IF(AND(R40&lt;&gt;"",COUNTIF(R$4:R40,R40)=1),1,0)</f>
        <v>13</v>
      </c>
      <c r="T40" t="str">
        <f>IF(ROW()-3&gt;MAX(S$4:S$40),"",INDEX(R$4:R$40,MATCH(ROW()-3,S$4:S$40,0)))</f>
        <v/>
      </c>
      <c r="U40" t="str">
        <f>IF('Final Calculation Sheet'!$B$40="","",'Final Calculation Sheet'!$B$40)</f>
        <v>Scrap of 132 KV CT</v>
      </c>
      <c r="V40">
        <f>IF(U40="","",COUNTIFS(U$4:U$40,"&lt;"&amp;U40,U$4:U$40,"&lt;&gt;"&amp;"")+COUNTIF(U$4:U40,U40))</f>
        <v>12</v>
      </c>
      <c r="W40" t="str">
        <f>IF(ROW()-3&gt;COUNTIF(U$4:U$40,"&lt;&gt;"&amp;""),"",INDEX(U$4:U$40,MATCH(ROW()-3,V$4:V$40,0)))</f>
        <v>SCRAP POWER TRANSFORMER</v>
      </c>
      <c r="X40">
        <f>X39+IF(AND(W40&lt;&gt;"",COUNTIF(W$4:W40,W40)=1),1,0)</f>
        <v>25</v>
      </c>
      <c r="Y40" t="str">
        <f>IF(ROW()-3&gt;MAX(X$4:X$40),"",INDEX(W$4:W$40,MATCH(ROW()-3,X$4:X$40,0)))</f>
        <v/>
      </c>
      <c r="Z40">
        <f>IF('Final Calculation Sheet'!$D$40="","",'Final Calculation Sheet'!$D$40)</f>
        <v>21980</v>
      </c>
      <c r="AA40">
        <f>IF(Z40="","",COUNTIFS(Z$4:Z$40,"&lt;"&amp;Z40,Z$4:Z$40,"&lt;&gt;"&amp;"")+COUNTIF(Z$4:Z40,Z40))</f>
        <v>37</v>
      </c>
      <c r="AB40">
        <f>IF(ROW()-3&gt;COUNTIF(Z$4:Z$40,"&lt;&gt;"&amp;""),"",INDEX(Z$4:Z$40,MATCH(ROW()-3,AA$4:AA$40,0)))</f>
        <v>21980</v>
      </c>
      <c r="AC40">
        <f>AC39+IF(AND(AB40&lt;&gt;"",COUNTIF(AB$4:AB40,AB40)=1),1,0)</f>
        <v>4</v>
      </c>
      <c r="AD40" t="str">
        <f>IF(ROW()-3&gt;MAX(AC$4:AC$40),"",INDEX(AB$4:AB$40,MATCH(ROW()-3,AC$4:AC$40,0)))</f>
        <v/>
      </c>
      <c r="AE40">
        <f>IF('Final Calculation Sheet'!$A$40="","",'Final Calculation Sheet'!$A$40)</f>
        <v>3</v>
      </c>
      <c r="AF40">
        <f>IF(AE40="","",COUNTIFS(AE$4:AE$40,"&lt;"&amp;AE40,AE$4:AE$40,"&lt;&gt;"&amp;"")+COUNTIF(AE$4:AE40,AE40))</f>
        <v>18</v>
      </c>
      <c r="AG40">
        <f>IF(ROW()-3&gt;COUNTIF(AE$4:AE$40,"&lt;&gt;"&amp;""),"",INDEX(AE$4:AE$40,MATCH(ROW()-3,AF$4:AF$40,0)))</f>
        <v>7253</v>
      </c>
      <c r="AH40">
        <f>AH39+IF(AND(AG40&lt;&gt;"",COUNTIF(AG$4:AG40,AG40)=1),1,0)</f>
        <v>22</v>
      </c>
      <c r="AI40" t="str">
        <f>IF(ROW()-3&gt;MAX(AH$4:AH$40),"",INDEX(AG$4:AG$40,MATCH(ROW()-3,AH$4:AH$40,0)))</f>
        <v/>
      </c>
      <c r="AJ40" t="str">
        <f>IF('Final Calculation Sheet'!$E$40="","",'Final Calculation Sheet'!$E$40)</f>
        <v>NO</v>
      </c>
      <c r="AK40">
        <f>IF(AJ40="","",COUNTIFS(AJ$4:AJ$40,"&lt;"&amp;AJ40,AJ$4:AJ$40,"&lt;&gt;"&amp;"")+COUNTIF(AJ$4:AJ40,AJ40))</f>
        <v>37</v>
      </c>
      <c r="AL40" t="str">
        <f>IF(ROW()-3&gt;COUNTIF(AJ$4:AJ$40,"&lt;&gt;"&amp;""),"",INDEX(AJ$4:AJ$40,MATCH(ROW()-3,AK$4:AK$40,0)))</f>
        <v>NO</v>
      </c>
      <c r="AM40">
        <f>AM39+IF(AND(AL40&lt;&gt;"",COUNTIF(AL$4:AL40,AL40)=1),1,0)</f>
        <v>3</v>
      </c>
      <c r="AN40" t="str">
        <f>IF(ROW()-3&gt;MAX(AM$4:AM$40),"",INDEX(AL$4:AL$40,MATCH(ROW()-3,AM$4:AM$40,0)))</f>
        <v/>
      </c>
      <c r="AO40" s="55">
        <f>IF('Final Calculation Sheet'!$C$40="","",'Final Calculation Sheet'!$C$40)</f>
        <v>40003</v>
      </c>
      <c r="AP40">
        <f>IF(AO40="","",COUNTIFS(AO$4:AO$40,"&lt;"&amp;AO40,AO$4:AO$40,"&lt;&gt;"&amp;"")+COUNTIF(AO$4:AO40,AO40))</f>
        <v>21</v>
      </c>
      <c r="AQ40" s="55">
        <f>IF(ROW()-3&gt;COUNTIF(AO$4:AO$40,"&lt;&gt;"&amp;""),"",INDEX(AO$4:AO$40,MATCH(ROW()-3,AP$4:AP$40,0)))</f>
        <v>3857116</v>
      </c>
      <c r="AR40">
        <f>AR39+IF(AND(AQ40&lt;&gt;"",COUNTIF(AQ$4:AQ40,AQ40)=1),1,0)</f>
        <v>35</v>
      </c>
      <c r="AS40" t="str">
        <f>IF(ROW()-3&gt;MAX(AR$4:AR$40),"",INDEX(AQ$4:AQ$40,MATCH(ROW()-3,AR$4:AR$40,0)))</f>
        <v/>
      </c>
      <c r="AT40" s="55">
        <f>IF('Final Calculation Sheet'!$H$40="","",'Final Calculation Sheet'!$H$40)</f>
        <v>120009</v>
      </c>
      <c r="AU40">
        <f>IF(AT40="","",COUNTIFS(AT$4:AT$40,"&lt;"&amp;AT40,AT$4:AT$40,"&lt;&gt;"&amp;"")+COUNTIF(AT$4:AT40,AT40))</f>
        <v>17</v>
      </c>
      <c r="AV40" s="55">
        <f>IF(ROW()-3&gt;COUNTIF(AT$4:AT$40,"&lt;&gt;"&amp;""),"",INDEX(AT$4:AT$40,MATCH(ROW()-3,AU$4:AU$40,0)))</f>
        <v>3857116</v>
      </c>
      <c r="AW40">
        <f>AW39+IF(AND(AV40&lt;&gt;"",COUNTIF(AV$4:AV40,AV40)=1),1,0)</f>
        <v>37</v>
      </c>
      <c r="AX40" s="55">
        <f>IF(ROW()-3&gt;MAX(AW$4:AW$40),"",INDEX(AV$4:AV$40,MATCH(ROW()-3,AW$4:AW$40,0)))</f>
        <v>3857116</v>
      </c>
      <c r="AY40" s="55">
        <f>IF('Final Calculation Sheet'!$I$40="","",'Final Calculation Sheet'!$I$40)</f>
        <v>21602</v>
      </c>
      <c r="AZ40">
        <f>IF(AY40="","",COUNTIFS(AY$4:AY$40,"&lt;"&amp;AY40,AY$4:AY$40,"&lt;&gt;"&amp;"")+COUNTIF(AY$4:AY40,AY40))</f>
        <v>17</v>
      </c>
      <c r="BA40" s="55">
        <f>IF(ROW()-3&gt;COUNTIF(AY$4:AY$40,"&lt;&gt;"&amp;""),"",INDEX(AY$4:AY$40,MATCH(ROW()-3,AZ$4:AZ$40,0)))</f>
        <v>694281</v>
      </c>
      <c r="BB40">
        <f>BB39+IF(AND(BA40&lt;&gt;"",COUNTIF(BA$4:BA40,BA40)=1),1,0)</f>
        <v>37</v>
      </c>
      <c r="BC40" s="55">
        <f>IF(ROW()-3&gt;MAX(BB$4:BB$40),"",INDEX(BA$4:BA$40,MATCH(ROW()-3,BB$4:BB$40,0)))</f>
        <v>694281</v>
      </c>
      <c r="BD40" s="55">
        <f>IF('Final Calculation Sheet'!$J$40="","",'Final Calculation Sheet'!$J$40)</f>
        <v>141611</v>
      </c>
      <c r="BE40">
        <f>IF(BD40="","",COUNTIFS(BD$4:BD$40,"&lt;"&amp;BD40,BD$4:BD$40,"&lt;&gt;"&amp;"")+COUNTIF(BD$4:BD40,BD40))</f>
        <v>17</v>
      </c>
      <c r="BF40" s="55">
        <f>IF(ROW()-3&gt;COUNTIF(BD$4:BD$40,"&lt;&gt;"&amp;""),"",INDEX(BD$4:BD$40,MATCH(ROW()-3,BE$4:BE$40,0)))</f>
        <v>4551397</v>
      </c>
      <c r="BG40">
        <f>BG39+IF(AND(BF40&lt;&gt;"",COUNTIF(BF$4:BF40,BF40)=1),1,0)</f>
        <v>37</v>
      </c>
      <c r="BH40" s="55">
        <f>IF(ROW()-3&gt;MAX(BG$4:BG$40),"",INDEX(BF$4:BF$40,MATCH(ROW()-3,BG$4:BG$40,0)))</f>
        <v>4551397</v>
      </c>
      <c r="BI40" s="55">
        <f>IF('Final Calculation Sheet'!$K$40="","",'Final Calculation Sheet'!$K$40)</f>
        <v>2832</v>
      </c>
      <c r="BJ40">
        <f>IF(BI40="","",COUNTIFS(BI$4:BI$40,"&lt;"&amp;BI40,BI$4:BI$40,"&lt;&gt;"&amp;"")+COUNTIF(BI$4:BI40,BI40))</f>
        <v>17</v>
      </c>
      <c r="BK40" s="55">
        <f>IF(ROW()-3&gt;COUNTIF(BI$4:BI$40,"&lt;&gt;"&amp;""),"",INDEX(BI$4:BI$40,MATCH(ROW()-3,BJ$4:BJ$40,0)))</f>
        <v>91028</v>
      </c>
      <c r="BL40">
        <f>BL39+IF(AND(BK40&lt;&gt;"",COUNTIF(BK$4:BK40,BK40)=1),1,0)</f>
        <v>36</v>
      </c>
      <c r="BM40" t="str">
        <f>IF(ROW()-3&gt;MAX(BL$4:BL$40),"",INDEX(BK$4:BK$40,MATCH(ROW()-3,BL$4:BL$40,0)))</f>
        <v/>
      </c>
      <c r="BN40" s="55">
        <f>IF('Final Calculation Sheet'!$L$40="","",'Final Calculation Sheet'!$L$40)</f>
        <v>120.009</v>
      </c>
      <c r="BO40">
        <f>IF(BN40="","",COUNTIFS(BN$4:BN$40,"&lt;"&amp;BN40,BN$4:BN$40,"&lt;&gt;"&amp;"")+COUNTIF(BN$4:BN40,BN40))</f>
        <v>17</v>
      </c>
      <c r="BP40" s="55">
        <f>IF(ROW()-3&gt;COUNTIF(BN$4:BN$40,"&lt;&gt;"&amp;""),"",INDEX(BN$4:BN$40,MATCH(ROW()-3,BO$4:BO$40,0)))</f>
        <v>3857.116</v>
      </c>
      <c r="BQ40">
        <f>BQ39+IF(AND(BP40&lt;&gt;"",COUNTIF(BP$4:BP40,BP40)=1),1,0)</f>
        <v>37</v>
      </c>
      <c r="BR40" s="55">
        <f>IF(ROW()-3&gt;MAX(BQ$4:BQ$40),"",INDEX(BP$4:BP$40,MATCH(ROW()-3,BQ$4:BQ$40,0)))</f>
        <v>3857.116</v>
      </c>
      <c r="BS40" s="55">
        <f>IF('Final Calculation Sheet'!$M$40="","",'Final Calculation Sheet'!$M$40)</f>
        <v>3186.2389499999995</v>
      </c>
      <c r="BT40">
        <f>IF(BS40="","",COUNTIFS(BS$4:BS$40,"&lt;"&amp;BS40,BS$4:BS$40,"&lt;&gt;"&amp;"")+COUNTIF(BS$4:BS40,BS40))</f>
        <v>17</v>
      </c>
      <c r="BU40" s="55">
        <f>IF(ROW()-3&gt;COUNTIF(BS$4:BS$40,"&lt;&gt;"&amp;""),"",INDEX(BS$4:BS$40,MATCH(ROW()-3,BT$4:BT$40,0)))</f>
        <v>102406.4298</v>
      </c>
      <c r="BV40">
        <f>BV39+IF(AND(BU40&lt;&gt;"",COUNTIF(BU$4:BU40,BU40)=1),1,0)</f>
        <v>37</v>
      </c>
      <c r="BW40" s="55">
        <f>IF(ROW()-3&gt;MAX(BV$4:BV$40),"",INDEX(BU$4:BU$40,MATCH(ROW()-3,BV$4:BV$40,0)))</f>
        <v>102406.4298</v>
      </c>
      <c r="BX40" s="138">
        <f>IF('Final Calculation Sheet'!$N$40="","",'Final Calculation Sheet'!$N$40)</f>
        <v>54.004049999999999</v>
      </c>
      <c r="BY40">
        <f>IF(BX40="","",COUNTIFS(BX$4:BX$40,"&lt;"&amp;BX40,BX$4:BX$40,"&lt;&gt;"&amp;"")+COUNTIF(BX$4:BX40,BX40))</f>
        <v>17</v>
      </c>
      <c r="BZ40" s="138">
        <f>IF(ROW()-3&gt;COUNTIF(BX$4:BX$40,"&lt;&gt;"&amp;""),"",INDEX(BX$4:BX$40,MATCH(ROW()-3,BY$4:BY$40,0)))</f>
        <v>1735.7021999999999</v>
      </c>
      <c r="CA40">
        <f>CA39+IF(AND(BZ40&lt;&gt;"",COUNTIF(BZ$4:BZ40,BZ40)=1),1,0)</f>
        <v>37</v>
      </c>
      <c r="CB40" s="138">
        <f>IF(ROW()-3&gt;MAX(CA$4:CA$40),"",INDEX(BZ$4:BZ$40,MATCH(ROW()-3,CA$4:CA$40,0)))</f>
        <v>1735.7021999999999</v>
      </c>
      <c r="CC40" s="55">
        <f>IF('Final Calculation Sheet'!$O$40="","",'Final Calculation Sheet'!$O$40)</f>
        <v>3132.2348999999995</v>
      </c>
      <c r="CD40">
        <f>IF(CC40="","",COUNTIFS(CC$4:CC$40,"&lt;"&amp;CC40,CC$4:CC$40,"&lt;&gt;"&amp;"")+COUNTIF(CC$4:CC40,CC40))</f>
        <v>17</v>
      </c>
      <c r="CE40" s="55">
        <f>IF(ROW()-3&gt;COUNTIF(CC$4:CC$40,"&lt;&gt;"&amp;""),"",INDEX(CC$4:CC$40,MATCH(ROW()-3,CD$4:CD$40,0)))</f>
        <v>100670.7276</v>
      </c>
      <c r="CF40">
        <f>CF39+IF(AND(CE40&lt;&gt;"",COUNTIF(CE$4:CE40,CE40)=1),1,0)</f>
        <v>37</v>
      </c>
      <c r="CG40" s="55">
        <f>IF(ROW()-3&gt;MAX(CF$4:CF$40),"",INDEX(CE$4:CE$40,MATCH(ROW()-3,CF$4:CF$40,0)))</f>
        <v>100670.7276</v>
      </c>
      <c r="CH40" s="55">
        <f>IF('Final Calculation Sheet'!$P$40="","",'Final Calculation Sheet'!$P$40)</f>
        <v>3252</v>
      </c>
      <c r="CI40">
        <f>IF(CH40="","",COUNTIFS(CH$4:CH$40,"&lt;"&amp;CH40,CH$4:CH$40,"&lt;&gt;"&amp;"")+COUNTIF(CH$4:CH40,CH40))</f>
        <v>17</v>
      </c>
      <c r="CJ40" s="55">
        <f>IF(ROW()-3&gt;COUNTIF(CH$4:CH$40,"&lt;&gt;"&amp;""),"",INDEX(CH$4:CH$40,MATCH(ROW()-3,CI$4:CI$40,0)))</f>
        <v>104528</v>
      </c>
      <c r="CK40">
        <f>CK39+IF(AND(CJ40&lt;&gt;"",COUNTIF(CJ$4:CJ40,CJ40)=1),1,0)</f>
        <v>36</v>
      </c>
      <c r="CL40" t="str">
        <f>IF(ROW()-3&gt;MAX(CK$4:CK$40),"",INDEX(CJ$4:CJ$40,MATCH(ROW()-3,CK$4:CK$40,0)))</f>
        <v/>
      </c>
      <c r="CM40" s="139">
        <f>IF('Final Calculation Sheet'!$Q$40="","",'Final Calculation Sheet'!$Q$40)</f>
        <v>0</v>
      </c>
      <c r="CN40">
        <f>IF(CM40="","",COUNTIFS(CM$4:CM$40,"&lt;"&amp;CM40,CM$4:CM$40,"&lt;&gt;"&amp;"")+COUNTIF(CM$4:CM40,CM40))</f>
        <v>33</v>
      </c>
      <c r="CO40" s="139">
        <f>IF(ROW()-3&gt;COUNTIF(CM$4:CM$40,"&lt;&gt;"&amp;""),"",INDEX(CM$4:CM$40,MATCH(ROW()-3,CN$4:CN$40,0)))</f>
        <v>0.02</v>
      </c>
      <c r="CP40">
        <f>CP39+IF(AND(CO40&lt;&gt;"",COUNTIF(CO$4:CO40,CO40)=1),1,0)</f>
        <v>2</v>
      </c>
      <c r="CQ40" t="str">
        <f>IF(ROW()-3&gt;MAX(CP$4:CP$40),"",INDEX(CO$4:CO$40,MATCH(ROW()-3,CP$4:CP$40,0)))</f>
        <v/>
      </c>
      <c r="CR40" s="55">
        <f>IF('Final Calculation Sheet'!$R$40="","",'Final Calculation Sheet'!$R$40)</f>
        <v>0</v>
      </c>
      <c r="CS40">
        <f>IF(CR40="","",COUNTIFS(CR$4:CR$40,"&lt;"&amp;CR40,CR$4:CR$40,"&lt;&gt;"&amp;"")+COUNTIF(CR$4:CR40,CR40))</f>
        <v>33</v>
      </c>
      <c r="CT40" s="55">
        <f>IF(ROW()-3&gt;COUNTIF(CR$4:CR$40,"&lt;&gt;"&amp;""),"",INDEX(CR$4:CR$40,MATCH(ROW()-3,CS$4:CS$40,0)))</f>
        <v>32929</v>
      </c>
      <c r="CU40">
        <f>CU39+IF(AND(CT40&lt;&gt;"",COUNTIF(CT$4:CT40,CT40)=1),1,0)</f>
        <v>5</v>
      </c>
      <c r="CV40" t="str">
        <f>IF(ROW()-3&gt;MAX(CU$4:CU$40),"",INDEX(CT$4:CT$40,MATCH(ROW()-3,CU$4:CU$40,0)))</f>
        <v/>
      </c>
      <c r="CW40" s="55">
        <f>IF('Final Calculation Sheet'!$S$40="","",'Final Calculation Sheet'!$S$40)</f>
        <v>141191</v>
      </c>
      <c r="CX40">
        <f>IF(CW40="","",COUNTIFS(CW$4:CW$40,"&lt;"&amp;CW40,CW$4:CW$40,"&lt;&gt;"&amp;"")+COUNTIF(CW$4:CW40,CW40))</f>
        <v>17</v>
      </c>
      <c r="CY40" s="55">
        <f>IF(ROW()-3&gt;COUNTIF(CW$4:CW$40,"&lt;&gt;"&amp;""),"",INDEX(CW$4:CW$40,MATCH(ROW()-3,CX$4:CX$40,0)))</f>
        <v>4537897</v>
      </c>
      <c r="CZ40">
        <f>CZ39+IF(AND(CY40&lt;&gt;"",COUNTIF(CY$4:CY40,CY40)=1),1,0)</f>
        <v>37</v>
      </c>
      <c r="DA40" s="55">
        <f>IF(ROW()-3&gt;MAX(CZ$4:CZ$40),"",INDEX(CY$4:CY$40,MATCH(ROW()-3,CZ$4:CZ$40,0)))</f>
        <v>4537897</v>
      </c>
      <c r="DB40" s="55">
        <f>IF('Final Calculation Sheet'!$T$40="","",'Final Calculation Sheet'!$T$40)</f>
        <v>30002</v>
      </c>
      <c r="DC40">
        <f>IF(DB40="","",COUNTIFS(DB$4:DB$40,"&lt;"&amp;DB40,DB$4:DB$40,"&lt;&gt;"&amp;"")+COUNTIF(DB$4:DB40,DB40))</f>
        <v>17</v>
      </c>
      <c r="DD40" s="55">
        <f>IF(ROW()-3&gt;COUNTIF(DB$4:DB$40,"&lt;&gt;"&amp;""),"",INDEX(DB$4:DB$40,MATCH(ROW()-3,DC$4:DC$40,0)))</f>
        <v>964279</v>
      </c>
      <c r="DE40">
        <f>DE39+IF(AND(DD40&lt;&gt;"",COUNTIF(DD$4:DD40,DD40)=1),1,0)</f>
        <v>37</v>
      </c>
      <c r="DF40" s="55">
        <f>IF(ROW()-3&gt;MAX(DE$4:DE$40),"",INDEX(DD$4:DD$40,MATCH(ROW()-3,DE$4:DE$40,0)))</f>
        <v>964279</v>
      </c>
      <c r="DG40" s="140">
        <f>IF('Final Calculation Sheet'!$U$40="","",'Final Calculation Sheet'!$U$40)</f>
        <v>30002</v>
      </c>
      <c r="DH40">
        <f>IF(DG40="","",COUNTIFS(DG$4:DG$40,"&lt;"&amp;DG40,DG$4:DG$40,"&lt;&gt;"&amp;"")+COUNTIF(DG$4:DG40,DG40))</f>
        <v>17</v>
      </c>
      <c r="DI40" s="140">
        <f>IF(ROW()-3&gt;COUNTIF(DG$4:DG$40,"&lt;&gt;"&amp;""),"",INDEX(DG$4:DG$40,MATCH(ROW()-3,DH$4:DH$40,0)))</f>
        <v>964279</v>
      </c>
      <c r="DJ40">
        <f>DJ39+IF(AND(DI40&lt;&gt;"",COUNTIF(DI$4:DI40,DI40)=1),1,0)</f>
        <v>37</v>
      </c>
      <c r="DK40" s="140">
        <f>IF(ROW()-3&gt;MAX(DJ$4:DJ$40),"",INDEX(DI$4:DI$40,MATCH(ROW()-3,DJ$4:DJ$40,0)))</f>
        <v>964279</v>
      </c>
      <c r="DL40" t="str">
        <f>IF('Final Calculation Sheet'!$V$40="","",'Final Calculation Sheet'!$V$40)</f>
        <v>14.08.2026</v>
      </c>
      <c r="DM40">
        <f>IF(DL40="","",COUNTIFS(DL$4:DL$40,"&lt;"&amp;DL40,DL$4:DL$40,"&lt;&gt;"&amp;"")+COUNTIF(DL$4:DL40,DL40))</f>
        <v>35</v>
      </c>
      <c r="DN40" t="str">
        <f>IF(ROW()-3&gt;COUNTIF(DL$4:DL$40,"&lt;&gt;"&amp;""),"",INDEX(DL$4:DL$40,MATCH(ROW()-3,DM$4:DM$40,0)))</f>
        <v>24.08.2026</v>
      </c>
      <c r="DO40">
        <f>DO39+IF(AND(DN40&lt;&gt;"",COUNTIF(DN$4:DN40,DN40)=1),1,0)</f>
        <v>6</v>
      </c>
      <c r="DP40" t="str">
        <f>IF(ROW()-3&gt;MAX(DO$4:DO$40),"",INDEX(DN$4:DN$40,MATCH(ROW()-3,DO$4:DO$40,0)))</f>
        <v/>
      </c>
      <c r="DQ40" s="55">
        <f>IF('Final Calculation Sheet'!$W$40="","",'Final Calculation Sheet'!$W$40)</f>
        <v>111188</v>
      </c>
      <c r="DR40">
        <f>IF(DQ40="","",COUNTIFS(DQ$4:DQ$40,"&lt;"&amp;DQ40,DQ$4:DQ$40,"&lt;&gt;"&amp;"")+COUNTIF(DQ$4:DQ40,DQ40))</f>
        <v>17</v>
      </c>
      <c r="DS40" s="55">
        <f>IF(ROW()-3&gt;COUNTIF(DQ$4:DQ$40,"&lt;&gt;"&amp;""),"",INDEX(DQ$4:DQ$40,MATCH(ROW()-3,DR$4:DR$40,0)))</f>
        <v>3573618</v>
      </c>
      <c r="DT40">
        <f>DT39+IF(AND(DS40&lt;&gt;"",COUNTIF(DS$4:DS40,DS40)=1),1,0)</f>
        <v>37</v>
      </c>
      <c r="DU40" s="55">
        <f>IF(ROW()-3&gt;MAX(DT$4:DT$40),"",INDEX(DS$4:DS$40,MATCH(ROW()-3,DT$4:DT$40,0)))</f>
        <v>3573618</v>
      </c>
      <c r="DV40" s="55">
        <f>IF('Final Calculation Sheet'!$X$40="","",'Final Calculation Sheet'!$X$40)</f>
        <v>111189</v>
      </c>
      <c r="DW40">
        <f>IF(DV40="","",COUNTIFS(DV$4:DV$40,"&lt;"&amp;DV40,DV$4:DV$40,"&lt;&gt;"&amp;"")+COUNTIF(DV$4:DV40,DV40))</f>
        <v>16</v>
      </c>
      <c r="DX40" t="e">
        <f>IF(ROW()-3&gt;COUNTIF(DV$4:DV$40,"&lt;&gt;"&amp;""),"",INDEX(DV$4:DV$40,MATCH(ROW()-3,DW$4:DW$40,0)))</f>
        <v>#N/A</v>
      </c>
      <c r="DY40" t="e">
        <f>DY39+IF(AND(DX40&lt;&gt;"",COUNTIF(DX$4:DX40,DX40)=1),1,0)</f>
        <v>#N/A</v>
      </c>
      <c r="DZ40" t="e">
        <f>IF(ROW()-3&gt;MAX(DY$4:DY$40),"",INDEX(DX$4:DX$40,MATCH(ROW()-3,DY$4:DY$40,0)))</f>
        <v>#N/A</v>
      </c>
      <c r="EA40" t="str">
        <f>IF('Final Calculation Sheet'!$Y$40="","",'Final Calculation Sheet'!$Y$40)</f>
        <v>01.09.2026</v>
      </c>
      <c r="EB40">
        <f>IF(EA40="","",COUNTIFS(EA$4:EA$40,"&lt;"&amp;EA40,EA$4:EA$40,"&lt;&gt;"&amp;"")+COUNTIF(EA$4:EA40,EA40))</f>
        <v>2</v>
      </c>
      <c r="EC40" t="e">
        <f>IF(ROW()-3&gt;COUNTIF(EA$4:EA$40,"&lt;&gt;"&amp;""),"",INDEX(EA$4:EA$40,MATCH(ROW()-3,EB$4:EB$40,0)))</f>
        <v>#N/A</v>
      </c>
      <c r="ED40" t="e">
        <f>ED39+IF(AND(EC40&lt;&gt;"",COUNTIF(EC$4:EC40,EC40)=1),1,0)</f>
        <v>#N/A</v>
      </c>
      <c r="EE40" t="e">
        <f>IF(ROW()-3&gt;MAX(ED$4:ED$40),"",INDEX(EC$4:EC$40,MATCH(ROW()-3,ED$4:ED$40,0)))</f>
        <v>#N/A</v>
      </c>
      <c r="EF40" s="55">
        <f>IF('Final Calculation Sheet'!$Z$40="","",'Final Calculation Sheet'!$Z$40)</f>
        <v>2832.2123999999999</v>
      </c>
      <c r="EG40">
        <f>IF(EF40="","",COUNTIFS(EF$4:EF$40,"&lt;"&amp;EF40,EF$4:EF$40,"&lt;&gt;"&amp;"")+COUNTIF(EF$4:EF40,EF40))</f>
        <v>35</v>
      </c>
      <c r="EH40" s="55">
        <f>IF(ROW()-3&gt;COUNTIF(EF$4:EF$40,"&lt;&gt;"&amp;""),"",INDEX(EF$4:EF$40,MATCH(ROW()-3,EG$4:EG$40,0)))</f>
        <v>19448.760000000002</v>
      </c>
      <c r="EI40">
        <f>EI39+IF(AND(EH40&lt;&gt;"",COUNTIF(EH$4:EH40,EH40)=1),1,0)</f>
        <v>6</v>
      </c>
      <c r="EJ40" t="str">
        <f>IF(ROW()-3&gt;MAX(EI$4:EI$40),"",INDEX(EH$4:EH$40,MATCH(ROW()-3,EI$4:EI$40,0)))</f>
        <v/>
      </c>
      <c r="EK40" s="55">
        <f>IF('Final Calculation Sheet'!$AA$40="","",'Final Calculation Sheet'!$AA$40)</f>
        <v>2832</v>
      </c>
      <c r="EL40">
        <f>IF(EK40="","",COUNTIFS(EK$4:EK$40,"&lt;"&amp;EK40,EK$4:EK$40,"&lt;&gt;"&amp;"")+COUNTIF(EK$4:EK40,EK40))</f>
        <v>2</v>
      </c>
      <c r="EM40" t="e">
        <f>IF(ROW()-3&gt;COUNTIF(EK$4:EK$40,"&lt;&gt;"&amp;""),"",INDEX(EK$4:EK$40,MATCH(ROW()-3,EL$4:EL$40,0)))</f>
        <v>#N/A</v>
      </c>
      <c r="EN40" t="e">
        <f>EN39+IF(AND(EM40&lt;&gt;"",COUNTIF(EM$4:EM40,EM40)=1),1,0)</f>
        <v>#N/A</v>
      </c>
      <c r="EO40" t="e">
        <f>IF(ROW()-3&gt;MAX(EN$4:EN$40),"",INDEX(EM$4:EM$40,MATCH(ROW()-3,EN$4:EN$40,0)))</f>
        <v>#N/A</v>
      </c>
      <c r="EP40" t="str">
        <f>IF('Final Calculation Sheet'!$AB$40="","",'Final Calculation Sheet'!$AB$40)</f>
        <v>01.09.2026</v>
      </c>
      <c r="EQ40">
        <f>IF(EP40="","",COUNTIFS(EP$4:EP$40,"&lt;"&amp;EP40,EP$4:EP$40,"&lt;&gt;"&amp;"")+COUNTIF(EP$4:EP40,EP40))</f>
        <v>37</v>
      </c>
      <c r="ER40" t="str">
        <f>IF(ROW()-3&gt;COUNTIF(EP$4:EP$40,"&lt;&gt;"&amp;""),"",INDEX(EP$4:EP$40,MATCH(ROW()-3,EQ$4:EQ$40,0)))</f>
        <v>01.09.2026</v>
      </c>
      <c r="ES40" t="e">
        <f>ES39+IF(AND(ER40&lt;&gt;"",COUNTIF(ER$4:ER40,ER40)=1),1,0)</f>
        <v>#N/A</v>
      </c>
      <c r="ET40" t="e">
        <f>IF(ROW()-3&gt;MAX(ES$4:ES$40),"",INDEX(ER$4:ER$40,MATCH(ROW()-3,ES$4:ES$40,0)))</f>
        <v>#N/A</v>
      </c>
      <c r="EU40" s="55">
        <f>IF('Final Calculation Sheet'!$AC$40="","",'Final Calculation Sheet'!$AC$40)</f>
        <v>144023</v>
      </c>
      <c r="EV40">
        <f>IF(EU40="","",COUNTIFS(EU$4:EU$40,"&lt;"&amp;EU40,EU$4:EU$40,"&lt;&gt;"&amp;"")+COUNTIF(EU$4:EU40,EU40))</f>
        <v>19</v>
      </c>
      <c r="EW40" s="55">
        <f>IF(ROW()-3&gt;COUNTIF(EU$4:EU$40,"&lt;&gt;"&amp;""),"",INDEX(EU$4:EU$40,MATCH(ROW()-3,EV$4:EV$40,0)))</f>
        <v>4537897.9057083894</v>
      </c>
      <c r="EX40">
        <f>EX39+IF(AND(EW40&lt;&gt;"",COUNTIF(EW$4:EW40,EW40)=1),1,0)</f>
        <v>37</v>
      </c>
      <c r="EY40" s="55">
        <f>IF(ROW()-3&gt;MAX(EX$4:EX$40),"",INDEX(EW$4:EW$40,MATCH(ROW()-3,EX$4:EX$40,0)))</f>
        <v>4537897.9057083894</v>
      </c>
      <c r="EZ40" s="55">
        <f>IF('Final Calculation Sheet'!$AD$40="","",'Final Calculation Sheet'!$AD$40)</f>
        <v>-2832</v>
      </c>
      <c r="FA40">
        <f>IF(EZ40="","",COUNTIFS(EZ$4:EZ$40,"&lt;"&amp;EZ40,EZ$4:EZ$40,"&lt;&gt;"&amp;"")+COUNTIF(EZ$4:EZ40,EZ40))</f>
        <v>1</v>
      </c>
      <c r="FB40" s="55">
        <f>IF(ROW()-3&gt;COUNTIF(EZ$4:EZ$40,"&lt;&gt;"&amp;""),"",INDEX(EZ$4:EZ$40,MATCH(ROW()-3,FA$4:FA$40,0)))</f>
        <v>498031</v>
      </c>
      <c r="FC40" t="e">
        <f>FC39+IF(AND(FB40&lt;&gt;"",COUNTIF(FB$4:FB40,FB40)=1),1,0)</f>
        <v>#N/A</v>
      </c>
      <c r="FD40" t="e">
        <f>IF(ROW()-3&gt;MAX(FC$4:FC$40),"",INDEX(FB$4:FB$40,MATCH(ROW()-3,FC$4:FC$40,0)))</f>
        <v>#N/A</v>
      </c>
      <c r="FE40" t="str">
        <f>IF('Final Calculation Sheet'!$AE$40="","",'Final Calculation Sheet'!$AE$40)</f>
        <v/>
      </c>
      <c r="FF40" t="str">
        <f>IF(FE40="","",COUNTIFS(FE$4:FE$40,"&lt;"&amp;FE40,FE$4:FE$40,"&lt;&gt;"&amp;"")+COUNTIF(FE$4:FE40,FE40))</f>
        <v/>
      </c>
      <c r="FG40" t="str">
        <f>IF(ROW()-3&gt;COUNTIF(FE$4:FE$40,"&lt;&gt;"&amp;""),"",INDEX(FE$4:FE$40,MATCH(ROW()-3,FF$4:FF$40,0)))</f>
        <v>DR2640100048</v>
      </c>
      <c r="FH40" t="e">
        <f>FH39+IF(AND(FG40&lt;&gt;"",COUNTIF(FG$4:FG40,FG40)=1),1,0)</f>
        <v>#N/A</v>
      </c>
      <c r="FI40" t="e">
        <f>IF(ROW()-3&gt;MAX(FH$4:FH$40),"",INDEX(FG$4:FG$40,MATCH(ROW()-3,FH$4:FH$40,0)))</f>
        <v>#N/A</v>
      </c>
      <c r="FJ40" t="str">
        <f>IF('Final Calculation Sheet'!$AF$40="","",'Final Calculation Sheet'!$AF$40)</f>
        <v/>
      </c>
      <c r="FK40" t="str">
        <f>IF(FJ40="","",COUNTIFS(FJ$4:FJ$40,"&lt;"&amp;FJ40,FJ$4:FJ$40,"&lt;&gt;"&amp;"")+COUNTIF(FJ$4:FJ40,FJ40))</f>
        <v/>
      </c>
      <c r="FL40" t="e">
        <f>IF(ROW()-3&gt;COUNTIF(FJ$4:FJ$40,"&lt;&gt;"&amp;""),"",INDEX(FJ$4:FJ$40,MATCH(ROW()-3,FK$4:FK$40,0)))</f>
        <v>#N/A</v>
      </c>
      <c r="FM40" t="e">
        <f>FM39+IF(AND(FL40&lt;&gt;"",COUNTIF(FL$4:FL40,FL40)=1),1,0)</f>
        <v>#N/A</v>
      </c>
      <c r="FN40" t="e">
        <f>IF(ROW()-3&gt;MAX(FM$4:FM$40),"",INDEX(FL$4:FL$40,MATCH(ROW()-3,FM$4:FM$40,0)))</f>
        <v>#N/A</v>
      </c>
      <c r="FO40" t="str">
        <f>IF('Final Calculation Sheet'!$AG$40="","",'Final Calculation Sheet'!$AG$40)</f>
        <v/>
      </c>
      <c r="FP40" t="str">
        <f>IF(FO40="","",COUNTIFS(FO$4:FO$40,"&lt;"&amp;FO40,FO$4:FO$40,"&lt;&gt;"&amp;"")+COUNTIF(FO$4:FO40,FO40))</f>
        <v/>
      </c>
      <c r="FQ40" t="str">
        <f>IF(ROW()-3&gt;COUNTIF(FO$4:FO$40,"&lt;&gt;"&amp;""),"",INDEX(FO$4:FO$40,MATCH(ROW()-3,FP$4:FP$40,0)))</f>
        <v>27.08.2026</v>
      </c>
      <c r="FR40" t="e">
        <f>FR39+IF(AND(FQ40&lt;&gt;"",COUNTIF(FQ$4:FQ40,FQ40)=1),1,0)</f>
        <v>#N/A</v>
      </c>
      <c r="FS40" t="e">
        <f>IF(ROW()-3&gt;MAX(FR$4:FR$40),"",INDEX(FQ$4:FQ$40,MATCH(ROW()-3,FR$4:FR$40,0)))</f>
        <v>#N/A</v>
      </c>
      <c r="FU40" t="str">
        <f>IF(FT40="","",COUNTIFS(FT$4:FT$40,"&lt;"&amp;FT40,FT$4:FT$40,"&lt;&gt;"&amp;"")+COUNTIF(FT$4:FT40,FT40))</f>
        <v/>
      </c>
      <c r="FV40" t="str">
        <f>IF(ROW()-3&gt;COUNTIF(FT$4:FT$40,"&lt;&gt;"&amp;""),"",INDEX(FT$4:FT$40,MATCH(ROW()-3,FU$4:FU$40,0)))</f>
        <v/>
      </c>
      <c r="FW40">
        <f>FW39+IF(AND(FV40&lt;&gt;"",COUNTIF(FV$4:FV40,FV40)=1),1,0)</f>
        <v>2</v>
      </c>
      <c r="FX40" t="str">
        <f>IF(ROW()-3&gt;MAX(FW$4:FW$40),"",INDEX(FV$4:FV$40,MATCH(ROW()-3,FW$4:FW$40,0)))</f>
        <v/>
      </c>
    </row>
    <row r="41">
      <c r="A41" t="str">
        <f>IF(INDEX('Final Calculation Sheet'!$G$4:$G$40,ROW()-40)="","",INDEX('Final Calculation Sheet'!$G$4:$G$40,ROW()-40))</f>
        <v>AL HAMD TRADE CORPORATION</v>
      </c>
      <c r="B41">
        <f>IF(A41="","",COUNTIFS(A$4:A$114,"&lt;"&amp;A41,A$4:A$114,"&lt;&gt;"&amp;"")+COUNTIF(A$4:A41,A41))</f>
        <v>1</v>
      </c>
      <c r="C41" t="str">
        <f>IF(ROW()-3&gt;COUNTIF(A$4:A$114,"&lt;&gt;"&amp;""),"",INDEX(A$4:A$114,MATCH(ROW()-3,B$4:B$114,0)))</f>
        <v>Scrap of 132 KV Wave Trap</v>
      </c>
      <c r="D41">
        <f>D40+IF(AND(C41&lt;&gt;"",COUNTIF(C$4:C41,C41)=1),1,0)</f>
        <v>38</v>
      </c>
      <c r="E41" t="e">
        <f>IF(ROW()-3&gt;MAX(D$4:D$114),"",INDEX(C$4:C$114,MATCH(ROW()-3,D$4:D$114,0)))</f>
        <v>#N/A</v>
      </c>
      <c r="O41" t="inlineStr">
        <is>
          <t>(blank)</t>
        </is>
      </c>
      <c r="T41" t="inlineStr">
        <is>
          <t>(blank)</t>
        </is>
      </c>
      <c r="Y41" t="inlineStr">
        <is>
          <t>(blank)</t>
        </is>
      </c>
      <c r="AD41" t="inlineStr">
        <is>
          <t>(blank)</t>
        </is>
      </c>
      <c r="AI41" t="inlineStr">
        <is>
          <t>(blank)</t>
        </is>
      </c>
      <c r="AN41" t="inlineStr">
        <is>
          <t>(blank)</t>
        </is>
      </c>
      <c r="AS41" t="inlineStr">
        <is>
          <t>(blank)</t>
        </is>
      </c>
      <c r="AX41" t="inlineStr">
        <is>
          <t>(blank)</t>
        </is>
      </c>
      <c r="BC41" t="inlineStr">
        <is>
          <t>(blank)</t>
        </is>
      </c>
      <c r="BH41" t="inlineStr">
        <is>
          <t>(blank)</t>
        </is>
      </c>
      <c r="BM41" t="inlineStr">
        <is>
          <t>(blank)</t>
        </is>
      </c>
      <c r="BR41" t="inlineStr">
        <is>
          <t>(blank)</t>
        </is>
      </c>
      <c r="BW41" t="inlineStr">
        <is>
          <t>(blank)</t>
        </is>
      </c>
      <c r="CB41" t="inlineStr">
        <is>
          <t>(blank)</t>
        </is>
      </c>
      <c r="CG41" t="inlineStr">
        <is>
          <t>(blank)</t>
        </is>
      </c>
      <c r="CL41" t="inlineStr">
        <is>
          <t>(blank)</t>
        </is>
      </c>
      <c r="CQ41" t="inlineStr">
        <is>
          <t>(blank)</t>
        </is>
      </c>
      <c r="CV41" t="inlineStr">
        <is>
          <t>(blank)</t>
        </is>
      </c>
      <c r="DA41" t="inlineStr">
        <is>
          <t>(blank)</t>
        </is>
      </c>
      <c r="DF41" t="inlineStr">
        <is>
          <t>(blank)</t>
        </is>
      </c>
      <c r="DK41" t="inlineStr">
        <is>
          <t>(blank)</t>
        </is>
      </c>
      <c r="DP41" t="inlineStr">
        <is>
          <t>(blank)</t>
        </is>
      </c>
      <c r="DU41" t="inlineStr">
        <is>
          <t>(blank)</t>
        </is>
      </c>
      <c r="DZ41" t="inlineStr">
        <is>
          <t>(blank)</t>
        </is>
      </c>
      <c r="EE41" t="inlineStr">
        <is>
          <t>(blank)</t>
        </is>
      </c>
      <c r="EJ41" t="inlineStr">
        <is>
          <t>(blank)</t>
        </is>
      </c>
      <c r="EO41" t="inlineStr">
        <is>
          <t>(blank)</t>
        </is>
      </c>
      <c r="ET41" t="inlineStr">
        <is>
          <t>(blank)</t>
        </is>
      </c>
      <c r="EY41" t="inlineStr">
        <is>
          <t>(blank)</t>
        </is>
      </c>
      <c r="FD41" t="inlineStr">
        <is>
          <t>(blank)</t>
        </is>
      </c>
      <c r="FI41" t="inlineStr">
        <is>
          <t>(blank)</t>
        </is>
      </c>
      <c r="FN41" t="inlineStr">
        <is>
          <t>(blank)</t>
        </is>
      </c>
      <c r="FS41" t="inlineStr">
        <is>
          <t>(blank)</t>
        </is>
      </c>
    </row>
    <row r="42">
      <c r="A42" t="str">
        <f>IF(INDEX('Final Calculation Sheet'!$G$4:$G$40,ROW()-40)="","",INDEX('Final Calculation Sheet'!$G$4:$G$40,ROW()-40))</f>
        <v>NATIONAL ENTERPRISES</v>
      </c>
      <c r="B42">
        <f>IF(A42="","",COUNTIFS(A$4:A$114,"&lt;"&amp;A42,A$4:A$114,"&lt;&gt;"&amp;"")+COUNTIF(A$4:A42,A42))</f>
        <v>8</v>
      </c>
      <c r="C42" t="str">
        <f>IF(ROW()-3&gt;COUNTIF(A$4:A$114,"&lt;&gt;"&amp;""),"",INDEX(A$4:A$114,MATCH(ROW()-3,B$4:B$114,0)))</f>
        <v>Scrap of 145 KV CB</v>
      </c>
      <c r="D42">
        <f>D41+IF(AND(C42&lt;&gt;"",COUNTIF(C$4:C42,C42)=1),1,0)</f>
        <v>39</v>
      </c>
      <c r="E42" t="e">
        <f>IF(ROW()-3&gt;MAX(D$4:D$114),"",INDEX(C$4:C$114,MATCH(ROW()-3,D$4:D$114,0)))</f>
        <v>#N/A</v>
      </c>
      <c r="O42" t="inlineStr">
        <is>
          <t>(nonblank)</t>
        </is>
      </c>
      <c r="T42" t="inlineStr">
        <is>
          <t>(nonblank)</t>
        </is>
      </c>
      <c r="Y42" t="inlineStr">
        <is>
          <t>(nonblank)</t>
        </is>
      </c>
      <c r="AD42" t="inlineStr">
        <is>
          <t>(nonblank)</t>
        </is>
      </c>
      <c r="AI42" t="inlineStr">
        <is>
          <t>(nonblank)</t>
        </is>
      </c>
      <c r="AN42" t="inlineStr">
        <is>
          <t>(nonblank)</t>
        </is>
      </c>
      <c r="AS42" t="inlineStr">
        <is>
          <t>(nonblank)</t>
        </is>
      </c>
      <c r="AX42" t="inlineStr">
        <is>
          <t>(nonblank)</t>
        </is>
      </c>
      <c r="BC42" t="inlineStr">
        <is>
          <t>(nonblank)</t>
        </is>
      </c>
      <c r="BH42" t="inlineStr">
        <is>
          <t>(nonblank)</t>
        </is>
      </c>
      <c r="BM42" t="inlineStr">
        <is>
          <t>(nonblank)</t>
        </is>
      </c>
      <c r="BR42" t="inlineStr">
        <is>
          <t>(nonblank)</t>
        </is>
      </c>
      <c r="BW42" t="inlineStr">
        <is>
          <t>(nonblank)</t>
        </is>
      </c>
      <c r="CB42" t="inlineStr">
        <is>
          <t>(nonblank)</t>
        </is>
      </c>
      <c r="CG42" t="inlineStr">
        <is>
          <t>(nonblank)</t>
        </is>
      </c>
      <c r="CL42" t="inlineStr">
        <is>
          <t>(nonblank)</t>
        </is>
      </c>
      <c r="CQ42" t="inlineStr">
        <is>
          <t>(nonblank)</t>
        </is>
      </c>
      <c r="CV42" t="inlineStr">
        <is>
          <t>(nonblank)</t>
        </is>
      </c>
      <c r="DA42" t="inlineStr">
        <is>
          <t>(nonblank)</t>
        </is>
      </c>
      <c r="DF42" t="inlineStr">
        <is>
          <t>(nonblank)</t>
        </is>
      </c>
      <c r="DK42" t="inlineStr">
        <is>
          <t>(nonblank)</t>
        </is>
      </c>
      <c r="DP42" t="inlineStr">
        <is>
          <t>(nonblank)</t>
        </is>
      </c>
      <c r="DU42" t="inlineStr">
        <is>
          <t>(nonblank)</t>
        </is>
      </c>
      <c r="DZ42" t="inlineStr">
        <is>
          <t>(nonblank)</t>
        </is>
      </c>
      <c r="EE42" t="inlineStr">
        <is>
          <t>(nonblank)</t>
        </is>
      </c>
      <c r="EJ42" t="inlineStr">
        <is>
          <t>(nonblank)</t>
        </is>
      </c>
      <c r="EO42" t="inlineStr">
        <is>
          <t>(nonblank)</t>
        </is>
      </c>
      <c r="ET42" t="inlineStr">
        <is>
          <t>(nonblank)</t>
        </is>
      </c>
      <c r="EY42" t="inlineStr">
        <is>
          <t>(nonblank)</t>
        </is>
      </c>
      <c r="FD42" t="inlineStr">
        <is>
          <t>(nonblank)</t>
        </is>
      </c>
      <c r="FI42" t="inlineStr">
        <is>
          <t>(nonblank)</t>
        </is>
      </c>
      <c r="FN42" t="inlineStr">
        <is>
          <t>(nonblank)</t>
        </is>
      </c>
      <c r="FS42" t="inlineStr">
        <is>
          <t>(nonblank)</t>
        </is>
      </c>
    </row>
    <row r="43">
      <c r="A43" t="str">
        <f>IF(INDEX('Final Calculation Sheet'!$G$4:$G$40,ROW()-40)="","",INDEX('Final Calculation Sheet'!$G$4:$G$40,ROW()-40))</f>
        <v>F R KHANS ENTERPRISES</v>
      </c>
      <c r="B43">
        <f>IF(A43="","",COUNTIFS(A$4:A$114,"&lt;"&amp;A43,A$4:A$114,"&lt;&gt;"&amp;"")+COUNTIF(A$4:A43,A43))</f>
        <v>2</v>
      </c>
      <c r="C43" t="str">
        <f>IF(ROW()-3&gt;COUNTIF(A$4:A$114,"&lt;&gt;"&amp;""),"",INDEX(A$4:A$114,MATCH(ROW()-3,B$4:B$114,0)))</f>
        <v>Scrap of 220 KV Circuit Breaker</v>
      </c>
      <c r="D43">
        <f>D42+IF(AND(C43&lt;&gt;"",COUNTIF(C$4:C43,C43)=1),1,0)</f>
        <v>40</v>
      </c>
      <c r="E43" t="e">
        <f>IF(ROW()-3&gt;MAX(D$4:D$114),"",INDEX(C$4:C$114,MATCH(ROW()-3,D$4:D$114,0)))</f>
        <v>#N/A</v>
      </c>
    </row>
    <row r="44">
      <c r="A44" t="str">
        <f>IF(INDEX('Final Calculation Sheet'!$G$4:$G$40,ROW()-40)="","",INDEX('Final Calculation Sheet'!$G$4:$G$40,ROW()-40))</f>
        <v>F R KHANS ENTERPRISES</v>
      </c>
      <c r="B44">
        <f>IF(A44="","",COUNTIFS(A$4:A$114,"&lt;"&amp;A44,A$4:A$114,"&lt;&gt;"&amp;"")+COUNTIF(A$4:A44,A44))</f>
        <v>3</v>
      </c>
      <c r="C44" t="str">
        <f>IF(ROW()-3&gt;COUNTIF(A$4:A$114,"&lt;&gt;"&amp;""),"",INDEX(A$4:A$114,MATCH(ROW()-3,B$4:B$114,0)))</f>
        <v>Scrap of 220 KV Circuit Breaker</v>
      </c>
      <c r="D44">
        <f>D43+IF(AND(C44&lt;&gt;"",COUNTIF(C$4:C44,C44)=1),1,0)</f>
        <v>40</v>
      </c>
      <c r="E44" t="e">
        <f>IF(ROW()-3&gt;MAX(D$4:D$114),"",INDEX(C$4:C$114,MATCH(ROW()-3,D$4:D$114,0)))</f>
        <v>#N/A</v>
      </c>
    </row>
    <row r="45">
      <c r="A45" t="str">
        <f>IF(INDEX('Final Calculation Sheet'!$G$4:$G$40,ROW()-40)="","",INDEX('Final Calculation Sheet'!$G$4:$G$40,ROW()-40))</f>
        <v>OMKAR STEELS</v>
      </c>
      <c r="B45">
        <f>IF(A45="","",COUNTIFS(A$4:A$114,"&lt;"&amp;A45,A$4:A$114,"&lt;&gt;"&amp;"")+COUNTIF(A$4:A45,A45))</f>
        <v>22</v>
      </c>
      <c r="C45" t="str">
        <f>IF(ROW()-3&gt;COUNTIF(A$4:A$114,"&lt;&gt;"&amp;""),"",INDEX(A$4:A$114,MATCH(ROW()-3,B$4:B$114,0)))</f>
        <v>Scrap of 220 KV CT</v>
      </c>
      <c r="D45">
        <f>D44+IF(AND(C45&lt;&gt;"",COUNTIF(C$4:C45,C45)=1),1,0)</f>
        <v>41</v>
      </c>
      <c r="E45" t="e">
        <f>IF(ROW()-3&gt;MAX(D$4:D$114),"",INDEX(C$4:C$114,MATCH(ROW()-3,D$4:D$114,0)))</f>
        <v>#N/A</v>
      </c>
    </row>
    <row r="46">
      <c r="A46" t="str">
        <f>IF(INDEX('Final Calculation Sheet'!$G$4:$G$40,ROW()-40)="","",INDEX('Final Calculation Sheet'!$G$4:$G$40,ROW()-40))</f>
        <v>SHAR JAHAN TRADERS</v>
      </c>
      <c r="B46">
        <f>IF(A46="","",COUNTIFS(A$4:A$114,"&lt;"&amp;A46,A$4:A$114,"&lt;&gt;"&amp;"")+COUNTIF(A$4:A46,A46))</f>
        <v>63</v>
      </c>
      <c r="C46" t="str">
        <f>IF(ROW()-3&gt;COUNTIF(A$4:A$114,"&lt;&gt;"&amp;""),"",INDEX(A$4:A$114,MATCH(ROW()-3,B$4:B$114,0)))</f>
        <v>Scrap of 220KV CT</v>
      </c>
      <c r="D46">
        <f>D45+IF(AND(C46&lt;&gt;"",COUNTIF(C$4:C46,C46)=1),1,0)</f>
        <v>42</v>
      </c>
      <c r="E46" t="e">
        <f>IF(ROW()-3&gt;MAX(D$4:D$114),"",INDEX(C$4:C$114,MATCH(ROW()-3,D$4:D$114,0)))</f>
        <v>#N/A</v>
      </c>
    </row>
    <row r="47">
      <c r="A47" t="str">
        <f>IF(INDEX('Final Calculation Sheet'!$G$4:$G$40,ROW()-40)="","",INDEX('Final Calculation Sheet'!$G$4:$G$40,ROW()-40))</f>
        <v>NATIONAL ENTERPRISES</v>
      </c>
      <c r="B47">
        <f>IF(A47="","",COUNTIFS(A$4:A$114,"&lt;"&amp;A47,A$4:A$114,"&lt;&gt;"&amp;"")+COUNTIF(A$4:A47,A47))</f>
        <v>9</v>
      </c>
      <c r="C47" t="str">
        <f>IF(ROW()-3&gt;COUNTIF(A$4:A$114,"&lt;&gt;"&amp;""),"",INDEX(A$4:A$114,MATCH(ROW()-3,B$4:B$114,0)))</f>
        <v>Scrap of 33 KV CB</v>
      </c>
      <c r="D47">
        <f>D46+IF(AND(C47&lt;&gt;"",COUNTIF(C$4:C47,C47)=1),1,0)</f>
        <v>43</v>
      </c>
      <c r="E47" t="e">
        <f>IF(ROW()-3&gt;MAX(D$4:D$114),"",INDEX(C$4:C$114,MATCH(ROW()-3,D$4:D$114,0)))</f>
        <v>#N/A</v>
      </c>
    </row>
    <row r="48">
      <c r="A48" t="str">
        <f>IF(INDEX('Final Calculation Sheet'!$G$4:$G$40,ROW()-40)="","",INDEX('Final Calculation Sheet'!$G$4:$G$40,ROW()-40))</f>
        <v>NATIONAL ENTERPRISES</v>
      </c>
      <c r="B48">
        <f>IF(A48="","",COUNTIFS(A$4:A$114,"&lt;"&amp;A48,A$4:A$114,"&lt;&gt;"&amp;"")+COUNTIF(A$4:A48,A48))</f>
        <v>10</v>
      </c>
      <c r="C48" t="str">
        <f>IF(ROW()-3&gt;COUNTIF(A$4:A$114,"&lt;&gt;"&amp;""),"",INDEX(A$4:A$114,MATCH(ROW()-3,B$4:B$114,0)))</f>
        <v>Scrap of 33 KV CT</v>
      </c>
      <c r="D48">
        <f>D47+IF(AND(C48&lt;&gt;"",COUNTIF(C$4:C48,C48)=1),1,0)</f>
        <v>44</v>
      </c>
      <c r="E48" t="e">
        <f>IF(ROW()-3&gt;MAX(D$4:D$114),"",INDEX(C$4:C$114,MATCH(ROW()-3,D$4:D$114,0)))</f>
        <v>#N/A</v>
      </c>
    </row>
    <row r="49">
      <c r="A49" t="str">
        <f>IF(INDEX('Final Calculation Sheet'!$G$4:$G$40,ROW()-40)="","",INDEX('Final Calculation Sheet'!$G$4:$G$40,ROW()-40))</f>
        <v>NATIONAL ENTERPRISES</v>
      </c>
      <c r="B49">
        <f>IF(A49="","",COUNTIFS(A$4:A$114,"&lt;"&amp;A49,A$4:A$114,"&lt;&gt;"&amp;"")+COUNTIF(A$4:A49,A49))</f>
        <v>11</v>
      </c>
      <c r="C49" t="str">
        <f>IF(ROW()-3&gt;COUNTIF(A$4:A$114,"&lt;&gt;"&amp;""),"",INDEX(A$4:A$114,MATCH(ROW()-3,B$4:B$114,0)))</f>
        <v>Scrap of 33 KV GCB</v>
      </c>
      <c r="D49">
        <f>D48+IF(AND(C49&lt;&gt;"",COUNTIF(C$4:C49,C49)=1),1,0)</f>
        <v>45</v>
      </c>
      <c r="E49" t="e">
        <f>IF(ROW()-3&gt;MAX(D$4:D$114),"",INDEX(C$4:C$114,MATCH(ROW()-3,D$4:D$114,0)))</f>
        <v>#N/A</v>
      </c>
    </row>
    <row r="50">
      <c r="A50" t="str">
        <f>IF(INDEX('Final Calculation Sheet'!$G$4:$G$40,ROW()-40)="","",INDEX('Final Calculation Sheet'!$G$4:$G$40,ROW()-40))</f>
        <v>STERLING ENTERPRISES</v>
      </c>
      <c r="B50">
        <f>IF(A50="","",COUNTIFS(A$4:A$114,"&lt;"&amp;A50,A$4:A$114,"&lt;&gt;"&amp;"")+COUNTIF(A$4:A50,A50))</f>
        <v>65</v>
      </c>
      <c r="C50" t="str">
        <f>IF(ROW()-3&gt;COUNTIF(A$4:A$114,"&lt;&gt;"&amp;""),"",INDEX(A$4:A$114,MATCH(ROW()-3,B$4:B$114,0)))</f>
        <v>Scrap of 66 KV Isolater</v>
      </c>
      <c r="D50">
        <f>D49+IF(AND(C50&lt;&gt;"",COUNTIF(C$4:C50,C50)=1),1,0)</f>
        <v>46</v>
      </c>
      <c r="E50" t="e">
        <f>IF(ROW()-3&gt;MAX(D$4:D$114),"",INDEX(C$4:C$114,MATCH(ROW()-3,D$4:D$114,0)))</f>
        <v>#N/A</v>
      </c>
    </row>
    <row r="51">
      <c r="A51" t="str">
        <f>IF(INDEX('Final Calculation Sheet'!$G$4:$G$40,ROW()-40)="","",INDEX('Final Calculation Sheet'!$G$4:$G$40,ROW()-40))</f>
        <v>SHAR JAHAN TRADERS</v>
      </c>
      <c r="B51">
        <f>IF(A51="","",COUNTIFS(A$4:A$114,"&lt;"&amp;A51,A$4:A$114,"&lt;&gt;"&amp;"")+COUNTIF(A$4:A51,A51))</f>
        <v>64</v>
      </c>
      <c r="C51" t="str">
        <f>IF(ROW()-3&gt;COUNTIF(A$4:A$114,"&lt;&gt;"&amp;""),"",INDEX(A$4:A$114,MATCH(ROW()-3,B$4:B$114,0)))</f>
        <v>Scrap of 66 kv TBC C &amp; R Panel</v>
      </c>
      <c r="D51">
        <f>D50+IF(AND(C51&lt;&gt;"",COUNTIF(C$4:C51,C51)=1),1,0)</f>
        <v>47</v>
      </c>
      <c r="E51" t="e">
        <f>IF(ROW()-3&gt;MAX(D$4:D$114),"",INDEX(C$4:C$114,MATCH(ROW()-3,D$4:D$114,0)))</f>
        <v>#N/A</v>
      </c>
    </row>
    <row r="52">
      <c r="A52" t="str">
        <f>IF(INDEX('Final Calculation Sheet'!$G$4:$G$40,ROW()-40)="","",INDEX('Final Calculation Sheet'!$G$4:$G$40,ROW()-40))</f>
        <v>HIND TRADERS</v>
      </c>
      <c r="B52">
        <f>IF(A52="","",COUNTIFS(A$4:A$114,"&lt;"&amp;A52,A$4:A$114,"&lt;&gt;"&amp;"")+COUNTIF(A$4:A52,A52))</f>
        <v>4</v>
      </c>
      <c r="C52" t="str">
        <f>IF(ROW()-3&gt;COUNTIF(A$4:A$114,"&lt;&gt;"&amp;""),"",INDEX(A$4:A$114,MATCH(ROW()-3,B$4:B$114,0)))</f>
        <v>Scrap of AAAC Earth wire</v>
      </c>
      <c r="D52">
        <f>D51+IF(AND(C52&lt;&gt;"",COUNTIF(C$4:C52,C52)=1),1,0)</f>
        <v>48</v>
      </c>
      <c r="E52" t="e">
        <f>IF(ROW()-3&gt;MAX(D$4:D$114),"",INDEX(C$4:C$114,MATCH(ROW()-3,D$4:D$114,0)))</f>
        <v>#N/A</v>
      </c>
    </row>
    <row r="53">
      <c r="A53" t="str">
        <f>IF(INDEX('Final Calculation Sheet'!$G$4:$G$40,ROW()-40)="","",INDEX('Final Calculation Sheet'!$G$4:$G$40,ROW()-40))</f>
        <v>STERLING ENTERPRISES</v>
      </c>
      <c r="B53">
        <f>IF(A53="","",COUNTIFS(A$4:A$114,"&lt;"&amp;A53,A$4:A$114,"&lt;&gt;"&amp;"")+COUNTIF(A$4:A53,A53))</f>
        <v>66</v>
      </c>
      <c r="C53" t="str">
        <f>IF(ROW()-3&gt;COUNTIF(A$4:A$114,"&lt;&gt;"&amp;""),"",INDEX(A$4:A$114,MATCH(ROW()-3,B$4:B$114,0)))</f>
        <v>Scrap of Copper of faulty AC compressor</v>
      </c>
      <c r="D53">
        <f>D52+IF(AND(C53&lt;&gt;"",COUNTIF(C$4:C53,C53)=1),1,0)</f>
        <v>49</v>
      </c>
      <c r="E53" t="e">
        <f>IF(ROW()-3&gt;MAX(D$4:D$114),"",INDEX(C$4:C$114,MATCH(ROW()-3,D$4:D$114,0)))</f>
        <v>#N/A</v>
      </c>
    </row>
    <row r="54">
      <c r="A54" t="str">
        <f>IF(INDEX('Final Calculation Sheet'!$G$4:$G$40,ROW()-40)="","",INDEX('Final Calculation Sheet'!$G$4:$G$40,ROW()-40))</f>
        <v>STERLING ENTERPRISES</v>
      </c>
      <c r="B54">
        <f>IF(A54="","",COUNTIFS(A$4:A$114,"&lt;"&amp;A54,A$4:A$114,"&lt;&gt;"&amp;"")+COUNTIF(A$4:A54,A54))</f>
        <v>67</v>
      </c>
      <c r="C54" t="str">
        <f>IF(ROW()-3&gt;COUNTIF(A$4:A$114,"&lt;&gt;"&amp;""),"",INDEX(A$4:A$114,MATCH(ROW()-3,B$4:B$114,0)))</f>
        <v>Scrap of empty oil Barrel</v>
      </c>
      <c r="D54">
        <f>D53+IF(AND(C54&lt;&gt;"",COUNTIF(C$4:C54,C54)=1),1,0)</f>
        <v>50</v>
      </c>
      <c r="E54" t="e">
        <f>IF(ROW()-3&gt;MAX(D$4:D$114),"",INDEX(C$4:C$114,MATCH(ROW()-3,D$4:D$114,0)))</f>
        <v>#N/A</v>
      </c>
    </row>
    <row r="55">
      <c r="A55" t="str">
        <f>IF(INDEX('Final Calculation Sheet'!$G$4:$G$40,ROW()-40)="","",INDEX('Final Calculation Sheet'!$G$4:$G$40,ROW()-40))</f>
        <v>NATIONAL ENTERPRISES</v>
      </c>
      <c r="B55">
        <f>IF(A55="","",COUNTIFS(A$4:A$114,"&lt;"&amp;A55,A$4:A$114,"&lt;&gt;"&amp;"")+COUNTIF(A$4:A55,A55))</f>
        <v>12</v>
      </c>
      <c r="C55" t="str">
        <f>IF(ROW()-3&gt;COUNTIF(A$4:A$114,"&lt;&gt;"&amp;""),"",INDEX(A$4:A$114,MATCH(ROW()-3,B$4:B$114,0)))</f>
        <v>Scrap of empty oil Barrels</v>
      </c>
      <c r="D55">
        <f>D54+IF(AND(C55&lt;&gt;"",COUNTIF(C$4:C55,C55)=1),1,0)</f>
        <v>51</v>
      </c>
      <c r="E55" t="e">
        <f>IF(ROW()-3&gt;MAX(D$4:D$114),"",INDEX(C$4:C$114,MATCH(ROW()-3,D$4:D$114,0)))</f>
        <v>#N/A</v>
      </c>
    </row>
    <row r="56">
      <c r="A56" t="str">
        <f>IF(INDEX('Final Calculation Sheet'!$G$4:$G$40,ROW()-40)="","",INDEX('Final Calculation Sheet'!$G$4:$G$40,ROW()-40))</f>
        <v>NATIONAL ENTERPRISES</v>
      </c>
      <c r="B56">
        <f>IF(A56="","",COUNTIFS(A$4:A$114,"&lt;"&amp;A56,A$4:A$114,"&lt;&gt;"&amp;"")+COUNTIF(A$4:A56,A56))</f>
        <v>13</v>
      </c>
      <c r="C56" t="str">
        <f>IF(ROW()-3&gt;COUNTIF(A$4:A$114,"&lt;&gt;"&amp;""),"",INDEX(A$4:A$114,MATCH(ROW()-3,B$4:B$114,0)))</f>
        <v>Scrap of empty oil Barrels</v>
      </c>
      <c r="D56">
        <f>D55+IF(AND(C56&lt;&gt;"",COUNTIF(C$4:C56,C56)=1),1,0)</f>
        <v>51</v>
      </c>
      <c r="E56" t="e">
        <f>IF(ROW()-3&gt;MAX(D$4:D$114),"",INDEX(C$4:C$114,MATCH(ROW()-3,D$4:D$114,0)))</f>
        <v>#N/A</v>
      </c>
    </row>
    <row r="57">
      <c r="A57" t="str">
        <f>IF(INDEX('Final Calculation Sheet'!$G$4:$G$40,ROW()-40)="","",INDEX('Final Calculation Sheet'!$G$4:$G$40,ROW()-40))</f>
        <v>OMKAR STEELS</v>
      </c>
      <c r="B57">
        <f>IF(A57="","",COUNTIFS(A$4:A$114,"&lt;"&amp;A57,A$4:A$114,"&lt;&gt;"&amp;"")+COUNTIF(A$4:A57,A57))</f>
        <v>23</v>
      </c>
      <c r="C57" t="str">
        <f>IF(ROW()-3&gt;COUNTIF(A$4:A$114,"&lt;&gt;"&amp;""),"",INDEX(A$4:A$114,MATCH(ROW()-3,B$4:B$114,0)))</f>
        <v>Scrap of empty oil Barrels</v>
      </c>
      <c r="D57">
        <f>D56+IF(AND(C57&lt;&gt;"",COUNTIF(C$4:C57,C57)=1),1,0)</f>
        <v>51</v>
      </c>
      <c r="E57" t="e">
        <f>IF(ROW()-3&gt;MAX(D$4:D$114),"",INDEX(C$4:C$114,MATCH(ROW()-3,D$4:D$114,0)))</f>
        <v>#N/A</v>
      </c>
    </row>
    <row r="58">
      <c r="A58" t="str">
        <f>IF(INDEX('Final Calculation Sheet'!$G$4:$G$40,ROW()-40)="","",INDEX('Final Calculation Sheet'!$G$4:$G$40,ROW()-40))</f>
        <v>NATIONAL SCRAP AND BUILDING MATERIAL SUPPLIER</v>
      </c>
      <c r="B58">
        <f>IF(A58="","",COUNTIFS(A$4:A$114,"&lt;"&amp;A58,A$4:A$114,"&lt;&gt;"&amp;"")+COUNTIF(A$4:A58,A58))</f>
        <v>21</v>
      </c>
      <c r="C58" t="str">
        <f>IF(ROW()-3&gt;COUNTIF(A$4:A$114,"&lt;&gt;"&amp;""),"",INDEX(A$4:A$114,MATCH(ROW()-3,B$4:B$114,0)))</f>
        <v>Scrap of Empty oil Barrels</v>
      </c>
      <c r="D58">
        <f>D57+IF(AND(C58&lt;&gt;"",COUNTIF(C$4:C58,C58)=1),1,0)</f>
        <v>51</v>
      </c>
      <c r="E58" t="e">
        <f>IF(ROW()-3&gt;MAX(D$4:D$114),"",INDEX(C$4:C$114,MATCH(ROW()-3,D$4:D$114,0)))</f>
        <v>#N/A</v>
      </c>
    </row>
    <row r="59">
      <c r="A59" t="str">
        <f>IF(INDEX('Final Calculation Sheet'!$G$4:$G$40,ROW()-40)="","",INDEX('Final Calculation Sheet'!$G$4:$G$40,ROW()-40))</f>
        <v>NATIONAL ENTERPRISES</v>
      </c>
      <c r="B59">
        <f>IF(A59="","",COUNTIFS(A$4:A$114,"&lt;"&amp;A59,A$4:A$114,"&lt;&gt;"&amp;"")+COUNTIF(A$4:A59,A59))</f>
        <v>14</v>
      </c>
      <c r="C59" t="str">
        <f>IF(ROW()-3&gt;COUNTIF(A$4:A$114,"&lt;&gt;"&amp;""),"",INDEX(A$4:A$114,MATCH(ROW()-3,B$4:B$114,0)))</f>
        <v>Scrap of empty oil Druam</v>
      </c>
      <c r="D59">
        <f>D58+IF(AND(C59&lt;&gt;"",COUNTIF(C$4:C59,C59)=1),1,0)</f>
        <v>52</v>
      </c>
      <c r="E59" t="e">
        <f>IF(ROW()-3&gt;MAX(D$4:D$114),"",INDEX(C$4:C$114,MATCH(ROW()-3,D$4:D$114,0)))</f>
        <v>#N/A</v>
      </c>
    </row>
    <row r="60">
      <c r="A60" t="str">
        <f>IF(INDEX('Final Calculation Sheet'!$G$4:$G$40,ROW()-40)="","",INDEX('Final Calculation Sheet'!$G$4:$G$40,ROW()-40))</f>
        <v>STERLING ENTERPRISES</v>
      </c>
      <c r="B60">
        <f>IF(A60="","",COUNTIFS(A$4:A$114,"&lt;"&amp;A60,A$4:A$114,"&lt;&gt;"&amp;"")+COUNTIF(A$4:A60,A60))</f>
        <v>68</v>
      </c>
      <c r="C60" t="str">
        <f>IF(ROW()-3&gt;COUNTIF(A$4:A$114,"&lt;&gt;"&amp;""),"",INDEX(A$4:A$114,MATCH(ROW()-3,B$4:B$114,0)))</f>
        <v>Scrap of Empty oil drum</v>
      </c>
      <c r="D60">
        <f>D59+IF(AND(C60&lt;&gt;"",COUNTIF(C$4:C60,C60)=1),1,0)</f>
        <v>53</v>
      </c>
      <c r="E60" t="e">
        <f>IF(ROW()-3&gt;MAX(D$4:D$114),"",INDEX(C$4:C$114,MATCH(ROW()-3,D$4:D$114,0)))</f>
        <v>#N/A</v>
      </c>
    </row>
    <row r="61">
      <c r="A61" t="str">
        <f>IF(INDEX('Final Calculation Sheet'!$G$4:$G$40,ROW()-40)="","",INDEX('Final Calculation Sheet'!$G$4:$G$40,ROW()-40))</f>
        <v>NATIONAL ENTERPRISES</v>
      </c>
      <c r="B61">
        <f>IF(A61="","",COUNTIFS(A$4:A$114,"&lt;"&amp;A61,A$4:A$114,"&lt;&gt;"&amp;"")+COUNTIF(A$4:A61,A61))</f>
        <v>15</v>
      </c>
      <c r="C61" t="str">
        <f>IF(ROW()-3&gt;COUNTIF(A$4:A$114,"&lt;&gt;"&amp;""),"",INDEX(A$4:A$114,MATCH(ROW()-3,B$4:B$114,0)))</f>
        <v>Scrap of empty oil drums</v>
      </c>
      <c r="D61">
        <f>D60+IF(AND(C61&lt;&gt;"",COUNTIF(C$4:C61,C61)=1),1,0)</f>
        <v>54</v>
      </c>
      <c r="E61" t="e">
        <f>IF(ROW()-3&gt;MAX(D$4:D$114),"",INDEX(C$4:C$114,MATCH(ROW()-3,D$4:D$114,0)))</f>
        <v>#N/A</v>
      </c>
    </row>
    <row r="62">
      <c r="A62" t="str">
        <f>IF(INDEX('Final Calculation Sheet'!$G$4:$G$40,ROW()-40)="","",INDEX('Final Calculation Sheet'!$G$4:$G$40,ROW()-40))</f>
        <v>WATAN SCRAP TRADERS</v>
      </c>
      <c r="B62">
        <f>IF(A62="","",COUNTIFS(A$4:A$114,"&lt;"&amp;A62,A$4:A$114,"&lt;&gt;"&amp;"")+COUNTIF(A$4:A62,A62))</f>
        <v>72</v>
      </c>
      <c r="C62" t="str">
        <f>IF(ROW()-3&gt;COUNTIF(A$4:A$114,"&lt;&gt;"&amp;""),"",INDEX(A$4:A$114,MATCH(ROW()-3,B$4:B$114,0)))</f>
        <v>Scrap of empty oil drums</v>
      </c>
      <c r="D62">
        <f>D61+IF(AND(C62&lt;&gt;"",COUNTIF(C$4:C62,C62)=1),1,0)</f>
        <v>54</v>
      </c>
      <c r="E62" t="e">
        <f>IF(ROW()-3&gt;MAX(D$4:D$114),"",INDEX(C$4:C$114,MATCH(ROW()-3,D$4:D$114,0)))</f>
        <v>#N/A</v>
      </c>
    </row>
    <row r="63">
      <c r="A63" t="str">
        <f>IF(INDEX('Final Calculation Sheet'!$G$4:$G$40,ROW()-40)="","",INDEX('Final Calculation Sheet'!$G$4:$G$40,ROW()-40))</f>
        <v>NATIONAL ENTERPRISES</v>
      </c>
      <c r="B63">
        <f>IF(A63="","",COUNTIFS(A$4:A$114,"&lt;"&amp;A63,A$4:A$114,"&lt;&gt;"&amp;"")+COUNTIF(A$4:A63,A63))</f>
        <v>16</v>
      </c>
      <c r="C63" t="str">
        <f>IF(ROW()-3&gt;COUNTIF(A$4:A$114,"&lt;&gt;"&amp;""),"",INDEX(A$4:A$114,MATCH(ROW()-3,B$4:B$114,0)))</f>
        <v>Scrap of MS (extracted from equip cage and empty Sf6 gas cylinder)</v>
      </c>
      <c r="D63">
        <f>D62+IF(AND(C63&lt;&gt;"",COUNTIF(C$4:C63,C63)=1),1,0)</f>
        <v>55</v>
      </c>
      <c r="E63" t="e">
        <f>IF(ROW()-3&gt;MAX(D$4:D$114),"",INDEX(C$4:C$114,MATCH(ROW()-3,D$4:D$114,0)))</f>
        <v>#N/A</v>
      </c>
    </row>
    <row r="64">
      <c r="A64" t="str">
        <f>IF(INDEX('Final Calculation Sheet'!$G$4:$G$40,ROW()-40)="","",INDEX('Final Calculation Sheet'!$G$4:$G$40,ROW()-40))</f>
        <v>M I SCRAP TRADERS</v>
      </c>
      <c r="B64">
        <f>IF(A64="","",COUNTIFS(A$4:A$114,"&lt;"&amp;A64,A$4:A$114,"&lt;&gt;"&amp;"")+COUNTIF(A$4:A64,A64))</f>
        <v>6</v>
      </c>
      <c r="C64" t="str">
        <f>IF(ROW()-3&gt;COUNTIF(A$4:A$114,"&lt;&gt;"&amp;""),"",INDEX(A$4:A$114,MATCH(ROW()-3,B$4:B$114,0)))</f>
        <v>Scrap Power Transformer</v>
      </c>
      <c r="D64">
        <f>D63+IF(AND(C64&lt;&gt;"",COUNTIF(C$4:C64,C64)=1),1,0)</f>
        <v>56</v>
      </c>
      <c r="E64" t="e">
        <f>IF(ROW()-3&gt;MAX(D$4:D$114),"",INDEX(C$4:C$114,MATCH(ROW()-3,D$4:D$114,0)))</f>
        <v>#N/A</v>
      </c>
    </row>
    <row r="65">
      <c r="A65" t="str">
        <f>IF(INDEX('Final Calculation Sheet'!$G$4:$G$40,ROW()-40)="","",INDEX('Final Calculation Sheet'!$G$4:$G$40,ROW()-40))</f>
        <v>WATAN SCRAP TRADERS</v>
      </c>
      <c r="B65">
        <f>IF(A65="","",COUNTIFS(A$4:A$114,"&lt;"&amp;A65,A$4:A$114,"&lt;&gt;"&amp;"")+COUNTIF(A$4:A65,A65))</f>
        <v>73</v>
      </c>
      <c r="C65" t="str">
        <f>IF(ROW()-3&gt;COUNTIF(A$4:A$114,"&lt;&gt;"&amp;""),"",INDEX(A$4:A$114,MATCH(ROW()-3,B$4:B$114,0)))</f>
        <v>SCRAP POWER TRANSFORMER</v>
      </c>
      <c r="D65">
        <f>D64+IF(AND(C65&lt;&gt;"",COUNTIF(C$4:C65,C65)=1),1,0)</f>
        <v>56</v>
      </c>
      <c r="E65" t="e">
        <f>IF(ROW()-3&gt;MAX(D$4:D$114),"",INDEX(C$4:C$114,MATCH(ROW()-3,D$4:D$114,0)))</f>
        <v>#N/A</v>
      </c>
    </row>
    <row r="66">
      <c r="A66" t="str">
        <f>IF(INDEX('Final Calculation Sheet'!$G$4:$G$40,ROW()-40)="","",INDEX('Final Calculation Sheet'!$G$4:$G$40,ROW()-40))</f>
        <v>STERLING ENTERPRISES</v>
      </c>
      <c r="B66">
        <f>IF(A66="","",COUNTIFS(A$4:A$114,"&lt;"&amp;A66,A$4:A$114,"&lt;&gt;"&amp;"")+COUNTIF(A$4:A66,A66))</f>
        <v>69</v>
      </c>
      <c r="C66" t="str">
        <f>IF(ROW()-3&gt;COUNTIF(A$4:A$114,"&lt;&gt;"&amp;""),"",INDEX(A$4:A$114,MATCH(ROW()-3,B$4:B$114,0)))</f>
        <v>SHAR JAHAN TRADERS</v>
      </c>
      <c r="D66">
        <f>D65+IF(AND(C66&lt;&gt;"",COUNTIF(C$4:C66,C66)=1),1,0)</f>
        <v>57</v>
      </c>
      <c r="E66" t="e">
        <f>IF(ROW()-3&gt;MAX(D$4:D$114),"",INDEX(C$4:C$114,MATCH(ROW()-3,D$4:D$114,0)))</f>
        <v>#N/A</v>
      </c>
    </row>
    <row r="67">
      <c r="A67" t="str">
        <f>IF(INDEX('Final Calculation Sheet'!$G$4:$G$40,ROW()-40)="","",INDEX('Final Calculation Sheet'!$G$4:$G$40,ROW()-40))</f>
        <v>NATIONAL ENTERPRISES</v>
      </c>
      <c r="B67">
        <f>IF(A67="","",COUNTIFS(A$4:A$114,"&lt;"&amp;A67,A$4:A$114,"&lt;&gt;"&amp;"")+COUNTIF(A$4:A67,A67))</f>
        <v>17</v>
      </c>
      <c r="C67" t="str">
        <f>IF(ROW()-3&gt;COUNTIF(A$4:A$114,"&lt;&gt;"&amp;""),"",INDEX(A$4:A$114,MATCH(ROW()-3,B$4:B$114,0)))</f>
        <v>SHAR JAHAN TRADERS</v>
      </c>
      <c r="D67">
        <f>D66+IF(AND(C67&lt;&gt;"",COUNTIF(C$4:C67,C67)=1),1,0)</f>
        <v>57</v>
      </c>
      <c r="E67" t="e">
        <f>IF(ROW()-3&gt;MAX(D$4:D$114),"",INDEX(C$4:C$114,MATCH(ROW()-3,D$4:D$114,0)))</f>
        <v>#N/A</v>
      </c>
    </row>
    <row r="68">
      <c r="A68" t="str">
        <f>IF(INDEX('Final Calculation Sheet'!$G$4:$G$40,ROW()-40)="","",INDEX('Final Calculation Sheet'!$G$4:$G$40,ROW()-40))</f>
        <v>SAHARA ENTERPRISES</v>
      </c>
      <c r="B68">
        <f>IF(A68="","",COUNTIFS(A$4:A$114,"&lt;"&amp;A68,A$4:A$114,"&lt;&gt;"&amp;"")+COUNTIF(A$4:A68,A68))</f>
        <v>26</v>
      </c>
      <c r="C68" t="str">
        <f>IF(ROW()-3&gt;COUNTIF(A$4:A$114,"&lt;&gt;"&amp;""),"",INDEX(A$4:A$114,MATCH(ROW()-3,B$4:B$114,0)))</f>
        <v>STERLING ENTERPRISES</v>
      </c>
      <c r="D68">
        <f>D67+IF(AND(C68&lt;&gt;"",COUNTIF(C$4:C68,C68)=1),1,0)</f>
        <v>58</v>
      </c>
      <c r="E68" t="e">
        <f>IF(ROW()-3&gt;MAX(D$4:D$114),"",INDEX(C$4:C$114,MATCH(ROW()-3,D$4:D$114,0)))</f>
        <v>#N/A</v>
      </c>
    </row>
    <row r="69">
      <c r="A69" t="str">
        <f>IF(INDEX('Final Calculation Sheet'!$G$4:$G$40,ROW()-40)="","",INDEX('Final Calculation Sheet'!$G$4:$G$40,ROW()-40))</f>
        <v>NATIONAL ENTERPRISES</v>
      </c>
      <c r="B69">
        <f>IF(A69="","",COUNTIFS(A$4:A$114,"&lt;"&amp;A69,A$4:A$114,"&lt;&gt;"&amp;"")+COUNTIF(A$4:A69,A69))</f>
        <v>18</v>
      </c>
      <c r="C69" t="str">
        <f>IF(ROW()-3&gt;COUNTIF(A$4:A$114,"&lt;&gt;"&amp;""),"",INDEX(A$4:A$114,MATCH(ROW()-3,B$4:B$114,0)))</f>
        <v>STERLING ENTERPRISES</v>
      </c>
      <c r="D69">
        <f>D68+IF(AND(C69&lt;&gt;"",COUNTIF(C$4:C69,C69)=1),1,0)</f>
        <v>58</v>
      </c>
      <c r="E69" t="e">
        <f>IF(ROW()-3&gt;MAX(D$4:D$114),"",INDEX(C$4:C$114,MATCH(ROW()-3,D$4:D$114,0)))</f>
        <v>#N/A</v>
      </c>
    </row>
    <row r="70">
      <c r="A70" t="str">
        <f>IF(INDEX('Final Calculation Sheet'!$G$4:$G$40,ROW()-40)="","",INDEX('Final Calculation Sheet'!$G$4:$G$40,ROW()-40))</f>
        <v>NATIONAL ENTERPRISES</v>
      </c>
      <c r="B70">
        <f>IF(A70="","",COUNTIFS(A$4:A$114,"&lt;"&amp;A70,A$4:A$114,"&lt;&gt;"&amp;"")+COUNTIF(A$4:A70,A70))</f>
        <v>19</v>
      </c>
      <c r="C70" t="str">
        <f>IF(ROW()-3&gt;COUNTIF(A$4:A$114,"&lt;&gt;"&amp;""),"",INDEX(A$4:A$114,MATCH(ROW()-3,B$4:B$114,0)))</f>
        <v>STERLING ENTERPRISES</v>
      </c>
      <c r="D70">
        <f>D69+IF(AND(C70&lt;&gt;"",COUNTIF(C$4:C70,C70)=1),1,0)</f>
        <v>58</v>
      </c>
      <c r="E70" t="e">
        <f>IF(ROW()-3&gt;MAX(D$4:D$114),"",INDEX(C$4:C$114,MATCH(ROW()-3,D$4:D$114,0)))</f>
        <v>#N/A</v>
      </c>
    </row>
    <row r="71">
      <c r="A71" t="str">
        <f>IF(INDEX('Final Calculation Sheet'!$G$4:$G$40,ROW()-40)="","",INDEX('Final Calculation Sheet'!$G$4:$G$40,ROW()-40))</f>
        <v>STERLING ENTERPRISES</v>
      </c>
      <c r="B71">
        <f>IF(A71="","",COUNTIFS(A$4:A$114,"&lt;"&amp;A71,A$4:A$114,"&lt;&gt;"&amp;"")+COUNTIF(A$4:A71,A71))</f>
        <v>70</v>
      </c>
      <c r="C71" t="str">
        <f>IF(ROW()-3&gt;COUNTIF(A$4:A$114,"&lt;&gt;"&amp;""),"",INDEX(A$4:A$114,MATCH(ROW()-3,B$4:B$114,0)))</f>
        <v>STERLING ENTERPRISES</v>
      </c>
      <c r="D71">
        <f>D70+IF(AND(C71&lt;&gt;"",COUNTIF(C$4:C71,C71)=1),1,0)</f>
        <v>58</v>
      </c>
      <c r="E71" t="e">
        <f>IF(ROW()-3&gt;MAX(D$4:D$114),"",INDEX(C$4:C$114,MATCH(ROW()-3,D$4:D$114,0)))</f>
        <v>#N/A</v>
      </c>
    </row>
    <row r="72">
      <c r="A72" t="str">
        <f>IF(INDEX('Final Calculation Sheet'!$G$4:$G$40,ROW()-40)="","",INDEX('Final Calculation Sheet'!$G$4:$G$40,ROW()-40))</f>
        <v>WATAN SCRAP TRADERS</v>
      </c>
      <c r="B72">
        <f>IF(A72="","",COUNTIFS(A$4:A$114,"&lt;"&amp;A72,A$4:A$114,"&lt;&gt;"&amp;"")+COUNTIF(A$4:A72,A72))</f>
        <v>74</v>
      </c>
      <c r="C72" t="str">
        <f>IF(ROW()-3&gt;COUNTIF(A$4:A$114,"&lt;&gt;"&amp;""),"",INDEX(A$4:A$114,MATCH(ROW()-3,B$4:B$114,0)))</f>
        <v>STERLING ENTERPRISES</v>
      </c>
      <c r="D72">
        <f>D71+IF(AND(C72&lt;&gt;"",COUNTIF(C$4:C72,C72)=1),1,0)</f>
        <v>58</v>
      </c>
      <c r="E72" t="e">
        <f>IF(ROW()-3&gt;MAX(D$4:D$114),"",INDEX(C$4:C$114,MATCH(ROW()-3,D$4:D$114,0)))</f>
        <v>#N/A</v>
      </c>
    </row>
    <row r="73">
      <c r="A73" t="str">
        <f>IF(INDEX('Final Calculation Sheet'!$G$4:$G$40,ROW()-40)="","",INDEX('Final Calculation Sheet'!$G$4:$G$40,ROW()-40))</f>
        <v>STERLING ENTERPRISES</v>
      </c>
      <c r="B73">
        <f>IF(A73="","",COUNTIFS(A$4:A$114,"&lt;"&amp;A73,A$4:A$114,"&lt;&gt;"&amp;"")+COUNTIF(A$4:A73,A73))</f>
        <v>71</v>
      </c>
      <c r="C73" t="str">
        <f>IF(ROW()-3&gt;COUNTIF(A$4:A$114,"&lt;&gt;"&amp;""),"",INDEX(A$4:A$114,MATCH(ROW()-3,B$4:B$114,0)))</f>
        <v>STERLING ENTERPRISES</v>
      </c>
      <c r="D73">
        <f>D72+IF(AND(C73&lt;&gt;"",COUNTIF(C$4:C73,C73)=1),1,0)</f>
        <v>58</v>
      </c>
      <c r="E73" t="e">
        <f>IF(ROW()-3&gt;MAX(D$4:D$114),"",INDEX(C$4:C$114,MATCH(ROW()-3,D$4:D$114,0)))</f>
        <v>#N/A</v>
      </c>
    </row>
    <row r="74">
      <c r="A74" t="str">
        <f>IF(INDEX('Final Calculation Sheet'!$G$4:$G$40,ROW()-40)="","",INDEX('Final Calculation Sheet'!$G$4:$G$40,ROW()-40))</f>
        <v>NATIONAL ENTERPRISES</v>
      </c>
      <c r="B74">
        <f>IF(A74="","",COUNTIFS(A$4:A$114,"&lt;"&amp;A74,A$4:A$114,"&lt;&gt;"&amp;"")+COUNTIF(A$4:A74,A74))</f>
        <v>20</v>
      </c>
      <c r="C74" t="str">
        <f>IF(ROW()-3&gt;COUNTIF(A$4:A$114,"&lt;&gt;"&amp;""),"",INDEX(A$4:A$114,MATCH(ROW()-3,B$4:B$114,0)))</f>
        <v>STERLING ENTERPRISES</v>
      </c>
      <c r="D74">
        <f>D73+IF(AND(C74&lt;&gt;"",COUNTIF(C$4:C74,C74)=1),1,0)</f>
        <v>58</v>
      </c>
      <c r="E74" t="e">
        <f>IF(ROW()-3&gt;MAX(D$4:D$114),"",INDEX(C$4:C$114,MATCH(ROW()-3,D$4:D$114,0)))</f>
        <v>#N/A</v>
      </c>
    </row>
    <row r="75">
      <c r="A75" t="str">
        <f>IF(INDEX('Final Calculation Sheet'!$G$4:$G$40,ROW()-40)="","",INDEX('Final Calculation Sheet'!$G$4:$G$40,ROW()-40))</f>
        <v>KASHYAP TRADING CO</v>
      </c>
      <c r="B75">
        <f>IF(A75="","",COUNTIFS(A$4:A$114,"&lt;"&amp;A75,A$4:A$114,"&lt;&gt;"&amp;"")+COUNTIF(A$4:A75,A75))</f>
        <v>5</v>
      </c>
      <c r="C75" t="str">
        <f>IF(ROW()-3&gt;COUNTIF(A$4:A$114,"&lt;&gt;"&amp;""),"",INDEX(A$4:A$114,MATCH(ROW()-3,B$4:B$114,0)))</f>
        <v>WATAN SCRAP TRADERS</v>
      </c>
      <c r="D75">
        <f>D74+IF(AND(C75&lt;&gt;"",COUNTIF(C$4:C75,C75)=1),1,0)</f>
        <v>59</v>
      </c>
      <c r="E75" t="e">
        <f>IF(ROW()-3&gt;MAX(D$4:D$114),"",INDEX(C$4:C$114,MATCH(ROW()-3,D$4:D$114,0)))</f>
        <v>#N/A</v>
      </c>
    </row>
    <row r="76">
      <c r="A76" t="str">
        <f>IF(INDEX('Final Calculation Sheet'!$G$4:$G$40,ROW()-40)="","",INDEX('Final Calculation Sheet'!$G$4:$G$40,ROW()-40))</f>
        <v>S M ENTERPRISES</v>
      </c>
      <c r="B76">
        <f>IF(A76="","",COUNTIFS(A$4:A$114,"&lt;"&amp;A76,A$4:A$114,"&lt;&gt;"&amp;"")+COUNTIF(A$4:A76,A76))</f>
        <v>24</v>
      </c>
      <c r="C76" t="str">
        <f>IF(ROW()-3&gt;COUNTIF(A$4:A$114,"&lt;&gt;"&amp;""),"",INDEX(A$4:A$114,MATCH(ROW()-3,B$4:B$114,0)))</f>
        <v>WATAN SCRAP TRADERS</v>
      </c>
      <c r="D76">
        <f>D75+IF(AND(C76&lt;&gt;"",COUNTIF(C$4:C76,C76)=1),1,0)</f>
        <v>59</v>
      </c>
      <c r="E76" t="e">
        <f>IF(ROW()-3&gt;MAX(D$4:D$114),"",INDEX(C$4:C$114,MATCH(ROW()-3,D$4:D$114,0)))</f>
        <v>#N/A</v>
      </c>
    </row>
    <row r="77">
      <c r="A77" t="str">
        <f>IF(INDEX('Final Calculation Sheet'!$G$4:$G$40,ROW()-40)="","",INDEX('Final Calculation Sheet'!$G$4:$G$40,ROW()-40))</f>
        <v>S M ENTERPRISES</v>
      </c>
      <c r="B77">
        <f>IF(A77="","",COUNTIFS(A$4:A$114,"&lt;"&amp;A77,A$4:A$114,"&lt;&gt;"&amp;"")+COUNTIF(A$4:A77,A77))</f>
        <v>25</v>
      </c>
      <c r="C77" t="str">
        <f>IF(ROW()-3&gt;COUNTIF(A$4:A$114,"&lt;&gt;"&amp;""),"",INDEX(A$4:A$114,MATCH(ROW()-3,B$4:B$114,0)))</f>
        <v>WATAN SCRAP TRADERS</v>
      </c>
      <c r="D77">
        <f>D76+IF(AND(C77&lt;&gt;"",COUNTIF(C$4:C77,C77)=1),1,0)</f>
        <v>59</v>
      </c>
      <c r="E77" t="e">
        <f>IF(ROW()-3&gt;MAX(D$4:D$114),"",INDEX(C$4:C$114,MATCH(ROW()-3,D$4:D$114,0)))</f>
        <v>#N/A</v>
      </c>
    </row>
    <row r="78">
      <c r="A78" t="str">
        <f>IF(INDEX('Final Calculation Sheet'!$B$4:$B$40,ROW()-77)="","",INDEX('Final Calculation Sheet'!$B$4:$B$40,ROW()-77))</f>
        <v>SCRAP COPPER OF T/F WINDING (Oil impregnated paper insulated T/F winding)</v>
      </c>
      <c r="B78">
        <f>IF(A78="","",COUNTIFS(A$4:A$114,"&lt;"&amp;A78,A$4:A$114,"&lt;&gt;"&amp;"")+COUNTIF(A$4:A78,A78))</f>
        <v>29</v>
      </c>
      <c r="C78" t="e">
        <f>IF(ROW()-3&gt;COUNTIF(A$4:A$114,"&lt;&gt;"&amp;""),"",INDEX(A$4:A$114,MATCH(ROW()-3,B$4:B$114,0)))</f>
        <v>#N/A</v>
      </c>
      <c r="D78" t="e">
        <f>D77+IF(AND(C78&lt;&gt;"",COUNTIF(C$4:C78,C78)=1),1,0)</f>
        <v>#N/A</v>
      </c>
      <c r="E78" t="e">
        <f>IF(ROW()-3&gt;MAX(D$4:D$114),"",INDEX(C$4:C$114,MATCH(ROW()-3,D$4:D$114,0)))</f>
        <v>#N/A</v>
      </c>
    </row>
    <row r="79">
      <c r="A79" t="str">
        <f>IF(INDEX('Final Calculation Sheet'!$B$4:$B$40,ROW()-77)="","",INDEX('Final Calculation Sheet'!$B$4:$B$40,ROW()-77))</f>
        <v>Scrap of Empty oil drum</v>
      </c>
      <c r="B79">
        <f>IF(A79="","",COUNTIFS(A$4:A$114,"&lt;"&amp;A79,A$4:A$114,"&lt;&gt;"&amp;"")+COUNTIF(A$4:A79,A79))</f>
        <v>57</v>
      </c>
      <c r="C79" t="e">
        <f>IF(ROW()-3&gt;COUNTIF(A$4:A$114,"&lt;&gt;"&amp;""),"",INDEX(A$4:A$114,MATCH(ROW()-3,B$4:B$114,0)))</f>
        <v>#N/A</v>
      </c>
      <c r="D79" t="e">
        <f>D78+IF(AND(C79&lt;&gt;"",COUNTIF(C$4:C79,C79)=1),1,0)</f>
        <v>#N/A</v>
      </c>
      <c r="E79" t="e">
        <f>IF(ROW()-3&gt;MAX(D$4:D$114),"",INDEX(C$4:C$114,MATCH(ROW()-3,D$4:D$114,0)))</f>
        <v>#N/A</v>
      </c>
    </row>
    <row r="80">
      <c r="A80" t="str">
        <f>IF(INDEX('Final Calculation Sheet'!$B$4:$B$40,ROW()-77)="","",INDEX('Final Calculation Sheet'!$B$4:$B$40,ROW()-77))</f>
        <v>Scrap of Copper of faulty AC compressor</v>
      </c>
      <c r="B80">
        <f>IF(A80="","",COUNTIFS(A$4:A$114,"&lt;"&amp;A80,A$4:A$114,"&lt;&gt;"&amp;"")+COUNTIF(A$4:A80,A80))</f>
        <v>50</v>
      </c>
      <c r="C80" t="e">
        <f>IF(ROW()-3&gt;COUNTIF(A$4:A$114,"&lt;&gt;"&amp;""),"",INDEX(A$4:A$114,MATCH(ROW()-3,B$4:B$114,0)))</f>
        <v>#N/A</v>
      </c>
      <c r="D80" t="e">
        <f>D79+IF(AND(C80&lt;&gt;"",COUNTIF(C$4:C80,C80)=1),1,0)</f>
        <v>#N/A</v>
      </c>
      <c r="E80" t="e">
        <f>IF(ROW()-3&gt;MAX(D$4:D$114),"",INDEX(C$4:C$114,MATCH(ROW()-3,D$4:D$114,0)))</f>
        <v>#N/A</v>
      </c>
    </row>
    <row r="81">
      <c r="A81" t="str">
        <f>IF(INDEX('Final Calculation Sheet'!$B$4:$B$40,ROW()-77)="","",INDEX('Final Calculation Sheet'!$B$4:$B$40,ROW()-77))</f>
        <v>Scrap of MS (extracted from equip cage and empty Sf6 gas cylinder)</v>
      </c>
      <c r="B81">
        <f>IF(A81="","",COUNTIFS(A$4:A$114,"&lt;"&amp;A81,A$4:A$114,"&lt;&gt;"&amp;"")+COUNTIF(A$4:A81,A81))</f>
        <v>60</v>
      </c>
      <c r="C81" t="e">
        <f>IF(ROW()-3&gt;COUNTIF(A$4:A$114,"&lt;&gt;"&amp;""),"",INDEX(A$4:A$114,MATCH(ROW()-3,B$4:B$114,0)))</f>
        <v>#N/A</v>
      </c>
      <c r="D81" t="e">
        <f>D80+IF(AND(C81&lt;&gt;"",COUNTIF(C$4:C81,C81)=1),1,0)</f>
        <v>#N/A</v>
      </c>
      <c r="E81" t="e">
        <f>IF(ROW()-3&gt;MAX(D$4:D$114),"",INDEX(C$4:C$114,MATCH(ROW()-3,D$4:D$114,0)))</f>
        <v>#N/A</v>
      </c>
    </row>
    <row r="82">
      <c r="A82" t="str">
        <f>IF(INDEX('Final Calculation Sheet'!$B$4:$B$40,ROW()-77)="","",INDEX('Final Calculation Sheet'!$B$4:$B$40,ROW()-77))</f>
        <v>SCRAP ACSR CONDUCTORS (Conductor Pieces)</v>
      </c>
      <c r="B82">
        <f>IF(A82="","",COUNTIFS(A$4:A$114,"&lt;"&amp;A82,A$4:A$114,"&lt;&gt;"&amp;"")+COUNTIF(A$4:A82,A82))</f>
        <v>28</v>
      </c>
      <c r="C82" t="e">
        <f>IF(ROW()-3&gt;COUNTIF(A$4:A$114,"&lt;&gt;"&amp;""),"",INDEX(A$4:A$114,MATCH(ROW()-3,B$4:B$114,0)))</f>
        <v>#N/A</v>
      </c>
      <c r="D82" t="e">
        <f>D81+IF(AND(C82&lt;&gt;"",COUNTIF(C$4:C82,C82)=1),1,0)</f>
        <v>#N/A</v>
      </c>
      <c r="E82" t="e">
        <f>IF(ROW()-3&gt;MAX(D$4:D$114),"",INDEX(C$4:C$114,MATCH(ROW()-3,D$4:D$114,0)))</f>
        <v>#N/A</v>
      </c>
    </row>
    <row r="83">
      <c r="A83" t="str">
        <f>IF(INDEX('Final Calculation Sheet'!$B$4:$B$40,ROW()-77)="","",INDEX('Final Calculation Sheet'!$B$4:$B$40,ROW()-77))</f>
        <v>Scrap Power Transformer</v>
      </c>
      <c r="B83">
        <f>IF(A83="","",COUNTIFS(A$4:A$114,"&lt;"&amp;A83,A$4:A$114,"&lt;&gt;"&amp;"")+COUNTIF(A$4:A83,A83))</f>
        <v>61</v>
      </c>
      <c r="C83" t="e">
        <f>IF(ROW()-3&gt;COUNTIF(A$4:A$114,"&lt;&gt;"&amp;""),"",INDEX(A$4:A$114,MATCH(ROW()-3,B$4:B$114,0)))</f>
        <v>#N/A</v>
      </c>
      <c r="D83" t="e">
        <f>D82+IF(AND(C83&lt;&gt;"",COUNTIF(C$4:C83,C83)=1),1,0)</f>
        <v>#N/A</v>
      </c>
      <c r="E83" t="e">
        <f>IF(ROW()-3&gt;MAX(D$4:D$114),"",INDEX(C$4:C$114,MATCH(ROW()-3,D$4:D$114,0)))</f>
        <v>#N/A</v>
      </c>
    </row>
    <row r="84">
      <c r="A84" t="str">
        <f>IF(INDEX('Final Calculation Sheet'!$B$4:$B$40,ROW()-77)="","",INDEX('Final Calculation Sheet'!$B$4:$B$40,ROW()-77))</f>
        <v>Scrap of 132 KV CT</v>
      </c>
      <c r="B84">
        <f>IF(A84="","",COUNTIFS(A$4:A$114,"&lt;"&amp;A84,A$4:A$114,"&lt;&gt;"&amp;"")+COUNTIF(A$4:A84,A84))</f>
        <v>31</v>
      </c>
      <c r="C84" t="e">
        <f>IF(ROW()-3&gt;COUNTIF(A$4:A$114,"&lt;&gt;"&amp;""),"",INDEX(A$4:A$114,MATCH(ROW()-3,B$4:B$114,0)))</f>
        <v>#N/A</v>
      </c>
      <c r="D84" t="e">
        <f>D83+IF(AND(C84&lt;&gt;"",COUNTIF(C$4:C84,C84)=1),1,0)</f>
        <v>#N/A</v>
      </c>
      <c r="E84" t="e">
        <f>IF(ROW()-3&gt;MAX(D$4:D$114),"",INDEX(C$4:C$114,MATCH(ROW()-3,D$4:D$114,0)))</f>
        <v>#N/A</v>
      </c>
    </row>
    <row r="85">
      <c r="A85" t="str">
        <f>IF(INDEX('Final Calculation Sheet'!$B$4:$B$40,ROW()-77)="","",INDEX('Final Calculation Sheet'!$B$4:$B$40,ROW()-77))</f>
        <v>Scrap of 145 KV CB</v>
      </c>
      <c r="B85">
        <f>IF(A85="","",COUNTIFS(A$4:A$114,"&lt;"&amp;A85,A$4:A$114,"&lt;&gt;"&amp;"")+COUNTIF(A$4:A85,A85))</f>
        <v>39</v>
      </c>
      <c r="C85" t="e">
        <f>IF(ROW()-3&gt;COUNTIF(A$4:A$114,"&lt;&gt;"&amp;""),"",INDEX(A$4:A$114,MATCH(ROW()-3,B$4:B$114,0)))</f>
        <v>#N/A</v>
      </c>
      <c r="D85" t="e">
        <f>D84+IF(AND(C85&lt;&gt;"",COUNTIF(C$4:C85,C85)=1),1,0)</f>
        <v>#N/A</v>
      </c>
      <c r="E85" t="e">
        <f>IF(ROW()-3&gt;MAX(D$4:D$114),"",INDEX(C$4:C$114,MATCH(ROW()-3,D$4:D$114,0)))</f>
        <v>#N/A</v>
      </c>
    </row>
    <row r="86">
      <c r="A86" t="str">
        <f>IF(INDEX('Final Calculation Sheet'!$B$4:$B$40,ROW()-77)="","",INDEX('Final Calculation Sheet'!$B$4:$B$40,ROW()-77))</f>
        <v>Scrap of 220KV CT</v>
      </c>
      <c r="B86">
        <f>IF(A86="","",COUNTIFS(A$4:A$114,"&lt;"&amp;A86,A$4:A$114,"&lt;&gt;"&amp;"")+COUNTIF(A$4:A86,A86))</f>
        <v>43</v>
      </c>
      <c r="C86" t="e">
        <f>IF(ROW()-3&gt;COUNTIF(A$4:A$114,"&lt;&gt;"&amp;""),"",INDEX(A$4:A$114,MATCH(ROW()-3,B$4:B$114,0)))</f>
        <v>#N/A</v>
      </c>
      <c r="D86" t="e">
        <f>D85+IF(AND(C86&lt;&gt;"",COUNTIF(C$4:C86,C86)=1),1,0)</f>
        <v>#N/A</v>
      </c>
      <c r="E86" t="e">
        <f>IF(ROW()-3&gt;MAX(D$4:D$114),"",INDEX(C$4:C$114,MATCH(ROW()-3,D$4:D$114,0)))</f>
        <v>#N/A</v>
      </c>
    </row>
    <row r="87">
      <c r="A87" t="str">
        <f>IF(INDEX('Final Calculation Sheet'!$B$4:$B$40,ROW()-77)="","",INDEX('Final Calculation Sheet'!$B$4:$B$40,ROW()-77))</f>
        <v>Scrap of empty oil drums</v>
      </c>
      <c r="B87">
        <f>IF(A87="","",COUNTIFS(A$4:A$114,"&lt;"&amp;A87,A$4:A$114,"&lt;&gt;"&amp;"")+COUNTIF(A$4:A87,A87))</f>
        <v>58</v>
      </c>
      <c r="C87" t="e">
        <f>IF(ROW()-3&gt;COUNTIF(A$4:A$114,"&lt;&gt;"&amp;""),"",INDEX(A$4:A$114,MATCH(ROW()-3,B$4:B$114,0)))</f>
        <v>#N/A</v>
      </c>
      <c r="D87" t="e">
        <f>D86+IF(AND(C87&lt;&gt;"",COUNTIF(C$4:C87,C87)=1),1,0)</f>
        <v>#N/A</v>
      </c>
      <c r="E87" t="e">
        <f>IF(ROW()-3&gt;MAX(D$4:D$114),"",INDEX(C$4:C$114,MATCH(ROW()-3,D$4:D$114,0)))</f>
        <v>#N/A</v>
      </c>
    </row>
    <row r="88">
      <c r="A88" t="str">
        <f>IF(INDEX('Final Calculation Sheet'!$B$4:$B$40,ROW()-77)="","",INDEX('Final Calculation Sheet'!$B$4:$B$40,ROW()-77))</f>
        <v>SCRAP POWER TRANSFORMER</v>
      </c>
      <c r="B88">
        <f>IF(A88="","",COUNTIFS(A$4:A$114,"&lt;"&amp;A88,A$4:A$114,"&lt;&gt;"&amp;"")+COUNTIF(A$4:A88,A88))</f>
        <v>62</v>
      </c>
      <c r="C88" t="e">
        <f>IF(ROW()-3&gt;COUNTIF(A$4:A$114,"&lt;&gt;"&amp;""),"",INDEX(A$4:A$114,MATCH(ROW()-3,B$4:B$114,0)))</f>
        <v>#N/A</v>
      </c>
      <c r="D88" t="e">
        <f>D87+IF(AND(C88&lt;&gt;"",COUNTIF(C$4:C88,C88)=1),1,0)</f>
        <v>#N/A</v>
      </c>
      <c r="E88" t="e">
        <f>IF(ROW()-3&gt;MAX(D$4:D$114),"",INDEX(C$4:C$114,MATCH(ROW()-3,D$4:D$114,0)))</f>
        <v>#N/A</v>
      </c>
    </row>
    <row r="89">
      <c r="A89" t="str">
        <f>IF(INDEX('Final Calculation Sheet'!$B$4:$B$40,ROW()-77)="","",INDEX('Final Calculation Sheet'!$B$4:$B$40,ROW()-77))</f>
        <v>Scrap of empty oil Druam</v>
      </c>
      <c r="B89">
        <f>IF(A89="","",COUNTIFS(A$4:A$114,"&lt;"&amp;A89,A$4:A$114,"&lt;&gt;"&amp;"")+COUNTIF(A$4:A89,A89))</f>
        <v>56</v>
      </c>
      <c r="C89" t="e">
        <f>IF(ROW()-3&gt;COUNTIF(A$4:A$114,"&lt;&gt;"&amp;""),"",INDEX(A$4:A$114,MATCH(ROW()-3,B$4:B$114,0)))</f>
        <v>#N/A</v>
      </c>
      <c r="D89" t="e">
        <f>D88+IF(AND(C89&lt;&gt;"",COUNTIF(C$4:C89,C89)=1),1,0)</f>
        <v>#N/A</v>
      </c>
      <c r="E89" t="e">
        <f>IF(ROW()-3&gt;MAX(D$4:D$114),"",INDEX(C$4:C$114,MATCH(ROW()-3,D$4:D$114,0)))</f>
        <v>#N/A</v>
      </c>
    </row>
    <row r="90">
      <c r="A90" t="str">
        <f>IF(INDEX('Final Calculation Sheet'!$B$4:$B$40,ROW()-77)="","",INDEX('Final Calculation Sheet'!$B$4:$B$40,ROW()-77))</f>
        <v>Scrap of empty oil Barrel</v>
      </c>
      <c r="B90">
        <f>IF(A90="","",COUNTIFS(A$4:A$114,"&lt;"&amp;A90,A$4:A$114,"&lt;&gt;"&amp;"")+COUNTIF(A$4:A90,A90))</f>
        <v>51</v>
      </c>
      <c r="C90" t="e">
        <f>IF(ROW()-3&gt;COUNTIF(A$4:A$114,"&lt;&gt;"&amp;""),"",INDEX(A$4:A$114,MATCH(ROW()-3,B$4:B$114,0)))</f>
        <v>#N/A</v>
      </c>
      <c r="D90" t="e">
        <f>D89+IF(AND(C90&lt;&gt;"",COUNTIF(C$4:C90,C90)=1),1,0)</f>
        <v>#N/A</v>
      </c>
      <c r="E90" t="e">
        <f>IF(ROW()-3&gt;MAX(D$4:D$114),"",INDEX(C$4:C$114,MATCH(ROW()-3,D$4:D$114,0)))</f>
        <v>#N/A</v>
      </c>
    </row>
    <row r="91">
      <c r="A91" t="str">
        <f>IF(INDEX('Final Calculation Sheet'!$B$4:$B$40,ROW()-77)="","",INDEX('Final Calculation Sheet'!$B$4:$B$40,ROW()-77))</f>
        <v>Scrap of empty oil Barrels</v>
      </c>
      <c r="B91">
        <f>IF(A91="","",COUNTIFS(A$4:A$114,"&lt;"&amp;A91,A$4:A$114,"&lt;&gt;"&amp;"")+COUNTIF(A$4:A91,A91))</f>
        <v>52</v>
      </c>
      <c r="C91" t="e">
        <f>IF(ROW()-3&gt;COUNTIF(A$4:A$114,"&lt;&gt;"&amp;""),"",INDEX(A$4:A$114,MATCH(ROW()-3,B$4:B$114,0)))</f>
        <v>#N/A</v>
      </c>
      <c r="D91" t="e">
        <f>D90+IF(AND(C91&lt;&gt;"",COUNTIF(C$4:C91,C91)=1),1,0)</f>
        <v>#N/A</v>
      </c>
      <c r="E91" t="e">
        <f>IF(ROW()-3&gt;MAX(D$4:D$114),"",INDEX(C$4:C$114,MATCH(ROW()-3,D$4:D$114,0)))</f>
        <v>#N/A</v>
      </c>
    </row>
    <row r="92">
      <c r="A92" t="str">
        <f>IF(INDEX('Final Calculation Sheet'!$B$4:$B$40,ROW()-77)="","",INDEX('Final Calculation Sheet'!$B$4:$B$40,ROW()-77))</f>
        <v>Scrap of 220 KV Circuit Breaker</v>
      </c>
      <c r="B92">
        <f>IF(A92="","",COUNTIFS(A$4:A$114,"&lt;"&amp;A92,A$4:A$114,"&lt;&gt;"&amp;"")+COUNTIF(A$4:A92,A92))</f>
        <v>40</v>
      </c>
      <c r="C92" t="e">
        <f>IF(ROW()-3&gt;COUNTIF(A$4:A$114,"&lt;&gt;"&amp;""),"",INDEX(A$4:A$114,MATCH(ROW()-3,B$4:B$114,0)))</f>
        <v>#N/A</v>
      </c>
      <c r="D92" t="e">
        <f>D91+IF(AND(C92&lt;&gt;"",COUNTIF(C$4:C92,C92)=1),1,0)</f>
        <v>#N/A</v>
      </c>
      <c r="E92" t="e">
        <f>IF(ROW()-3&gt;MAX(D$4:D$114),"",INDEX(C$4:C$114,MATCH(ROW()-3,D$4:D$114,0)))</f>
        <v>#N/A</v>
      </c>
    </row>
    <row r="93">
      <c r="A93" t="str">
        <f>IF(INDEX('Final Calculation Sheet'!$B$4:$B$40,ROW()-77)="","",INDEX('Final Calculation Sheet'!$B$4:$B$40,ROW()-77))</f>
        <v>Scrap of 220 KV Circuit Breaker</v>
      </c>
      <c r="B93">
        <f>IF(A93="","",COUNTIFS(A$4:A$114,"&lt;"&amp;A93,A$4:A$114,"&lt;&gt;"&amp;"")+COUNTIF(A$4:A93,A93))</f>
        <v>41</v>
      </c>
      <c r="C93" t="e">
        <f>IF(ROW()-3&gt;COUNTIF(A$4:A$114,"&lt;&gt;"&amp;""),"",INDEX(A$4:A$114,MATCH(ROW()-3,B$4:B$114,0)))</f>
        <v>#N/A</v>
      </c>
      <c r="D93" t="e">
        <f>D92+IF(AND(C93&lt;&gt;"",COUNTIF(C$4:C93,C93)=1),1,0)</f>
        <v>#N/A</v>
      </c>
      <c r="E93" t="e">
        <f>IF(ROW()-3&gt;MAX(D$4:D$114),"",INDEX(C$4:C$114,MATCH(ROW()-3,D$4:D$114,0)))</f>
        <v>#N/A</v>
      </c>
    </row>
    <row r="94">
      <c r="A94" t="str">
        <f>IF(INDEX('Final Calculation Sheet'!$B$4:$B$40,ROW()-77)="","",INDEX('Final Calculation Sheet'!$B$4:$B$40,ROW()-77))</f>
        <v>SCRAP 80MM² AAAC EARTHWIRE</v>
      </c>
      <c r="B94">
        <f>IF(A94="","",COUNTIFS(A$4:A$114,"&lt;"&amp;A94,A$4:A$114,"&lt;&gt;"&amp;"")+COUNTIF(A$4:A94,A94))</f>
        <v>27</v>
      </c>
      <c r="C94" t="e">
        <f>IF(ROW()-3&gt;COUNTIF(A$4:A$114,"&lt;&gt;"&amp;""),"",INDEX(A$4:A$114,MATCH(ROW()-3,B$4:B$114,0)))</f>
        <v>#N/A</v>
      </c>
      <c r="D94" t="e">
        <f>D93+IF(AND(C94&lt;&gt;"",COUNTIF(C$4:C94,C94)=1),1,0)</f>
        <v>#N/A</v>
      </c>
      <c r="E94" t="e">
        <f>IF(ROW()-3&gt;MAX(D$4:D$114),"",INDEX(C$4:C$114,MATCH(ROW()-3,D$4:D$114,0)))</f>
        <v>#N/A</v>
      </c>
    </row>
    <row r="95">
      <c r="A95" t="str">
        <f>IF(INDEX('Final Calculation Sheet'!$B$4:$B$40,ROW()-77)="","",INDEX('Final Calculation Sheet'!$B$4:$B$40,ROW()-77))</f>
        <v>Scrap of 132 KV CT</v>
      </c>
      <c r="B95">
        <f>IF(A95="","",COUNTIFS(A$4:A$114,"&lt;"&amp;A95,A$4:A$114,"&lt;&gt;"&amp;"")+COUNTIF(A$4:A95,A95))</f>
        <v>32</v>
      </c>
      <c r="C95" t="e">
        <f>IF(ROW()-3&gt;COUNTIF(A$4:A$114,"&lt;&gt;"&amp;""),"",INDEX(A$4:A$114,MATCH(ROW()-3,B$4:B$114,0)))</f>
        <v>#N/A</v>
      </c>
      <c r="D95" t="e">
        <f>D94+IF(AND(C95&lt;&gt;"",COUNTIF(C$4:C95,C95)=1),1,0)</f>
        <v>#N/A</v>
      </c>
      <c r="E95" t="e">
        <f>IF(ROW()-3&gt;MAX(D$4:D$114),"",INDEX(C$4:C$114,MATCH(ROW()-3,D$4:D$114,0)))</f>
        <v>#N/A</v>
      </c>
    </row>
    <row r="96">
      <c r="A96" t="str">
        <f>IF(INDEX('Final Calculation Sheet'!$B$4:$B$40,ROW()-77)="","",INDEX('Final Calculation Sheet'!$B$4:$B$40,ROW()-77))</f>
        <v>Scrap of 132 KV CT</v>
      </c>
      <c r="B96">
        <f>IF(A96="","",COUNTIFS(A$4:A$114,"&lt;"&amp;A96,A$4:A$114,"&lt;&gt;"&amp;"")+COUNTIF(A$4:A96,A96))</f>
        <v>33</v>
      </c>
      <c r="C96" t="e">
        <f>IF(ROW()-3&gt;COUNTIF(A$4:A$114,"&lt;&gt;"&amp;""),"",INDEX(A$4:A$114,MATCH(ROW()-3,B$4:B$114,0)))</f>
        <v>#N/A</v>
      </c>
      <c r="D96" t="e">
        <f>D95+IF(AND(C96&lt;&gt;"",COUNTIF(C$4:C96,C96)=1),1,0)</f>
        <v>#N/A</v>
      </c>
      <c r="E96" t="e">
        <f>IF(ROW()-3&gt;MAX(D$4:D$114),"",INDEX(C$4:C$114,MATCH(ROW()-3,D$4:D$114,0)))</f>
        <v>#N/A</v>
      </c>
    </row>
    <row r="97">
      <c r="A97" t="str">
        <f>IF(INDEX('Final Calculation Sheet'!$B$4:$B$40,ROW()-77)="","",INDEX('Final Calculation Sheet'!$B$4:$B$40,ROW()-77))</f>
        <v>Scrap of empty oil Barrels</v>
      </c>
      <c r="B97">
        <f>IF(A97="","",COUNTIFS(A$4:A$114,"&lt;"&amp;A97,A$4:A$114,"&lt;&gt;"&amp;"")+COUNTIF(A$4:A97,A97))</f>
        <v>53</v>
      </c>
      <c r="C97" t="e">
        <f>IF(ROW()-3&gt;COUNTIF(A$4:A$114,"&lt;&gt;"&amp;""),"",INDEX(A$4:A$114,MATCH(ROW()-3,B$4:B$114,0)))</f>
        <v>#N/A</v>
      </c>
      <c r="D97" t="e">
        <f>D96+IF(AND(C97&lt;&gt;"",COUNTIF(C$4:C97,C97)=1),1,0)</f>
        <v>#N/A</v>
      </c>
      <c r="E97" t="e">
        <f>IF(ROW()-3&gt;MAX(D$4:D$114),"",INDEX(C$4:C$114,MATCH(ROW()-3,D$4:D$114,0)))</f>
        <v>#N/A</v>
      </c>
    </row>
    <row r="98">
      <c r="A98" t="str">
        <f>IF(INDEX('Final Calculation Sheet'!$B$4:$B$40,ROW()-77)="","",INDEX('Final Calculation Sheet'!$B$4:$B$40,ROW()-77))</f>
        <v>Scrap of 132 KV CT</v>
      </c>
      <c r="B98">
        <f>IF(A98="","",COUNTIFS(A$4:A$114,"&lt;"&amp;A98,A$4:A$114,"&lt;&gt;"&amp;"")+COUNTIF(A$4:A98,A98))</f>
        <v>34</v>
      </c>
      <c r="C98" t="e">
        <f>IF(ROW()-3&gt;COUNTIF(A$4:A$114,"&lt;&gt;"&amp;""),"",INDEX(A$4:A$114,MATCH(ROW()-3,B$4:B$114,0)))</f>
        <v>#N/A</v>
      </c>
      <c r="D98" t="e">
        <f>D97+IF(AND(C98&lt;&gt;"",COUNTIF(C$4:C98,C98)=1),1,0)</f>
        <v>#N/A</v>
      </c>
      <c r="E98" t="e">
        <f>IF(ROW()-3&gt;MAX(D$4:D$114),"",INDEX(C$4:C$114,MATCH(ROW()-3,D$4:D$114,0)))</f>
        <v>#N/A</v>
      </c>
    </row>
    <row r="99">
      <c r="A99" t="str">
        <f>IF(INDEX('Final Calculation Sheet'!$B$4:$B$40,ROW()-77)="","",INDEX('Final Calculation Sheet'!$B$4:$B$40,ROW()-77))</f>
        <v>Scrap Empty Oil Drum/ Barrel</v>
      </c>
      <c r="B99">
        <f>IF(A99="","",COUNTIFS(A$4:A$114,"&lt;"&amp;A99,A$4:A$114,"&lt;&gt;"&amp;"")+COUNTIF(A$4:A99,A99))</f>
        <v>30</v>
      </c>
      <c r="C99" t="e">
        <f>IF(ROW()-3&gt;COUNTIF(A$4:A$114,"&lt;&gt;"&amp;""),"",INDEX(A$4:A$114,MATCH(ROW()-3,B$4:B$114,0)))</f>
        <v>#N/A</v>
      </c>
      <c r="D99" t="e">
        <f>D98+IF(AND(C99&lt;&gt;"",COUNTIF(C$4:C99,C99)=1),1,0)</f>
        <v>#N/A</v>
      </c>
      <c r="E99" t="e">
        <f>IF(ROW()-3&gt;MAX(D$4:D$114),"",INDEX(C$4:C$114,MATCH(ROW()-3,D$4:D$114,0)))</f>
        <v>#N/A</v>
      </c>
    </row>
    <row r="100">
      <c r="A100" t="str">
        <f>IF(INDEX('Final Calculation Sheet'!$B$4:$B$40,ROW()-77)="","",INDEX('Final Calculation Sheet'!$B$4:$B$40,ROW()-77))</f>
        <v>Scrap of 132 KV Wave Trap</v>
      </c>
      <c r="B100">
        <f>IF(A100="","",COUNTIFS(A$4:A$114,"&lt;"&amp;A100,A$4:A$114,"&lt;&gt;"&amp;"")+COUNTIF(A$4:A100,A100))</f>
        <v>38</v>
      </c>
      <c r="C100" t="e">
        <f>IF(ROW()-3&gt;COUNTIF(A$4:A$114,"&lt;&gt;"&amp;""),"",INDEX(A$4:A$114,MATCH(ROW()-3,B$4:B$114,0)))</f>
        <v>#N/A</v>
      </c>
      <c r="D100" t="e">
        <f>D99+IF(AND(C100&lt;&gt;"",COUNTIF(C$4:C100,C100)=1),1,0)</f>
        <v>#N/A</v>
      </c>
      <c r="E100" t="e">
        <f>IF(ROW()-3&gt;MAX(D$4:D$114),"",INDEX(C$4:C$114,MATCH(ROW()-3,D$4:D$114,0)))</f>
        <v>#N/A</v>
      </c>
    </row>
    <row r="101">
      <c r="A101" t="str">
        <f>IF(INDEX('Final Calculation Sheet'!$B$4:$B$40,ROW()-77)="","",INDEX('Final Calculation Sheet'!$B$4:$B$40,ROW()-77))</f>
        <v>Mix Scrap (Tower angles &amp; 0.2 ACSR Condutor pieces)</v>
      </c>
      <c r="B101">
        <f>IF(A101="","",COUNTIFS(A$4:A$114,"&lt;"&amp;A101,A$4:A$114,"&lt;&gt;"&amp;"")+COUNTIF(A$4:A101,A101))</f>
        <v>7</v>
      </c>
      <c r="C101" t="e">
        <f>IF(ROW()-3&gt;COUNTIF(A$4:A$114,"&lt;&gt;"&amp;""),"",INDEX(A$4:A$114,MATCH(ROW()-3,B$4:B$114,0)))</f>
        <v>#N/A</v>
      </c>
      <c r="D101" t="e">
        <f>D100+IF(AND(C101&lt;&gt;"",COUNTIF(C$4:C101,C101)=1),1,0)</f>
        <v>#N/A</v>
      </c>
      <c r="E101" t="e">
        <f>IF(ROW()-3&gt;MAX(D$4:D$114),"",INDEX(C$4:C$114,MATCH(ROW()-3,D$4:D$114,0)))</f>
        <v>#N/A</v>
      </c>
    </row>
    <row r="102">
      <c r="A102" t="str">
        <f>IF(INDEX('Final Calculation Sheet'!$B$4:$B$40,ROW()-77)="","",INDEX('Final Calculation Sheet'!$B$4:$B$40,ROW()-77))</f>
        <v>Scrap of empty oil Barrels</v>
      </c>
      <c r="B102">
        <f>IF(A102="","",COUNTIFS(A$4:A$114,"&lt;"&amp;A102,A$4:A$114,"&lt;&gt;"&amp;"")+COUNTIF(A$4:A102,A102))</f>
        <v>54</v>
      </c>
      <c r="C102" t="e">
        <f>IF(ROW()-3&gt;COUNTIF(A$4:A$114,"&lt;&gt;"&amp;""),"",INDEX(A$4:A$114,MATCH(ROW()-3,B$4:B$114,0)))</f>
        <v>#N/A</v>
      </c>
      <c r="D102" t="e">
        <f>D101+IF(AND(C102&lt;&gt;"",COUNTIF(C$4:C102,C102)=1),1,0)</f>
        <v>#N/A</v>
      </c>
      <c r="E102" t="e">
        <f>IF(ROW()-3&gt;MAX(D$4:D$114),"",INDEX(C$4:C$114,MATCH(ROW()-3,D$4:D$114,0)))</f>
        <v>#N/A</v>
      </c>
    </row>
    <row r="103">
      <c r="A103" t="str">
        <f>IF(INDEX('Final Calculation Sheet'!$B$4:$B$40,ROW()-77)="","",INDEX('Final Calculation Sheet'!$B$4:$B$40,ROW()-77))</f>
        <v>Scrap of 33 KV CT</v>
      </c>
      <c r="B103">
        <f>IF(A103="","",COUNTIFS(A$4:A$114,"&lt;"&amp;A103,A$4:A$114,"&lt;&gt;"&amp;"")+COUNTIF(A$4:A103,A103))</f>
        <v>45</v>
      </c>
      <c r="C103" t="e">
        <f>IF(ROW()-3&gt;COUNTIF(A$4:A$114,"&lt;&gt;"&amp;""),"",INDEX(A$4:A$114,MATCH(ROW()-3,B$4:B$114,0)))</f>
        <v>#N/A</v>
      </c>
      <c r="D103" t="e">
        <f>D102+IF(AND(C103&lt;&gt;"",COUNTIF(C$4:C103,C103)=1),1,0)</f>
        <v>#N/A</v>
      </c>
      <c r="E103" t="e">
        <f>IF(ROW()-3&gt;MAX(D$4:D$114),"",INDEX(C$4:C$114,MATCH(ROW()-3,D$4:D$114,0)))</f>
        <v>#N/A</v>
      </c>
    </row>
    <row r="104">
      <c r="A104" t="str">
        <f>IF(INDEX('Final Calculation Sheet'!$B$4:$B$40,ROW()-77)="","",INDEX('Final Calculation Sheet'!$B$4:$B$40,ROW()-77))</f>
        <v>Scrap of 132 KV CT</v>
      </c>
      <c r="B104">
        <f>IF(A104="","",COUNTIFS(A$4:A$114,"&lt;"&amp;A104,A$4:A$114,"&lt;&gt;"&amp;"")+COUNTIF(A$4:A104,A104))</f>
        <v>35</v>
      </c>
      <c r="C104" t="e">
        <f>IF(ROW()-3&gt;COUNTIF(A$4:A$114,"&lt;&gt;"&amp;""),"",INDEX(A$4:A$114,MATCH(ROW()-3,B$4:B$114,0)))</f>
        <v>#N/A</v>
      </c>
      <c r="D104" t="e">
        <f>D103+IF(AND(C104&lt;&gt;"",COUNTIF(C$4:C104,C104)=1),1,0)</f>
        <v>#N/A</v>
      </c>
      <c r="E104" t="e">
        <f>IF(ROW()-3&gt;MAX(D$4:D$114),"",INDEX(C$4:C$114,MATCH(ROW()-3,D$4:D$114,0)))</f>
        <v>#N/A</v>
      </c>
    </row>
    <row r="105">
      <c r="A105" t="str">
        <f>IF(INDEX('Final Calculation Sheet'!$B$4:$B$40,ROW()-77)="","",INDEX('Final Calculation Sheet'!$B$4:$B$40,ROW()-77))</f>
        <v>Scrap of AAAC Earth wire</v>
      </c>
      <c r="B105">
        <f>IF(A105="","",COUNTIFS(A$4:A$114,"&lt;"&amp;A105,A$4:A$114,"&lt;&gt;"&amp;"")+COUNTIF(A$4:A105,A105))</f>
        <v>49</v>
      </c>
      <c r="C105" t="e">
        <f>IF(ROW()-3&gt;COUNTIF(A$4:A$114,"&lt;&gt;"&amp;""),"",INDEX(A$4:A$114,MATCH(ROW()-3,B$4:B$114,0)))</f>
        <v>#N/A</v>
      </c>
      <c r="D105" t="e">
        <f>D104+IF(AND(C105&lt;&gt;"",COUNTIF(C$4:C105,C105)=1),1,0)</f>
        <v>#N/A</v>
      </c>
      <c r="E105" t="e">
        <f>IF(ROW()-3&gt;MAX(D$4:D$114),"",INDEX(C$4:C$114,MATCH(ROW()-3,D$4:D$114,0)))</f>
        <v>#N/A</v>
      </c>
    </row>
    <row r="106">
      <c r="A106" t="str">
        <f>IF(INDEX('Final Calculation Sheet'!$B$4:$B$40,ROW()-77)="","",INDEX('Final Calculation Sheet'!$B$4:$B$40,ROW()-77))</f>
        <v>Scrap of 220 KV CT</v>
      </c>
      <c r="B106">
        <f>IF(A106="","",COUNTIFS(A$4:A$114,"&lt;"&amp;A106,A$4:A$114,"&lt;&gt;"&amp;"")+COUNTIF(A$4:A106,A106))</f>
        <v>42</v>
      </c>
      <c r="C106" t="e">
        <f>IF(ROW()-3&gt;COUNTIF(A$4:A$114,"&lt;&gt;"&amp;""),"",INDEX(A$4:A$114,MATCH(ROW()-3,B$4:B$114,0)))</f>
        <v>#N/A</v>
      </c>
      <c r="D106" t="e">
        <f>D105+IF(AND(C106&lt;&gt;"",COUNTIF(C$4:C106,C106)=1),1,0)</f>
        <v>#N/A</v>
      </c>
      <c r="E106" t="e">
        <f>IF(ROW()-3&gt;MAX(D$4:D$114),"",INDEX(C$4:C$114,MATCH(ROW()-3,D$4:D$114,0)))</f>
        <v>#N/A</v>
      </c>
    </row>
    <row r="107">
      <c r="A107" t="str">
        <f>IF(INDEX('Final Calculation Sheet'!$B$4:$B$40,ROW()-77)="","",INDEX('Final Calculation Sheet'!$B$4:$B$40,ROW()-77))</f>
        <v>Scrap of 33 KV GCB</v>
      </c>
      <c r="B107">
        <f>IF(A107="","",COUNTIFS(A$4:A$114,"&lt;"&amp;A107,A$4:A$114,"&lt;&gt;"&amp;"")+COUNTIF(A$4:A107,A107))</f>
        <v>46</v>
      </c>
      <c r="C107" t="e">
        <f>IF(ROW()-3&gt;COUNTIF(A$4:A$114,"&lt;&gt;"&amp;""),"",INDEX(A$4:A$114,MATCH(ROW()-3,B$4:B$114,0)))</f>
        <v>#N/A</v>
      </c>
      <c r="D107" t="e">
        <f>D106+IF(AND(C107&lt;&gt;"",COUNTIF(C$4:C107,C107)=1),1,0)</f>
        <v>#N/A</v>
      </c>
      <c r="E107" t="e">
        <f>IF(ROW()-3&gt;MAX(D$4:D$114),"",INDEX(C$4:C$114,MATCH(ROW()-3,D$4:D$114,0)))</f>
        <v>#N/A</v>
      </c>
    </row>
    <row r="108">
      <c r="A108" t="str">
        <f>IF(INDEX('Final Calculation Sheet'!$B$4:$B$40,ROW()-77)="","",INDEX('Final Calculation Sheet'!$B$4:$B$40,ROW()-77))</f>
        <v>Scrap of Empty oil Barrels</v>
      </c>
      <c r="B108">
        <f>IF(A108="","",COUNTIFS(A$4:A$114,"&lt;"&amp;A108,A$4:A$114,"&lt;&gt;"&amp;"")+COUNTIF(A$4:A108,A108))</f>
        <v>55</v>
      </c>
      <c r="C108" t="e">
        <f>IF(ROW()-3&gt;COUNTIF(A$4:A$114,"&lt;&gt;"&amp;""),"",INDEX(A$4:A$114,MATCH(ROW()-3,B$4:B$114,0)))</f>
        <v>#N/A</v>
      </c>
      <c r="D108" t="e">
        <f>D107+IF(AND(C108&lt;&gt;"",COUNTIF(C$4:C108,C108)=1),1,0)</f>
        <v>#N/A</v>
      </c>
      <c r="E108" t="e">
        <f>IF(ROW()-3&gt;MAX(D$4:D$114),"",INDEX(C$4:C$114,MATCH(ROW()-3,D$4:D$114,0)))</f>
        <v>#N/A</v>
      </c>
    </row>
    <row r="109">
      <c r="A109" t="str">
        <f>IF(INDEX('Final Calculation Sheet'!$B$4:$B$40,ROW()-77)="","",INDEX('Final Calculation Sheet'!$B$4:$B$40,ROW()-77))</f>
        <v>Scrap of empty oil drums</v>
      </c>
      <c r="B109">
        <f>IF(A109="","",COUNTIFS(A$4:A$114,"&lt;"&amp;A109,A$4:A$114,"&lt;&gt;"&amp;"")+COUNTIF(A$4:A109,A109))</f>
        <v>59</v>
      </c>
      <c r="C109" t="e">
        <f>IF(ROW()-3&gt;COUNTIF(A$4:A$114,"&lt;&gt;"&amp;""),"",INDEX(A$4:A$114,MATCH(ROW()-3,B$4:B$114,0)))</f>
        <v>#N/A</v>
      </c>
      <c r="D109" t="e">
        <f>D108+IF(AND(C109&lt;&gt;"",COUNTIF(C$4:C109,C109)=1),1,0)</f>
        <v>#N/A</v>
      </c>
      <c r="E109" t="e">
        <f>IF(ROW()-3&gt;MAX(D$4:D$114),"",INDEX(C$4:C$114,MATCH(ROW()-3,D$4:D$114,0)))</f>
        <v>#N/A</v>
      </c>
    </row>
    <row r="110">
      <c r="A110" t="str">
        <f>IF(INDEX('Final Calculation Sheet'!$B$4:$B$40,ROW()-77)="","",INDEX('Final Calculation Sheet'!$B$4:$B$40,ROW()-77))</f>
        <v>Scrap of 33 KV CB</v>
      </c>
      <c r="B110">
        <f>IF(A110="","",COUNTIFS(A$4:A$114,"&lt;"&amp;A110,A$4:A$114,"&lt;&gt;"&amp;"")+COUNTIF(A$4:A110,A110))</f>
        <v>44</v>
      </c>
      <c r="C110" t="e">
        <f>IF(ROW()-3&gt;COUNTIF(A$4:A$114,"&lt;&gt;"&amp;""),"",INDEX(A$4:A$114,MATCH(ROW()-3,B$4:B$114,0)))</f>
        <v>#N/A</v>
      </c>
      <c r="D110" t="e">
        <f>D109+IF(AND(C110&lt;&gt;"",COUNTIF(C$4:C110,C110)=1),1,0)</f>
        <v>#N/A</v>
      </c>
      <c r="E110" t="e">
        <f>IF(ROW()-3&gt;MAX(D$4:D$114),"",INDEX(C$4:C$114,MATCH(ROW()-3,D$4:D$114,0)))</f>
        <v>#N/A</v>
      </c>
    </row>
    <row r="111">
      <c r="A111" t="str">
        <f>IF(INDEX('Final Calculation Sheet'!$B$4:$B$40,ROW()-77)="","",INDEX('Final Calculation Sheet'!$B$4:$B$40,ROW()-77))</f>
        <v>Scrap of 66 KV Isolater</v>
      </c>
      <c r="B111">
        <f>IF(A111="","",COUNTIFS(A$4:A$114,"&lt;"&amp;A111,A$4:A$114,"&lt;&gt;"&amp;"")+COUNTIF(A$4:A111,A111))</f>
        <v>47</v>
      </c>
      <c r="C111" t="e">
        <f>IF(ROW()-3&gt;COUNTIF(A$4:A$114,"&lt;&gt;"&amp;""),"",INDEX(A$4:A$114,MATCH(ROW()-3,B$4:B$114,0)))</f>
        <v>#N/A</v>
      </c>
      <c r="D111" t="e">
        <f>D110+IF(AND(C111&lt;&gt;"",COUNTIF(C$4:C111,C111)=1),1,0)</f>
        <v>#N/A</v>
      </c>
      <c r="E111" t="e">
        <f>IF(ROW()-3&gt;MAX(D$4:D$114),"",INDEX(C$4:C$114,MATCH(ROW()-3,D$4:D$114,0)))</f>
        <v>#N/A</v>
      </c>
    </row>
    <row r="112">
      <c r="A112" t="str">
        <f>IF(INDEX('Final Calculation Sheet'!$B$4:$B$40,ROW()-77)="","",INDEX('Final Calculation Sheet'!$B$4:$B$40,ROW()-77))</f>
        <v>Scrap of 132 KV CT</v>
      </c>
      <c r="B112">
        <f>IF(A112="","",COUNTIFS(A$4:A$114,"&lt;"&amp;A112,A$4:A$114,"&lt;&gt;"&amp;"")+COUNTIF(A$4:A112,A112))</f>
        <v>36</v>
      </c>
      <c r="C112" t="e">
        <f>IF(ROW()-3&gt;COUNTIF(A$4:A$114,"&lt;&gt;"&amp;""),"",INDEX(A$4:A$114,MATCH(ROW()-3,B$4:B$114,0)))</f>
        <v>#N/A</v>
      </c>
      <c r="D112" t="e">
        <f>D111+IF(AND(C112&lt;&gt;"",COUNTIF(C$4:C112,C112)=1),1,0)</f>
        <v>#N/A</v>
      </c>
      <c r="E112" t="e">
        <f>IF(ROW()-3&gt;MAX(D$4:D$114),"",INDEX(C$4:C$114,MATCH(ROW()-3,D$4:D$114,0)))</f>
        <v>#N/A</v>
      </c>
    </row>
    <row r="113">
      <c r="A113" t="str">
        <f>IF(INDEX('Final Calculation Sheet'!$B$4:$B$40,ROW()-77)="","",INDEX('Final Calculation Sheet'!$B$4:$B$40,ROW()-77))</f>
        <v>Scrap of 66 kv TBC C &amp; R Panel</v>
      </c>
      <c r="B113">
        <f>IF(A113="","",COUNTIFS(A$4:A$114,"&lt;"&amp;A113,A$4:A$114,"&lt;&gt;"&amp;"")+COUNTIF(A$4:A113,A113))</f>
        <v>48</v>
      </c>
      <c r="C113" t="e">
        <f>IF(ROW()-3&gt;COUNTIF(A$4:A$114,"&lt;&gt;"&amp;""),"",INDEX(A$4:A$114,MATCH(ROW()-3,B$4:B$114,0)))</f>
        <v>#N/A</v>
      </c>
      <c r="D113" t="e">
        <f>D112+IF(AND(C113&lt;&gt;"",COUNTIF(C$4:C113,C113)=1),1,0)</f>
        <v>#N/A</v>
      </c>
      <c r="E113" t="e">
        <f>IF(ROW()-3&gt;MAX(D$4:D$114),"",INDEX(C$4:C$114,MATCH(ROW()-3,D$4:D$114,0)))</f>
        <v>#N/A</v>
      </c>
    </row>
    <row r="114">
      <c r="A114" t="str">
        <f>IF(INDEX('Final Calculation Sheet'!$B$4:$B$40,ROW()-77)="","",INDEX('Final Calculation Sheet'!$B$4:$B$40,ROW()-77))</f>
        <v>Scrap of 132 KV CT</v>
      </c>
      <c r="B114">
        <f>IF(A114="","",COUNTIFS(A$4:A$114,"&lt;"&amp;A114,A$4:A$114,"&lt;&gt;"&amp;"")+COUNTIF(A$4:A114,A114))</f>
        <v>37</v>
      </c>
      <c r="C114" t="e">
        <f>IF(ROW()-3&gt;COUNTIF(A$4:A$114,"&lt;&gt;"&amp;""),"",INDEX(A$4:A$114,MATCH(ROW()-3,B$4:B$114,0)))</f>
        <v>#N/A</v>
      </c>
      <c r="D114" t="e">
        <f>D113+IF(AND(C114&lt;&gt;"",COUNTIF(C$4:C114,C114)=1),1,0)</f>
        <v>#N/A</v>
      </c>
      <c r="E114" t="e">
        <f>IF(ROW()-3&gt;MAX(D$4:D$114),"",INDEX(C$4:C$114,MATCH(ROW()-3,D$4:D$114,0)))</f>
        <v>#N/A</v>
      </c>
    </row>
  </sheetData>
  <pageMargins left="0.75" right="0.75" top="1" bottom="1" header="0.511811023622047" footer="0.511811023622047"/>
  <pageSetup orientation="portrait" paperSize="9" horizontalDpi="300" verticalDpi="300"/>
</worksheet>
</file>

<file path=xl/worksheets/sheet5.xml><?xml version="1.0" encoding="utf-8"?>
<worksheet xmlns="http://schemas.openxmlformats.org/spreadsheetml/2006/main">
  <sheetPr codeName="Sheet5">
    <outlinePr summaryBelow="1" summaryRight="1"/>
    <pageSetUpPr/>
  </sheetPr>
  <dimension ref="A1:AI38"/>
  <sheetViews>
    <sheetView zoomScaleNormal="100" workbookViewId="0">
      <selection activeCell="A1" sqref="A1"/>
    </sheetView>
  </sheetViews>
  <sheetFormatPr baseColWidth="8" defaultColWidth="8.7109375" defaultRowHeight="15"/>
  <sheetData>
    <row r="1">
      <c r="A1" t="inlineStr">
        <is>
          <t>#</t>
        </is>
      </c>
      <c r="B1" t="inlineStr">
        <is>
          <t>Lot No.</t>
        </is>
      </c>
      <c r="C1" t="inlineStr">
        <is>
          <t>Buyer</t>
        </is>
      </c>
      <c r="D1" t="inlineStr">
        <is>
          <t>Lot Name</t>
        </is>
      </c>
      <c r="E1" t="inlineStr">
        <is>
          <t>Bid Sheet</t>
        </is>
      </c>
      <c r="F1" t="inlineStr">
        <is>
          <t>Quantity</t>
        </is>
      </c>
      <c r="G1" t="inlineStr">
        <is>
          <t>Unit</t>
        </is>
      </c>
      <c r="H1" t="inlineStr">
        <is>
          <t>Rate</t>
        </is>
      </c>
      <c r="I1" t="inlineStr">
        <is>
          <t>Mat. Value</t>
        </is>
      </c>
      <c r="J1" t="inlineStr">
        <is>
          <t>GST</t>
        </is>
      </c>
      <c r="K1" t="inlineStr">
        <is>
          <t>Mat. Value + GST</t>
        </is>
      </c>
      <c r="L1" t="inlineStr">
        <is>
          <t>TCS</t>
        </is>
      </c>
      <c r="M1" t="inlineStr">
        <is>
          <t>TDS u/s 194(O)</t>
        </is>
      </c>
      <c r="N1" t="inlineStr">
        <is>
          <t>Service Charge to MSTC</t>
        </is>
      </c>
      <c r="O1" t="inlineStr">
        <is>
          <t>TDS u/s 194(H)</t>
        </is>
      </c>
      <c r="P1" t="inlineStr">
        <is>
          <t>Net Service Charge (post TDS 194H)</t>
        </is>
      </c>
      <c r="Q1" t="inlineStr">
        <is>
          <t>Service charge to MSTC</t>
        </is>
      </c>
      <c r="R1" t="inlineStr">
        <is>
          <t>GST TDS Rate</t>
        </is>
      </c>
      <c r="S1" t="inlineStr">
        <is>
          <t>GST TDS</t>
        </is>
      </c>
      <c r="T1" t="inlineStr">
        <is>
          <t>Total Receivables in Cash</t>
        </is>
      </c>
      <c r="U1" t="inlineStr">
        <is>
          <t>Security Deposit (Expected)</t>
        </is>
      </c>
      <c r="V1" t="inlineStr">
        <is>
          <t>Security Deposit (Received)</t>
        </is>
      </c>
      <c r="W1" t="inlineStr">
        <is>
          <t>Date of Receipt (col V)</t>
        </is>
      </c>
      <c r="X1" t="inlineStr">
        <is>
          <t>Final Payment (Expected)</t>
        </is>
      </c>
      <c r="Y1" t="inlineStr">
        <is>
          <t>Final Payment (Received)</t>
        </is>
      </c>
      <c r="Z1" t="inlineStr">
        <is>
          <t>Date of Receipt (col Y)</t>
        </is>
      </c>
      <c r="AA1" t="inlineStr">
        <is>
          <t>LPP Expected</t>
        </is>
      </c>
      <c r="AB1" t="inlineStr">
        <is>
          <t>LPP Received</t>
        </is>
      </c>
      <c r="AC1" t="inlineStr">
        <is>
          <t>Date of Recepit of LPP</t>
        </is>
      </c>
      <c r="AD1" t="inlineStr">
        <is>
          <t>Total Received</t>
        </is>
      </c>
      <c r="AE1" t="inlineStr">
        <is>
          <t>Outstanding</t>
        </is>
      </c>
      <c r="AF1" t="inlineStr">
        <is>
          <t>Invoice No.</t>
        </is>
      </c>
      <c r="AG1" t="inlineStr">
        <is>
          <t>SAP Document</t>
        </is>
      </c>
      <c r="AH1" t="inlineStr">
        <is>
          <t>Doc./Invoice Date</t>
        </is>
      </c>
      <c r="AI1" t="inlineStr">
        <is>
          <t>Payment Status</t>
        </is>
      </c>
    </row>
    <row r="2">
      <c r="A2" t="str">
        <f>IF($BJ5&gt;0,INDEX($BA$5:$BA$41,MATCH(5,$BB$5:$BB$41,0)),IF(OR($BI5=1,$BL5=1,$BH5&gt;0),"∑",""))</f>
        <v/>
      </c>
      <c r="B2" t="str">
        <f>IF($BJ5&gt;0,IF(INDEX('Final Calculation Sheet'!$F$4:$F$40,$BJ5-3)="","",INDEX('Final Calculation Sheet'!$F$4:$F$40,$BJ5-3)),"")</f>
        <v/>
      </c>
      <c r="C2" t="str">
        <f>IF($BJ5&gt;0,IF(INDEX('Final Calculation Sheet'!$G$4:$G$40,$BJ5-3)="","",INDEX('Final Calculation Sheet'!$G$4:$G$40,$BJ5-3)),IF(OR($BI5=1,$BL5=1,$BH5&gt;0),IF($BI5=1,37,IF($BL5=1,37-INDEX($BD$4:$BD$13,10),INDEX($BD$4:$BD$13,$BH5)))&amp;" lot(s)",""))</f>
        <v/>
      </c>
      <c r="D2" t="str">
        <f>IF($BJ5&gt;0,IF(INDEX('Final Calculation Sheet'!$B$4:$B$40,$BJ5-3)="","",INDEX('Final Calculation Sheet'!$B$4:$B$40,$BJ5-3)),IF(OR($BI5=1,$BL5=1,$BH5&gt;0),IF($BI5=1,"GRAND TOTAL  —  matching + remaining",IF($BL5=1,"TOTAL MATCHED  —  every group together",IF($BH5=10,"REMAINING  —  did not match the search",IF($BH5=9,IF(COUNTIF($A$4:$AI$4,"&lt;&gt;")&gt;0,"FILTERED LOTS  —  column fields","ALL LOTS  —  nothing typed in the box"),"GROUP "&amp;$BH5&amp;" TOTAL  —  lots matching  "&amp;INDEX($AR$6:$AY$6,$BH5))))),""))</f>
        <v/>
      </c>
      <c r="E2" t="str">
        <f>IF($BJ5&gt;0,IF(INDEX('Final Calculation Sheet'!$D$4:$D$40,$BJ5-3)="","",INDEX('Final Calculation Sheet'!$D$4:$D$40,$BJ5-3)),IF(OR($BI5=1,$BL5=1,$BH5&gt;0),"–",""))</f>
        <v/>
      </c>
      <c r="F2" t="str">
        <f>IF($BJ5&gt;0,IF(INDEX('Final Calculation Sheet'!$A$4:$A$40,$BJ5-3)="","",INDEX('Final Calculation Sheet'!$A$4:$A$40,$BJ5-3)),IF(OR($BI5=1,$BL5=1,$BH5&gt;0),IF($BI5=1,SUM('Final Calculation Sheet'!$A$4:$A$40),IF($BL5=1,SUM('Final Calculation Sheet'!$A$4:$A$40)-SUMIFS('Final Calculation Sheet'!$A$4:$A$40,$AZ$5:$AZ$41,10),SUMIFS('Final Calculation Sheet'!$A$4:$A$40,$AZ$5:$AZ$41,$BH5))),""))</f>
        <v/>
      </c>
      <c r="G2" t="str">
        <f>IF($BJ5&gt;0,IF(INDEX('Final Calculation Sheet'!$E$4:$E$40,$BJ5-3)="","",INDEX('Final Calculation Sheet'!$E$4:$E$40,$BJ5-3)),IF(OR($BI5=1,$BL5=1,$BH5&gt;0),"–",""))</f>
        <v/>
      </c>
      <c r="H2" t="str">
        <f>IF($BJ5&gt;0,IF(INDEX('Final Calculation Sheet'!$C$4:$C$40,$BJ5-3)="","",INDEX('Final Calculation Sheet'!$C$4:$C$40,$BJ5-3)),IF(OR($BI5=1,$BL5=1,$BH5&gt;0),"–",""))</f>
        <v/>
      </c>
      <c r="I2" t="str">
        <f>IF($BJ5&gt;0,IF(INDEX('Final Calculation Sheet'!$H$4:$H$40,$BJ5-3)="","",INDEX('Final Calculation Sheet'!$H$4:$H$40,$BJ5-3)),IF(OR($BI5=1,$BL5=1,$BH5&gt;0),IF($BI5=1,SUM('Final Calculation Sheet'!$H$4:$H$40),IF($BL5=1,SUM('Final Calculation Sheet'!$H$4:$H$40)-SUMIFS('Final Calculation Sheet'!$H$4:$H$40,$AZ$5:$AZ$41,10),SUMIFS('Final Calculation Sheet'!$H$4:$H$40,$AZ$5:$AZ$41,$BH5))),""))</f>
        <v/>
      </c>
      <c r="J2" t="str">
        <f>IF($BJ5&gt;0,IF(INDEX('Final Calculation Sheet'!$I$4:$I$40,$BJ5-3)="","",INDEX('Final Calculation Sheet'!$I$4:$I$40,$BJ5-3)),IF(OR($BI5=1,$BL5=1,$BH5&gt;0),IF($BI5=1,SUM('Final Calculation Sheet'!$I$4:$I$40),IF($BL5=1,SUM('Final Calculation Sheet'!$I$4:$I$40)-SUMIFS('Final Calculation Sheet'!$I$4:$I$40,$AZ$5:$AZ$41,10),SUMIFS('Final Calculation Sheet'!$I$4:$I$40,$AZ$5:$AZ$41,$BH5))),""))</f>
        <v/>
      </c>
      <c r="K2" t="str">
        <f>IF($BJ5&gt;0,IF(INDEX('Final Calculation Sheet'!$J$4:$J$40,$BJ5-3)="","",INDEX('Final Calculation Sheet'!$J$4:$J$40,$BJ5-3)),IF(OR($BI5=1,$BL5=1,$BH5&gt;0),IF($BI5=1,SUM('Final Calculation Sheet'!$J$4:$J$40),IF($BL5=1,SUM('Final Calculation Sheet'!$J$4:$J$40)-SUMIFS('Final Calculation Sheet'!$J$4:$J$40,$AZ$5:$AZ$41,10),SUMIFS('Final Calculation Sheet'!$J$4:$J$40,$AZ$5:$AZ$41,$BH5))),""))</f>
        <v/>
      </c>
      <c r="L2" t="str">
        <f>IF($BJ5&gt;0,IF(INDEX('Final Calculation Sheet'!$K$4:$K$40,$BJ5-3)="","",INDEX('Final Calculation Sheet'!$K$4:$K$40,$BJ5-3)),IF(OR($BI5=1,$BL5=1,$BH5&gt;0),IF($BI5=1,SUM('Final Calculation Sheet'!$K$4:$K$40),IF($BL5=1,SUM('Final Calculation Sheet'!$K$4:$K$40)-SUMIFS('Final Calculation Sheet'!$K$4:$K$40,$AZ$5:$AZ$41,10),SUMIFS('Final Calculation Sheet'!$K$4:$K$40,$AZ$5:$AZ$41,$BH5))),""))</f>
        <v/>
      </c>
      <c r="M2" t="str">
        <f>IF($BJ5&gt;0,IF(INDEX('Final Calculation Sheet'!$L$4:$L$40,$BJ5-3)="","",INDEX('Final Calculation Sheet'!$L$4:$L$40,$BJ5-3)),IF(OR($BI5=1,$BL5=1,$BH5&gt;0),IF($BI5=1,SUM('Final Calculation Sheet'!$L$4:$L$40),IF($BL5=1,SUM('Final Calculation Sheet'!$L$4:$L$40)-SUMIFS('Final Calculation Sheet'!$L$4:$L$40,$AZ$5:$AZ$41,10),SUMIFS('Final Calculation Sheet'!$L$4:$L$40,$AZ$5:$AZ$41,$BH5))),""))</f>
        <v/>
      </c>
      <c r="N2" t="str">
        <f>IF($BJ5&gt;0,IF(INDEX('Final Calculation Sheet'!$M$4:$M$40,$BJ5-3)="","",INDEX('Final Calculation Sheet'!$M$4:$M$40,$BJ5-3)),IF(OR($BI5=1,$BL5=1,$BH5&gt;0),IF($BI5=1,SUM('Final Calculation Sheet'!$M$4:$M$40),IF($BL5=1,SUM('Final Calculation Sheet'!$M$4:$M$40)-SUMIFS('Final Calculation Sheet'!$M$4:$M$40,$AZ$5:$AZ$41,10),SUMIFS('Final Calculation Sheet'!$M$4:$M$40,$AZ$5:$AZ$41,$BH5))),""))</f>
        <v/>
      </c>
      <c r="O2" t="str">
        <f>IF($BJ5&gt;0,IF(INDEX('Final Calculation Sheet'!$N$4:$N$40,$BJ5-3)="","",INDEX('Final Calculation Sheet'!$N$4:$N$40,$BJ5-3)),IF(OR($BI5=1,$BL5=1,$BH5&gt;0),IF($BI5=1,SUM('Final Calculation Sheet'!$N$4:$N$40),IF($BL5=1,SUM('Final Calculation Sheet'!$N$4:$N$40)-SUMIFS('Final Calculation Sheet'!$N$4:$N$40,$AZ$5:$AZ$41,10),SUMIFS('Final Calculation Sheet'!$N$4:$N$40,$AZ$5:$AZ$41,$BH5))),""))</f>
        <v/>
      </c>
      <c r="P2" t="str">
        <f>IF($BJ5&gt;0,IF(INDEX('Final Calculation Sheet'!$O$4:$O$40,$BJ5-3)="","",INDEX('Final Calculation Sheet'!$O$4:$O$40,$BJ5-3)),IF(OR($BI5=1,$BL5=1,$BH5&gt;0),IF($BI5=1,SUM('Final Calculation Sheet'!$O$4:$O$40),IF($BL5=1,SUM('Final Calculation Sheet'!$O$4:$O$40)-SUMIFS('Final Calculation Sheet'!$O$4:$O$40,$AZ$5:$AZ$41,10),SUMIFS('Final Calculation Sheet'!$O$4:$O$40,$AZ$5:$AZ$41,$BH5))),""))</f>
        <v/>
      </c>
      <c r="Q2" t="str">
        <f>IF($BJ5&gt;0,IF(INDEX('Final Calculation Sheet'!$P$4:$P$40,$BJ5-3)="","",INDEX('Final Calculation Sheet'!$P$4:$P$40,$BJ5-3)),IF(OR($BI5=1,$BL5=1,$BH5&gt;0),IF($BI5=1,SUM('Final Calculation Sheet'!$P$4:$P$40),IF($BL5=1,SUM('Final Calculation Sheet'!$P$4:$P$40)-SUMIFS('Final Calculation Sheet'!$P$4:$P$40,$AZ$5:$AZ$41,10),SUMIFS('Final Calculation Sheet'!$P$4:$P$40,$AZ$5:$AZ$41,$BH5))),""))</f>
        <v/>
      </c>
      <c r="R2" t="str">
        <f>IF($BJ5&gt;0,IF(INDEX('Final Calculation Sheet'!$Q$4:$Q$40,$BJ5-3)="","",INDEX('Final Calculation Sheet'!$Q$4:$Q$40,$BJ5-3)),IF(OR($BI5=1,$BL5=1,$BH5&gt;0),"–",""))</f>
        <v/>
      </c>
      <c r="S2" t="str">
        <f>IF($BJ5&gt;0,IF(INDEX('Final Calculation Sheet'!$R$4:$R$40,$BJ5-3)="","",INDEX('Final Calculation Sheet'!$R$4:$R$40,$BJ5-3)),IF(OR($BI5=1,$BL5=1,$BH5&gt;0),IF($BI5=1,SUM('Final Calculation Sheet'!$R$4:$R$40),IF($BL5=1,SUM('Final Calculation Sheet'!$R$4:$R$40)-SUMIFS('Final Calculation Sheet'!$R$4:$R$40,$AZ$5:$AZ$41,10),SUMIFS('Final Calculation Sheet'!$R$4:$R$40,$AZ$5:$AZ$41,$BH5))),""))</f>
        <v/>
      </c>
      <c r="T2" t="str">
        <f>IF($BJ5&gt;0,IF(INDEX('Final Calculation Sheet'!$S$4:$S$40,$BJ5-3)="","",INDEX('Final Calculation Sheet'!$S$4:$S$40,$BJ5-3)),IF(OR($BI5=1,$BL5=1,$BH5&gt;0),IF($BI5=1,SUM('Final Calculation Sheet'!$S$4:$S$40),IF($BL5=1,SUM('Final Calculation Sheet'!$S$4:$S$40)-SUMIFS('Final Calculation Sheet'!$S$4:$S$40,$AZ$5:$AZ$41,10),SUMIFS('Final Calculation Sheet'!$S$4:$S$40,$AZ$5:$AZ$41,$BH5))),""))</f>
        <v/>
      </c>
      <c r="U2" t="str">
        <f>IF($BJ5&gt;0,IF(INDEX('Final Calculation Sheet'!$T$4:$T$40,$BJ5-3)="","",INDEX('Final Calculation Sheet'!$T$4:$T$40,$BJ5-3)),IF(OR($BI5=1,$BL5=1,$BH5&gt;0),IF($BI5=1,SUM('Final Calculation Sheet'!$T$4:$T$40),IF($BL5=1,SUM('Final Calculation Sheet'!$T$4:$T$40)-SUMIFS('Final Calculation Sheet'!$T$4:$T$40,$AZ$5:$AZ$41,10),SUMIFS('Final Calculation Sheet'!$T$4:$T$40,$AZ$5:$AZ$41,$BH5))),""))</f>
        <v/>
      </c>
      <c r="V2" t="str">
        <f>IF($BJ5&gt;0,IF(INDEX('Final Calculation Sheet'!$U$4:$U$40,$BJ5-3)="","",INDEX('Final Calculation Sheet'!$U$4:$U$40,$BJ5-3)),IF(OR($BI5=1,$BL5=1,$BH5&gt;0),IF($BI5=1,SUM('Final Calculation Sheet'!$U$4:$U$40),IF($BL5=1,SUM('Final Calculation Sheet'!$U$4:$U$40)-SUMIFS('Final Calculation Sheet'!$U$4:$U$40,$AZ$5:$AZ$41,10),SUMIFS('Final Calculation Sheet'!$U$4:$U$40,$AZ$5:$AZ$41,$BH5))),""))</f>
        <v/>
      </c>
      <c r="W2" t="str">
        <f>IF($BJ5&gt;0,IF(INDEX('Final Calculation Sheet'!$V$4:$V$40,$BJ5-3)="","",INDEX('Final Calculation Sheet'!$V$4:$V$40,$BJ5-3)),IF(OR($BI5=1,$BL5=1,$BH5&gt;0),"–",""))</f>
        <v/>
      </c>
      <c r="X2" t="str">
        <f>IF($BJ5&gt;0,IF(INDEX('Final Calculation Sheet'!$W$4:$W$40,$BJ5-3)="","",INDEX('Final Calculation Sheet'!$W$4:$W$40,$BJ5-3)),IF(OR($BI5=1,$BL5=1,$BH5&gt;0),IF($BI5=1,SUM('Final Calculation Sheet'!$W$4:$W$40),IF($BL5=1,SUM('Final Calculation Sheet'!$W$4:$W$40)-SUMIFS('Final Calculation Sheet'!$W$4:$W$40,$AZ$5:$AZ$41,10),SUMIFS('Final Calculation Sheet'!$W$4:$W$40,$AZ$5:$AZ$41,$BH5))),""))</f>
        <v/>
      </c>
      <c r="Y2" t="str">
        <f>IF($BJ5&gt;0,IF(INDEX('Final Calculation Sheet'!$X$4:$X$40,$BJ5-3)="","",INDEX('Final Calculation Sheet'!$X$4:$X$40,$BJ5-3)),IF(OR($BI5=1,$BL5=1,$BH5&gt;0),IF($BI5=1,SUM('Final Calculation Sheet'!$X$4:$X$40),IF($BL5=1,SUM('Final Calculation Sheet'!$X$4:$X$40)-SUMIFS('Final Calculation Sheet'!$X$4:$X$40,$AZ$5:$AZ$41,10),SUMIFS('Final Calculation Sheet'!$X$4:$X$40,$AZ$5:$AZ$41,$BH5))),""))</f>
        <v/>
      </c>
      <c r="Z2" t="str">
        <f>IF($BJ5&gt;0,IF(INDEX('Final Calculation Sheet'!$Y$4:$Y$40,$BJ5-3)="","",INDEX('Final Calculation Sheet'!$Y$4:$Y$40,$BJ5-3)),IF(OR($BI5=1,$BL5=1,$BH5&gt;0),"–",""))</f>
        <v/>
      </c>
      <c r="AA2" t="str">
        <f>IF($BJ5&gt;0,IF(INDEX('Final Calculation Sheet'!$Z$4:$Z$40,$BJ5-3)="","",INDEX('Final Calculation Sheet'!$Z$4:$Z$40,$BJ5-3)),IF(OR($BI5=1,$BL5=1,$BH5&gt;0),IF($BI5=1,SUM('Final Calculation Sheet'!$Z$4:$Z$40),IF($BL5=1,SUM('Final Calculation Sheet'!$Z$4:$Z$40)-SUMIFS('Final Calculation Sheet'!$Z$4:$Z$40,$AZ$5:$AZ$41,10),SUMIFS('Final Calculation Sheet'!$Z$4:$Z$40,$AZ$5:$AZ$41,$BH5))),""))</f>
        <v/>
      </c>
      <c r="AB2" t="str">
        <f>IF($BJ5&gt;0,IF(INDEX('Final Calculation Sheet'!$AA$4:$AA$40,$BJ5-3)="","",INDEX('Final Calculation Sheet'!$AA$4:$AA$40,$BJ5-3)),IF(OR($BI5=1,$BL5=1,$BH5&gt;0),IF($BI5=1,SUM('Final Calculation Sheet'!$AA$4:$AA$40),IF($BL5=1,SUM('Final Calculation Sheet'!$AA$4:$AA$40)-SUMIFS('Final Calculation Sheet'!$AA$4:$AA$40,$AZ$5:$AZ$41,10),SUMIFS('Final Calculation Sheet'!$AA$4:$AA$40,$AZ$5:$AZ$41,$BH5))),""))</f>
        <v/>
      </c>
      <c r="AC2" t="str">
        <f>IF($BJ5&gt;0,IF(INDEX('Final Calculation Sheet'!$AB$4:$AB$40,$BJ5-3)="","",INDEX('Final Calculation Sheet'!$AB$4:$AB$40,$BJ5-3)),IF(OR($BI5=1,$BL5=1,$BH5&gt;0),"–",""))</f>
        <v/>
      </c>
      <c r="AD2" t="str">
        <f>IF($BJ5&gt;0,IF(INDEX('Final Calculation Sheet'!$AC$4:$AC$40,$BJ5-3)="","",INDEX('Final Calculation Sheet'!$AC$4:$AC$40,$BJ5-3)),IF(OR($BI5=1,$BL5=1,$BH5&gt;0),IF($BI5=1,SUM('Final Calculation Sheet'!$AC$4:$AC$40),IF($BL5=1,SUM('Final Calculation Sheet'!$AC$4:$AC$40)-SUMIFS('Final Calculation Sheet'!$AC$4:$AC$40,$AZ$5:$AZ$41,10),SUMIFS('Final Calculation Sheet'!$AC$4:$AC$40,$AZ$5:$AZ$41,$BH5))),""))</f>
        <v/>
      </c>
      <c r="AE2" t="str">
        <f>IF($BJ5&gt;0,IF(INDEX('Final Calculation Sheet'!$AD$4:$AD$40,$BJ5-3)="","",INDEX('Final Calculation Sheet'!$AD$4:$AD$40,$BJ5-3)),IF(OR($BI5=1,$BL5=1,$BH5&gt;0),IF($BI5=1,SUM('Final Calculation Sheet'!$AD$4:$AD$40),IF($BL5=1,SUM('Final Calculation Sheet'!$AD$4:$AD$40)-SUMIFS('Final Calculation Sheet'!$AD$4:$AD$40,$AZ$5:$AZ$41,10),SUMIFS('Final Calculation Sheet'!$AD$4:$AD$40,$AZ$5:$AZ$41,$BH5))),""))</f>
        <v/>
      </c>
      <c r="AF2" t="str">
        <f>IF($BJ5&gt;0,IF(INDEX('Final Calculation Sheet'!$AE$4:$AE$40,$BJ5-3)="","",INDEX('Final Calculation Sheet'!$AE$4:$AE$40,$BJ5-3)),IF(OR($BI5=1,$BL5=1,$BH5&gt;0),"–",""))</f>
        <v/>
      </c>
      <c r="AG2" t="str">
        <f>IF($BJ5&gt;0,IF(INDEX('Final Calculation Sheet'!$AF$4:$AF$40,$BJ5-3)="","",INDEX('Final Calculation Sheet'!$AF$4:$AF$40,$BJ5-3)),IF(OR($BI5=1,$BL5=1,$BH5&gt;0),"–",""))</f>
        <v/>
      </c>
      <c r="AH2" t="str">
        <f>IF($BJ5&gt;0,IF(INDEX('Final Calculation Sheet'!$AG$4:$AG$40,$BJ5-3)="","",INDEX('Final Calculation Sheet'!$AG$4:$AG$40,$BJ5-3)),IF(OR($BI5=1,$BL5=1,$BH5&gt;0),"–",""))</f>
        <v/>
      </c>
      <c r="AI2" t="str">
        <f>IF($BJ5&gt;0,IF(INDEX('Final Calculation Sheet'!$AD$4:$AD$40,$BJ5-3)="","",IF(INDEX('Final Calculation Sheet'!$AD$4:$AD$40,$BJ5-3)&lt;=5,"SETTLED","OUTSTANDING")),IF(OR($BI5=1,$BL5=1,$BH5&gt;0),IF(IF($BI5=1,SUM('Final Calculation Sheet'!$AD$4:$AD$40),IF($BL5=1,SUM('Final Calculation Sheet'!$AD$4:$AD$40)-SUMIFS('Final Calculation Sheet'!$AD$4:$AD$40,$AZ$5:$AZ$41,10),SUMIFS('Final Calculation Sheet'!$AD$4:$AD$40,$AZ$5:$AZ$41,$BH5)))&lt;=5,"ALL SETTLED","OUTSTANDING"),""))</f>
        <v/>
      </c>
    </row>
    <row r="3">
      <c r="A3" t="str">
        <f>IF($BJ6&gt;0,INDEX($BA$5:$BA$41,MATCH(6,$BB$5:$BB$41,0)),IF(OR($BI6=1,$BL6=1,$BH6&gt;0),"∑",""))</f>
        <v/>
      </c>
      <c r="B3" t="str">
        <f>IF($BJ6&gt;0,IF(INDEX('Final Calculation Sheet'!$F$4:$F$40,$BJ6-3)="","",INDEX('Final Calculation Sheet'!$F$4:$F$40,$BJ6-3)),"")</f>
        <v/>
      </c>
      <c r="C3" t="str">
        <f>IF($BJ6&gt;0,IF(INDEX('Final Calculation Sheet'!$G$4:$G$40,$BJ6-3)="","",INDEX('Final Calculation Sheet'!$G$4:$G$40,$BJ6-3)),IF(OR($BI6=1,$BL6=1,$BH6&gt;0),IF($BI6=1,37,IF($BL6=1,37-INDEX($BD$4:$BD$13,10),INDEX($BD$4:$BD$13,$BH6)))&amp;" lot(s)",""))</f>
        <v/>
      </c>
      <c r="D3" t="str">
        <f>IF($BJ6&gt;0,IF(INDEX('Final Calculation Sheet'!$B$4:$B$40,$BJ6-3)="","",INDEX('Final Calculation Sheet'!$B$4:$B$40,$BJ6-3)),IF(OR($BI6=1,$BL6=1,$BH6&gt;0),IF($BI6=1,"GRAND TOTAL  —  matching + remaining",IF($BL6=1,"TOTAL MATCHED  —  every group together",IF($BH6=10,"REMAINING  —  did not match the search",IF($BH6=9,IF(COUNTIF($A$4:$AI$4,"&lt;&gt;")&gt;0,"FILTERED LOTS  —  column fields","ALL LOTS  —  nothing typed in the box"),"GROUP "&amp;$BH6&amp;" TOTAL  —  lots matching  "&amp;INDEX($AR$6:$AY$6,$BH6))))),""))</f>
        <v/>
      </c>
      <c r="E3" t="str">
        <f>IF($BJ6&gt;0,IF(INDEX('Final Calculation Sheet'!$D$4:$D$40,$BJ6-3)="","",INDEX('Final Calculation Sheet'!$D$4:$D$40,$BJ6-3)),IF(OR($BI6=1,$BL6=1,$BH6&gt;0),"–",""))</f>
        <v/>
      </c>
      <c r="F3" t="str">
        <f>IF($BJ6&gt;0,IF(INDEX('Final Calculation Sheet'!$A$4:$A$40,$BJ6-3)="","",INDEX('Final Calculation Sheet'!$A$4:$A$40,$BJ6-3)),IF(OR($BI6=1,$BL6=1,$BH6&gt;0),IF($BI6=1,SUM('Final Calculation Sheet'!$A$4:$A$40),IF($BL6=1,SUM('Final Calculation Sheet'!$A$4:$A$40)-SUMIFS('Final Calculation Sheet'!$A$4:$A$40,$AZ$5:$AZ$41,10),SUMIFS('Final Calculation Sheet'!$A$4:$A$40,$AZ$5:$AZ$41,$BH6))),""))</f>
        <v/>
      </c>
      <c r="G3" t="str">
        <f>IF($BJ6&gt;0,IF(INDEX('Final Calculation Sheet'!$E$4:$E$40,$BJ6-3)="","",INDEX('Final Calculation Sheet'!$E$4:$E$40,$BJ6-3)),IF(OR($BI6=1,$BL6=1,$BH6&gt;0),"–",""))</f>
        <v/>
      </c>
      <c r="H3" t="str">
        <f>IF($BJ6&gt;0,IF(INDEX('Final Calculation Sheet'!$C$4:$C$40,$BJ6-3)="","",INDEX('Final Calculation Sheet'!$C$4:$C$40,$BJ6-3)),IF(OR($BI6=1,$BL6=1,$BH6&gt;0),"–",""))</f>
        <v/>
      </c>
      <c r="I3" t="str">
        <f>IF($BJ6&gt;0,IF(INDEX('Final Calculation Sheet'!$H$4:$H$40,$BJ6-3)="","",INDEX('Final Calculation Sheet'!$H$4:$H$40,$BJ6-3)),IF(OR($BI6=1,$BL6=1,$BH6&gt;0),IF($BI6=1,SUM('Final Calculation Sheet'!$H$4:$H$40),IF($BL6=1,SUM('Final Calculation Sheet'!$H$4:$H$40)-SUMIFS('Final Calculation Sheet'!$H$4:$H$40,$AZ$5:$AZ$41,10),SUMIFS('Final Calculation Sheet'!$H$4:$H$40,$AZ$5:$AZ$41,$BH6))),""))</f>
        <v/>
      </c>
      <c r="J3" t="str">
        <f>IF($BJ6&gt;0,IF(INDEX('Final Calculation Sheet'!$I$4:$I$40,$BJ6-3)="","",INDEX('Final Calculation Sheet'!$I$4:$I$40,$BJ6-3)),IF(OR($BI6=1,$BL6=1,$BH6&gt;0),IF($BI6=1,SUM('Final Calculation Sheet'!$I$4:$I$40),IF($BL6=1,SUM('Final Calculation Sheet'!$I$4:$I$40)-SUMIFS('Final Calculation Sheet'!$I$4:$I$40,$AZ$5:$AZ$41,10),SUMIFS('Final Calculation Sheet'!$I$4:$I$40,$AZ$5:$AZ$41,$BH6))),""))</f>
        <v/>
      </c>
      <c r="K3" t="str">
        <f>IF($BJ6&gt;0,IF(INDEX('Final Calculation Sheet'!$J$4:$J$40,$BJ6-3)="","",INDEX('Final Calculation Sheet'!$J$4:$J$40,$BJ6-3)),IF(OR($BI6=1,$BL6=1,$BH6&gt;0),IF($BI6=1,SUM('Final Calculation Sheet'!$J$4:$J$40),IF($BL6=1,SUM('Final Calculation Sheet'!$J$4:$J$40)-SUMIFS('Final Calculation Sheet'!$J$4:$J$40,$AZ$5:$AZ$41,10),SUMIFS('Final Calculation Sheet'!$J$4:$J$40,$AZ$5:$AZ$41,$BH6))),""))</f>
        <v/>
      </c>
      <c r="L3" t="str">
        <f>IF($BJ6&gt;0,IF(INDEX('Final Calculation Sheet'!$K$4:$K$40,$BJ6-3)="","",INDEX('Final Calculation Sheet'!$K$4:$K$40,$BJ6-3)),IF(OR($BI6=1,$BL6=1,$BH6&gt;0),IF($BI6=1,SUM('Final Calculation Sheet'!$K$4:$K$40),IF($BL6=1,SUM('Final Calculation Sheet'!$K$4:$K$40)-SUMIFS('Final Calculation Sheet'!$K$4:$K$40,$AZ$5:$AZ$41,10),SUMIFS('Final Calculation Sheet'!$K$4:$K$40,$AZ$5:$AZ$41,$BH6))),""))</f>
        <v/>
      </c>
      <c r="M3" t="str">
        <f>IF($BJ6&gt;0,IF(INDEX('Final Calculation Sheet'!$L$4:$L$40,$BJ6-3)="","",INDEX('Final Calculation Sheet'!$L$4:$L$40,$BJ6-3)),IF(OR($BI6=1,$BL6=1,$BH6&gt;0),IF($BI6=1,SUM('Final Calculation Sheet'!$L$4:$L$40),IF($BL6=1,SUM('Final Calculation Sheet'!$L$4:$L$40)-SUMIFS('Final Calculation Sheet'!$L$4:$L$40,$AZ$5:$AZ$41,10),SUMIFS('Final Calculation Sheet'!$L$4:$L$40,$AZ$5:$AZ$41,$BH6))),""))</f>
        <v/>
      </c>
      <c r="N3" t="str">
        <f>IF($BJ6&gt;0,IF(INDEX('Final Calculation Sheet'!$M$4:$M$40,$BJ6-3)="","",INDEX('Final Calculation Sheet'!$M$4:$M$40,$BJ6-3)),IF(OR($BI6=1,$BL6=1,$BH6&gt;0),IF($BI6=1,SUM('Final Calculation Sheet'!$M$4:$M$40),IF($BL6=1,SUM('Final Calculation Sheet'!$M$4:$M$40)-SUMIFS('Final Calculation Sheet'!$M$4:$M$40,$AZ$5:$AZ$41,10),SUMIFS('Final Calculation Sheet'!$M$4:$M$40,$AZ$5:$AZ$41,$BH6))),""))</f>
        <v/>
      </c>
      <c r="O3" t="str">
        <f>IF($BJ6&gt;0,IF(INDEX('Final Calculation Sheet'!$N$4:$N$40,$BJ6-3)="","",INDEX('Final Calculation Sheet'!$N$4:$N$40,$BJ6-3)),IF(OR($BI6=1,$BL6=1,$BH6&gt;0),IF($BI6=1,SUM('Final Calculation Sheet'!$N$4:$N$40),IF($BL6=1,SUM('Final Calculation Sheet'!$N$4:$N$40)-SUMIFS('Final Calculation Sheet'!$N$4:$N$40,$AZ$5:$AZ$41,10),SUMIFS('Final Calculation Sheet'!$N$4:$N$40,$AZ$5:$AZ$41,$BH6))),""))</f>
        <v/>
      </c>
      <c r="P3" t="str">
        <f>IF($BJ6&gt;0,IF(INDEX('Final Calculation Sheet'!$O$4:$O$40,$BJ6-3)="","",INDEX('Final Calculation Sheet'!$O$4:$O$40,$BJ6-3)),IF(OR($BI6=1,$BL6=1,$BH6&gt;0),IF($BI6=1,SUM('Final Calculation Sheet'!$O$4:$O$40),IF($BL6=1,SUM('Final Calculation Sheet'!$O$4:$O$40)-SUMIFS('Final Calculation Sheet'!$O$4:$O$40,$AZ$5:$AZ$41,10),SUMIFS('Final Calculation Sheet'!$O$4:$O$40,$AZ$5:$AZ$41,$BH6))),""))</f>
        <v/>
      </c>
      <c r="Q3" t="str">
        <f>IF($BJ6&gt;0,IF(INDEX('Final Calculation Sheet'!$P$4:$P$40,$BJ6-3)="","",INDEX('Final Calculation Sheet'!$P$4:$P$40,$BJ6-3)),IF(OR($BI6=1,$BL6=1,$BH6&gt;0),IF($BI6=1,SUM('Final Calculation Sheet'!$P$4:$P$40),IF($BL6=1,SUM('Final Calculation Sheet'!$P$4:$P$40)-SUMIFS('Final Calculation Sheet'!$P$4:$P$40,$AZ$5:$AZ$41,10),SUMIFS('Final Calculation Sheet'!$P$4:$P$40,$AZ$5:$AZ$41,$BH6))),""))</f>
        <v/>
      </c>
      <c r="R3" t="str">
        <f>IF($BJ6&gt;0,IF(INDEX('Final Calculation Sheet'!$Q$4:$Q$40,$BJ6-3)="","",INDEX('Final Calculation Sheet'!$Q$4:$Q$40,$BJ6-3)),IF(OR($BI6=1,$BL6=1,$BH6&gt;0),"–",""))</f>
        <v/>
      </c>
      <c r="S3" t="str">
        <f>IF($BJ6&gt;0,IF(INDEX('Final Calculation Sheet'!$R$4:$R$40,$BJ6-3)="","",INDEX('Final Calculation Sheet'!$R$4:$R$40,$BJ6-3)),IF(OR($BI6=1,$BL6=1,$BH6&gt;0),IF($BI6=1,SUM('Final Calculation Sheet'!$R$4:$R$40),IF($BL6=1,SUM('Final Calculation Sheet'!$R$4:$R$40)-SUMIFS('Final Calculation Sheet'!$R$4:$R$40,$AZ$5:$AZ$41,10),SUMIFS('Final Calculation Sheet'!$R$4:$R$40,$AZ$5:$AZ$41,$BH6))),""))</f>
        <v/>
      </c>
      <c r="T3" t="str">
        <f>IF($BJ6&gt;0,IF(INDEX('Final Calculation Sheet'!$S$4:$S$40,$BJ6-3)="","",INDEX('Final Calculation Sheet'!$S$4:$S$40,$BJ6-3)),IF(OR($BI6=1,$BL6=1,$BH6&gt;0),IF($BI6=1,SUM('Final Calculation Sheet'!$S$4:$S$40),IF($BL6=1,SUM('Final Calculation Sheet'!$S$4:$S$40)-SUMIFS('Final Calculation Sheet'!$S$4:$S$40,$AZ$5:$AZ$41,10),SUMIFS('Final Calculation Sheet'!$S$4:$S$40,$AZ$5:$AZ$41,$BH6))),""))</f>
        <v/>
      </c>
      <c r="U3" t="str">
        <f>IF($BJ6&gt;0,IF(INDEX('Final Calculation Sheet'!$T$4:$T$40,$BJ6-3)="","",INDEX('Final Calculation Sheet'!$T$4:$T$40,$BJ6-3)),IF(OR($BI6=1,$BL6=1,$BH6&gt;0),IF($BI6=1,SUM('Final Calculation Sheet'!$T$4:$T$40),IF($BL6=1,SUM('Final Calculation Sheet'!$T$4:$T$40)-SUMIFS('Final Calculation Sheet'!$T$4:$T$40,$AZ$5:$AZ$41,10),SUMIFS('Final Calculation Sheet'!$T$4:$T$40,$AZ$5:$AZ$41,$BH6))),""))</f>
        <v/>
      </c>
      <c r="V3" t="str">
        <f>IF($BJ6&gt;0,IF(INDEX('Final Calculation Sheet'!$U$4:$U$40,$BJ6-3)="","",INDEX('Final Calculation Sheet'!$U$4:$U$40,$BJ6-3)),IF(OR($BI6=1,$BL6=1,$BH6&gt;0),IF($BI6=1,SUM('Final Calculation Sheet'!$U$4:$U$40),IF($BL6=1,SUM('Final Calculation Sheet'!$U$4:$U$40)-SUMIFS('Final Calculation Sheet'!$U$4:$U$40,$AZ$5:$AZ$41,10),SUMIFS('Final Calculation Sheet'!$U$4:$U$40,$AZ$5:$AZ$41,$BH6))),""))</f>
        <v/>
      </c>
      <c r="W3" t="str">
        <f>IF($BJ6&gt;0,IF(INDEX('Final Calculation Sheet'!$V$4:$V$40,$BJ6-3)="","",INDEX('Final Calculation Sheet'!$V$4:$V$40,$BJ6-3)),IF(OR($BI6=1,$BL6=1,$BH6&gt;0),"–",""))</f>
        <v/>
      </c>
      <c r="X3" t="str">
        <f>IF($BJ6&gt;0,IF(INDEX('Final Calculation Sheet'!$W$4:$W$40,$BJ6-3)="","",INDEX('Final Calculation Sheet'!$W$4:$W$40,$BJ6-3)),IF(OR($BI6=1,$BL6=1,$BH6&gt;0),IF($BI6=1,SUM('Final Calculation Sheet'!$W$4:$W$40),IF($BL6=1,SUM('Final Calculation Sheet'!$W$4:$W$40)-SUMIFS('Final Calculation Sheet'!$W$4:$W$40,$AZ$5:$AZ$41,10),SUMIFS('Final Calculation Sheet'!$W$4:$W$40,$AZ$5:$AZ$41,$BH6))),""))</f>
        <v/>
      </c>
      <c r="Y3" t="str">
        <f>IF($BJ6&gt;0,IF(INDEX('Final Calculation Sheet'!$X$4:$X$40,$BJ6-3)="","",INDEX('Final Calculation Sheet'!$X$4:$X$40,$BJ6-3)),IF(OR($BI6=1,$BL6=1,$BH6&gt;0),IF($BI6=1,SUM('Final Calculation Sheet'!$X$4:$X$40),IF($BL6=1,SUM('Final Calculation Sheet'!$X$4:$X$40)-SUMIFS('Final Calculation Sheet'!$X$4:$X$40,$AZ$5:$AZ$41,10),SUMIFS('Final Calculation Sheet'!$X$4:$X$40,$AZ$5:$AZ$41,$BH6))),""))</f>
        <v/>
      </c>
      <c r="Z3" t="str">
        <f>IF($BJ6&gt;0,IF(INDEX('Final Calculation Sheet'!$Y$4:$Y$40,$BJ6-3)="","",INDEX('Final Calculation Sheet'!$Y$4:$Y$40,$BJ6-3)),IF(OR($BI6=1,$BL6=1,$BH6&gt;0),"–",""))</f>
        <v/>
      </c>
      <c r="AA3" t="str">
        <f>IF($BJ6&gt;0,IF(INDEX('Final Calculation Sheet'!$Z$4:$Z$40,$BJ6-3)="","",INDEX('Final Calculation Sheet'!$Z$4:$Z$40,$BJ6-3)),IF(OR($BI6=1,$BL6=1,$BH6&gt;0),IF($BI6=1,SUM('Final Calculation Sheet'!$Z$4:$Z$40),IF($BL6=1,SUM('Final Calculation Sheet'!$Z$4:$Z$40)-SUMIFS('Final Calculation Sheet'!$Z$4:$Z$40,$AZ$5:$AZ$41,10),SUMIFS('Final Calculation Sheet'!$Z$4:$Z$40,$AZ$5:$AZ$41,$BH6))),""))</f>
        <v/>
      </c>
      <c r="AB3" t="str">
        <f>IF($BJ6&gt;0,IF(INDEX('Final Calculation Sheet'!$AA$4:$AA$40,$BJ6-3)="","",INDEX('Final Calculation Sheet'!$AA$4:$AA$40,$BJ6-3)),IF(OR($BI6=1,$BL6=1,$BH6&gt;0),IF($BI6=1,SUM('Final Calculation Sheet'!$AA$4:$AA$40),IF($BL6=1,SUM('Final Calculation Sheet'!$AA$4:$AA$40)-SUMIFS('Final Calculation Sheet'!$AA$4:$AA$40,$AZ$5:$AZ$41,10),SUMIFS('Final Calculation Sheet'!$AA$4:$AA$40,$AZ$5:$AZ$41,$BH6))),""))</f>
        <v/>
      </c>
      <c r="AC3" t="str">
        <f>IF($BJ6&gt;0,IF(INDEX('Final Calculation Sheet'!$AB$4:$AB$40,$BJ6-3)="","",INDEX('Final Calculation Sheet'!$AB$4:$AB$40,$BJ6-3)),IF(OR($BI6=1,$BL6=1,$BH6&gt;0),"–",""))</f>
        <v/>
      </c>
      <c r="AD3" t="str">
        <f>IF($BJ6&gt;0,IF(INDEX('Final Calculation Sheet'!$AC$4:$AC$40,$BJ6-3)="","",INDEX('Final Calculation Sheet'!$AC$4:$AC$40,$BJ6-3)),IF(OR($BI6=1,$BL6=1,$BH6&gt;0),IF($BI6=1,SUM('Final Calculation Sheet'!$AC$4:$AC$40),IF($BL6=1,SUM('Final Calculation Sheet'!$AC$4:$AC$40)-SUMIFS('Final Calculation Sheet'!$AC$4:$AC$40,$AZ$5:$AZ$41,10),SUMIFS('Final Calculation Sheet'!$AC$4:$AC$40,$AZ$5:$AZ$41,$BH6))),""))</f>
        <v/>
      </c>
      <c r="AE3" t="str">
        <f>IF($BJ6&gt;0,IF(INDEX('Final Calculation Sheet'!$AD$4:$AD$40,$BJ6-3)="","",INDEX('Final Calculation Sheet'!$AD$4:$AD$40,$BJ6-3)),IF(OR($BI6=1,$BL6=1,$BH6&gt;0),IF($BI6=1,SUM('Final Calculation Sheet'!$AD$4:$AD$40),IF($BL6=1,SUM('Final Calculation Sheet'!$AD$4:$AD$40)-SUMIFS('Final Calculation Sheet'!$AD$4:$AD$40,$AZ$5:$AZ$41,10),SUMIFS('Final Calculation Sheet'!$AD$4:$AD$40,$AZ$5:$AZ$41,$BH6))),""))</f>
        <v/>
      </c>
      <c r="AF3" t="str">
        <f>IF($BJ6&gt;0,IF(INDEX('Final Calculation Sheet'!$AE$4:$AE$40,$BJ6-3)="","",INDEX('Final Calculation Sheet'!$AE$4:$AE$40,$BJ6-3)),IF(OR($BI6=1,$BL6=1,$BH6&gt;0),"–",""))</f>
        <v/>
      </c>
      <c r="AG3" t="str">
        <f>IF($BJ6&gt;0,IF(INDEX('Final Calculation Sheet'!$AF$4:$AF$40,$BJ6-3)="","",INDEX('Final Calculation Sheet'!$AF$4:$AF$40,$BJ6-3)),IF(OR($BI6=1,$BL6=1,$BH6&gt;0),"–",""))</f>
        <v/>
      </c>
      <c r="AH3" t="str">
        <f>IF($BJ6&gt;0,IF(INDEX('Final Calculation Sheet'!$AG$4:$AG$40,$BJ6-3)="","",INDEX('Final Calculation Sheet'!$AG$4:$AG$40,$BJ6-3)),IF(OR($BI6=1,$BL6=1,$BH6&gt;0),"–",""))</f>
        <v/>
      </c>
      <c r="AI3" t="str">
        <f>IF($BJ6&gt;0,IF(INDEX('Final Calculation Sheet'!$AD$4:$AD$40,$BJ6-3)="","",IF(INDEX('Final Calculation Sheet'!$AD$4:$AD$40,$BJ6-3)&lt;=5,"SETTLED","OUTSTANDING")),IF(OR($BI6=1,$BL6=1,$BH6&gt;0),IF(IF($BI6=1,SUM('Final Calculation Sheet'!$AD$4:$AD$40),IF($BL6=1,SUM('Final Calculation Sheet'!$AD$4:$AD$40)-SUMIFS('Final Calculation Sheet'!$AD$4:$AD$40,$AZ$5:$AZ$41,10),SUMIFS('Final Calculation Sheet'!$AD$4:$AD$40,$AZ$5:$AZ$41,$BH6)))&lt;=5,"ALL SETTLED","OUTSTANDING"),""))</f>
        <v/>
      </c>
    </row>
    <row r="4">
      <c r="A4" t="str">
        <f>IF($BJ7&gt;0,INDEX($BA$5:$BA$41,MATCH(7,$BB$5:$BB$41,0)),IF(OR($BI7=1,$BL7=1,$BH7&gt;0),"∑",""))</f>
        <v/>
      </c>
      <c r="B4" t="str">
        <f>IF($BJ7&gt;0,IF(INDEX('Final Calculation Sheet'!$F$4:$F$40,$BJ7-3)="","",INDEX('Final Calculation Sheet'!$F$4:$F$40,$BJ7-3)),"")</f>
        <v/>
      </c>
      <c r="C4" t="str">
        <f>IF($BJ7&gt;0,IF(INDEX('Final Calculation Sheet'!$G$4:$G$40,$BJ7-3)="","",INDEX('Final Calculation Sheet'!$G$4:$G$40,$BJ7-3)),IF(OR($BI7=1,$BL7=1,$BH7&gt;0),IF($BI7=1,37,IF($BL7=1,37-INDEX($BD$4:$BD$13,10),INDEX($BD$4:$BD$13,$BH7)))&amp;" lot(s)",""))</f>
        <v/>
      </c>
      <c r="D4" t="str">
        <f>IF($BJ7&gt;0,IF(INDEX('Final Calculation Sheet'!$B$4:$B$40,$BJ7-3)="","",INDEX('Final Calculation Sheet'!$B$4:$B$40,$BJ7-3)),IF(OR($BI7=1,$BL7=1,$BH7&gt;0),IF($BI7=1,"GRAND TOTAL  —  matching + remaining",IF($BL7=1,"TOTAL MATCHED  —  every group together",IF($BH7=10,"REMAINING  —  did not match the search",IF($BH7=9,IF(COUNTIF($A$4:$AI$4,"&lt;&gt;")&gt;0,"FILTERED LOTS  —  column fields","ALL LOTS  —  nothing typed in the box"),"GROUP "&amp;$BH7&amp;" TOTAL  —  lots matching  "&amp;INDEX($AR$6:$AY$6,$BH7))))),""))</f>
        <v/>
      </c>
      <c r="E4" t="str">
        <f>IF($BJ7&gt;0,IF(INDEX('Final Calculation Sheet'!$D$4:$D$40,$BJ7-3)="","",INDEX('Final Calculation Sheet'!$D$4:$D$40,$BJ7-3)),IF(OR($BI7=1,$BL7=1,$BH7&gt;0),"–",""))</f>
        <v/>
      </c>
      <c r="F4" t="str">
        <f>IF($BJ7&gt;0,IF(INDEX('Final Calculation Sheet'!$A$4:$A$40,$BJ7-3)="","",INDEX('Final Calculation Sheet'!$A$4:$A$40,$BJ7-3)),IF(OR($BI7=1,$BL7=1,$BH7&gt;0),IF($BI7=1,SUM('Final Calculation Sheet'!$A$4:$A$40),IF($BL7=1,SUM('Final Calculation Sheet'!$A$4:$A$40)-SUMIFS('Final Calculation Sheet'!$A$4:$A$40,$AZ$5:$AZ$41,10),SUMIFS('Final Calculation Sheet'!$A$4:$A$40,$AZ$5:$AZ$41,$BH7))),""))</f>
        <v/>
      </c>
      <c r="G4" t="str">
        <f>IF($BJ7&gt;0,IF(INDEX('Final Calculation Sheet'!$E$4:$E$40,$BJ7-3)="","",INDEX('Final Calculation Sheet'!$E$4:$E$40,$BJ7-3)),IF(OR($BI7=1,$BL7=1,$BH7&gt;0),"–",""))</f>
        <v/>
      </c>
      <c r="H4" t="str">
        <f>IF($BJ7&gt;0,IF(INDEX('Final Calculation Sheet'!$C$4:$C$40,$BJ7-3)="","",INDEX('Final Calculation Sheet'!$C$4:$C$40,$BJ7-3)),IF(OR($BI7=1,$BL7=1,$BH7&gt;0),"–",""))</f>
        <v/>
      </c>
      <c r="I4" t="str">
        <f>IF($BJ7&gt;0,IF(INDEX('Final Calculation Sheet'!$H$4:$H$40,$BJ7-3)="","",INDEX('Final Calculation Sheet'!$H$4:$H$40,$BJ7-3)),IF(OR($BI7=1,$BL7=1,$BH7&gt;0),IF($BI7=1,SUM('Final Calculation Sheet'!$H$4:$H$40),IF($BL7=1,SUM('Final Calculation Sheet'!$H$4:$H$40)-SUMIFS('Final Calculation Sheet'!$H$4:$H$40,$AZ$5:$AZ$41,10),SUMIFS('Final Calculation Sheet'!$H$4:$H$40,$AZ$5:$AZ$41,$BH7))),""))</f>
        <v/>
      </c>
      <c r="J4" t="str">
        <f>IF($BJ7&gt;0,IF(INDEX('Final Calculation Sheet'!$I$4:$I$40,$BJ7-3)="","",INDEX('Final Calculation Sheet'!$I$4:$I$40,$BJ7-3)),IF(OR($BI7=1,$BL7=1,$BH7&gt;0),IF($BI7=1,SUM('Final Calculation Sheet'!$I$4:$I$40),IF($BL7=1,SUM('Final Calculation Sheet'!$I$4:$I$40)-SUMIFS('Final Calculation Sheet'!$I$4:$I$40,$AZ$5:$AZ$41,10),SUMIFS('Final Calculation Sheet'!$I$4:$I$40,$AZ$5:$AZ$41,$BH7))),""))</f>
        <v/>
      </c>
      <c r="K4" t="str">
        <f>IF($BJ7&gt;0,IF(INDEX('Final Calculation Sheet'!$J$4:$J$40,$BJ7-3)="","",INDEX('Final Calculation Sheet'!$J$4:$J$40,$BJ7-3)),IF(OR($BI7=1,$BL7=1,$BH7&gt;0),IF($BI7=1,SUM('Final Calculation Sheet'!$J$4:$J$40),IF($BL7=1,SUM('Final Calculation Sheet'!$J$4:$J$40)-SUMIFS('Final Calculation Sheet'!$J$4:$J$40,$AZ$5:$AZ$41,10),SUMIFS('Final Calculation Sheet'!$J$4:$J$40,$AZ$5:$AZ$41,$BH7))),""))</f>
        <v/>
      </c>
      <c r="L4" t="str">
        <f>IF($BJ7&gt;0,IF(INDEX('Final Calculation Sheet'!$K$4:$K$40,$BJ7-3)="","",INDEX('Final Calculation Sheet'!$K$4:$K$40,$BJ7-3)),IF(OR($BI7=1,$BL7=1,$BH7&gt;0),IF($BI7=1,SUM('Final Calculation Sheet'!$K$4:$K$40),IF($BL7=1,SUM('Final Calculation Sheet'!$K$4:$K$40)-SUMIFS('Final Calculation Sheet'!$K$4:$K$40,$AZ$5:$AZ$41,10),SUMIFS('Final Calculation Sheet'!$K$4:$K$40,$AZ$5:$AZ$41,$BH7))),""))</f>
        <v/>
      </c>
      <c r="M4" t="str">
        <f>IF($BJ7&gt;0,IF(INDEX('Final Calculation Sheet'!$L$4:$L$40,$BJ7-3)="","",INDEX('Final Calculation Sheet'!$L$4:$L$40,$BJ7-3)),IF(OR($BI7=1,$BL7=1,$BH7&gt;0),IF($BI7=1,SUM('Final Calculation Sheet'!$L$4:$L$40),IF($BL7=1,SUM('Final Calculation Sheet'!$L$4:$L$40)-SUMIFS('Final Calculation Sheet'!$L$4:$L$40,$AZ$5:$AZ$41,10),SUMIFS('Final Calculation Sheet'!$L$4:$L$40,$AZ$5:$AZ$41,$BH7))),""))</f>
        <v/>
      </c>
      <c r="N4" t="str">
        <f>IF($BJ7&gt;0,IF(INDEX('Final Calculation Sheet'!$M$4:$M$40,$BJ7-3)="","",INDEX('Final Calculation Sheet'!$M$4:$M$40,$BJ7-3)),IF(OR($BI7=1,$BL7=1,$BH7&gt;0),IF($BI7=1,SUM('Final Calculation Sheet'!$M$4:$M$40),IF($BL7=1,SUM('Final Calculation Sheet'!$M$4:$M$40)-SUMIFS('Final Calculation Sheet'!$M$4:$M$40,$AZ$5:$AZ$41,10),SUMIFS('Final Calculation Sheet'!$M$4:$M$40,$AZ$5:$AZ$41,$BH7))),""))</f>
        <v/>
      </c>
      <c r="O4" t="str">
        <f>IF($BJ7&gt;0,IF(INDEX('Final Calculation Sheet'!$N$4:$N$40,$BJ7-3)="","",INDEX('Final Calculation Sheet'!$N$4:$N$40,$BJ7-3)),IF(OR($BI7=1,$BL7=1,$BH7&gt;0),IF($BI7=1,SUM('Final Calculation Sheet'!$N$4:$N$40),IF($BL7=1,SUM('Final Calculation Sheet'!$N$4:$N$40)-SUMIFS('Final Calculation Sheet'!$N$4:$N$40,$AZ$5:$AZ$41,10),SUMIFS('Final Calculation Sheet'!$N$4:$N$40,$AZ$5:$AZ$41,$BH7))),""))</f>
        <v/>
      </c>
      <c r="P4" t="str">
        <f>IF($BJ7&gt;0,IF(INDEX('Final Calculation Sheet'!$O$4:$O$40,$BJ7-3)="","",INDEX('Final Calculation Sheet'!$O$4:$O$40,$BJ7-3)),IF(OR($BI7=1,$BL7=1,$BH7&gt;0),IF($BI7=1,SUM('Final Calculation Sheet'!$O$4:$O$40),IF($BL7=1,SUM('Final Calculation Sheet'!$O$4:$O$40)-SUMIFS('Final Calculation Sheet'!$O$4:$O$40,$AZ$5:$AZ$41,10),SUMIFS('Final Calculation Sheet'!$O$4:$O$40,$AZ$5:$AZ$41,$BH7))),""))</f>
        <v/>
      </c>
      <c r="Q4" t="str">
        <f>IF($BJ7&gt;0,IF(INDEX('Final Calculation Sheet'!$P$4:$P$40,$BJ7-3)="","",INDEX('Final Calculation Sheet'!$P$4:$P$40,$BJ7-3)),IF(OR($BI7=1,$BL7=1,$BH7&gt;0),IF($BI7=1,SUM('Final Calculation Sheet'!$P$4:$P$40),IF($BL7=1,SUM('Final Calculation Sheet'!$P$4:$P$40)-SUMIFS('Final Calculation Sheet'!$P$4:$P$40,$AZ$5:$AZ$41,10),SUMIFS('Final Calculation Sheet'!$P$4:$P$40,$AZ$5:$AZ$41,$BH7))),""))</f>
        <v/>
      </c>
      <c r="R4" t="str">
        <f>IF($BJ7&gt;0,IF(INDEX('Final Calculation Sheet'!$Q$4:$Q$40,$BJ7-3)="","",INDEX('Final Calculation Sheet'!$Q$4:$Q$40,$BJ7-3)),IF(OR($BI7=1,$BL7=1,$BH7&gt;0),"–",""))</f>
        <v/>
      </c>
      <c r="S4" t="str">
        <f>IF($BJ7&gt;0,IF(INDEX('Final Calculation Sheet'!$R$4:$R$40,$BJ7-3)="","",INDEX('Final Calculation Sheet'!$R$4:$R$40,$BJ7-3)),IF(OR($BI7=1,$BL7=1,$BH7&gt;0),IF($BI7=1,SUM('Final Calculation Sheet'!$R$4:$R$40),IF($BL7=1,SUM('Final Calculation Sheet'!$R$4:$R$40)-SUMIFS('Final Calculation Sheet'!$R$4:$R$40,$AZ$5:$AZ$41,10),SUMIFS('Final Calculation Sheet'!$R$4:$R$40,$AZ$5:$AZ$41,$BH7))),""))</f>
        <v/>
      </c>
      <c r="T4" t="str">
        <f>IF($BJ7&gt;0,IF(INDEX('Final Calculation Sheet'!$S$4:$S$40,$BJ7-3)="","",INDEX('Final Calculation Sheet'!$S$4:$S$40,$BJ7-3)),IF(OR($BI7=1,$BL7=1,$BH7&gt;0),IF($BI7=1,SUM('Final Calculation Sheet'!$S$4:$S$40),IF($BL7=1,SUM('Final Calculation Sheet'!$S$4:$S$40)-SUMIFS('Final Calculation Sheet'!$S$4:$S$40,$AZ$5:$AZ$41,10),SUMIFS('Final Calculation Sheet'!$S$4:$S$40,$AZ$5:$AZ$41,$BH7))),""))</f>
        <v/>
      </c>
      <c r="U4" t="str">
        <f>IF($BJ7&gt;0,IF(INDEX('Final Calculation Sheet'!$T$4:$T$40,$BJ7-3)="","",INDEX('Final Calculation Sheet'!$T$4:$T$40,$BJ7-3)),IF(OR($BI7=1,$BL7=1,$BH7&gt;0),IF($BI7=1,SUM('Final Calculation Sheet'!$T$4:$T$40),IF($BL7=1,SUM('Final Calculation Sheet'!$T$4:$T$40)-SUMIFS('Final Calculation Sheet'!$T$4:$T$40,$AZ$5:$AZ$41,10),SUMIFS('Final Calculation Sheet'!$T$4:$T$40,$AZ$5:$AZ$41,$BH7))),""))</f>
        <v/>
      </c>
      <c r="V4" t="str">
        <f>IF($BJ7&gt;0,IF(INDEX('Final Calculation Sheet'!$U$4:$U$40,$BJ7-3)="","",INDEX('Final Calculation Sheet'!$U$4:$U$40,$BJ7-3)),IF(OR($BI7=1,$BL7=1,$BH7&gt;0),IF($BI7=1,SUM('Final Calculation Sheet'!$U$4:$U$40),IF($BL7=1,SUM('Final Calculation Sheet'!$U$4:$U$40)-SUMIFS('Final Calculation Sheet'!$U$4:$U$40,$AZ$5:$AZ$41,10),SUMIFS('Final Calculation Sheet'!$U$4:$U$40,$AZ$5:$AZ$41,$BH7))),""))</f>
        <v/>
      </c>
      <c r="W4" t="str">
        <f>IF($BJ7&gt;0,IF(INDEX('Final Calculation Sheet'!$V$4:$V$40,$BJ7-3)="","",INDEX('Final Calculation Sheet'!$V$4:$V$40,$BJ7-3)),IF(OR($BI7=1,$BL7=1,$BH7&gt;0),"–",""))</f>
        <v/>
      </c>
      <c r="X4" t="str">
        <f>IF($BJ7&gt;0,IF(INDEX('Final Calculation Sheet'!$W$4:$W$40,$BJ7-3)="","",INDEX('Final Calculation Sheet'!$W$4:$W$40,$BJ7-3)),IF(OR($BI7=1,$BL7=1,$BH7&gt;0),IF($BI7=1,SUM('Final Calculation Sheet'!$W$4:$W$40),IF($BL7=1,SUM('Final Calculation Sheet'!$W$4:$W$40)-SUMIFS('Final Calculation Sheet'!$W$4:$W$40,$AZ$5:$AZ$41,10),SUMIFS('Final Calculation Sheet'!$W$4:$W$40,$AZ$5:$AZ$41,$BH7))),""))</f>
        <v/>
      </c>
      <c r="Y4" t="str">
        <f>IF($BJ7&gt;0,IF(INDEX('Final Calculation Sheet'!$X$4:$X$40,$BJ7-3)="","",INDEX('Final Calculation Sheet'!$X$4:$X$40,$BJ7-3)),IF(OR($BI7=1,$BL7=1,$BH7&gt;0),IF($BI7=1,SUM('Final Calculation Sheet'!$X$4:$X$40),IF($BL7=1,SUM('Final Calculation Sheet'!$X$4:$X$40)-SUMIFS('Final Calculation Sheet'!$X$4:$X$40,$AZ$5:$AZ$41,10),SUMIFS('Final Calculation Sheet'!$X$4:$X$40,$AZ$5:$AZ$41,$BH7))),""))</f>
        <v/>
      </c>
      <c r="Z4" t="str">
        <f>IF($BJ7&gt;0,IF(INDEX('Final Calculation Sheet'!$Y$4:$Y$40,$BJ7-3)="","",INDEX('Final Calculation Sheet'!$Y$4:$Y$40,$BJ7-3)),IF(OR($BI7=1,$BL7=1,$BH7&gt;0),"–",""))</f>
        <v/>
      </c>
      <c r="AA4" t="str">
        <f>IF($BJ7&gt;0,IF(INDEX('Final Calculation Sheet'!$Z$4:$Z$40,$BJ7-3)="","",INDEX('Final Calculation Sheet'!$Z$4:$Z$40,$BJ7-3)),IF(OR($BI7=1,$BL7=1,$BH7&gt;0),IF($BI7=1,SUM('Final Calculation Sheet'!$Z$4:$Z$40),IF($BL7=1,SUM('Final Calculation Sheet'!$Z$4:$Z$40)-SUMIFS('Final Calculation Sheet'!$Z$4:$Z$40,$AZ$5:$AZ$41,10),SUMIFS('Final Calculation Sheet'!$Z$4:$Z$40,$AZ$5:$AZ$41,$BH7))),""))</f>
        <v/>
      </c>
      <c r="AB4" t="str">
        <f>IF($BJ7&gt;0,IF(INDEX('Final Calculation Sheet'!$AA$4:$AA$40,$BJ7-3)="","",INDEX('Final Calculation Sheet'!$AA$4:$AA$40,$BJ7-3)),IF(OR($BI7=1,$BL7=1,$BH7&gt;0),IF($BI7=1,SUM('Final Calculation Sheet'!$AA$4:$AA$40),IF($BL7=1,SUM('Final Calculation Sheet'!$AA$4:$AA$40)-SUMIFS('Final Calculation Sheet'!$AA$4:$AA$40,$AZ$5:$AZ$41,10),SUMIFS('Final Calculation Sheet'!$AA$4:$AA$40,$AZ$5:$AZ$41,$BH7))),""))</f>
        <v/>
      </c>
      <c r="AC4" t="str">
        <f>IF($BJ7&gt;0,IF(INDEX('Final Calculation Sheet'!$AB$4:$AB$40,$BJ7-3)="","",INDEX('Final Calculation Sheet'!$AB$4:$AB$40,$BJ7-3)),IF(OR($BI7=1,$BL7=1,$BH7&gt;0),"–",""))</f>
        <v/>
      </c>
      <c r="AD4" t="str">
        <f>IF($BJ7&gt;0,IF(INDEX('Final Calculation Sheet'!$AC$4:$AC$40,$BJ7-3)="","",INDEX('Final Calculation Sheet'!$AC$4:$AC$40,$BJ7-3)),IF(OR($BI7=1,$BL7=1,$BH7&gt;0),IF($BI7=1,SUM('Final Calculation Sheet'!$AC$4:$AC$40),IF($BL7=1,SUM('Final Calculation Sheet'!$AC$4:$AC$40)-SUMIFS('Final Calculation Sheet'!$AC$4:$AC$40,$AZ$5:$AZ$41,10),SUMIFS('Final Calculation Sheet'!$AC$4:$AC$40,$AZ$5:$AZ$41,$BH7))),""))</f>
        <v/>
      </c>
      <c r="AE4" t="str">
        <f>IF($BJ7&gt;0,IF(INDEX('Final Calculation Sheet'!$AD$4:$AD$40,$BJ7-3)="","",INDEX('Final Calculation Sheet'!$AD$4:$AD$40,$BJ7-3)),IF(OR($BI7=1,$BL7=1,$BH7&gt;0),IF($BI7=1,SUM('Final Calculation Sheet'!$AD$4:$AD$40),IF($BL7=1,SUM('Final Calculation Sheet'!$AD$4:$AD$40)-SUMIFS('Final Calculation Sheet'!$AD$4:$AD$40,$AZ$5:$AZ$41,10),SUMIFS('Final Calculation Sheet'!$AD$4:$AD$40,$AZ$5:$AZ$41,$BH7))),""))</f>
        <v/>
      </c>
      <c r="AF4" t="str">
        <f>IF($BJ7&gt;0,IF(INDEX('Final Calculation Sheet'!$AE$4:$AE$40,$BJ7-3)="","",INDEX('Final Calculation Sheet'!$AE$4:$AE$40,$BJ7-3)),IF(OR($BI7=1,$BL7=1,$BH7&gt;0),"–",""))</f>
        <v/>
      </c>
      <c r="AG4" t="str">
        <f>IF($BJ7&gt;0,IF(INDEX('Final Calculation Sheet'!$AF$4:$AF$40,$BJ7-3)="","",INDEX('Final Calculation Sheet'!$AF$4:$AF$40,$BJ7-3)),IF(OR($BI7=1,$BL7=1,$BH7&gt;0),"–",""))</f>
        <v/>
      </c>
      <c r="AH4" t="str">
        <f>IF($BJ7&gt;0,IF(INDEX('Final Calculation Sheet'!$AG$4:$AG$40,$BJ7-3)="","",INDEX('Final Calculation Sheet'!$AG$4:$AG$40,$BJ7-3)),IF(OR($BI7=1,$BL7=1,$BH7&gt;0),"–",""))</f>
        <v/>
      </c>
      <c r="AI4" t="str">
        <f>IF($BJ7&gt;0,IF(INDEX('Final Calculation Sheet'!$AD$4:$AD$40,$BJ7-3)="","",IF(INDEX('Final Calculation Sheet'!$AD$4:$AD$40,$BJ7-3)&lt;=5,"SETTLED","OUTSTANDING")),IF(OR($BI7=1,$BL7=1,$BH7&gt;0),IF(IF($BI7=1,SUM('Final Calculation Sheet'!$AD$4:$AD$40),IF($BL7=1,SUM('Final Calculation Sheet'!$AD$4:$AD$40)-SUMIFS('Final Calculation Sheet'!$AD$4:$AD$40,$AZ$5:$AZ$41,10),SUMIFS('Final Calculation Sheet'!$AD$4:$AD$40,$AZ$5:$AZ$41,$BH7)))&lt;=5,"ALL SETTLED","OUTSTANDING"),""))</f>
        <v/>
      </c>
    </row>
    <row r="5">
      <c r="A5" t="str">
        <f>IF($BJ8&gt;0,INDEX($BA$5:$BA$41,MATCH(8,$BB$5:$BB$41,0)),IF(OR($BI8=1,$BL8=1,$BH8&gt;0),"∑",""))</f>
        <v/>
      </c>
      <c r="B5" t="str">
        <f>IF($BJ8&gt;0,IF(INDEX('Final Calculation Sheet'!$F$4:$F$40,$BJ8-3)="","",INDEX('Final Calculation Sheet'!$F$4:$F$40,$BJ8-3)),"")</f>
        <v/>
      </c>
      <c r="C5" t="str">
        <f>IF($BJ8&gt;0,IF(INDEX('Final Calculation Sheet'!$G$4:$G$40,$BJ8-3)="","",INDEX('Final Calculation Sheet'!$G$4:$G$40,$BJ8-3)),IF(OR($BI8=1,$BL8=1,$BH8&gt;0),IF($BI8=1,37,IF($BL8=1,37-INDEX($BD$4:$BD$13,10),INDEX($BD$4:$BD$13,$BH8)))&amp;" lot(s)",""))</f>
        <v/>
      </c>
      <c r="D5" t="str">
        <f>IF($BJ8&gt;0,IF(INDEX('Final Calculation Sheet'!$B$4:$B$40,$BJ8-3)="","",INDEX('Final Calculation Sheet'!$B$4:$B$40,$BJ8-3)),IF(OR($BI8=1,$BL8=1,$BH8&gt;0),IF($BI8=1,"GRAND TOTAL  —  matching + remaining",IF($BL8=1,"TOTAL MATCHED  —  every group together",IF($BH8=10,"REMAINING  —  did not match the search",IF($BH8=9,IF(COUNTIF($A$4:$AI$4,"&lt;&gt;")&gt;0,"FILTERED LOTS  —  column fields","ALL LOTS  —  nothing typed in the box"),"GROUP "&amp;$BH8&amp;" TOTAL  —  lots matching  "&amp;INDEX($AR$6:$AY$6,$BH8))))),""))</f>
        <v/>
      </c>
      <c r="E5" t="str">
        <f>IF($BJ8&gt;0,IF(INDEX('Final Calculation Sheet'!$D$4:$D$40,$BJ8-3)="","",INDEX('Final Calculation Sheet'!$D$4:$D$40,$BJ8-3)),IF(OR($BI8=1,$BL8=1,$BH8&gt;0),"–",""))</f>
        <v/>
      </c>
      <c r="F5" t="str">
        <f>IF($BJ8&gt;0,IF(INDEX('Final Calculation Sheet'!$A$4:$A$40,$BJ8-3)="","",INDEX('Final Calculation Sheet'!$A$4:$A$40,$BJ8-3)),IF(OR($BI8=1,$BL8=1,$BH8&gt;0),IF($BI8=1,SUM('Final Calculation Sheet'!$A$4:$A$40),IF($BL8=1,SUM('Final Calculation Sheet'!$A$4:$A$40)-SUMIFS('Final Calculation Sheet'!$A$4:$A$40,$AZ$5:$AZ$41,10),SUMIFS('Final Calculation Sheet'!$A$4:$A$40,$AZ$5:$AZ$41,$BH8))),""))</f>
        <v/>
      </c>
      <c r="G5" t="str">
        <f>IF($BJ8&gt;0,IF(INDEX('Final Calculation Sheet'!$E$4:$E$40,$BJ8-3)="","",INDEX('Final Calculation Sheet'!$E$4:$E$40,$BJ8-3)),IF(OR($BI8=1,$BL8=1,$BH8&gt;0),"–",""))</f>
        <v/>
      </c>
      <c r="H5" t="str">
        <f>IF($BJ8&gt;0,IF(INDEX('Final Calculation Sheet'!$C$4:$C$40,$BJ8-3)="","",INDEX('Final Calculation Sheet'!$C$4:$C$40,$BJ8-3)),IF(OR($BI8=1,$BL8=1,$BH8&gt;0),"–",""))</f>
        <v/>
      </c>
      <c r="I5" t="str">
        <f>IF($BJ8&gt;0,IF(INDEX('Final Calculation Sheet'!$H$4:$H$40,$BJ8-3)="","",INDEX('Final Calculation Sheet'!$H$4:$H$40,$BJ8-3)),IF(OR($BI8=1,$BL8=1,$BH8&gt;0),IF($BI8=1,SUM('Final Calculation Sheet'!$H$4:$H$40),IF($BL8=1,SUM('Final Calculation Sheet'!$H$4:$H$40)-SUMIFS('Final Calculation Sheet'!$H$4:$H$40,$AZ$5:$AZ$41,10),SUMIFS('Final Calculation Sheet'!$H$4:$H$40,$AZ$5:$AZ$41,$BH8))),""))</f>
        <v/>
      </c>
      <c r="J5" t="str">
        <f>IF($BJ8&gt;0,IF(INDEX('Final Calculation Sheet'!$I$4:$I$40,$BJ8-3)="","",INDEX('Final Calculation Sheet'!$I$4:$I$40,$BJ8-3)),IF(OR($BI8=1,$BL8=1,$BH8&gt;0),IF($BI8=1,SUM('Final Calculation Sheet'!$I$4:$I$40),IF($BL8=1,SUM('Final Calculation Sheet'!$I$4:$I$40)-SUMIFS('Final Calculation Sheet'!$I$4:$I$40,$AZ$5:$AZ$41,10),SUMIFS('Final Calculation Sheet'!$I$4:$I$40,$AZ$5:$AZ$41,$BH8))),""))</f>
        <v/>
      </c>
      <c r="K5" t="str">
        <f>IF($BJ8&gt;0,IF(INDEX('Final Calculation Sheet'!$J$4:$J$40,$BJ8-3)="","",INDEX('Final Calculation Sheet'!$J$4:$J$40,$BJ8-3)),IF(OR($BI8=1,$BL8=1,$BH8&gt;0),IF($BI8=1,SUM('Final Calculation Sheet'!$J$4:$J$40),IF($BL8=1,SUM('Final Calculation Sheet'!$J$4:$J$40)-SUMIFS('Final Calculation Sheet'!$J$4:$J$40,$AZ$5:$AZ$41,10),SUMIFS('Final Calculation Sheet'!$J$4:$J$40,$AZ$5:$AZ$41,$BH8))),""))</f>
        <v/>
      </c>
      <c r="L5" t="str">
        <f>IF($BJ8&gt;0,IF(INDEX('Final Calculation Sheet'!$K$4:$K$40,$BJ8-3)="","",INDEX('Final Calculation Sheet'!$K$4:$K$40,$BJ8-3)),IF(OR($BI8=1,$BL8=1,$BH8&gt;0),IF($BI8=1,SUM('Final Calculation Sheet'!$K$4:$K$40),IF($BL8=1,SUM('Final Calculation Sheet'!$K$4:$K$40)-SUMIFS('Final Calculation Sheet'!$K$4:$K$40,$AZ$5:$AZ$41,10),SUMIFS('Final Calculation Sheet'!$K$4:$K$40,$AZ$5:$AZ$41,$BH8))),""))</f>
        <v/>
      </c>
      <c r="M5" t="str">
        <f>IF($BJ8&gt;0,IF(INDEX('Final Calculation Sheet'!$L$4:$L$40,$BJ8-3)="","",INDEX('Final Calculation Sheet'!$L$4:$L$40,$BJ8-3)),IF(OR($BI8=1,$BL8=1,$BH8&gt;0),IF($BI8=1,SUM('Final Calculation Sheet'!$L$4:$L$40),IF($BL8=1,SUM('Final Calculation Sheet'!$L$4:$L$40)-SUMIFS('Final Calculation Sheet'!$L$4:$L$40,$AZ$5:$AZ$41,10),SUMIFS('Final Calculation Sheet'!$L$4:$L$40,$AZ$5:$AZ$41,$BH8))),""))</f>
        <v/>
      </c>
      <c r="N5" t="str">
        <f>IF($BJ8&gt;0,IF(INDEX('Final Calculation Sheet'!$M$4:$M$40,$BJ8-3)="","",INDEX('Final Calculation Sheet'!$M$4:$M$40,$BJ8-3)),IF(OR($BI8=1,$BL8=1,$BH8&gt;0),IF($BI8=1,SUM('Final Calculation Sheet'!$M$4:$M$40),IF($BL8=1,SUM('Final Calculation Sheet'!$M$4:$M$40)-SUMIFS('Final Calculation Sheet'!$M$4:$M$40,$AZ$5:$AZ$41,10),SUMIFS('Final Calculation Sheet'!$M$4:$M$40,$AZ$5:$AZ$41,$BH8))),""))</f>
        <v/>
      </c>
      <c r="O5" t="str">
        <f>IF($BJ8&gt;0,IF(INDEX('Final Calculation Sheet'!$N$4:$N$40,$BJ8-3)="","",INDEX('Final Calculation Sheet'!$N$4:$N$40,$BJ8-3)),IF(OR($BI8=1,$BL8=1,$BH8&gt;0),IF($BI8=1,SUM('Final Calculation Sheet'!$N$4:$N$40),IF($BL8=1,SUM('Final Calculation Sheet'!$N$4:$N$40)-SUMIFS('Final Calculation Sheet'!$N$4:$N$40,$AZ$5:$AZ$41,10),SUMIFS('Final Calculation Sheet'!$N$4:$N$40,$AZ$5:$AZ$41,$BH8))),""))</f>
        <v/>
      </c>
      <c r="P5" t="str">
        <f>IF($BJ8&gt;0,IF(INDEX('Final Calculation Sheet'!$O$4:$O$40,$BJ8-3)="","",INDEX('Final Calculation Sheet'!$O$4:$O$40,$BJ8-3)),IF(OR($BI8=1,$BL8=1,$BH8&gt;0),IF($BI8=1,SUM('Final Calculation Sheet'!$O$4:$O$40),IF($BL8=1,SUM('Final Calculation Sheet'!$O$4:$O$40)-SUMIFS('Final Calculation Sheet'!$O$4:$O$40,$AZ$5:$AZ$41,10),SUMIFS('Final Calculation Sheet'!$O$4:$O$40,$AZ$5:$AZ$41,$BH8))),""))</f>
        <v/>
      </c>
      <c r="Q5" t="str">
        <f>IF($BJ8&gt;0,IF(INDEX('Final Calculation Sheet'!$P$4:$P$40,$BJ8-3)="","",INDEX('Final Calculation Sheet'!$P$4:$P$40,$BJ8-3)),IF(OR($BI8=1,$BL8=1,$BH8&gt;0),IF($BI8=1,SUM('Final Calculation Sheet'!$P$4:$P$40),IF($BL8=1,SUM('Final Calculation Sheet'!$P$4:$P$40)-SUMIFS('Final Calculation Sheet'!$P$4:$P$40,$AZ$5:$AZ$41,10),SUMIFS('Final Calculation Sheet'!$P$4:$P$40,$AZ$5:$AZ$41,$BH8))),""))</f>
        <v/>
      </c>
      <c r="R5" t="str">
        <f>IF($BJ8&gt;0,IF(INDEX('Final Calculation Sheet'!$Q$4:$Q$40,$BJ8-3)="","",INDEX('Final Calculation Sheet'!$Q$4:$Q$40,$BJ8-3)),IF(OR($BI8=1,$BL8=1,$BH8&gt;0),"–",""))</f>
        <v/>
      </c>
      <c r="S5" t="str">
        <f>IF($BJ8&gt;0,IF(INDEX('Final Calculation Sheet'!$R$4:$R$40,$BJ8-3)="","",INDEX('Final Calculation Sheet'!$R$4:$R$40,$BJ8-3)),IF(OR($BI8=1,$BL8=1,$BH8&gt;0),IF($BI8=1,SUM('Final Calculation Sheet'!$R$4:$R$40),IF($BL8=1,SUM('Final Calculation Sheet'!$R$4:$R$40)-SUMIFS('Final Calculation Sheet'!$R$4:$R$40,$AZ$5:$AZ$41,10),SUMIFS('Final Calculation Sheet'!$R$4:$R$40,$AZ$5:$AZ$41,$BH8))),""))</f>
        <v/>
      </c>
      <c r="T5" t="str">
        <f>IF($BJ8&gt;0,IF(INDEX('Final Calculation Sheet'!$S$4:$S$40,$BJ8-3)="","",INDEX('Final Calculation Sheet'!$S$4:$S$40,$BJ8-3)),IF(OR($BI8=1,$BL8=1,$BH8&gt;0),IF($BI8=1,SUM('Final Calculation Sheet'!$S$4:$S$40),IF($BL8=1,SUM('Final Calculation Sheet'!$S$4:$S$40)-SUMIFS('Final Calculation Sheet'!$S$4:$S$40,$AZ$5:$AZ$41,10),SUMIFS('Final Calculation Sheet'!$S$4:$S$40,$AZ$5:$AZ$41,$BH8))),""))</f>
        <v/>
      </c>
      <c r="U5" t="str">
        <f>IF($BJ8&gt;0,IF(INDEX('Final Calculation Sheet'!$T$4:$T$40,$BJ8-3)="","",INDEX('Final Calculation Sheet'!$T$4:$T$40,$BJ8-3)),IF(OR($BI8=1,$BL8=1,$BH8&gt;0),IF($BI8=1,SUM('Final Calculation Sheet'!$T$4:$T$40),IF($BL8=1,SUM('Final Calculation Sheet'!$T$4:$T$40)-SUMIFS('Final Calculation Sheet'!$T$4:$T$40,$AZ$5:$AZ$41,10),SUMIFS('Final Calculation Sheet'!$T$4:$T$40,$AZ$5:$AZ$41,$BH8))),""))</f>
        <v/>
      </c>
      <c r="V5" t="str">
        <f>IF($BJ8&gt;0,IF(INDEX('Final Calculation Sheet'!$U$4:$U$40,$BJ8-3)="","",INDEX('Final Calculation Sheet'!$U$4:$U$40,$BJ8-3)),IF(OR($BI8=1,$BL8=1,$BH8&gt;0),IF($BI8=1,SUM('Final Calculation Sheet'!$U$4:$U$40),IF($BL8=1,SUM('Final Calculation Sheet'!$U$4:$U$40)-SUMIFS('Final Calculation Sheet'!$U$4:$U$40,$AZ$5:$AZ$41,10),SUMIFS('Final Calculation Sheet'!$U$4:$U$40,$AZ$5:$AZ$41,$BH8))),""))</f>
        <v/>
      </c>
      <c r="W5" t="str">
        <f>IF($BJ8&gt;0,IF(INDEX('Final Calculation Sheet'!$V$4:$V$40,$BJ8-3)="","",INDEX('Final Calculation Sheet'!$V$4:$V$40,$BJ8-3)),IF(OR($BI8=1,$BL8=1,$BH8&gt;0),"–",""))</f>
        <v/>
      </c>
      <c r="X5" t="str">
        <f>IF($BJ8&gt;0,IF(INDEX('Final Calculation Sheet'!$W$4:$W$40,$BJ8-3)="","",INDEX('Final Calculation Sheet'!$W$4:$W$40,$BJ8-3)),IF(OR($BI8=1,$BL8=1,$BH8&gt;0),IF($BI8=1,SUM('Final Calculation Sheet'!$W$4:$W$40),IF($BL8=1,SUM('Final Calculation Sheet'!$W$4:$W$40)-SUMIFS('Final Calculation Sheet'!$W$4:$W$40,$AZ$5:$AZ$41,10),SUMIFS('Final Calculation Sheet'!$W$4:$W$40,$AZ$5:$AZ$41,$BH8))),""))</f>
        <v/>
      </c>
      <c r="Y5" t="str">
        <f>IF($BJ8&gt;0,IF(INDEX('Final Calculation Sheet'!$X$4:$X$40,$BJ8-3)="","",INDEX('Final Calculation Sheet'!$X$4:$X$40,$BJ8-3)),IF(OR($BI8=1,$BL8=1,$BH8&gt;0),IF($BI8=1,SUM('Final Calculation Sheet'!$X$4:$X$40),IF($BL8=1,SUM('Final Calculation Sheet'!$X$4:$X$40)-SUMIFS('Final Calculation Sheet'!$X$4:$X$40,$AZ$5:$AZ$41,10),SUMIFS('Final Calculation Sheet'!$X$4:$X$40,$AZ$5:$AZ$41,$BH8))),""))</f>
        <v/>
      </c>
      <c r="Z5" t="str">
        <f>IF($BJ8&gt;0,IF(INDEX('Final Calculation Sheet'!$Y$4:$Y$40,$BJ8-3)="","",INDEX('Final Calculation Sheet'!$Y$4:$Y$40,$BJ8-3)),IF(OR($BI8=1,$BL8=1,$BH8&gt;0),"–",""))</f>
        <v/>
      </c>
      <c r="AA5" t="str">
        <f>IF($BJ8&gt;0,IF(INDEX('Final Calculation Sheet'!$Z$4:$Z$40,$BJ8-3)="","",INDEX('Final Calculation Sheet'!$Z$4:$Z$40,$BJ8-3)),IF(OR($BI8=1,$BL8=1,$BH8&gt;0),IF($BI8=1,SUM('Final Calculation Sheet'!$Z$4:$Z$40),IF($BL8=1,SUM('Final Calculation Sheet'!$Z$4:$Z$40)-SUMIFS('Final Calculation Sheet'!$Z$4:$Z$40,$AZ$5:$AZ$41,10),SUMIFS('Final Calculation Sheet'!$Z$4:$Z$40,$AZ$5:$AZ$41,$BH8))),""))</f>
        <v/>
      </c>
      <c r="AB5" t="str">
        <f>IF($BJ8&gt;0,IF(INDEX('Final Calculation Sheet'!$AA$4:$AA$40,$BJ8-3)="","",INDEX('Final Calculation Sheet'!$AA$4:$AA$40,$BJ8-3)),IF(OR($BI8=1,$BL8=1,$BH8&gt;0),IF($BI8=1,SUM('Final Calculation Sheet'!$AA$4:$AA$40),IF($BL8=1,SUM('Final Calculation Sheet'!$AA$4:$AA$40)-SUMIFS('Final Calculation Sheet'!$AA$4:$AA$40,$AZ$5:$AZ$41,10),SUMIFS('Final Calculation Sheet'!$AA$4:$AA$40,$AZ$5:$AZ$41,$BH8))),""))</f>
        <v/>
      </c>
      <c r="AC5" t="str">
        <f>IF($BJ8&gt;0,IF(INDEX('Final Calculation Sheet'!$AB$4:$AB$40,$BJ8-3)="","",INDEX('Final Calculation Sheet'!$AB$4:$AB$40,$BJ8-3)),IF(OR($BI8=1,$BL8=1,$BH8&gt;0),"–",""))</f>
        <v/>
      </c>
      <c r="AD5" t="str">
        <f>IF($BJ8&gt;0,IF(INDEX('Final Calculation Sheet'!$AC$4:$AC$40,$BJ8-3)="","",INDEX('Final Calculation Sheet'!$AC$4:$AC$40,$BJ8-3)),IF(OR($BI8=1,$BL8=1,$BH8&gt;0),IF($BI8=1,SUM('Final Calculation Sheet'!$AC$4:$AC$40),IF($BL8=1,SUM('Final Calculation Sheet'!$AC$4:$AC$40)-SUMIFS('Final Calculation Sheet'!$AC$4:$AC$40,$AZ$5:$AZ$41,10),SUMIFS('Final Calculation Sheet'!$AC$4:$AC$40,$AZ$5:$AZ$41,$BH8))),""))</f>
        <v/>
      </c>
      <c r="AE5" t="str">
        <f>IF($BJ8&gt;0,IF(INDEX('Final Calculation Sheet'!$AD$4:$AD$40,$BJ8-3)="","",INDEX('Final Calculation Sheet'!$AD$4:$AD$40,$BJ8-3)),IF(OR($BI8=1,$BL8=1,$BH8&gt;0),IF($BI8=1,SUM('Final Calculation Sheet'!$AD$4:$AD$40),IF($BL8=1,SUM('Final Calculation Sheet'!$AD$4:$AD$40)-SUMIFS('Final Calculation Sheet'!$AD$4:$AD$40,$AZ$5:$AZ$41,10),SUMIFS('Final Calculation Sheet'!$AD$4:$AD$40,$AZ$5:$AZ$41,$BH8))),""))</f>
        <v/>
      </c>
      <c r="AF5" t="str">
        <f>IF($BJ8&gt;0,IF(INDEX('Final Calculation Sheet'!$AE$4:$AE$40,$BJ8-3)="","",INDEX('Final Calculation Sheet'!$AE$4:$AE$40,$BJ8-3)),IF(OR($BI8=1,$BL8=1,$BH8&gt;0),"–",""))</f>
        <v/>
      </c>
      <c r="AG5" t="str">
        <f>IF($BJ8&gt;0,IF(INDEX('Final Calculation Sheet'!$AF$4:$AF$40,$BJ8-3)="","",INDEX('Final Calculation Sheet'!$AF$4:$AF$40,$BJ8-3)),IF(OR($BI8=1,$BL8=1,$BH8&gt;0),"–",""))</f>
        <v/>
      </c>
      <c r="AH5" t="str">
        <f>IF($BJ8&gt;0,IF(INDEX('Final Calculation Sheet'!$AG$4:$AG$40,$BJ8-3)="","",INDEX('Final Calculation Sheet'!$AG$4:$AG$40,$BJ8-3)),IF(OR($BI8=1,$BL8=1,$BH8&gt;0),"–",""))</f>
        <v/>
      </c>
      <c r="AI5" t="str">
        <f>IF($BJ8&gt;0,IF(INDEX('Final Calculation Sheet'!$AD$4:$AD$40,$BJ8-3)="","",IF(INDEX('Final Calculation Sheet'!$AD$4:$AD$40,$BJ8-3)&lt;=5,"SETTLED","OUTSTANDING")),IF(OR($BI8=1,$BL8=1,$BH8&gt;0),IF(IF($BI8=1,SUM('Final Calculation Sheet'!$AD$4:$AD$40),IF($BL8=1,SUM('Final Calculation Sheet'!$AD$4:$AD$40)-SUMIFS('Final Calculation Sheet'!$AD$4:$AD$40,$AZ$5:$AZ$41,10),SUMIFS('Final Calculation Sheet'!$AD$4:$AD$40,$AZ$5:$AZ$41,$BH8)))&lt;=5,"ALL SETTLED","OUTSTANDING"),""))</f>
        <v/>
      </c>
    </row>
    <row r="6">
      <c r="A6" t="str">
        <f>IF($BJ9&gt;0,INDEX($BA$5:$BA$41,MATCH(9,$BB$5:$BB$41,0)),IF(OR($BI9=1,$BL9=1,$BH9&gt;0),"∑",""))</f>
        <v/>
      </c>
      <c r="B6" t="str">
        <f>IF($BJ9&gt;0,IF(INDEX('Final Calculation Sheet'!$F$4:$F$40,$BJ9-3)="","",INDEX('Final Calculation Sheet'!$F$4:$F$40,$BJ9-3)),"")</f>
        <v/>
      </c>
      <c r="C6" t="str">
        <f>IF($BJ9&gt;0,IF(INDEX('Final Calculation Sheet'!$G$4:$G$40,$BJ9-3)="","",INDEX('Final Calculation Sheet'!$G$4:$G$40,$BJ9-3)),IF(OR($BI9=1,$BL9=1,$BH9&gt;0),IF($BI9=1,37,IF($BL9=1,37-INDEX($BD$4:$BD$13,10),INDEX($BD$4:$BD$13,$BH9)))&amp;" lot(s)",""))</f>
        <v/>
      </c>
      <c r="D6" t="str">
        <f>IF($BJ9&gt;0,IF(INDEX('Final Calculation Sheet'!$B$4:$B$40,$BJ9-3)="","",INDEX('Final Calculation Sheet'!$B$4:$B$40,$BJ9-3)),IF(OR($BI9=1,$BL9=1,$BH9&gt;0),IF($BI9=1,"GRAND TOTAL  —  matching + remaining",IF($BL9=1,"TOTAL MATCHED  —  every group together",IF($BH9=10,"REMAINING  —  did not match the search",IF($BH9=9,IF(COUNTIF($A$4:$AI$4,"&lt;&gt;")&gt;0,"FILTERED LOTS  —  column fields","ALL LOTS  —  nothing typed in the box"),"GROUP "&amp;$BH9&amp;" TOTAL  —  lots matching  "&amp;INDEX($AR$6:$AY$6,$BH9))))),""))</f>
        <v/>
      </c>
      <c r="E6" t="str">
        <f>IF($BJ9&gt;0,IF(INDEX('Final Calculation Sheet'!$D$4:$D$40,$BJ9-3)="","",INDEX('Final Calculation Sheet'!$D$4:$D$40,$BJ9-3)),IF(OR($BI9=1,$BL9=1,$BH9&gt;0),"–",""))</f>
        <v/>
      </c>
      <c r="F6" t="str">
        <f>IF($BJ9&gt;0,IF(INDEX('Final Calculation Sheet'!$A$4:$A$40,$BJ9-3)="","",INDEX('Final Calculation Sheet'!$A$4:$A$40,$BJ9-3)),IF(OR($BI9=1,$BL9=1,$BH9&gt;0),IF($BI9=1,SUM('Final Calculation Sheet'!$A$4:$A$40),IF($BL9=1,SUM('Final Calculation Sheet'!$A$4:$A$40)-SUMIFS('Final Calculation Sheet'!$A$4:$A$40,$AZ$5:$AZ$41,10),SUMIFS('Final Calculation Sheet'!$A$4:$A$40,$AZ$5:$AZ$41,$BH9))),""))</f>
        <v/>
      </c>
      <c r="G6" t="str">
        <f>IF($BJ9&gt;0,IF(INDEX('Final Calculation Sheet'!$E$4:$E$40,$BJ9-3)="","",INDEX('Final Calculation Sheet'!$E$4:$E$40,$BJ9-3)),IF(OR($BI9=1,$BL9=1,$BH9&gt;0),"–",""))</f>
        <v/>
      </c>
      <c r="H6" t="str">
        <f>IF($BJ9&gt;0,IF(INDEX('Final Calculation Sheet'!$C$4:$C$40,$BJ9-3)="","",INDEX('Final Calculation Sheet'!$C$4:$C$40,$BJ9-3)),IF(OR($BI9=1,$BL9=1,$BH9&gt;0),"–",""))</f>
        <v/>
      </c>
      <c r="I6" t="str">
        <f>IF($BJ9&gt;0,IF(INDEX('Final Calculation Sheet'!$H$4:$H$40,$BJ9-3)="","",INDEX('Final Calculation Sheet'!$H$4:$H$40,$BJ9-3)),IF(OR($BI9=1,$BL9=1,$BH9&gt;0),IF($BI9=1,SUM('Final Calculation Sheet'!$H$4:$H$40),IF($BL9=1,SUM('Final Calculation Sheet'!$H$4:$H$40)-SUMIFS('Final Calculation Sheet'!$H$4:$H$40,$AZ$5:$AZ$41,10),SUMIFS('Final Calculation Sheet'!$H$4:$H$40,$AZ$5:$AZ$41,$BH9))),""))</f>
        <v/>
      </c>
      <c r="J6" t="str">
        <f>IF($BJ9&gt;0,IF(INDEX('Final Calculation Sheet'!$I$4:$I$40,$BJ9-3)="","",INDEX('Final Calculation Sheet'!$I$4:$I$40,$BJ9-3)),IF(OR($BI9=1,$BL9=1,$BH9&gt;0),IF($BI9=1,SUM('Final Calculation Sheet'!$I$4:$I$40),IF($BL9=1,SUM('Final Calculation Sheet'!$I$4:$I$40)-SUMIFS('Final Calculation Sheet'!$I$4:$I$40,$AZ$5:$AZ$41,10),SUMIFS('Final Calculation Sheet'!$I$4:$I$40,$AZ$5:$AZ$41,$BH9))),""))</f>
        <v/>
      </c>
      <c r="K6" t="str">
        <f>IF($BJ9&gt;0,IF(INDEX('Final Calculation Sheet'!$J$4:$J$40,$BJ9-3)="","",INDEX('Final Calculation Sheet'!$J$4:$J$40,$BJ9-3)),IF(OR($BI9=1,$BL9=1,$BH9&gt;0),IF($BI9=1,SUM('Final Calculation Sheet'!$J$4:$J$40),IF($BL9=1,SUM('Final Calculation Sheet'!$J$4:$J$40)-SUMIFS('Final Calculation Sheet'!$J$4:$J$40,$AZ$5:$AZ$41,10),SUMIFS('Final Calculation Sheet'!$J$4:$J$40,$AZ$5:$AZ$41,$BH9))),""))</f>
        <v/>
      </c>
      <c r="L6" t="str">
        <f>IF($BJ9&gt;0,IF(INDEX('Final Calculation Sheet'!$K$4:$K$40,$BJ9-3)="","",INDEX('Final Calculation Sheet'!$K$4:$K$40,$BJ9-3)),IF(OR($BI9=1,$BL9=1,$BH9&gt;0),IF($BI9=1,SUM('Final Calculation Sheet'!$K$4:$K$40),IF($BL9=1,SUM('Final Calculation Sheet'!$K$4:$K$40)-SUMIFS('Final Calculation Sheet'!$K$4:$K$40,$AZ$5:$AZ$41,10),SUMIFS('Final Calculation Sheet'!$K$4:$K$40,$AZ$5:$AZ$41,$BH9))),""))</f>
        <v/>
      </c>
      <c r="M6" t="str">
        <f>IF($BJ9&gt;0,IF(INDEX('Final Calculation Sheet'!$L$4:$L$40,$BJ9-3)="","",INDEX('Final Calculation Sheet'!$L$4:$L$40,$BJ9-3)),IF(OR($BI9=1,$BL9=1,$BH9&gt;0),IF($BI9=1,SUM('Final Calculation Sheet'!$L$4:$L$40),IF($BL9=1,SUM('Final Calculation Sheet'!$L$4:$L$40)-SUMIFS('Final Calculation Sheet'!$L$4:$L$40,$AZ$5:$AZ$41,10),SUMIFS('Final Calculation Sheet'!$L$4:$L$40,$AZ$5:$AZ$41,$BH9))),""))</f>
        <v/>
      </c>
      <c r="N6" t="str">
        <f>IF($BJ9&gt;0,IF(INDEX('Final Calculation Sheet'!$M$4:$M$40,$BJ9-3)="","",INDEX('Final Calculation Sheet'!$M$4:$M$40,$BJ9-3)),IF(OR($BI9=1,$BL9=1,$BH9&gt;0),IF($BI9=1,SUM('Final Calculation Sheet'!$M$4:$M$40),IF($BL9=1,SUM('Final Calculation Sheet'!$M$4:$M$40)-SUMIFS('Final Calculation Sheet'!$M$4:$M$40,$AZ$5:$AZ$41,10),SUMIFS('Final Calculation Sheet'!$M$4:$M$40,$AZ$5:$AZ$41,$BH9))),""))</f>
        <v/>
      </c>
      <c r="O6" t="str">
        <f>IF($BJ9&gt;0,IF(INDEX('Final Calculation Sheet'!$N$4:$N$40,$BJ9-3)="","",INDEX('Final Calculation Sheet'!$N$4:$N$40,$BJ9-3)),IF(OR($BI9=1,$BL9=1,$BH9&gt;0),IF($BI9=1,SUM('Final Calculation Sheet'!$N$4:$N$40),IF($BL9=1,SUM('Final Calculation Sheet'!$N$4:$N$40)-SUMIFS('Final Calculation Sheet'!$N$4:$N$40,$AZ$5:$AZ$41,10),SUMIFS('Final Calculation Sheet'!$N$4:$N$40,$AZ$5:$AZ$41,$BH9))),""))</f>
        <v/>
      </c>
      <c r="P6" t="str">
        <f>IF($BJ9&gt;0,IF(INDEX('Final Calculation Sheet'!$O$4:$O$40,$BJ9-3)="","",INDEX('Final Calculation Sheet'!$O$4:$O$40,$BJ9-3)),IF(OR($BI9=1,$BL9=1,$BH9&gt;0),IF($BI9=1,SUM('Final Calculation Sheet'!$O$4:$O$40),IF($BL9=1,SUM('Final Calculation Sheet'!$O$4:$O$40)-SUMIFS('Final Calculation Sheet'!$O$4:$O$40,$AZ$5:$AZ$41,10),SUMIFS('Final Calculation Sheet'!$O$4:$O$40,$AZ$5:$AZ$41,$BH9))),""))</f>
        <v/>
      </c>
      <c r="Q6" t="str">
        <f>IF($BJ9&gt;0,IF(INDEX('Final Calculation Sheet'!$P$4:$P$40,$BJ9-3)="","",INDEX('Final Calculation Sheet'!$P$4:$P$40,$BJ9-3)),IF(OR($BI9=1,$BL9=1,$BH9&gt;0),IF($BI9=1,SUM('Final Calculation Sheet'!$P$4:$P$40),IF($BL9=1,SUM('Final Calculation Sheet'!$P$4:$P$40)-SUMIFS('Final Calculation Sheet'!$P$4:$P$40,$AZ$5:$AZ$41,10),SUMIFS('Final Calculation Sheet'!$P$4:$P$40,$AZ$5:$AZ$41,$BH9))),""))</f>
        <v/>
      </c>
      <c r="R6" t="str">
        <f>IF($BJ9&gt;0,IF(INDEX('Final Calculation Sheet'!$Q$4:$Q$40,$BJ9-3)="","",INDEX('Final Calculation Sheet'!$Q$4:$Q$40,$BJ9-3)),IF(OR($BI9=1,$BL9=1,$BH9&gt;0),"–",""))</f>
        <v/>
      </c>
      <c r="S6" t="str">
        <f>IF($BJ9&gt;0,IF(INDEX('Final Calculation Sheet'!$R$4:$R$40,$BJ9-3)="","",INDEX('Final Calculation Sheet'!$R$4:$R$40,$BJ9-3)),IF(OR($BI9=1,$BL9=1,$BH9&gt;0),IF($BI9=1,SUM('Final Calculation Sheet'!$R$4:$R$40),IF($BL9=1,SUM('Final Calculation Sheet'!$R$4:$R$40)-SUMIFS('Final Calculation Sheet'!$R$4:$R$40,$AZ$5:$AZ$41,10),SUMIFS('Final Calculation Sheet'!$R$4:$R$40,$AZ$5:$AZ$41,$BH9))),""))</f>
        <v/>
      </c>
      <c r="T6" t="str">
        <f>IF($BJ9&gt;0,IF(INDEX('Final Calculation Sheet'!$S$4:$S$40,$BJ9-3)="","",INDEX('Final Calculation Sheet'!$S$4:$S$40,$BJ9-3)),IF(OR($BI9=1,$BL9=1,$BH9&gt;0),IF($BI9=1,SUM('Final Calculation Sheet'!$S$4:$S$40),IF($BL9=1,SUM('Final Calculation Sheet'!$S$4:$S$40)-SUMIFS('Final Calculation Sheet'!$S$4:$S$40,$AZ$5:$AZ$41,10),SUMIFS('Final Calculation Sheet'!$S$4:$S$40,$AZ$5:$AZ$41,$BH9))),""))</f>
        <v/>
      </c>
      <c r="U6" t="str">
        <f>IF($BJ9&gt;0,IF(INDEX('Final Calculation Sheet'!$T$4:$T$40,$BJ9-3)="","",INDEX('Final Calculation Sheet'!$T$4:$T$40,$BJ9-3)),IF(OR($BI9=1,$BL9=1,$BH9&gt;0),IF($BI9=1,SUM('Final Calculation Sheet'!$T$4:$T$40),IF($BL9=1,SUM('Final Calculation Sheet'!$T$4:$T$40)-SUMIFS('Final Calculation Sheet'!$T$4:$T$40,$AZ$5:$AZ$41,10),SUMIFS('Final Calculation Sheet'!$T$4:$T$40,$AZ$5:$AZ$41,$BH9))),""))</f>
        <v/>
      </c>
      <c r="V6" t="str">
        <f>IF($BJ9&gt;0,IF(INDEX('Final Calculation Sheet'!$U$4:$U$40,$BJ9-3)="","",INDEX('Final Calculation Sheet'!$U$4:$U$40,$BJ9-3)),IF(OR($BI9=1,$BL9=1,$BH9&gt;0),IF($BI9=1,SUM('Final Calculation Sheet'!$U$4:$U$40),IF($BL9=1,SUM('Final Calculation Sheet'!$U$4:$U$40)-SUMIFS('Final Calculation Sheet'!$U$4:$U$40,$AZ$5:$AZ$41,10),SUMIFS('Final Calculation Sheet'!$U$4:$U$40,$AZ$5:$AZ$41,$BH9))),""))</f>
        <v/>
      </c>
      <c r="W6" t="str">
        <f>IF($BJ9&gt;0,IF(INDEX('Final Calculation Sheet'!$V$4:$V$40,$BJ9-3)="","",INDEX('Final Calculation Sheet'!$V$4:$V$40,$BJ9-3)),IF(OR($BI9=1,$BL9=1,$BH9&gt;0),"–",""))</f>
        <v/>
      </c>
      <c r="X6" t="str">
        <f>IF($BJ9&gt;0,IF(INDEX('Final Calculation Sheet'!$W$4:$W$40,$BJ9-3)="","",INDEX('Final Calculation Sheet'!$W$4:$W$40,$BJ9-3)),IF(OR($BI9=1,$BL9=1,$BH9&gt;0),IF($BI9=1,SUM('Final Calculation Sheet'!$W$4:$W$40),IF($BL9=1,SUM('Final Calculation Sheet'!$W$4:$W$40)-SUMIFS('Final Calculation Sheet'!$W$4:$W$40,$AZ$5:$AZ$41,10),SUMIFS('Final Calculation Sheet'!$W$4:$W$40,$AZ$5:$AZ$41,$BH9))),""))</f>
        <v/>
      </c>
      <c r="Y6" t="str">
        <f>IF($BJ9&gt;0,IF(INDEX('Final Calculation Sheet'!$X$4:$X$40,$BJ9-3)="","",INDEX('Final Calculation Sheet'!$X$4:$X$40,$BJ9-3)),IF(OR($BI9=1,$BL9=1,$BH9&gt;0),IF($BI9=1,SUM('Final Calculation Sheet'!$X$4:$X$40),IF($BL9=1,SUM('Final Calculation Sheet'!$X$4:$X$40)-SUMIFS('Final Calculation Sheet'!$X$4:$X$40,$AZ$5:$AZ$41,10),SUMIFS('Final Calculation Sheet'!$X$4:$X$40,$AZ$5:$AZ$41,$BH9))),""))</f>
        <v/>
      </c>
      <c r="Z6" t="str">
        <f>IF($BJ9&gt;0,IF(INDEX('Final Calculation Sheet'!$Y$4:$Y$40,$BJ9-3)="","",INDEX('Final Calculation Sheet'!$Y$4:$Y$40,$BJ9-3)),IF(OR($BI9=1,$BL9=1,$BH9&gt;0),"–",""))</f>
        <v/>
      </c>
      <c r="AA6" t="str">
        <f>IF($BJ9&gt;0,IF(INDEX('Final Calculation Sheet'!$Z$4:$Z$40,$BJ9-3)="","",INDEX('Final Calculation Sheet'!$Z$4:$Z$40,$BJ9-3)),IF(OR($BI9=1,$BL9=1,$BH9&gt;0),IF($BI9=1,SUM('Final Calculation Sheet'!$Z$4:$Z$40),IF($BL9=1,SUM('Final Calculation Sheet'!$Z$4:$Z$40)-SUMIFS('Final Calculation Sheet'!$Z$4:$Z$40,$AZ$5:$AZ$41,10),SUMIFS('Final Calculation Sheet'!$Z$4:$Z$40,$AZ$5:$AZ$41,$BH9))),""))</f>
        <v/>
      </c>
      <c r="AB6" t="str">
        <f>IF($BJ9&gt;0,IF(INDEX('Final Calculation Sheet'!$AA$4:$AA$40,$BJ9-3)="","",INDEX('Final Calculation Sheet'!$AA$4:$AA$40,$BJ9-3)),IF(OR($BI9=1,$BL9=1,$BH9&gt;0),IF($BI9=1,SUM('Final Calculation Sheet'!$AA$4:$AA$40),IF($BL9=1,SUM('Final Calculation Sheet'!$AA$4:$AA$40)-SUMIFS('Final Calculation Sheet'!$AA$4:$AA$40,$AZ$5:$AZ$41,10),SUMIFS('Final Calculation Sheet'!$AA$4:$AA$40,$AZ$5:$AZ$41,$BH9))),""))</f>
        <v/>
      </c>
      <c r="AC6" t="str">
        <f>IF($BJ9&gt;0,IF(INDEX('Final Calculation Sheet'!$AB$4:$AB$40,$BJ9-3)="","",INDEX('Final Calculation Sheet'!$AB$4:$AB$40,$BJ9-3)),IF(OR($BI9=1,$BL9=1,$BH9&gt;0),"–",""))</f>
        <v/>
      </c>
      <c r="AD6" t="str">
        <f>IF($BJ9&gt;0,IF(INDEX('Final Calculation Sheet'!$AC$4:$AC$40,$BJ9-3)="","",INDEX('Final Calculation Sheet'!$AC$4:$AC$40,$BJ9-3)),IF(OR($BI9=1,$BL9=1,$BH9&gt;0),IF($BI9=1,SUM('Final Calculation Sheet'!$AC$4:$AC$40),IF($BL9=1,SUM('Final Calculation Sheet'!$AC$4:$AC$40)-SUMIFS('Final Calculation Sheet'!$AC$4:$AC$40,$AZ$5:$AZ$41,10),SUMIFS('Final Calculation Sheet'!$AC$4:$AC$40,$AZ$5:$AZ$41,$BH9))),""))</f>
        <v/>
      </c>
      <c r="AE6" t="str">
        <f>IF($BJ9&gt;0,IF(INDEX('Final Calculation Sheet'!$AD$4:$AD$40,$BJ9-3)="","",INDEX('Final Calculation Sheet'!$AD$4:$AD$40,$BJ9-3)),IF(OR($BI9=1,$BL9=1,$BH9&gt;0),IF($BI9=1,SUM('Final Calculation Sheet'!$AD$4:$AD$40),IF($BL9=1,SUM('Final Calculation Sheet'!$AD$4:$AD$40)-SUMIFS('Final Calculation Sheet'!$AD$4:$AD$40,$AZ$5:$AZ$41,10),SUMIFS('Final Calculation Sheet'!$AD$4:$AD$40,$AZ$5:$AZ$41,$BH9))),""))</f>
        <v/>
      </c>
      <c r="AF6" t="str">
        <f>IF($BJ9&gt;0,IF(INDEX('Final Calculation Sheet'!$AE$4:$AE$40,$BJ9-3)="","",INDEX('Final Calculation Sheet'!$AE$4:$AE$40,$BJ9-3)),IF(OR($BI9=1,$BL9=1,$BH9&gt;0),"–",""))</f>
        <v/>
      </c>
      <c r="AG6" t="str">
        <f>IF($BJ9&gt;0,IF(INDEX('Final Calculation Sheet'!$AF$4:$AF$40,$BJ9-3)="","",INDEX('Final Calculation Sheet'!$AF$4:$AF$40,$BJ9-3)),IF(OR($BI9=1,$BL9=1,$BH9&gt;0),"–",""))</f>
        <v/>
      </c>
      <c r="AH6" t="str">
        <f>IF($BJ9&gt;0,IF(INDEX('Final Calculation Sheet'!$AG$4:$AG$40,$BJ9-3)="","",INDEX('Final Calculation Sheet'!$AG$4:$AG$40,$BJ9-3)),IF(OR($BI9=1,$BL9=1,$BH9&gt;0),"–",""))</f>
        <v/>
      </c>
      <c r="AI6" t="str">
        <f>IF($BJ9&gt;0,IF(INDEX('Final Calculation Sheet'!$AD$4:$AD$40,$BJ9-3)="","",IF(INDEX('Final Calculation Sheet'!$AD$4:$AD$40,$BJ9-3)&lt;=5,"SETTLED","OUTSTANDING")),IF(OR($BI9=1,$BL9=1,$BH9&gt;0),IF(IF($BI9=1,SUM('Final Calculation Sheet'!$AD$4:$AD$40),IF($BL9=1,SUM('Final Calculation Sheet'!$AD$4:$AD$40)-SUMIFS('Final Calculation Sheet'!$AD$4:$AD$40,$AZ$5:$AZ$41,10),SUMIFS('Final Calculation Sheet'!$AD$4:$AD$40,$AZ$5:$AZ$41,$BH9)))&lt;=5,"ALL SETTLED","OUTSTANDING"),""))</f>
        <v/>
      </c>
    </row>
    <row r="7">
      <c r="A7" t="str">
        <f>IF($BJ10&gt;0,INDEX($BA$5:$BA$41,MATCH(10,$BB$5:$BB$41,0)),IF(OR($BI10=1,$BL10=1,$BH10&gt;0),"∑",""))</f>
        <v/>
      </c>
      <c r="B7" t="str">
        <f>IF($BJ10&gt;0,IF(INDEX('Final Calculation Sheet'!$F$4:$F$40,$BJ10-3)="","",INDEX('Final Calculation Sheet'!$F$4:$F$40,$BJ10-3)),"")</f>
        <v/>
      </c>
      <c r="C7" t="str">
        <f>IF($BJ10&gt;0,IF(INDEX('Final Calculation Sheet'!$G$4:$G$40,$BJ10-3)="","",INDEX('Final Calculation Sheet'!$G$4:$G$40,$BJ10-3)),IF(OR($BI10=1,$BL10=1,$BH10&gt;0),IF($BI10=1,37,IF($BL10=1,37-INDEX($BD$4:$BD$13,10),INDEX($BD$4:$BD$13,$BH10)))&amp;" lot(s)",""))</f>
        <v/>
      </c>
      <c r="D7" t="str">
        <f>IF($BJ10&gt;0,IF(INDEX('Final Calculation Sheet'!$B$4:$B$40,$BJ10-3)="","",INDEX('Final Calculation Sheet'!$B$4:$B$40,$BJ10-3)),IF(OR($BI10=1,$BL10=1,$BH10&gt;0),IF($BI10=1,"GRAND TOTAL  —  matching + remaining",IF($BL10=1,"TOTAL MATCHED  —  every group together",IF($BH10=10,"REMAINING  —  did not match the search",IF($BH10=9,IF(COUNTIF($A$4:$AI$4,"&lt;&gt;")&gt;0,"FILTERED LOTS  —  column fields","ALL LOTS  —  nothing typed in the box"),"GROUP "&amp;$BH10&amp;" TOTAL  —  lots matching  "&amp;INDEX($AR$6:$AY$6,$BH10))))),""))</f>
        <v/>
      </c>
      <c r="E7" t="str">
        <f>IF($BJ10&gt;0,IF(INDEX('Final Calculation Sheet'!$D$4:$D$40,$BJ10-3)="","",INDEX('Final Calculation Sheet'!$D$4:$D$40,$BJ10-3)),IF(OR($BI10=1,$BL10=1,$BH10&gt;0),"–",""))</f>
        <v/>
      </c>
      <c r="F7" t="str">
        <f>IF($BJ10&gt;0,IF(INDEX('Final Calculation Sheet'!$A$4:$A$40,$BJ10-3)="","",INDEX('Final Calculation Sheet'!$A$4:$A$40,$BJ10-3)),IF(OR($BI10=1,$BL10=1,$BH10&gt;0),IF($BI10=1,SUM('Final Calculation Sheet'!$A$4:$A$40),IF($BL10=1,SUM('Final Calculation Sheet'!$A$4:$A$40)-SUMIFS('Final Calculation Sheet'!$A$4:$A$40,$AZ$5:$AZ$41,10),SUMIFS('Final Calculation Sheet'!$A$4:$A$40,$AZ$5:$AZ$41,$BH10))),""))</f>
        <v/>
      </c>
      <c r="G7" t="str">
        <f>IF($BJ10&gt;0,IF(INDEX('Final Calculation Sheet'!$E$4:$E$40,$BJ10-3)="","",INDEX('Final Calculation Sheet'!$E$4:$E$40,$BJ10-3)),IF(OR($BI10=1,$BL10=1,$BH10&gt;0),"–",""))</f>
        <v/>
      </c>
      <c r="H7" t="str">
        <f>IF($BJ10&gt;0,IF(INDEX('Final Calculation Sheet'!$C$4:$C$40,$BJ10-3)="","",INDEX('Final Calculation Sheet'!$C$4:$C$40,$BJ10-3)),IF(OR($BI10=1,$BL10=1,$BH10&gt;0),"–",""))</f>
        <v/>
      </c>
      <c r="I7" t="str">
        <f>IF($BJ10&gt;0,IF(INDEX('Final Calculation Sheet'!$H$4:$H$40,$BJ10-3)="","",INDEX('Final Calculation Sheet'!$H$4:$H$40,$BJ10-3)),IF(OR($BI10=1,$BL10=1,$BH10&gt;0),IF($BI10=1,SUM('Final Calculation Sheet'!$H$4:$H$40),IF($BL10=1,SUM('Final Calculation Sheet'!$H$4:$H$40)-SUMIFS('Final Calculation Sheet'!$H$4:$H$40,$AZ$5:$AZ$41,10),SUMIFS('Final Calculation Sheet'!$H$4:$H$40,$AZ$5:$AZ$41,$BH10))),""))</f>
        <v/>
      </c>
      <c r="J7" t="str">
        <f>IF($BJ10&gt;0,IF(INDEX('Final Calculation Sheet'!$I$4:$I$40,$BJ10-3)="","",INDEX('Final Calculation Sheet'!$I$4:$I$40,$BJ10-3)),IF(OR($BI10=1,$BL10=1,$BH10&gt;0),IF($BI10=1,SUM('Final Calculation Sheet'!$I$4:$I$40),IF($BL10=1,SUM('Final Calculation Sheet'!$I$4:$I$40)-SUMIFS('Final Calculation Sheet'!$I$4:$I$40,$AZ$5:$AZ$41,10),SUMIFS('Final Calculation Sheet'!$I$4:$I$40,$AZ$5:$AZ$41,$BH10))),""))</f>
        <v/>
      </c>
      <c r="K7" t="str">
        <f>IF($BJ10&gt;0,IF(INDEX('Final Calculation Sheet'!$J$4:$J$40,$BJ10-3)="","",INDEX('Final Calculation Sheet'!$J$4:$J$40,$BJ10-3)),IF(OR($BI10=1,$BL10=1,$BH10&gt;0),IF($BI10=1,SUM('Final Calculation Sheet'!$J$4:$J$40),IF($BL10=1,SUM('Final Calculation Sheet'!$J$4:$J$40)-SUMIFS('Final Calculation Sheet'!$J$4:$J$40,$AZ$5:$AZ$41,10),SUMIFS('Final Calculation Sheet'!$J$4:$J$40,$AZ$5:$AZ$41,$BH10))),""))</f>
        <v/>
      </c>
      <c r="L7" t="str">
        <f>IF($BJ10&gt;0,IF(INDEX('Final Calculation Sheet'!$K$4:$K$40,$BJ10-3)="","",INDEX('Final Calculation Sheet'!$K$4:$K$40,$BJ10-3)),IF(OR($BI10=1,$BL10=1,$BH10&gt;0),IF($BI10=1,SUM('Final Calculation Sheet'!$K$4:$K$40),IF($BL10=1,SUM('Final Calculation Sheet'!$K$4:$K$40)-SUMIFS('Final Calculation Sheet'!$K$4:$K$40,$AZ$5:$AZ$41,10),SUMIFS('Final Calculation Sheet'!$K$4:$K$40,$AZ$5:$AZ$41,$BH10))),""))</f>
        <v/>
      </c>
      <c r="M7" t="str">
        <f>IF($BJ10&gt;0,IF(INDEX('Final Calculation Sheet'!$L$4:$L$40,$BJ10-3)="","",INDEX('Final Calculation Sheet'!$L$4:$L$40,$BJ10-3)),IF(OR($BI10=1,$BL10=1,$BH10&gt;0),IF($BI10=1,SUM('Final Calculation Sheet'!$L$4:$L$40),IF($BL10=1,SUM('Final Calculation Sheet'!$L$4:$L$40)-SUMIFS('Final Calculation Sheet'!$L$4:$L$40,$AZ$5:$AZ$41,10),SUMIFS('Final Calculation Sheet'!$L$4:$L$40,$AZ$5:$AZ$41,$BH10))),""))</f>
        <v/>
      </c>
      <c r="N7" t="str">
        <f>IF($BJ10&gt;0,IF(INDEX('Final Calculation Sheet'!$M$4:$M$40,$BJ10-3)="","",INDEX('Final Calculation Sheet'!$M$4:$M$40,$BJ10-3)),IF(OR($BI10=1,$BL10=1,$BH10&gt;0),IF($BI10=1,SUM('Final Calculation Sheet'!$M$4:$M$40),IF($BL10=1,SUM('Final Calculation Sheet'!$M$4:$M$40)-SUMIFS('Final Calculation Sheet'!$M$4:$M$40,$AZ$5:$AZ$41,10),SUMIFS('Final Calculation Sheet'!$M$4:$M$40,$AZ$5:$AZ$41,$BH10))),""))</f>
        <v/>
      </c>
      <c r="O7" t="str">
        <f>IF($BJ10&gt;0,IF(INDEX('Final Calculation Sheet'!$N$4:$N$40,$BJ10-3)="","",INDEX('Final Calculation Sheet'!$N$4:$N$40,$BJ10-3)),IF(OR($BI10=1,$BL10=1,$BH10&gt;0),IF($BI10=1,SUM('Final Calculation Sheet'!$N$4:$N$40),IF($BL10=1,SUM('Final Calculation Sheet'!$N$4:$N$40)-SUMIFS('Final Calculation Sheet'!$N$4:$N$40,$AZ$5:$AZ$41,10),SUMIFS('Final Calculation Sheet'!$N$4:$N$40,$AZ$5:$AZ$41,$BH10))),""))</f>
        <v/>
      </c>
      <c r="P7" t="str">
        <f>IF($BJ10&gt;0,IF(INDEX('Final Calculation Sheet'!$O$4:$O$40,$BJ10-3)="","",INDEX('Final Calculation Sheet'!$O$4:$O$40,$BJ10-3)),IF(OR($BI10=1,$BL10=1,$BH10&gt;0),IF($BI10=1,SUM('Final Calculation Sheet'!$O$4:$O$40),IF($BL10=1,SUM('Final Calculation Sheet'!$O$4:$O$40)-SUMIFS('Final Calculation Sheet'!$O$4:$O$40,$AZ$5:$AZ$41,10),SUMIFS('Final Calculation Sheet'!$O$4:$O$40,$AZ$5:$AZ$41,$BH10))),""))</f>
        <v/>
      </c>
      <c r="Q7" t="str">
        <f>IF($BJ10&gt;0,IF(INDEX('Final Calculation Sheet'!$P$4:$P$40,$BJ10-3)="","",INDEX('Final Calculation Sheet'!$P$4:$P$40,$BJ10-3)),IF(OR($BI10=1,$BL10=1,$BH10&gt;0),IF($BI10=1,SUM('Final Calculation Sheet'!$P$4:$P$40),IF($BL10=1,SUM('Final Calculation Sheet'!$P$4:$P$40)-SUMIFS('Final Calculation Sheet'!$P$4:$P$40,$AZ$5:$AZ$41,10),SUMIFS('Final Calculation Sheet'!$P$4:$P$40,$AZ$5:$AZ$41,$BH10))),""))</f>
        <v/>
      </c>
      <c r="R7" t="str">
        <f>IF($BJ10&gt;0,IF(INDEX('Final Calculation Sheet'!$Q$4:$Q$40,$BJ10-3)="","",INDEX('Final Calculation Sheet'!$Q$4:$Q$40,$BJ10-3)),IF(OR($BI10=1,$BL10=1,$BH10&gt;0),"–",""))</f>
        <v/>
      </c>
      <c r="S7" t="str">
        <f>IF($BJ10&gt;0,IF(INDEX('Final Calculation Sheet'!$R$4:$R$40,$BJ10-3)="","",INDEX('Final Calculation Sheet'!$R$4:$R$40,$BJ10-3)),IF(OR($BI10=1,$BL10=1,$BH10&gt;0),IF($BI10=1,SUM('Final Calculation Sheet'!$R$4:$R$40),IF($BL10=1,SUM('Final Calculation Sheet'!$R$4:$R$40)-SUMIFS('Final Calculation Sheet'!$R$4:$R$40,$AZ$5:$AZ$41,10),SUMIFS('Final Calculation Sheet'!$R$4:$R$40,$AZ$5:$AZ$41,$BH10))),""))</f>
        <v/>
      </c>
      <c r="T7" t="str">
        <f>IF($BJ10&gt;0,IF(INDEX('Final Calculation Sheet'!$S$4:$S$40,$BJ10-3)="","",INDEX('Final Calculation Sheet'!$S$4:$S$40,$BJ10-3)),IF(OR($BI10=1,$BL10=1,$BH10&gt;0),IF($BI10=1,SUM('Final Calculation Sheet'!$S$4:$S$40),IF($BL10=1,SUM('Final Calculation Sheet'!$S$4:$S$40)-SUMIFS('Final Calculation Sheet'!$S$4:$S$40,$AZ$5:$AZ$41,10),SUMIFS('Final Calculation Sheet'!$S$4:$S$40,$AZ$5:$AZ$41,$BH10))),""))</f>
        <v/>
      </c>
      <c r="U7" t="str">
        <f>IF($BJ10&gt;0,IF(INDEX('Final Calculation Sheet'!$T$4:$T$40,$BJ10-3)="","",INDEX('Final Calculation Sheet'!$T$4:$T$40,$BJ10-3)),IF(OR($BI10=1,$BL10=1,$BH10&gt;0),IF($BI10=1,SUM('Final Calculation Sheet'!$T$4:$T$40),IF($BL10=1,SUM('Final Calculation Sheet'!$T$4:$T$40)-SUMIFS('Final Calculation Sheet'!$T$4:$T$40,$AZ$5:$AZ$41,10),SUMIFS('Final Calculation Sheet'!$T$4:$T$40,$AZ$5:$AZ$41,$BH10))),""))</f>
        <v/>
      </c>
      <c r="V7" t="str">
        <f>IF($BJ10&gt;0,IF(INDEX('Final Calculation Sheet'!$U$4:$U$40,$BJ10-3)="","",INDEX('Final Calculation Sheet'!$U$4:$U$40,$BJ10-3)),IF(OR($BI10=1,$BL10=1,$BH10&gt;0),IF($BI10=1,SUM('Final Calculation Sheet'!$U$4:$U$40),IF($BL10=1,SUM('Final Calculation Sheet'!$U$4:$U$40)-SUMIFS('Final Calculation Sheet'!$U$4:$U$40,$AZ$5:$AZ$41,10),SUMIFS('Final Calculation Sheet'!$U$4:$U$40,$AZ$5:$AZ$41,$BH10))),""))</f>
        <v/>
      </c>
      <c r="W7" t="str">
        <f>IF($BJ10&gt;0,IF(INDEX('Final Calculation Sheet'!$V$4:$V$40,$BJ10-3)="","",INDEX('Final Calculation Sheet'!$V$4:$V$40,$BJ10-3)),IF(OR($BI10=1,$BL10=1,$BH10&gt;0),"–",""))</f>
        <v/>
      </c>
      <c r="X7" t="str">
        <f>IF($BJ10&gt;0,IF(INDEX('Final Calculation Sheet'!$W$4:$W$40,$BJ10-3)="","",INDEX('Final Calculation Sheet'!$W$4:$W$40,$BJ10-3)),IF(OR($BI10=1,$BL10=1,$BH10&gt;0),IF($BI10=1,SUM('Final Calculation Sheet'!$W$4:$W$40),IF($BL10=1,SUM('Final Calculation Sheet'!$W$4:$W$40)-SUMIFS('Final Calculation Sheet'!$W$4:$W$40,$AZ$5:$AZ$41,10),SUMIFS('Final Calculation Sheet'!$W$4:$W$40,$AZ$5:$AZ$41,$BH10))),""))</f>
        <v/>
      </c>
      <c r="Y7" t="str">
        <f>IF($BJ10&gt;0,IF(INDEX('Final Calculation Sheet'!$X$4:$X$40,$BJ10-3)="","",INDEX('Final Calculation Sheet'!$X$4:$X$40,$BJ10-3)),IF(OR($BI10=1,$BL10=1,$BH10&gt;0),IF($BI10=1,SUM('Final Calculation Sheet'!$X$4:$X$40),IF($BL10=1,SUM('Final Calculation Sheet'!$X$4:$X$40)-SUMIFS('Final Calculation Sheet'!$X$4:$X$40,$AZ$5:$AZ$41,10),SUMIFS('Final Calculation Sheet'!$X$4:$X$40,$AZ$5:$AZ$41,$BH10))),""))</f>
        <v/>
      </c>
      <c r="Z7" t="str">
        <f>IF($BJ10&gt;0,IF(INDEX('Final Calculation Sheet'!$Y$4:$Y$40,$BJ10-3)="","",INDEX('Final Calculation Sheet'!$Y$4:$Y$40,$BJ10-3)),IF(OR($BI10=1,$BL10=1,$BH10&gt;0),"–",""))</f>
        <v/>
      </c>
      <c r="AA7" t="str">
        <f>IF($BJ10&gt;0,IF(INDEX('Final Calculation Sheet'!$Z$4:$Z$40,$BJ10-3)="","",INDEX('Final Calculation Sheet'!$Z$4:$Z$40,$BJ10-3)),IF(OR($BI10=1,$BL10=1,$BH10&gt;0),IF($BI10=1,SUM('Final Calculation Sheet'!$Z$4:$Z$40),IF($BL10=1,SUM('Final Calculation Sheet'!$Z$4:$Z$40)-SUMIFS('Final Calculation Sheet'!$Z$4:$Z$40,$AZ$5:$AZ$41,10),SUMIFS('Final Calculation Sheet'!$Z$4:$Z$40,$AZ$5:$AZ$41,$BH10))),""))</f>
        <v/>
      </c>
      <c r="AB7" t="str">
        <f>IF($BJ10&gt;0,IF(INDEX('Final Calculation Sheet'!$AA$4:$AA$40,$BJ10-3)="","",INDEX('Final Calculation Sheet'!$AA$4:$AA$40,$BJ10-3)),IF(OR($BI10=1,$BL10=1,$BH10&gt;0),IF($BI10=1,SUM('Final Calculation Sheet'!$AA$4:$AA$40),IF($BL10=1,SUM('Final Calculation Sheet'!$AA$4:$AA$40)-SUMIFS('Final Calculation Sheet'!$AA$4:$AA$40,$AZ$5:$AZ$41,10),SUMIFS('Final Calculation Sheet'!$AA$4:$AA$40,$AZ$5:$AZ$41,$BH10))),""))</f>
        <v/>
      </c>
      <c r="AC7" t="str">
        <f>IF($BJ10&gt;0,IF(INDEX('Final Calculation Sheet'!$AB$4:$AB$40,$BJ10-3)="","",INDEX('Final Calculation Sheet'!$AB$4:$AB$40,$BJ10-3)),IF(OR($BI10=1,$BL10=1,$BH10&gt;0),"–",""))</f>
        <v/>
      </c>
      <c r="AD7" t="str">
        <f>IF($BJ10&gt;0,IF(INDEX('Final Calculation Sheet'!$AC$4:$AC$40,$BJ10-3)="","",INDEX('Final Calculation Sheet'!$AC$4:$AC$40,$BJ10-3)),IF(OR($BI10=1,$BL10=1,$BH10&gt;0),IF($BI10=1,SUM('Final Calculation Sheet'!$AC$4:$AC$40),IF($BL10=1,SUM('Final Calculation Sheet'!$AC$4:$AC$40)-SUMIFS('Final Calculation Sheet'!$AC$4:$AC$40,$AZ$5:$AZ$41,10),SUMIFS('Final Calculation Sheet'!$AC$4:$AC$40,$AZ$5:$AZ$41,$BH10))),""))</f>
        <v/>
      </c>
      <c r="AE7" t="str">
        <f>IF($BJ10&gt;0,IF(INDEX('Final Calculation Sheet'!$AD$4:$AD$40,$BJ10-3)="","",INDEX('Final Calculation Sheet'!$AD$4:$AD$40,$BJ10-3)),IF(OR($BI10=1,$BL10=1,$BH10&gt;0),IF($BI10=1,SUM('Final Calculation Sheet'!$AD$4:$AD$40),IF($BL10=1,SUM('Final Calculation Sheet'!$AD$4:$AD$40)-SUMIFS('Final Calculation Sheet'!$AD$4:$AD$40,$AZ$5:$AZ$41,10),SUMIFS('Final Calculation Sheet'!$AD$4:$AD$40,$AZ$5:$AZ$41,$BH10))),""))</f>
        <v/>
      </c>
      <c r="AF7" t="str">
        <f>IF($BJ10&gt;0,IF(INDEX('Final Calculation Sheet'!$AE$4:$AE$40,$BJ10-3)="","",INDEX('Final Calculation Sheet'!$AE$4:$AE$40,$BJ10-3)),IF(OR($BI10=1,$BL10=1,$BH10&gt;0),"–",""))</f>
        <v/>
      </c>
      <c r="AG7" t="str">
        <f>IF($BJ10&gt;0,IF(INDEX('Final Calculation Sheet'!$AF$4:$AF$40,$BJ10-3)="","",INDEX('Final Calculation Sheet'!$AF$4:$AF$40,$BJ10-3)),IF(OR($BI10=1,$BL10=1,$BH10&gt;0),"–",""))</f>
        <v/>
      </c>
      <c r="AH7" t="str">
        <f>IF($BJ10&gt;0,IF(INDEX('Final Calculation Sheet'!$AG$4:$AG$40,$BJ10-3)="","",INDEX('Final Calculation Sheet'!$AG$4:$AG$40,$BJ10-3)),IF(OR($BI10=1,$BL10=1,$BH10&gt;0),"–",""))</f>
        <v/>
      </c>
      <c r="AI7" t="str">
        <f>IF($BJ10&gt;0,IF(INDEX('Final Calculation Sheet'!$AD$4:$AD$40,$BJ10-3)="","",IF(INDEX('Final Calculation Sheet'!$AD$4:$AD$40,$BJ10-3)&lt;=5,"SETTLED","OUTSTANDING")),IF(OR($BI10=1,$BL10=1,$BH10&gt;0),IF(IF($BI10=1,SUM('Final Calculation Sheet'!$AD$4:$AD$40),IF($BL10=1,SUM('Final Calculation Sheet'!$AD$4:$AD$40)-SUMIFS('Final Calculation Sheet'!$AD$4:$AD$40,$AZ$5:$AZ$41,10),SUMIFS('Final Calculation Sheet'!$AD$4:$AD$40,$AZ$5:$AZ$41,$BH10)))&lt;=5,"ALL SETTLED","OUTSTANDING"),""))</f>
        <v/>
      </c>
    </row>
    <row r="8">
      <c r="A8" t="str">
        <f>IF($BJ11&gt;0,INDEX($BA$5:$BA$41,MATCH(11,$BB$5:$BB$41,0)),IF(OR($BI11=1,$BL11=1,$BH11&gt;0),"∑",""))</f>
        <v/>
      </c>
      <c r="B8" t="str">
        <f>IF($BJ11&gt;0,IF(INDEX('Final Calculation Sheet'!$F$4:$F$40,$BJ11-3)="","",INDEX('Final Calculation Sheet'!$F$4:$F$40,$BJ11-3)),"")</f>
        <v/>
      </c>
      <c r="C8" t="str">
        <f>IF($BJ11&gt;0,IF(INDEX('Final Calculation Sheet'!$G$4:$G$40,$BJ11-3)="","",INDEX('Final Calculation Sheet'!$G$4:$G$40,$BJ11-3)),IF(OR($BI11=1,$BL11=1,$BH11&gt;0),IF($BI11=1,37,IF($BL11=1,37-INDEX($BD$4:$BD$13,10),INDEX($BD$4:$BD$13,$BH11)))&amp;" lot(s)",""))</f>
        <v/>
      </c>
      <c r="D8" t="str">
        <f>IF($BJ11&gt;0,IF(INDEX('Final Calculation Sheet'!$B$4:$B$40,$BJ11-3)="","",INDEX('Final Calculation Sheet'!$B$4:$B$40,$BJ11-3)),IF(OR($BI11=1,$BL11=1,$BH11&gt;0),IF($BI11=1,"GRAND TOTAL  —  matching + remaining",IF($BL11=1,"TOTAL MATCHED  —  every group together",IF($BH11=10,"REMAINING  —  did not match the search",IF($BH11=9,IF(COUNTIF($A$4:$AI$4,"&lt;&gt;")&gt;0,"FILTERED LOTS  —  column fields","ALL LOTS  —  nothing typed in the box"),"GROUP "&amp;$BH11&amp;" TOTAL  —  lots matching  "&amp;INDEX($AR$6:$AY$6,$BH11))))),""))</f>
        <v/>
      </c>
      <c r="E8" t="str">
        <f>IF($BJ11&gt;0,IF(INDEX('Final Calculation Sheet'!$D$4:$D$40,$BJ11-3)="","",INDEX('Final Calculation Sheet'!$D$4:$D$40,$BJ11-3)),IF(OR($BI11=1,$BL11=1,$BH11&gt;0),"–",""))</f>
        <v/>
      </c>
      <c r="F8" t="str">
        <f>IF($BJ11&gt;0,IF(INDEX('Final Calculation Sheet'!$A$4:$A$40,$BJ11-3)="","",INDEX('Final Calculation Sheet'!$A$4:$A$40,$BJ11-3)),IF(OR($BI11=1,$BL11=1,$BH11&gt;0),IF($BI11=1,SUM('Final Calculation Sheet'!$A$4:$A$40),IF($BL11=1,SUM('Final Calculation Sheet'!$A$4:$A$40)-SUMIFS('Final Calculation Sheet'!$A$4:$A$40,$AZ$5:$AZ$41,10),SUMIFS('Final Calculation Sheet'!$A$4:$A$40,$AZ$5:$AZ$41,$BH11))),""))</f>
        <v/>
      </c>
      <c r="G8" t="str">
        <f>IF($BJ11&gt;0,IF(INDEX('Final Calculation Sheet'!$E$4:$E$40,$BJ11-3)="","",INDEX('Final Calculation Sheet'!$E$4:$E$40,$BJ11-3)),IF(OR($BI11=1,$BL11=1,$BH11&gt;0),"–",""))</f>
        <v/>
      </c>
      <c r="H8" t="str">
        <f>IF($BJ11&gt;0,IF(INDEX('Final Calculation Sheet'!$C$4:$C$40,$BJ11-3)="","",INDEX('Final Calculation Sheet'!$C$4:$C$40,$BJ11-3)),IF(OR($BI11=1,$BL11=1,$BH11&gt;0),"–",""))</f>
        <v/>
      </c>
      <c r="I8" t="str">
        <f>IF($BJ11&gt;0,IF(INDEX('Final Calculation Sheet'!$H$4:$H$40,$BJ11-3)="","",INDEX('Final Calculation Sheet'!$H$4:$H$40,$BJ11-3)),IF(OR($BI11=1,$BL11=1,$BH11&gt;0),IF($BI11=1,SUM('Final Calculation Sheet'!$H$4:$H$40),IF($BL11=1,SUM('Final Calculation Sheet'!$H$4:$H$40)-SUMIFS('Final Calculation Sheet'!$H$4:$H$40,$AZ$5:$AZ$41,10),SUMIFS('Final Calculation Sheet'!$H$4:$H$40,$AZ$5:$AZ$41,$BH11))),""))</f>
        <v/>
      </c>
      <c r="J8" t="str">
        <f>IF($BJ11&gt;0,IF(INDEX('Final Calculation Sheet'!$I$4:$I$40,$BJ11-3)="","",INDEX('Final Calculation Sheet'!$I$4:$I$40,$BJ11-3)),IF(OR($BI11=1,$BL11=1,$BH11&gt;0),IF($BI11=1,SUM('Final Calculation Sheet'!$I$4:$I$40),IF($BL11=1,SUM('Final Calculation Sheet'!$I$4:$I$40)-SUMIFS('Final Calculation Sheet'!$I$4:$I$40,$AZ$5:$AZ$41,10),SUMIFS('Final Calculation Sheet'!$I$4:$I$40,$AZ$5:$AZ$41,$BH11))),""))</f>
        <v/>
      </c>
      <c r="K8" t="str">
        <f>IF($BJ11&gt;0,IF(INDEX('Final Calculation Sheet'!$J$4:$J$40,$BJ11-3)="","",INDEX('Final Calculation Sheet'!$J$4:$J$40,$BJ11-3)),IF(OR($BI11=1,$BL11=1,$BH11&gt;0),IF($BI11=1,SUM('Final Calculation Sheet'!$J$4:$J$40),IF($BL11=1,SUM('Final Calculation Sheet'!$J$4:$J$40)-SUMIFS('Final Calculation Sheet'!$J$4:$J$40,$AZ$5:$AZ$41,10),SUMIFS('Final Calculation Sheet'!$J$4:$J$40,$AZ$5:$AZ$41,$BH11))),""))</f>
        <v/>
      </c>
      <c r="L8" t="str">
        <f>IF($BJ11&gt;0,IF(INDEX('Final Calculation Sheet'!$K$4:$K$40,$BJ11-3)="","",INDEX('Final Calculation Sheet'!$K$4:$K$40,$BJ11-3)),IF(OR($BI11=1,$BL11=1,$BH11&gt;0),IF($BI11=1,SUM('Final Calculation Sheet'!$K$4:$K$40),IF($BL11=1,SUM('Final Calculation Sheet'!$K$4:$K$40)-SUMIFS('Final Calculation Sheet'!$K$4:$K$40,$AZ$5:$AZ$41,10),SUMIFS('Final Calculation Sheet'!$K$4:$K$40,$AZ$5:$AZ$41,$BH11))),""))</f>
        <v/>
      </c>
      <c r="M8" t="str">
        <f>IF($BJ11&gt;0,IF(INDEX('Final Calculation Sheet'!$L$4:$L$40,$BJ11-3)="","",INDEX('Final Calculation Sheet'!$L$4:$L$40,$BJ11-3)),IF(OR($BI11=1,$BL11=1,$BH11&gt;0),IF($BI11=1,SUM('Final Calculation Sheet'!$L$4:$L$40),IF($BL11=1,SUM('Final Calculation Sheet'!$L$4:$L$40)-SUMIFS('Final Calculation Sheet'!$L$4:$L$40,$AZ$5:$AZ$41,10),SUMIFS('Final Calculation Sheet'!$L$4:$L$40,$AZ$5:$AZ$41,$BH11))),""))</f>
        <v/>
      </c>
      <c r="N8" t="str">
        <f>IF($BJ11&gt;0,IF(INDEX('Final Calculation Sheet'!$M$4:$M$40,$BJ11-3)="","",INDEX('Final Calculation Sheet'!$M$4:$M$40,$BJ11-3)),IF(OR($BI11=1,$BL11=1,$BH11&gt;0),IF($BI11=1,SUM('Final Calculation Sheet'!$M$4:$M$40),IF($BL11=1,SUM('Final Calculation Sheet'!$M$4:$M$40)-SUMIFS('Final Calculation Sheet'!$M$4:$M$40,$AZ$5:$AZ$41,10),SUMIFS('Final Calculation Sheet'!$M$4:$M$40,$AZ$5:$AZ$41,$BH11))),""))</f>
        <v/>
      </c>
      <c r="O8" t="str">
        <f>IF($BJ11&gt;0,IF(INDEX('Final Calculation Sheet'!$N$4:$N$40,$BJ11-3)="","",INDEX('Final Calculation Sheet'!$N$4:$N$40,$BJ11-3)),IF(OR($BI11=1,$BL11=1,$BH11&gt;0),IF($BI11=1,SUM('Final Calculation Sheet'!$N$4:$N$40),IF($BL11=1,SUM('Final Calculation Sheet'!$N$4:$N$40)-SUMIFS('Final Calculation Sheet'!$N$4:$N$40,$AZ$5:$AZ$41,10),SUMIFS('Final Calculation Sheet'!$N$4:$N$40,$AZ$5:$AZ$41,$BH11))),""))</f>
        <v/>
      </c>
      <c r="P8" t="str">
        <f>IF($BJ11&gt;0,IF(INDEX('Final Calculation Sheet'!$O$4:$O$40,$BJ11-3)="","",INDEX('Final Calculation Sheet'!$O$4:$O$40,$BJ11-3)),IF(OR($BI11=1,$BL11=1,$BH11&gt;0),IF($BI11=1,SUM('Final Calculation Sheet'!$O$4:$O$40),IF($BL11=1,SUM('Final Calculation Sheet'!$O$4:$O$40)-SUMIFS('Final Calculation Sheet'!$O$4:$O$40,$AZ$5:$AZ$41,10),SUMIFS('Final Calculation Sheet'!$O$4:$O$40,$AZ$5:$AZ$41,$BH11))),""))</f>
        <v/>
      </c>
      <c r="Q8" t="str">
        <f>IF($BJ11&gt;0,IF(INDEX('Final Calculation Sheet'!$P$4:$P$40,$BJ11-3)="","",INDEX('Final Calculation Sheet'!$P$4:$P$40,$BJ11-3)),IF(OR($BI11=1,$BL11=1,$BH11&gt;0),IF($BI11=1,SUM('Final Calculation Sheet'!$P$4:$P$40),IF($BL11=1,SUM('Final Calculation Sheet'!$P$4:$P$40)-SUMIFS('Final Calculation Sheet'!$P$4:$P$40,$AZ$5:$AZ$41,10),SUMIFS('Final Calculation Sheet'!$P$4:$P$40,$AZ$5:$AZ$41,$BH11))),""))</f>
        <v/>
      </c>
      <c r="R8" t="str">
        <f>IF($BJ11&gt;0,IF(INDEX('Final Calculation Sheet'!$Q$4:$Q$40,$BJ11-3)="","",INDEX('Final Calculation Sheet'!$Q$4:$Q$40,$BJ11-3)),IF(OR($BI11=1,$BL11=1,$BH11&gt;0),"–",""))</f>
        <v/>
      </c>
      <c r="S8" t="str">
        <f>IF($BJ11&gt;0,IF(INDEX('Final Calculation Sheet'!$R$4:$R$40,$BJ11-3)="","",INDEX('Final Calculation Sheet'!$R$4:$R$40,$BJ11-3)),IF(OR($BI11=1,$BL11=1,$BH11&gt;0),IF($BI11=1,SUM('Final Calculation Sheet'!$R$4:$R$40),IF($BL11=1,SUM('Final Calculation Sheet'!$R$4:$R$40)-SUMIFS('Final Calculation Sheet'!$R$4:$R$40,$AZ$5:$AZ$41,10),SUMIFS('Final Calculation Sheet'!$R$4:$R$40,$AZ$5:$AZ$41,$BH11))),""))</f>
        <v/>
      </c>
      <c r="T8" t="str">
        <f>IF($BJ11&gt;0,IF(INDEX('Final Calculation Sheet'!$S$4:$S$40,$BJ11-3)="","",INDEX('Final Calculation Sheet'!$S$4:$S$40,$BJ11-3)),IF(OR($BI11=1,$BL11=1,$BH11&gt;0),IF($BI11=1,SUM('Final Calculation Sheet'!$S$4:$S$40),IF($BL11=1,SUM('Final Calculation Sheet'!$S$4:$S$40)-SUMIFS('Final Calculation Sheet'!$S$4:$S$40,$AZ$5:$AZ$41,10),SUMIFS('Final Calculation Sheet'!$S$4:$S$40,$AZ$5:$AZ$41,$BH11))),""))</f>
        <v/>
      </c>
      <c r="U8" t="str">
        <f>IF($BJ11&gt;0,IF(INDEX('Final Calculation Sheet'!$T$4:$T$40,$BJ11-3)="","",INDEX('Final Calculation Sheet'!$T$4:$T$40,$BJ11-3)),IF(OR($BI11=1,$BL11=1,$BH11&gt;0),IF($BI11=1,SUM('Final Calculation Sheet'!$T$4:$T$40),IF($BL11=1,SUM('Final Calculation Sheet'!$T$4:$T$40)-SUMIFS('Final Calculation Sheet'!$T$4:$T$40,$AZ$5:$AZ$41,10),SUMIFS('Final Calculation Sheet'!$T$4:$T$40,$AZ$5:$AZ$41,$BH11))),""))</f>
        <v/>
      </c>
      <c r="V8" t="str">
        <f>IF($BJ11&gt;0,IF(INDEX('Final Calculation Sheet'!$U$4:$U$40,$BJ11-3)="","",INDEX('Final Calculation Sheet'!$U$4:$U$40,$BJ11-3)),IF(OR($BI11=1,$BL11=1,$BH11&gt;0),IF($BI11=1,SUM('Final Calculation Sheet'!$U$4:$U$40),IF($BL11=1,SUM('Final Calculation Sheet'!$U$4:$U$40)-SUMIFS('Final Calculation Sheet'!$U$4:$U$40,$AZ$5:$AZ$41,10),SUMIFS('Final Calculation Sheet'!$U$4:$U$40,$AZ$5:$AZ$41,$BH11))),""))</f>
        <v/>
      </c>
      <c r="W8" t="str">
        <f>IF($BJ11&gt;0,IF(INDEX('Final Calculation Sheet'!$V$4:$V$40,$BJ11-3)="","",INDEX('Final Calculation Sheet'!$V$4:$V$40,$BJ11-3)),IF(OR($BI11=1,$BL11=1,$BH11&gt;0),"–",""))</f>
        <v/>
      </c>
      <c r="X8" t="str">
        <f>IF($BJ11&gt;0,IF(INDEX('Final Calculation Sheet'!$W$4:$W$40,$BJ11-3)="","",INDEX('Final Calculation Sheet'!$W$4:$W$40,$BJ11-3)),IF(OR($BI11=1,$BL11=1,$BH11&gt;0),IF($BI11=1,SUM('Final Calculation Sheet'!$W$4:$W$40),IF($BL11=1,SUM('Final Calculation Sheet'!$W$4:$W$40)-SUMIFS('Final Calculation Sheet'!$W$4:$W$40,$AZ$5:$AZ$41,10),SUMIFS('Final Calculation Sheet'!$W$4:$W$40,$AZ$5:$AZ$41,$BH11))),""))</f>
        <v/>
      </c>
      <c r="Y8" t="str">
        <f>IF($BJ11&gt;0,IF(INDEX('Final Calculation Sheet'!$X$4:$X$40,$BJ11-3)="","",INDEX('Final Calculation Sheet'!$X$4:$X$40,$BJ11-3)),IF(OR($BI11=1,$BL11=1,$BH11&gt;0),IF($BI11=1,SUM('Final Calculation Sheet'!$X$4:$X$40),IF($BL11=1,SUM('Final Calculation Sheet'!$X$4:$X$40)-SUMIFS('Final Calculation Sheet'!$X$4:$X$40,$AZ$5:$AZ$41,10),SUMIFS('Final Calculation Sheet'!$X$4:$X$40,$AZ$5:$AZ$41,$BH11))),""))</f>
        <v/>
      </c>
      <c r="Z8" t="str">
        <f>IF($BJ11&gt;0,IF(INDEX('Final Calculation Sheet'!$Y$4:$Y$40,$BJ11-3)="","",INDEX('Final Calculation Sheet'!$Y$4:$Y$40,$BJ11-3)),IF(OR($BI11=1,$BL11=1,$BH11&gt;0),"–",""))</f>
        <v/>
      </c>
      <c r="AA8" t="str">
        <f>IF($BJ11&gt;0,IF(INDEX('Final Calculation Sheet'!$Z$4:$Z$40,$BJ11-3)="","",INDEX('Final Calculation Sheet'!$Z$4:$Z$40,$BJ11-3)),IF(OR($BI11=1,$BL11=1,$BH11&gt;0),IF($BI11=1,SUM('Final Calculation Sheet'!$Z$4:$Z$40),IF($BL11=1,SUM('Final Calculation Sheet'!$Z$4:$Z$40)-SUMIFS('Final Calculation Sheet'!$Z$4:$Z$40,$AZ$5:$AZ$41,10),SUMIFS('Final Calculation Sheet'!$Z$4:$Z$40,$AZ$5:$AZ$41,$BH11))),""))</f>
        <v/>
      </c>
      <c r="AB8" t="str">
        <f>IF($BJ11&gt;0,IF(INDEX('Final Calculation Sheet'!$AA$4:$AA$40,$BJ11-3)="","",INDEX('Final Calculation Sheet'!$AA$4:$AA$40,$BJ11-3)),IF(OR($BI11=1,$BL11=1,$BH11&gt;0),IF($BI11=1,SUM('Final Calculation Sheet'!$AA$4:$AA$40),IF($BL11=1,SUM('Final Calculation Sheet'!$AA$4:$AA$40)-SUMIFS('Final Calculation Sheet'!$AA$4:$AA$40,$AZ$5:$AZ$41,10),SUMIFS('Final Calculation Sheet'!$AA$4:$AA$40,$AZ$5:$AZ$41,$BH11))),""))</f>
        <v/>
      </c>
      <c r="AC8" t="str">
        <f>IF($BJ11&gt;0,IF(INDEX('Final Calculation Sheet'!$AB$4:$AB$40,$BJ11-3)="","",INDEX('Final Calculation Sheet'!$AB$4:$AB$40,$BJ11-3)),IF(OR($BI11=1,$BL11=1,$BH11&gt;0),"–",""))</f>
        <v/>
      </c>
      <c r="AD8" t="str">
        <f>IF($BJ11&gt;0,IF(INDEX('Final Calculation Sheet'!$AC$4:$AC$40,$BJ11-3)="","",INDEX('Final Calculation Sheet'!$AC$4:$AC$40,$BJ11-3)),IF(OR($BI11=1,$BL11=1,$BH11&gt;0),IF($BI11=1,SUM('Final Calculation Sheet'!$AC$4:$AC$40),IF($BL11=1,SUM('Final Calculation Sheet'!$AC$4:$AC$40)-SUMIFS('Final Calculation Sheet'!$AC$4:$AC$40,$AZ$5:$AZ$41,10),SUMIFS('Final Calculation Sheet'!$AC$4:$AC$40,$AZ$5:$AZ$41,$BH11))),""))</f>
        <v/>
      </c>
      <c r="AE8" t="str">
        <f>IF($BJ11&gt;0,IF(INDEX('Final Calculation Sheet'!$AD$4:$AD$40,$BJ11-3)="","",INDEX('Final Calculation Sheet'!$AD$4:$AD$40,$BJ11-3)),IF(OR($BI11=1,$BL11=1,$BH11&gt;0),IF($BI11=1,SUM('Final Calculation Sheet'!$AD$4:$AD$40),IF($BL11=1,SUM('Final Calculation Sheet'!$AD$4:$AD$40)-SUMIFS('Final Calculation Sheet'!$AD$4:$AD$40,$AZ$5:$AZ$41,10),SUMIFS('Final Calculation Sheet'!$AD$4:$AD$40,$AZ$5:$AZ$41,$BH11))),""))</f>
        <v/>
      </c>
      <c r="AF8" t="str">
        <f>IF($BJ11&gt;0,IF(INDEX('Final Calculation Sheet'!$AE$4:$AE$40,$BJ11-3)="","",INDEX('Final Calculation Sheet'!$AE$4:$AE$40,$BJ11-3)),IF(OR($BI11=1,$BL11=1,$BH11&gt;0),"–",""))</f>
        <v/>
      </c>
      <c r="AG8" t="str">
        <f>IF($BJ11&gt;0,IF(INDEX('Final Calculation Sheet'!$AF$4:$AF$40,$BJ11-3)="","",INDEX('Final Calculation Sheet'!$AF$4:$AF$40,$BJ11-3)),IF(OR($BI11=1,$BL11=1,$BH11&gt;0),"–",""))</f>
        <v/>
      </c>
      <c r="AH8" t="str">
        <f>IF($BJ11&gt;0,IF(INDEX('Final Calculation Sheet'!$AG$4:$AG$40,$BJ11-3)="","",INDEX('Final Calculation Sheet'!$AG$4:$AG$40,$BJ11-3)),IF(OR($BI11=1,$BL11=1,$BH11&gt;0),"–",""))</f>
        <v/>
      </c>
      <c r="AI8" t="str">
        <f>IF($BJ11&gt;0,IF(INDEX('Final Calculation Sheet'!$AD$4:$AD$40,$BJ11-3)="","",IF(INDEX('Final Calculation Sheet'!$AD$4:$AD$40,$BJ11-3)&lt;=5,"SETTLED","OUTSTANDING")),IF(OR($BI11=1,$BL11=1,$BH11&gt;0),IF(IF($BI11=1,SUM('Final Calculation Sheet'!$AD$4:$AD$40),IF($BL11=1,SUM('Final Calculation Sheet'!$AD$4:$AD$40)-SUMIFS('Final Calculation Sheet'!$AD$4:$AD$40,$AZ$5:$AZ$41,10),SUMIFS('Final Calculation Sheet'!$AD$4:$AD$40,$AZ$5:$AZ$41,$BH11)))&lt;=5,"ALL SETTLED","OUTSTANDING"),""))</f>
        <v/>
      </c>
    </row>
    <row r="9">
      <c r="A9" t="str">
        <f>IF($BJ12&gt;0,INDEX($BA$5:$BA$41,MATCH(12,$BB$5:$BB$41,0)),IF(OR($BI12=1,$BL12=1,$BH12&gt;0),"∑",""))</f>
        <v/>
      </c>
      <c r="B9" t="str">
        <f>IF($BJ12&gt;0,IF(INDEX('Final Calculation Sheet'!$F$4:$F$40,$BJ12-3)="","",INDEX('Final Calculation Sheet'!$F$4:$F$40,$BJ12-3)),"")</f>
        <v/>
      </c>
      <c r="C9" t="str">
        <f>IF($BJ12&gt;0,IF(INDEX('Final Calculation Sheet'!$G$4:$G$40,$BJ12-3)="","",INDEX('Final Calculation Sheet'!$G$4:$G$40,$BJ12-3)),IF(OR($BI12=1,$BL12=1,$BH12&gt;0),IF($BI12=1,37,IF($BL12=1,37-INDEX($BD$4:$BD$13,10),INDEX($BD$4:$BD$13,$BH12)))&amp;" lot(s)",""))</f>
        <v/>
      </c>
      <c r="D9" t="str">
        <f>IF($BJ12&gt;0,IF(INDEX('Final Calculation Sheet'!$B$4:$B$40,$BJ12-3)="","",INDEX('Final Calculation Sheet'!$B$4:$B$40,$BJ12-3)),IF(OR($BI12=1,$BL12=1,$BH12&gt;0),IF($BI12=1,"GRAND TOTAL  —  matching + remaining",IF($BL12=1,"TOTAL MATCHED  —  every group together",IF($BH12=10,"REMAINING  —  did not match the search",IF($BH12=9,IF(COUNTIF($A$4:$AI$4,"&lt;&gt;")&gt;0,"FILTERED LOTS  —  column fields","ALL LOTS  —  nothing typed in the box"),"GROUP "&amp;$BH12&amp;" TOTAL  —  lots matching  "&amp;INDEX($AR$6:$AY$6,$BH12))))),""))</f>
        <v/>
      </c>
      <c r="E9" t="str">
        <f>IF($BJ12&gt;0,IF(INDEX('Final Calculation Sheet'!$D$4:$D$40,$BJ12-3)="","",INDEX('Final Calculation Sheet'!$D$4:$D$40,$BJ12-3)),IF(OR($BI12=1,$BL12=1,$BH12&gt;0),"–",""))</f>
        <v/>
      </c>
      <c r="F9" t="str">
        <f>IF($BJ12&gt;0,IF(INDEX('Final Calculation Sheet'!$A$4:$A$40,$BJ12-3)="","",INDEX('Final Calculation Sheet'!$A$4:$A$40,$BJ12-3)),IF(OR($BI12=1,$BL12=1,$BH12&gt;0),IF($BI12=1,SUM('Final Calculation Sheet'!$A$4:$A$40),IF($BL12=1,SUM('Final Calculation Sheet'!$A$4:$A$40)-SUMIFS('Final Calculation Sheet'!$A$4:$A$40,$AZ$5:$AZ$41,10),SUMIFS('Final Calculation Sheet'!$A$4:$A$40,$AZ$5:$AZ$41,$BH12))),""))</f>
        <v/>
      </c>
      <c r="G9" t="str">
        <f>IF($BJ12&gt;0,IF(INDEX('Final Calculation Sheet'!$E$4:$E$40,$BJ12-3)="","",INDEX('Final Calculation Sheet'!$E$4:$E$40,$BJ12-3)),IF(OR($BI12=1,$BL12=1,$BH12&gt;0),"–",""))</f>
        <v/>
      </c>
      <c r="H9" t="str">
        <f>IF($BJ12&gt;0,IF(INDEX('Final Calculation Sheet'!$C$4:$C$40,$BJ12-3)="","",INDEX('Final Calculation Sheet'!$C$4:$C$40,$BJ12-3)),IF(OR($BI12=1,$BL12=1,$BH12&gt;0),"–",""))</f>
        <v/>
      </c>
      <c r="I9" t="str">
        <f>IF($BJ12&gt;0,IF(INDEX('Final Calculation Sheet'!$H$4:$H$40,$BJ12-3)="","",INDEX('Final Calculation Sheet'!$H$4:$H$40,$BJ12-3)),IF(OR($BI12=1,$BL12=1,$BH12&gt;0),IF($BI12=1,SUM('Final Calculation Sheet'!$H$4:$H$40),IF($BL12=1,SUM('Final Calculation Sheet'!$H$4:$H$40)-SUMIFS('Final Calculation Sheet'!$H$4:$H$40,$AZ$5:$AZ$41,10),SUMIFS('Final Calculation Sheet'!$H$4:$H$40,$AZ$5:$AZ$41,$BH12))),""))</f>
        <v/>
      </c>
      <c r="J9" t="str">
        <f>IF($BJ12&gt;0,IF(INDEX('Final Calculation Sheet'!$I$4:$I$40,$BJ12-3)="","",INDEX('Final Calculation Sheet'!$I$4:$I$40,$BJ12-3)),IF(OR($BI12=1,$BL12=1,$BH12&gt;0),IF($BI12=1,SUM('Final Calculation Sheet'!$I$4:$I$40),IF($BL12=1,SUM('Final Calculation Sheet'!$I$4:$I$40)-SUMIFS('Final Calculation Sheet'!$I$4:$I$40,$AZ$5:$AZ$41,10),SUMIFS('Final Calculation Sheet'!$I$4:$I$40,$AZ$5:$AZ$41,$BH12))),""))</f>
        <v/>
      </c>
      <c r="K9" t="str">
        <f>IF($BJ12&gt;0,IF(INDEX('Final Calculation Sheet'!$J$4:$J$40,$BJ12-3)="","",INDEX('Final Calculation Sheet'!$J$4:$J$40,$BJ12-3)),IF(OR($BI12=1,$BL12=1,$BH12&gt;0),IF($BI12=1,SUM('Final Calculation Sheet'!$J$4:$J$40),IF($BL12=1,SUM('Final Calculation Sheet'!$J$4:$J$40)-SUMIFS('Final Calculation Sheet'!$J$4:$J$40,$AZ$5:$AZ$41,10),SUMIFS('Final Calculation Sheet'!$J$4:$J$40,$AZ$5:$AZ$41,$BH12))),""))</f>
        <v/>
      </c>
      <c r="L9" t="str">
        <f>IF($BJ12&gt;0,IF(INDEX('Final Calculation Sheet'!$K$4:$K$40,$BJ12-3)="","",INDEX('Final Calculation Sheet'!$K$4:$K$40,$BJ12-3)),IF(OR($BI12=1,$BL12=1,$BH12&gt;0),IF($BI12=1,SUM('Final Calculation Sheet'!$K$4:$K$40),IF($BL12=1,SUM('Final Calculation Sheet'!$K$4:$K$40)-SUMIFS('Final Calculation Sheet'!$K$4:$K$40,$AZ$5:$AZ$41,10),SUMIFS('Final Calculation Sheet'!$K$4:$K$40,$AZ$5:$AZ$41,$BH12))),""))</f>
        <v/>
      </c>
      <c r="M9" t="str">
        <f>IF($BJ12&gt;0,IF(INDEX('Final Calculation Sheet'!$L$4:$L$40,$BJ12-3)="","",INDEX('Final Calculation Sheet'!$L$4:$L$40,$BJ12-3)),IF(OR($BI12=1,$BL12=1,$BH12&gt;0),IF($BI12=1,SUM('Final Calculation Sheet'!$L$4:$L$40),IF($BL12=1,SUM('Final Calculation Sheet'!$L$4:$L$40)-SUMIFS('Final Calculation Sheet'!$L$4:$L$40,$AZ$5:$AZ$41,10),SUMIFS('Final Calculation Sheet'!$L$4:$L$40,$AZ$5:$AZ$41,$BH12))),""))</f>
        <v/>
      </c>
      <c r="N9" t="str">
        <f>IF($BJ12&gt;0,IF(INDEX('Final Calculation Sheet'!$M$4:$M$40,$BJ12-3)="","",INDEX('Final Calculation Sheet'!$M$4:$M$40,$BJ12-3)),IF(OR($BI12=1,$BL12=1,$BH12&gt;0),IF($BI12=1,SUM('Final Calculation Sheet'!$M$4:$M$40),IF($BL12=1,SUM('Final Calculation Sheet'!$M$4:$M$40)-SUMIFS('Final Calculation Sheet'!$M$4:$M$40,$AZ$5:$AZ$41,10),SUMIFS('Final Calculation Sheet'!$M$4:$M$40,$AZ$5:$AZ$41,$BH12))),""))</f>
        <v/>
      </c>
      <c r="O9" t="str">
        <f>IF($BJ12&gt;0,IF(INDEX('Final Calculation Sheet'!$N$4:$N$40,$BJ12-3)="","",INDEX('Final Calculation Sheet'!$N$4:$N$40,$BJ12-3)),IF(OR($BI12=1,$BL12=1,$BH12&gt;0),IF($BI12=1,SUM('Final Calculation Sheet'!$N$4:$N$40),IF($BL12=1,SUM('Final Calculation Sheet'!$N$4:$N$40)-SUMIFS('Final Calculation Sheet'!$N$4:$N$40,$AZ$5:$AZ$41,10),SUMIFS('Final Calculation Sheet'!$N$4:$N$40,$AZ$5:$AZ$41,$BH12))),""))</f>
        <v/>
      </c>
      <c r="P9" t="str">
        <f>IF($BJ12&gt;0,IF(INDEX('Final Calculation Sheet'!$O$4:$O$40,$BJ12-3)="","",INDEX('Final Calculation Sheet'!$O$4:$O$40,$BJ12-3)),IF(OR($BI12=1,$BL12=1,$BH12&gt;0),IF($BI12=1,SUM('Final Calculation Sheet'!$O$4:$O$40),IF($BL12=1,SUM('Final Calculation Sheet'!$O$4:$O$40)-SUMIFS('Final Calculation Sheet'!$O$4:$O$40,$AZ$5:$AZ$41,10),SUMIFS('Final Calculation Sheet'!$O$4:$O$40,$AZ$5:$AZ$41,$BH12))),""))</f>
        <v/>
      </c>
      <c r="Q9" t="str">
        <f>IF($BJ12&gt;0,IF(INDEX('Final Calculation Sheet'!$P$4:$P$40,$BJ12-3)="","",INDEX('Final Calculation Sheet'!$P$4:$P$40,$BJ12-3)),IF(OR($BI12=1,$BL12=1,$BH12&gt;0),IF($BI12=1,SUM('Final Calculation Sheet'!$P$4:$P$40),IF($BL12=1,SUM('Final Calculation Sheet'!$P$4:$P$40)-SUMIFS('Final Calculation Sheet'!$P$4:$P$40,$AZ$5:$AZ$41,10),SUMIFS('Final Calculation Sheet'!$P$4:$P$40,$AZ$5:$AZ$41,$BH12))),""))</f>
        <v/>
      </c>
      <c r="R9" t="str">
        <f>IF($BJ12&gt;0,IF(INDEX('Final Calculation Sheet'!$Q$4:$Q$40,$BJ12-3)="","",INDEX('Final Calculation Sheet'!$Q$4:$Q$40,$BJ12-3)),IF(OR($BI12=1,$BL12=1,$BH12&gt;0),"–",""))</f>
        <v/>
      </c>
      <c r="S9" t="str">
        <f>IF($BJ12&gt;0,IF(INDEX('Final Calculation Sheet'!$R$4:$R$40,$BJ12-3)="","",INDEX('Final Calculation Sheet'!$R$4:$R$40,$BJ12-3)),IF(OR($BI12=1,$BL12=1,$BH12&gt;0),IF($BI12=1,SUM('Final Calculation Sheet'!$R$4:$R$40),IF($BL12=1,SUM('Final Calculation Sheet'!$R$4:$R$40)-SUMIFS('Final Calculation Sheet'!$R$4:$R$40,$AZ$5:$AZ$41,10),SUMIFS('Final Calculation Sheet'!$R$4:$R$40,$AZ$5:$AZ$41,$BH12))),""))</f>
        <v/>
      </c>
      <c r="T9" t="str">
        <f>IF($BJ12&gt;0,IF(INDEX('Final Calculation Sheet'!$S$4:$S$40,$BJ12-3)="","",INDEX('Final Calculation Sheet'!$S$4:$S$40,$BJ12-3)),IF(OR($BI12=1,$BL12=1,$BH12&gt;0),IF($BI12=1,SUM('Final Calculation Sheet'!$S$4:$S$40),IF($BL12=1,SUM('Final Calculation Sheet'!$S$4:$S$40)-SUMIFS('Final Calculation Sheet'!$S$4:$S$40,$AZ$5:$AZ$41,10),SUMIFS('Final Calculation Sheet'!$S$4:$S$40,$AZ$5:$AZ$41,$BH12))),""))</f>
        <v/>
      </c>
      <c r="U9" t="str">
        <f>IF($BJ12&gt;0,IF(INDEX('Final Calculation Sheet'!$T$4:$T$40,$BJ12-3)="","",INDEX('Final Calculation Sheet'!$T$4:$T$40,$BJ12-3)),IF(OR($BI12=1,$BL12=1,$BH12&gt;0),IF($BI12=1,SUM('Final Calculation Sheet'!$T$4:$T$40),IF($BL12=1,SUM('Final Calculation Sheet'!$T$4:$T$40)-SUMIFS('Final Calculation Sheet'!$T$4:$T$40,$AZ$5:$AZ$41,10),SUMIFS('Final Calculation Sheet'!$T$4:$T$40,$AZ$5:$AZ$41,$BH12))),""))</f>
        <v/>
      </c>
      <c r="V9" t="str">
        <f>IF($BJ12&gt;0,IF(INDEX('Final Calculation Sheet'!$U$4:$U$40,$BJ12-3)="","",INDEX('Final Calculation Sheet'!$U$4:$U$40,$BJ12-3)),IF(OR($BI12=1,$BL12=1,$BH12&gt;0),IF($BI12=1,SUM('Final Calculation Sheet'!$U$4:$U$40),IF($BL12=1,SUM('Final Calculation Sheet'!$U$4:$U$40)-SUMIFS('Final Calculation Sheet'!$U$4:$U$40,$AZ$5:$AZ$41,10),SUMIFS('Final Calculation Sheet'!$U$4:$U$40,$AZ$5:$AZ$41,$BH12))),""))</f>
        <v/>
      </c>
      <c r="W9" t="str">
        <f>IF($BJ12&gt;0,IF(INDEX('Final Calculation Sheet'!$V$4:$V$40,$BJ12-3)="","",INDEX('Final Calculation Sheet'!$V$4:$V$40,$BJ12-3)),IF(OR($BI12=1,$BL12=1,$BH12&gt;0),"–",""))</f>
        <v/>
      </c>
      <c r="X9" t="str">
        <f>IF($BJ12&gt;0,IF(INDEX('Final Calculation Sheet'!$W$4:$W$40,$BJ12-3)="","",INDEX('Final Calculation Sheet'!$W$4:$W$40,$BJ12-3)),IF(OR($BI12=1,$BL12=1,$BH12&gt;0),IF($BI12=1,SUM('Final Calculation Sheet'!$W$4:$W$40),IF($BL12=1,SUM('Final Calculation Sheet'!$W$4:$W$40)-SUMIFS('Final Calculation Sheet'!$W$4:$W$40,$AZ$5:$AZ$41,10),SUMIFS('Final Calculation Sheet'!$W$4:$W$40,$AZ$5:$AZ$41,$BH12))),""))</f>
        <v/>
      </c>
      <c r="Y9" t="str">
        <f>IF($BJ12&gt;0,IF(INDEX('Final Calculation Sheet'!$X$4:$X$40,$BJ12-3)="","",INDEX('Final Calculation Sheet'!$X$4:$X$40,$BJ12-3)),IF(OR($BI12=1,$BL12=1,$BH12&gt;0),IF($BI12=1,SUM('Final Calculation Sheet'!$X$4:$X$40),IF($BL12=1,SUM('Final Calculation Sheet'!$X$4:$X$40)-SUMIFS('Final Calculation Sheet'!$X$4:$X$40,$AZ$5:$AZ$41,10),SUMIFS('Final Calculation Sheet'!$X$4:$X$40,$AZ$5:$AZ$41,$BH12))),""))</f>
        <v/>
      </c>
      <c r="Z9" t="str">
        <f>IF($BJ12&gt;0,IF(INDEX('Final Calculation Sheet'!$Y$4:$Y$40,$BJ12-3)="","",INDEX('Final Calculation Sheet'!$Y$4:$Y$40,$BJ12-3)),IF(OR($BI12=1,$BL12=1,$BH12&gt;0),"–",""))</f>
        <v/>
      </c>
      <c r="AA9" t="str">
        <f>IF($BJ12&gt;0,IF(INDEX('Final Calculation Sheet'!$Z$4:$Z$40,$BJ12-3)="","",INDEX('Final Calculation Sheet'!$Z$4:$Z$40,$BJ12-3)),IF(OR($BI12=1,$BL12=1,$BH12&gt;0),IF($BI12=1,SUM('Final Calculation Sheet'!$Z$4:$Z$40),IF($BL12=1,SUM('Final Calculation Sheet'!$Z$4:$Z$40)-SUMIFS('Final Calculation Sheet'!$Z$4:$Z$40,$AZ$5:$AZ$41,10),SUMIFS('Final Calculation Sheet'!$Z$4:$Z$40,$AZ$5:$AZ$41,$BH12))),""))</f>
        <v/>
      </c>
      <c r="AB9" t="str">
        <f>IF($BJ12&gt;0,IF(INDEX('Final Calculation Sheet'!$AA$4:$AA$40,$BJ12-3)="","",INDEX('Final Calculation Sheet'!$AA$4:$AA$40,$BJ12-3)),IF(OR($BI12=1,$BL12=1,$BH12&gt;0),IF($BI12=1,SUM('Final Calculation Sheet'!$AA$4:$AA$40),IF($BL12=1,SUM('Final Calculation Sheet'!$AA$4:$AA$40)-SUMIFS('Final Calculation Sheet'!$AA$4:$AA$40,$AZ$5:$AZ$41,10),SUMIFS('Final Calculation Sheet'!$AA$4:$AA$40,$AZ$5:$AZ$41,$BH12))),""))</f>
        <v/>
      </c>
      <c r="AC9" t="str">
        <f>IF($BJ12&gt;0,IF(INDEX('Final Calculation Sheet'!$AB$4:$AB$40,$BJ12-3)="","",INDEX('Final Calculation Sheet'!$AB$4:$AB$40,$BJ12-3)),IF(OR($BI12=1,$BL12=1,$BH12&gt;0),"–",""))</f>
        <v/>
      </c>
      <c r="AD9" t="str">
        <f>IF($BJ12&gt;0,IF(INDEX('Final Calculation Sheet'!$AC$4:$AC$40,$BJ12-3)="","",INDEX('Final Calculation Sheet'!$AC$4:$AC$40,$BJ12-3)),IF(OR($BI12=1,$BL12=1,$BH12&gt;0),IF($BI12=1,SUM('Final Calculation Sheet'!$AC$4:$AC$40),IF($BL12=1,SUM('Final Calculation Sheet'!$AC$4:$AC$40)-SUMIFS('Final Calculation Sheet'!$AC$4:$AC$40,$AZ$5:$AZ$41,10),SUMIFS('Final Calculation Sheet'!$AC$4:$AC$40,$AZ$5:$AZ$41,$BH12))),""))</f>
        <v/>
      </c>
      <c r="AE9" t="str">
        <f>IF($BJ12&gt;0,IF(INDEX('Final Calculation Sheet'!$AD$4:$AD$40,$BJ12-3)="","",INDEX('Final Calculation Sheet'!$AD$4:$AD$40,$BJ12-3)),IF(OR($BI12=1,$BL12=1,$BH12&gt;0),IF($BI12=1,SUM('Final Calculation Sheet'!$AD$4:$AD$40),IF($BL12=1,SUM('Final Calculation Sheet'!$AD$4:$AD$40)-SUMIFS('Final Calculation Sheet'!$AD$4:$AD$40,$AZ$5:$AZ$41,10),SUMIFS('Final Calculation Sheet'!$AD$4:$AD$40,$AZ$5:$AZ$41,$BH12))),""))</f>
        <v/>
      </c>
      <c r="AF9" t="str">
        <f>IF($BJ12&gt;0,IF(INDEX('Final Calculation Sheet'!$AE$4:$AE$40,$BJ12-3)="","",INDEX('Final Calculation Sheet'!$AE$4:$AE$40,$BJ12-3)),IF(OR($BI12=1,$BL12=1,$BH12&gt;0),"–",""))</f>
        <v/>
      </c>
      <c r="AG9" t="str">
        <f>IF($BJ12&gt;0,IF(INDEX('Final Calculation Sheet'!$AF$4:$AF$40,$BJ12-3)="","",INDEX('Final Calculation Sheet'!$AF$4:$AF$40,$BJ12-3)),IF(OR($BI12=1,$BL12=1,$BH12&gt;0),"–",""))</f>
        <v/>
      </c>
      <c r="AH9" t="str">
        <f>IF($BJ12&gt;0,IF(INDEX('Final Calculation Sheet'!$AG$4:$AG$40,$BJ12-3)="","",INDEX('Final Calculation Sheet'!$AG$4:$AG$40,$BJ12-3)),IF(OR($BI12=1,$BL12=1,$BH12&gt;0),"–",""))</f>
        <v/>
      </c>
      <c r="AI9" t="str">
        <f>IF($BJ12&gt;0,IF(INDEX('Final Calculation Sheet'!$AD$4:$AD$40,$BJ12-3)="","",IF(INDEX('Final Calculation Sheet'!$AD$4:$AD$40,$BJ12-3)&lt;=5,"SETTLED","OUTSTANDING")),IF(OR($BI12=1,$BL12=1,$BH12&gt;0),IF(IF($BI12=1,SUM('Final Calculation Sheet'!$AD$4:$AD$40),IF($BL12=1,SUM('Final Calculation Sheet'!$AD$4:$AD$40)-SUMIFS('Final Calculation Sheet'!$AD$4:$AD$40,$AZ$5:$AZ$41,10),SUMIFS('Final Calculation Sheet'!$AD$4:$AD$40,$AZ$5:$AZ$41,$BH12)))&lt;=5,"ALL SETTLED","OUTSTANDING"),""))</f>
        <v/>
      </c>
    </row>
    <row r="10">
      <c r="A10" t="str">
        <f>IF($BJ13&gt;0,INDEX($BA$5:$BA$41,MATCH(13,$BB$5:$BB$41,0)),IF(OR($BI13=1,$BL13=1,$BH13&gt;0),"∑",""))</f>
        <v/>
      </c>
      <c r="B10" t="str">
        <f>IF($BJ13&gt;0,IF(INDEX('Final Calculation Sheet'!$F$4:$F$40,$BJ13-3)="","",INDEX('Final Calculation Sheet'!$F$4:$F$40,$BJ13-3)),"")</f>
        <v/>
      </c>
      <c r="C10" t="str">
        <f>IF($BJ13&gt;0,IF(INDEX('Final Calculation Sheet'!$G$4:$G$40,$BJ13-3)="","",INDEX('Final Calculation Sheet'!$G$4:$G$40,$BJ13-3)),IF(OR($BI13=1,$BL13=1,$BH13&gt;0),IF($BI13=1,37,IF($BL13=1,37-INDEX($BD$4:$BD$13,10),INDEX($BD$4:$BD$13,$BH13)))&amp;" lot(s)",""))</f>
        <v/>
      </c>
      <c r="D10" t="str">
        <f>IF($BJ13&gt;0,IF(INDEX('Final Calculation Sheet'!$B$4:$B$40,$BJ13-3)="","",INDEX('Final Calculation Sheet'!$B$4:$B$40,$BJ13-3)),IF(OR($BI13=1,$BL13=1,$BH13&gt;0),IF($BI13=1,"GRAND TOTAL  —  matching + remaining",IF($BL13=1,"TOTAL MATCHED  —  every group together",IF($BH13=10,"REMAINING  —  did not match the search",IF($BH13=9,IF(COUNTIF($A$4:$AI$4,"&lt;&gt;")&gt;0,"FILTERED LOTS  —  column fields","ALL LOTS  —  nothing typed in the box"),"GROUP "&amp;$BH13&amp;" TOTAL  —  lots matching  "&amp;INDEX($AR$6:$AY$6,$BH13))))),""))</f>
        <v/>
      </c>
      <c r="E10" t="str">
        <f>IF($BJ13&gt;0,IF(INDEX('Final Calculation Sheet'!$D$4:$D$40,$BJ13-3)="","",INDEX('Final Calculation Sheet'!$D$4:$D$40,$BJ13-3)),IF(OR($BI13=1,$BL13=1,$BH13&gt;0),"–",""))</f>
        <v/>
      </c>
      <c r="F10" t="str">
        <f>IF($BJ13&gt;0,IF(INDEX('Final Calculation Sheet'!$A$4:$A$40,$BJ13-3)="","",INDEX('Final Calculation Sheet'!$A$4:$A$40,$BJ13-3)),IF(OR($BI13=1,$BL13=1,$BH13&gt;0),IF($BI13=1,SUM('Final Calculation Sheet'!$A$4:$A$40),IF($BL13=1,SUM('Final Calculation Sheet'!$A$4:$A$40)-SUMIFS('Final Calculation Sheet'!$A$4:$A$40,$AZ$5:$AZ$41,10),SUMIFS('Final Calculation Sheet'!$A$4:$A$40,$AZ$5:$AZ$41,$BH13))),""))</f>
        <v/>
      </c>
      <c r="G10" t="str">
        <f>IF($BJ13&gt;0,IF(INDEX('Final Calculation Sheet'!$E$4:$E$40,$BJ13-3)="","",INDEX('Final Calculation Sheet'!$E$4:$E$40,$BJ13-3)),IF(OR($BI13=1,$BL13=1,$BH13&gt;0),"–",""))</f>
        <v/>
      </c>
      <c r="H10" t="str">
        <f>IF($BJ13&gt;0,IF(INDEX('Final Calculation Sheet'!$C$4:$C$40,$BJ13-3)="","",INDEX('Final Calculation Sheet'!$C$4:$C$40,$BJ13-3)),IF(OR($BI13=1,$BL13=1,$BH13&gt;0),"–",""))</f>
        <v/>
      </c>
      <c r="I10" t="str">
        <f>IF($BJ13&gt;0,IF(INDEX('Final Calculation Sheet'!$H$4:$H$40,$BJ13-3)="","",INDEX('Final Calculation Sheet'!$H$4:$H$40,$BJ13-3)),IF(OR($BI13=1,$BL13=1,$BH13&gt;0),IF($BI13=1,SUM('Final Calculation Sheet'!$H$4:$H$40),IF($BL13=1,SUM('Final Calculation Sheet'!$H$4:$H$40)-SUMIFS('Final Calculation Sheet'!$H$4:$H$40,$AZ$5:$AZ$41,10),SUMIFS('Final Calculation Sheet'!$H$4:$H$40,$AZ$5:$AZ$41,$BH13))),""))</f>
        <v/>
      </c>
      <c r="J10" t="str">
        <f>IF($BJ13&gt;0,IF(INDEX('Final Calculation Sheet'!$I$4:$I$40,$BJ13-3)="","",INDEX('Final Calculation Sheet'!$I$4:$I$40,$BJ13-3)),IF(OR($BI13=1,$BL13=1,$BH13&gt;0),IF($BI13=1,SUM('Final Calculation Sheet'!$I$4:$I$40),IF($BL13=1,SUM('Final Calculation Sheet'!$I$4:$I$40)-SUMIFS('Final Calculation Sheet'!$I$4:$I$40,$AZ$5:$AZ$41,10),SUMIFS('Final Calculation Sheet'!$I$4:$I$40,$AZ$5:$AZ$41,$BH13))),""))</f>
        <v/>
      </c>
      <c r="K10" t="str">
        <f>IF($BJ13&gt;0,IF(INDEX('Final Calculation Sheet'!$J$4:$J$40,$BJ13-3)="","",INDEX('Final Calculation Sheet'!$J$4:$J$40,$BJ13-3)),IF(OR($BI13=1,$BL13=1,$BH13&gt;0),IF($BI13=1,SUM('Final Calculation Sheet'!$J$4:$J$40),IF($BL13=1,SUM('Final Calculation Sheet'!$J$4:$J$40)-SUMIFS('Final Calculation Sheet'!$J$4:$J$40,$AZ$5:$AZ$41,10),SUMIFS('Final Calculation Sheet'!$J$4:$J$40,$AZ$5:$AZ$41,$BH13))),""))</f>
        <v/>
      </c>
      <c r="L10" t="str">
        <f>IF($BJ13&gt;0,IF(INDEX('Final Calculation Sheet'!$K$4:$K$40,$BJ13-3)="","",INDEX('Final Calculation Sheet'!$K$4:$K$40,$BJ13-3)),IF(OR($BI13=1,$BL13=1,$BH13&gt;0),IF($BI13=1,SUM('Final Calculation Sheet'!$K$4:$K$40),IF($BL13=1,SUM('Final Calculation Sheet'!$K$4:$K$40)-SUMIFS('Final Calculation Sheet'!$K$4:$K$40,$AZ$5:$AZ$41,10),SUMIFS('Final Calculation Sheet'!$K$4:$K$40,$AZ$5:$AZ$41,$BH13))),""))</f>
        <v/>
      </c>
      <c r="M10" t="str">
        <f>IF($BJ13&gt;0,IF(INDEX('Final Calculation Sheet'!$L$4:$L$40,$BJ13-3)="","",INDEX('Final Calculation Sheet'!$L$4:$L$40,$BJ13-3)),IF(OR($BI13=1,$BL13=1,$BH13&gt;0),IF($BI13=1,SUM('Final Calculation Sheet'!$L$4:$L$40),IF($BL13=1,SUM('Final Calculation Sheet'!$L$4:$L$40)-SUMIFS('Final Calculation Sheet'!$L$4:$L$40,$AZ$5:$AZ$41,10),SUMIFS('Final Calculation Sheet'!$L$4:$L$40,$AZ$5:$AZ$41,$BH13))),""))</f>
        <v/>
      </c>
      <c r="N10" t="str">
        <f>IF($BJ13&gt;0,IF(INDEX('Final Calculation Sheet'!$M$4:$M$40,$BJ13-3)="","",INDEX('Final Calculation Sheet'!$M$4:$M$40,$BJ13-3)),IF(OR($BI13=1,$BL13=1,$BH13&gt;0),IF($BI13=1,SUM('Final Calculation Sheet'!$M$4:$M$40),IF($BL13=1,SUM('Final Calculation Sheet'!$M$4:$M$40)-SUMIFS('Final Calculation Sheet'!$M$4:$M$40,$AZ$5:$AZ$41,10),SUMIFS('Final Calculation Sheet'!$M$4:$M$40,$AZ$5:$AZ$41,$BH13))),""))</f>
        <v/>
      </c>
      <c r="O10" t="str">
        <f>IF($BJ13&gt;0,IF(INDEX('Final Calculation Sheet'!$N$4:$N$40,$BJ13-3)="","",INDEX('Final Calculation Sheet'!$N$4:$N$40,$BJ13-3)),IF(OR($BI13=1,$BL13=1,$BH13&gt;0),IF($BI13=1,SUM('Final Calculation Sheet'!$N$4:$N$40),IF($BL13=1,SUM('Final Calculation Sheet'!$N$4:$N$40)-SUMIFS('Final Calculation Sheet'!$N$4:$N$40,$AZ$5:$AZ$41,10),SUMIFS('Final Calculation Sheet'!$N$4:$N$40,$AZ$5:$AZ$41,$BH13))),""))</f>
        <v/>
      </c>
      <c r="P10" t="str">
        <f>IF($BJ13&gt;0,IF(INDEX('Final Calculation Sheet'!$O$4:$O$40,$BJ13-3)="","",INDEX('Final Calculation Sheet'!$O$4:$O$40,$BJ13-3)),IF(OR($BI13=1,$BL13=1,$BH13&gt;0),IF($BI13=1,SUM('Final Calculation Sheet'!$O$4:$O$40),IF($BL13=1,SUM('Final Calculation Sheet'!$O$4:$O$40)-SUMIFS('Final Calculation Sheet'!$O$4:$O$40,$AZ$5:$AZ$41,10),SUMIFS('Final Calculation Sheet'!$O$4:$O$40,$AZ$5:$AZ$41,$BH13))),""))</f>
        <v/>
      </c>
      <c r="Q10" t="str">
        <f>IF($BJ13&gt;0,IF(INDEX('Final Calculation Sheet'!$P$4:$P$40,$BJ13-3)="","",INDEX('Final Calculation Sheet'!$P$4:$P$40,$BJ13-3)),IF(OR($BI13=1,$BL13=1,$BH13&gt;0),IF($BI13=1,SUM('Final Calculation Sheet'!$P$4:$P$40),IF($BL13=1,SUM('Final Calculation Sheet'!$P$4:$P$40)-SUMIFS('Final Calculation Sheet'!$P$4:$P$40,$AZ$5:$AZ$41,10),SUMIFS('Final Calculation Sheet'!$P$4:$P$40,$AZ$5:$AZ$41,$BH13))),""))</f>
        <v/>
      </c>
      <c r="R10" t="str">
        <f>IF($BJ13&gt;0,IF(INDEX('Final Calculation Sheet'!$Q$4:$Q$40,$BJ13-3)="","",INDEX('Final Calculation Sheet'!$Q$4:$Q$40,$BJ13-3)),IF(OR($BI13=1,$BL13=1,$BH13&gt;0),"–",""))</f>
        <v/>
      </c>
      <c r="S10" t="str">
        <f>IF($BJ13&gt;0,IF(INDEX('Final Calculation Sheet'!$R$4:$R$40,$BJ13-3)="","",INDEX('Final Calculation Sheet'!$R$4:$R$40,$BJ13-3)),IF(OR($BI13=1,$BL13=1,$BH13&gt;0),IF($BI13=1,SUM('Final Calculation Sheet'!$R$4:$R$40),IF($BL13=1,SUM('Final Calculation Sheet'!$R$4:$R$40)-SUMIFS('Final Calculation Sheet'!$R$4:$R$40,$AZ$5:$AZ$41,10),SUMIFS('Final Calculation Sheet'!$R$4:$R$40,$AZ$5:$AZ$41,$BH13))),""))</f>
        <v/>
      </c>
      <c r="T10" t="str">
        <f>IF($BJ13&gt;0,IF(INDEX('Final Calculation Sheet'!$S$4:$S$40,$BJ13-3)="","",INDEX('Final Calculation Sheet'!$S$4:$S$40,$BJ13-3)),IF(OR($BI13=1,$BL13=1,$BH13&gt;0),IF($BI13=1,SUM('Final Calculation Sheet'!$S$4:$S$40),IF($BL13=1,SUM('Final Calculation Sheet'!$S$4:$S$40)-SUMIFS('Final Calculation Sheet'!$S$4:$S$40,$AZ$5:$AZ$41,10),SUMIFS('Final Calculation Sheet'!$S$4:$S$40,$AZ$5:$AZ$41,$BH13))),""))</f>
        <v/>
      </c>
      <c r="U10" t="str">
        <f>IF($BJ13&gt;0,IF(INDEX('Final Calculation Sheet'!$T$4:$T$40,$BJ13-3)="","",INDEX('Final Calculation Sheet'!$T$4:$T$40,$BJ13-3)),IF(OR($BI13=1,$BL13=1,$BH13&gt;0),IF($BI13=1,SUM('Final Calculation Sheet'!$T$4:$T$40),IF($BL13=1,SUM('Final Calculation Sheet'!$T$4:$T$40)-SUMIFS('Final Calculation Sheet'!$T$4:$T$40,$AZ$5:$AZ$41,10),SUMIFS('Final Calculation Sheet'!$T$4:$T$40,$AZ$5:$AZ$41,$BH13))),""))</f>
        <v/>
      </c>
      <c r="V10" t="str">
        <f>IF($BJ13&gt;0,IF(INDEX('Final Calculation Sheet'!$U$4:$U$40,$BJ13-3)="","",INDEX('Final Calculation Sheet'!$U$4:$U$40,$BJ13-3)),IF(OR($BI13=1,$BL13=1,$BH13&gt;0),IF($BI13=1,SUM('Final Calculation Sheet'!$U$4:$U$40),IF($BL13=1,SUM('Final Calculation Sheet'!$U$4:$U$40)-SUMIFS('Final Calculation Sheet'!$U$4:$U$40,$AZ$5:$AZ$41,10),SUMIFS('Final Calculation Sheet'!$U$4:$U$40,$AZ$5:$AZ$41,$BH13))),""))</f>
        <v/>
      </c>
      <c r="W10" t="str">
        <f>IF($BJ13&gt;0,IF(INDEX('Final Calculation Sheet'!$V$4:$V$40,$BJ13-3)="","",INDEX('Final Calculation Sheet'!$V$4:$V$40,$BJ13-3)),IF(OR($BI13=1,$BL13=1,$BH13&gt;0),"–",""))</f>
        <v/>
      </c>
      <c r="X10" t="str">
        <f>IF($BJ13&gt;0,IF(INDEX('Final Calculation Sheet'!$W$4:$W$40,$BJ13-3)="","",INDEX('Final Calculation Sheet'!$W$4:$W$40,$BJ13-3)),IF(OR($BI13=1,$BL13=1,$BH13&gt;0),IF($BI13=1,SUM('Final Calculation Sheet'!$W$4:$W$40),IF($BL13=1,SUM('Final Calculation Sheet'!$W$4:$W$40)-SUMIFS('Final Calculation Sheet'!$W$4:$W$40,$AZ$5:$AZ$41,10),SUMIFS('Final Calculation Sheet'!$W$4:$W$40,$AZ$5:$AZ$41,$BH13))),""))</f>
        <v/>
      </c>
      <c r="Y10" t="str">
        <f>IF($BJ13&gt;0,IF(INDEX('Final Calculation Sheet'!$X$4:$X$40,$BJ13-3)="","",INDEX('Final Calculation Sheet'!$X$4:$X$40,$BJ13-3)),IF(OR($BI13=1,$BL13=1,$BH13&gt;0),IF($BI13=1,SUM('Final Calculation Sheet'!$X$4:$X$40),IF($BL13=1,SUM('Final Calculation Sheet'!$X$4:$X$40)-SUMIFS('Final Calculation Sheet'!$X$4:$X$40,$AZ$5:$AZ$41,10),SUMIFS('Final Calculation Sheet'!$X$4:$X$40,$AZ$5:$AZ$41,$BH13))),""))</f>
        <v/>
      </c>
      <c r="Z10" t="str">
        <f>IF($BJ13&gt;0,IF(INDEX('Final Calculation Sheet'!$Y$4:$Y$40,$BJ13-3)="","",INDEX('Final Calculation Sheet'!$Y$4:$Y$40,$BJ13-3)),IF(OR($BI13=1,$BL13=1,$BH13&gt;0),"–",""))</f>
        <v/>
      </c>
      <c r="AA10" t="str">
        <f>IF($BJ13&gt;0,IF(INDEX('Final Calculation Sheet'!$Z$4:$Z$40,$BJ13-3)="","",INDEX('Final Calculation Sheet'!$Z$4:$Z$40,$BJ13-3)),IF(OR($BI13=1,$BL13=1,$BH13&gt;0),IF($BI13=1,SUM('Final Calculation Sheet'!$Z$4:$Z$40),IF($BL13=1,SUM('Final Calculation Sheet'!$Z$4:$Z$40)-SUMIFS('Final Calculation Sheet'!$Z$4:$Z$40,$AZ$5:$AZ$41,10),SUMIFS('Final Calculation Sheet'!$Z$4:$Z$40,$AZ$5:$AZ$41,$BH13))),""))</f>
        <v/>
      </c>
      <c r="AB10" t="str">
        <f>IF($BJ13&gt;0,IF(INDEX('Final Calculation Sheet'!$AA$4:$AA$40,$BJ13-3)="","",INDEX('Final Calculation Sheet'!$AA$4:$AA$40,$BJ13-3)),IF(OR($BI13=1,$BL13=1,$BH13&gt;0),IF($BI13=1,SUM('Final Calculation Sheet'!$AA$4:$AA$40),IF($BL13=1,SUM('Final Calculation Sheet'!$AA$4:$AA$40)-SUMIFS('Final Calculation Sheet'!$AA$4:$AA$40,$AZ$5:$AZ$41,10),SUMIFS('Final Calculation Sheet'!$AA$4:$AA$40,$AZ$5:$AZ$41,$BH13))),""))</f>
        <v/>
      </c>
      <c r="AC10" t="str">
        <f>IF($BJ13&gt;0,IF(INDEX('Final Calculation Sheet'!$AB$4:$AB$40,$BJ13-3)="","",INDEX('Final Calculation Sheet'!$AB$4:$AB$40,$BJ13-3)),IF(OR($BI13=1,$BL13=1,$BH13&gt;0),"–",""))</f>
        <v/>
      </c>
      <c r="AD10" t="str">
        <f>IF($BJ13&gt;0,IF(INDEX('Final Calculation Sheet'!$AC$4:$AC$40,$BJ13-3)="","",INDEX('Final Calculation Sheet'!$AC$4:$AC$40,$BJ13-3)),IF(OR($BI13=1,$BL13=1,$BH13&gt;0),IF($BI13=1,SUM('Final Calculation Sheet'!$AC$4:$AC$40),IF($BL13=1,SUM('Final Calculation Sheet'!$AC$4:$AC$40)-SUMIFS('Final Calculation Sheet'!$AC$4:$AC$40,$AZ$5:$AZ$41,10),SUMIFS('Final Calculation Sheet'!$AC$4:$AC$40,$AZ$5:$AZ$41,$BH13))),""))</f>
        <v/>
      </c>
      <c r="AE10" t="str">
        <f>IF($BJ13&gt;0,IF(INDEX('Final Calculation Sheet'!$AD$4:$AD$40,$BJ13-3)="","",INDEX('Final Calculation Sheet'!$AD$4:$AD$40,$BJ13-3)),IF(OR($BI13=1,$BL13=1,$BH13&gt;0),IF($BI13=1,SUM('Final Calculation Sheet'!$AD$4:$AD$40),IF($BL13=1,SUM('Final Calculation Sheet'!$AD$4:$AD$40)-SUMIFS('Final Calculation Sheet'!$AD$4:$AD$40,$AZ$5:$AZ$41,10),SUMIFS('Final Calculation Sheet'!$AD$4:$AD$40,$AZ$5:$AZ$41,$BH13))),""))</f>
        <v/>
      </c>
      <c r="AF10" t="str">
        <f>IF($BJ13&gt;0,IF(INDEX('Final Calculation Sheet'!$AE$4:$AE$40,$BJ13-3)="","",INDEX('Final Calculation Sheet'!$AE$4:$AE$40,$BJ13-3)),IF(OR($BI13=1,$BL13=1,$BH13&gt;0),"–",""))</f>
        <v/>
      </c>
      <c r="AG10" t="str">
        <f>IF($BJ13&gt;0,IF(INDEX('Final Calculation Sheet'!$AF$4:$AF$40,$BJ13-3)="","",INDEX('Final Calculation Sheet'!$AF$4:$AF$40,$BJ13-3)),IF(OR($BI13=1,$BL13=1,$BH13&gt;0),"–",""))</f>
        <v/>
      </c>
      <c r="AH10" t="str">
        <f>IF($BJ13&gt;0,IF(INDEX('Final Calculation Sheet'!$AG$4:$AG$40,$BJ13-3)="","",INDEX('Final Calculation Sheet'!$AG$4:$AG$40,$BJ13-3)),IF(OR($BI13=1,$BL13=1,$BH13&gt;0),"–",""))</f>
        <v/>
      </c>
      <c r="AI10" t="str">
        <f>IF($BJ13&gt;0,IF(INDEX('Final Calculation Sheet'!$AD$4:$AD$40,$BJ13-3)="","",IF(INDEX('Final Calculation Sheet'!$AD$4:$AD$40,$BJ13-3)&lt;=5,"SETTLED","OUTSTANDING")),IF(OR($BI13=1,$BL13=1,$BH13&gt;0),IF(IF($BI13=1,SUM('Final Calculation Sheet'!$AD$4:$AD$40),IF($BL13=1,SUM('Final Calculation Sheet'!$AD$4:$AD$40)-SUMIFS('Final Calculation Sheet'!$AD$4:$AD$40,$AZ$5:$AZ$41,10),SUMIFS('Final Calculation Sheet'!$AD$4:$AD$40,$AZ$5:$AZ$41,$BH13)))&lt;=5,"ALL SETTLED","OUTSTANDING"),""))</f>
        <v/>
      </c>
    </row>
    <row r="11">
      <c r="A11" t="str">
        <f>IF($BJ14&gt;0,INDEX($BA$5:$BA$41,MATCH(14,$BB$5:$BB$41,0)),IF(OR($BI14=1,$BL14=1,$BH14&gt;0),"∑",""))</f>
        <v/>
      </c>
      <c r="B11" t="str">
        <f>IF($BJ14&gt;0,IF(INDEX('Final Calculation Sheet'!$F$4:$F$40,$BJ14-3)="","",INDEX('Final Calculation Sheet'!$F$4:$F$40,$BJ14-3)),"")</f>
        <v/>
      </c>
      <c r="C11" t="str">
        <f>IF($BJ14&gt;0,IF(INDEX('Final Calculation Sheet'!$G$4:$G$40,$BJ14-3)="","",INDEX('Final Calculation Sheet'!$G$4:$G$40,$BJ14-3)),IF(OR($BI14=1,$BL14=1,$BH14&gt;0),IF($BI14=1,37,IF($BL14=1,37-INDEX($BD$4:$BD$13,10),INDEX($BD$4:$BD$13,$BH14)))&amp;" lot(s)",""))</f>
        <v/>
      </c>
      <c r="D11" t="str">
        <f>IF($BJ14&gt;0,IF(INDEX('Final Calculation Sheet'!$B$4:$B$40,$BJ14-3)="","",INDEX('Final Calculation Sheet'!$B$4:$B$40,$BJ14-3)),IF(OR($BI14=1,$BL14=1,$BH14&gt;0),IF($BI14=1,"GRAND TOTAL  —  matching + remaining",IF($BL14=1,"TOTAL MATCHED  —  every group together",IF($BH14=10,"REMAINING  —  did not match the search",IF($BH14=9,IF(COUNTIF($A$4:$AI$4,"&lt;&gt;")&gt;0,"FILTERED LOTS  —  column fields","ALL LOTS  —  nothing typed in the box"),"GROUP "&amp;$BH14&amp;" TOTAL  —  lots matching  "&amp;INDEX($AR$6:$AY$6,$BH14))))),""))</f>
        <v/>
      </c>
      <c r="E11" t="str">
        <f>IF($BJ14&gt;0,IF(INDEX('Final Calculation Sheet'!$D$4:$D$40,$BJ14-3)="","",INDEX('Final Calculation Sheet'!$D$4:$D$40,$BJ14-3)),IF(OR($BI14=1,$BL14=1,$BH14&gt;0),"–",""))</f>
        <v/>
      </c>
      <c r="F11" t="str">
        <f>IF($BJ14&gt;0,IF(INDEX('Final Calculation Sheet'!$A$4:$A$40,$BJ14-3)="","",INDEX('Final Calculation Sheet'!$A$4:$A$40,$BJ14-3)),IF(OR($BI14=1,$BL14=1,$BH14&gt;0),IF($BI14=1,SUM('Final Calculation Sheet'!$A$4:$A$40),IF($BL14=1,SUM('Final Calculation Sheet'!$A$4:$A$40)-SUMIFS('Final Calculation Sheet'!$A$4:$A$40,$AZ$5:$AZ$41,10),SUMIFS('Final Calculation Sheet'!$A$4:$A$40,$AZ$5:$AZ$41,$BH14))),""))</f>
        <v/>
      </c>
      <c r="G11" t="str">
        <f>IF($BJ14&gt;0,IF(INDEX('Final Calculation Sheet'!$E$4:$E$40,$BJ14-3)="","",INDEX('Final Calculation Sheet'!$E$4:$E$40,$BJ14-3)),IF(OR($BI14=1,$BL14=1,$BH14&gt;0),"–",""))</f>
        <v/>
      </c>
      <c r="H11" t="str">
        <f>IF($BJ14&gt;0,IF(INDEX('Final Calculation Sheet'!$C$4:$C$40,$BJ14-3)="","",INDEX('Final Calculation Sheet'!$C$4:$C$40,$BJ14-3)),IF(OR($BI14=1,$BL14=1,$BH14&gt;0),"–",""))</f>
        <v/>
      </c>
      <c r="I11" t="str">
        <f>IF($BJ14&gt;0,IF(INDEX('Final Calculation Sheet'!$H$4:$H$40,$BJ14-3)="","",INDEX('Final Calculation Sheet'!$H$4:$H$40,$BJ14-3)),IF(OR($BI14=1,$BL14=1,$BH14&gt;0),IF($BI14=1,SUM('Final Calculation Sheet'!$H$4:$H$40),IF($BL14=1,SUM('Final Calculation Sheet'!$H$4:$H$40)-SUMIFS('Final Calculation Sheet'!$H$4:$H$40,$AZ$5:$AZ$41,10),SUMIFS('Final Calculation Sheet'!$H$4:$H$40,$AZ$5:$AZ$41,$BH14))),""))</f>
        <v/>
      </c>
      <c r="J11" t="str">
        <f>IF($BJ14&gt;0,IF(INDEX('Final Calculation Sheet'!$I$4:$I$40,$BJ14-3)="","",INDEX('Final Calculation Sheet'!$I$4:$I$40,$BJ14-3)),IF(OR($BI14=1,$BL14=1,$BH14&gt;0),IF($BI14=1,SUM('Final Calculation Sheet'!$I$4:$I$40),IF($BL14=1,SUM('Final Calculation Sheet'!$I$4:$I$40)-SUMIFS('Final Calculation Sheet'!$I$4:$I$40,$AZ$5:$AZ$41,10),SUMIFS('Final Calculation Sheet'!$I$4:$I$40,$AZ$5:$AZ$41,$BH14))),""))</f>
        <v/>
      </c>
      <c r="K11" t="str">
        <f>IF($BJ14&gt;0,IF(INDEX('Final Calculation Sheet'!$J$4:$J$40,$BJ14-3)="","",INDEX('Final Calculation Sheet'!$J$4:$J$40,$BJ14-3)),IF(OR($BI14=1,$BL14=1,$BH14&gt;0),IF($BI14=1,SUM('Final Calculation Sheet'!$J$4:$J$40),IF($BL14=1,SUM('Final Calculation Sheet'!$J$4:$J$40)-SUMIFS('Final Calculation Sheet'!$J$4:$J$40,$AZ$5:$AZ$41,10),SUMIFS('Final Calculation Sheet'!$J$4:$J$40,$AZ$5:$AZ$41,$BH14))),""))</f>
        <v/>
      </c>
      <c r="L11" t="str">
        <f>IF($BJ14&gt;0,IF(INDEX('Final Calculation Sheet'!$K$4:$K$40,$BJ14-3)="","",INDEX('Final Calculation Sheet'!$K$4:$K$40,$BJ14-3)),IF(OR($BI14=1,$BL14=1,$BH14&gt;0),IF($BI14=1,SUM('Final Calculation Sheet'!$K$4:$K$40),IF($BL14=1,SUM('Final Calculation Sheet'!$K$4:$K$40)-SUMIFS('Final Calculation Sheet'!$K$4:$K$40,$AZ$5:$AZ$41,10),SUMIFS('Final Calculation Sheet'!$K$4:$K$40,$AZ$5:$AZ$41,$BH14))),""))</f>
        <v/>
      </c>
      <c r="M11" t="str">
        <f>IF($BJ14&gt;0,IF(INDEX('Final Calculation Sheet'!$L$4:$L$40,$BJ14-3)="","",INDEX('Final Calculation Sheet'!$L$4:$L$40,$BJ14-3)),IF(OR($BI14=1,$BL14=1,$BH14&gt;0),IF($BI14=1,SUM('Final Calculation Sheet'!$L$4:$L$40),IF($BL14=1,SUM('Final Calculation Sheet'!$L$4:$L$40)-SUMIFS('Final Calculation Sheet'!$L$4:$L$40,$AZ$5:$AZ$41,10),SUMIFS('Final Calculation Sheet'!$L$4:$L$40,$AZ$5:$AZ$41,$BH14))),""))</f>
        <v/>
      </c>
      <c r="N11" t="str">
        <f>IF($BJ14&gt;0,IF(INDEX('Final Calculation Sheet'!$M$4:$M$40,$BJ14-3)="","",INDEX('Final Calculation Sheet'!$M$4:$M$40,$BJ14-3)),IF(OR($BI14=1,$BL14=1,$BH14&gt;0),IF($BI14=1,SUM('Final Calculation Sheet'!$M$4:$M$40),IF($BL14=1,SUM('Final Calculation Sheet'!$M$4:$M$40)-SUMIFS('Final Calculation Sheet'!$M$4:$M$40,$AZ$5:$AZ$41,10),SUMIFS('Final Calculation Sheet'!$M$4:$M$40,$AZ$5:$AZ$41,$BH14))),""))</f>
        <v/>
      </c>
      <c r="O11" t="str">
        <f>IF($BJ14&gt;0,IF(INDEX('Final Calculation Sheet'!$N$4:$N$40,$BJ14-3)="","",INDEX('Final Calculation Sheet'!$N$4:$N$40,$BJ14-3)),IF(OR($BI14=1,$BL14=1,$BH14&gt;0),IF($BI14=1,SUM('Final Calculation Sheet'!$N$4:$N$40),IF($BL14=1,SUM('Final Calculation Sheet'!$N$4:$N$40)-SUMIFS('Final Calculation Sheet'!$N$4:$N$40,$AZ$5:$AZ$41,10),SUMIFS('Final Calculation Sheet'!$N$4:$N$40,$AZ$5:$AZ$41,$BH14))),""))</f>
        <v/>
      </c>
      <c r="P11" t="str">
        <f>IF($BJ14&gt;0,IF(INDEX('Final Calculation Sheet'!$O$4:$O$40,$BJ14-3)="","",INDEX('Final Calculation Sheet'!$O$4:$O$40,$BJ14-3)),IF(OR($BI14=1,$BL14=1,$BH14&gt;0),IF($BI14=1,SUM('Final Calculation Sheet'!$O$4:$O$40),IF($BL14=1,SUM('Final Calculation Sheet'!$O$4:$O$40)-SUMIFS('Final Calculation Sheet'!$O$4:$O$40,$AZ$5:$AZ$41,10),SUMIFS('Final Calculation Sheet'!$O$4:$O$40,$AZ$5:$AZ$41,$BH14))),""))</f>
        <v/>
      </c>
      <c r="Q11" t="str">
        <f>IF($BJ14&gt;0,IF(INDEX('Final Calculation Sheet'!$P$4:$P$40,$BJ14-3)="","",INDEX('Final Calculation Sheet'!$P$4:$P$40,$BJ14-3)),IF(OR($BI14=1,$BL14=1,$BH14&gt;0),IF($BI14=1,SUM('Final Calculation Sheet'!$P$4:$P$40),IF($BL14=1,SUM('Final Calculation Sheet'!$P$4:$P$40)-SUMIFS('Final Calculation Sheet'!$P$4:$P$40,$AZ$5:$AZ$41,10),SUMIFS('Final Calculation Sheet'!$P$4:$P$40,$AZ$5:$AZ$41,$BH14))),""))</f>
        <v/>
      </c>
      <c r="R11" t="str">
        <f>IF($BJ14&gt;0,IF(INDEX('Final Calculation Sheet'!$Q$4:$Q$40,$BJ14-3)="","",INDEX('Final Calculation Sheet'!$Q$4:$Q$40,$BJ14-3)),IF(OR($BI14=1,$BL14=1,$BH14&gt;0),"–",""))</f>
        <v/>
      </c>
      <c r="S11" t="str">
        <f>IF($BJ14&gt;0,IF(INDEX('Final Calculation Sheet'!$R$4:$R$40,$BJ14-3)="","",INDEX('Final Calculation Sheet'!$R$4:$R$40,$BJ14-3)),IF(OR($BI14=1,$BL14=1,$BH14&gt;0),IF($BI14=1,SUM('Final Calculation Sheet'!$R$4:$R$40),IF($BL14=1,SUM('Final Calculation Sheet'!$R$4:$R$40)-SUMIFS('Final Calculation Sheet'!$R$4:$R$40,$AZ$5:$AZ$41,10),SUMIFS('Final Calculation Sheet'!$R$4:$R$40,$AZ$5:$AZ$41,$BH14))),""))</f>
        <v/>
      </c>
      <c r="T11" t="str">
        <f>IF($BJ14&gt;0,IF(INDEX('Final Calculation Sheet'!$S$4:$S$40,$BJ14-3)="","",INDEX('Final Calculation Sheet'!$S$4:$S$40,$BJ14-3)),IF(OR($BI14=1,$BL14=1,$BH14&gt;0),IF($BI14=1,SUM('Final Calculation Sheet'!$S$4:$S$40),IF($BL14=1,SUM('Final Calculation Sheet'!$S$4:$S$40)-SUMIFS('Final Calculation Sheet'!$S$4:$S$40,$AZ$5:$AZ$41,10),SUMIFS('Final Calculation Sheet'!$S$4:$S$40,$AZ$5:$AZ$41,$BH14))),""))</f>
        <v/>
      </c>
      <c r="U11" t="str">
        <f>IF($BJ14&gt;0,IF(INDEX('Final Calculation Sheet'!$T$4:$T$40,$BJ14-3)="","",INDEX('Final Calculation Sheet'!$T$4:$T$40,$BJ14-3)),IF(OR($BI14=1,$BL14=1,$BH14&gt;0),IF($BI14=1,SUM('Final Calculation Sheet'!$T$4:$T$40),IF($BL14=1,SUM('Final Calculation Sheet'!$T$4:$T$40)-SUMIFS('Final Calculation Sheet'!$T$4:$T$40,$AZ$5:$AZ$41,10),SUMIFS('Final Calculation Sheet'!$T$4:$T$40,$AZ$5:$AZ$41,$BH14))),""))</f>
        <v/>
      </c>
      <c r="V11" t="str">
        <f>IF($BJ14&gt;0,IF(INDEX('Final Calculation Sheet'!$U$4:$U$40,$BJ14-3)="","",INDEX('Final Calculation Sheet'!$U$4:$U$40,$BJ14-3)),IF(OR($BI14=1,$BL14=1,$BH14&gt;0),IF($BI14=1,SUM('Final Calculation Sheet'!$U$4:$U$40),IF($BL14=1,SUM('Final Calculation Sheet'!$U$4:$U$40)-SUMIFS('Final Calculation Sheet'!$U$4:$U$40,$AZ$5:$AZ$41,10),SUMIFS('Final Calculation Sheet'!$U$4:$U$40,$AZ$5:$AZ$41,$BH14))),""))</f>
        <v/>
      </c>
      <c r="W11" t="str">
        <f>IF($BJ14&gt;0,IF(INDEX('Final Calculation Sheet'!$V$4:$V$40,$BJ14-3)="","",INDEX('Final Calculation Sheet'!$V$4:$V$40,$BJ14-3)),IF(OR($BI14=1,$BL14=1,$BH14&gt;0),"–",""))</f>
        <v/>
      </c>
      <c r="X11" t="str">
        <f>IF($BJ14&gt;0,IF(INDEX('Final Calculation Sheet'!$W$4:$W$40,$BJ14-3)="","",INDEX('Final Calculation Sheet'!$W$4:$W$40,$BJ14-3)),IF(OR($BI14=1,$BL14=1,$BH14&gt;0),IF($BI14=1,SUM('Final Calculation Sheet'!$W$4:$W$40),IF($BL14=1,SUM('Final Calculation Sheet'!$W$4:$W$40)-SUMIFS('Final Calculation Sheet'!$W$4:$W$40,$AZ$5:$AZ$41,10),SUMIFS('Final Calculation Sheet'!$W$4:$W$40,$AZ$5:$AZ$41,$BH14))),""))</f>
        <v/>
      </c>
      <c r="Y11" t="str">
        <f>IF($BJ14&gt;0,IF(INDEX('Final Calculation Sheet'!$X$4:$X$40,$BJ14-3)="","",INDEX('Final Calculation Sheet'!$X$4:$X$40,$BJ14-3)),IF(OR($BI14=1,$BL14=1,$BH14&gt;0),IF($BI14=1,SUM('Final Calculation Sheet'!$X$4:$X$40),IF($BL14=1,SUM('Final Calculation Sheet'!$X$4:$X$40)-SUMIFS('Final Calculation Sheet'!$X$4:$X$40,$AZ$5:$AZ$41,10),SUMIFS('Final Calculation Sheet'!$X$4:$X$40,$AZ$5:$AZ$41,$BH14))),""))</f>
        <v/>
      </c>
      <c r="Z11" t="str">
        <f>IF($BJ14&gt;0,IF(INDEX('Final Calculation Sheet'!$Y$4:$Y$40,$BJ14-3)="","",INDEX('Final Calculation Sheet'!$Y$4:$Y$40,$BJ14-3)),IF(OR($BI14=1,$BL14=1,$BH14&gt;0),"–",""))</f>
        <v/>
      </c>
      <c r="AA11" t="str">
        <f>IF($BJ14&gt;0,IF(INDEX('Final Calculation Sheet'!$Z$4:$Z$40,$BJ14-3)="","",INDEX('Final Calculation Sheet'!$Z$4:$Z$40,$BJ14-3)),IF(OR($BI14=1,$BL14=1,$BH14&gt;0),IF($BI14=1,SUM('Final Calculation Sheet'!$Z$4:$Z$40),IF($BL14=1,SUM('Final Calculation Sheet'!$Z$4:$Z$40)-SUMIFS('Final Calculation Sheet'!$Z$4:$Z$40,$AZ$5:$AZ$41,10),SUMIFS('Final Calculation Sheet'!$Z$4:$Z$40,$AZ$5:$AZ$41,$BH14))),""))</f>
        <v/>
      </c>
      <c r="AB11" t="str">
        <f>IF($BJ14&gt;0,IF(INDEX('Final Calculation Sheet'!$AA$4:$AA$40,$BJ14-3)="","",INDEX('Final Calculation Sheet'!$AA$4:$AA$40,$BJ14-3)),IF(OR($BI14=1,$BL14=1,$BH14&gt;0),IF($BI14=1,SUM('Final Calculation Sheet'!$AA$4:$AA$40),IF($BL14=1,SUM('Final Calculation Sheet'!$AA$4:$AA$40)-SUMIFS('Final Calculation Sheet'!$AA$4:$AA$40,$AZ$5:$AZ$41,10),SUMIFS('Final Calculation Sheet'!$AA$4:$AA$40,$AZ$5:$AZ$41,$BH14))),""))</f>
        <v/>
      </c>
      <c r="AC11" t="str">
        <f>IF($BJ14&gt;0,IF(INDEX('Final Calculation Sheet'!$AB$4:$AB$40,$BJ14-3)="","",INDEX('Final Calculation Sheet'!$AB$4:$AB$40,$BJ14-3)),IF(OR($BI14=1,$BL14=1,$BH14&gt;0),"–",""))</f>
        <v/>
      </c>
      <c r="AD11" t="str">
        <f>IF($BJ14&gt;0,IF(INDEX('Final Calculation Sheet'!$AC$4:$AC$40,$BJ14-3)="","",INDEX('Final Calculation Sheet'!$AC$4:$AC$40,$BJ14-3)),IF(OR($BI14=1,$BL14=1,$BH14&gt;0),IF($BI14=1,SUM('Final Calculation Sheet'!$AC$4:$AC$40),IF($BL14=1,SUM('Final Calculation Sheet'!$AC$4:$AC$40)-SUMIFS('Final Calculation Sheet'!$AC$4:$AC$40,$AZ$5:$AZ$41,10),SUMIFS('Final Calculation Sheet'!$AC$4:$AC$40,$AZ$5:$AZ$41,$BH14))),""))</f>
        <v/>
      </c>
      <c r="AE11" t="str">
        <f>IF($BJ14&gt;0,IF(INDEX('Final Calculation Sheet'!$AD$4:$AD$40,$BJ14-3)="","",INDEX('Final Calculation Sheet'!$AD$4:$AD$40,$BJ14-3)),IF(OR($BI14=1,$BL14=1,$BH14&gt;0),IF($BI14=1,SUM('Final Calculation Sheet'!$AD$4:$AD$40),IF($BL14=1,SUM('Final Calculation Sheet'!$AD$4:$AD$40)-SUMIFS('Final Calculation Sheet'!$AD$4:$AD$40,$AZ$5:$AZ$41,10),SUMIFS('Final Calculation Sheet'!$AD$4:$AD$40,$AZ$5:$AZ$41,$BH14))),""))</f>
        <v/>
      </c>
      <c r="AF11" t="str">
        <f>IF($BJ14&gt;0,IF(INDEX('Final Calculation Sheet'!$AE$4:$AE$40,$BJ14-3)="","",INDEX('Final Calculation Sheet'!$AE$4:$AE$40,$BJ14-3)),IF(OR($BI14=1,$BL14=1,$BH14&gt;0),"–",""))</f>
        <v/>
      </c>
      <c r="AG11" t="str">
        <f>IF($BJ14&gt;0,IF(INDEX('Final Calculation Sheet'!$AF$4:$AF$40,$BJ14-3)="","",INDEX('Final Calculation Sheet'!$AF$4:$AF$40,$BJ14-3)),IF(OR($BI14=1,$BL14=1,$BH14&gt;0),"–",""))</f>
        <v/>
      </c>
      <c r="AH11" t="str">
        <f>IF($BJ14&gt;0,IF(INDEX('Final Calculation Sheet'!$AG$4:$AG$40,$BJ14-3)="","",INDEX('Final Calculation Sheet'!$AG$4:$AG$40,$BJ14-3)),IF(OR($BI14=1,$BL14=1,$BH14&gt;0),"–",""))</f>
        <v/>
      </c>
      <c r="AI11" t="str">
        <f>IF($BJ14&gt;0,IF(INDEX('Final Calculation Sheet'!$AD$4:$AD$40,$BJ14-3)="","",IF(INDEX('Final Calculation Sheet'!$AD$4:$AD$40,$BJ14-3)&lt;=5,"SETTLED","OUTSTANDING")),IF(OR($BI14=1,$BL14=1,$BH14&gt;0),IF(IF($BI14=1,SUM('Final Calculation Sheet'!$AD$4:$AD$40),IF($BL14=1,SUM('Final Calculation Sheet'!$AD$4:$AD$40)-SUMIFS('Final Calculation Sheet'!$AD$4:$AD$40,$AZ$5:$AZ$41,10),SUMIFS('Final Calculation Sheet'!$AD$4:$AD$40,$AZ$5:$AZ$41,$BH14)))&lt;=5,"ALL SETTLED","OUTSTANDING"),""))</f>
        <v/>
      </c>
    </row>
    <row r="12">
      <c r="A12" t="str">
        <f>IF($BJ15&gt;0,INDEX($BA$5:$BA$41,MATCH(15,$BB$5:$BB$41,0)),IF(OR($BI15=1,$BL15=1,$BH15&gt;0),"∑",""))</f>
        <v/>
      </c>
      <c r="B12" t="str">
        <f>IF($BJ15&gt;0,IF(INDEX('Final Calculation Sheet'!$F$4:$F$40,$BJ15-3)="","",INDEX('Final Calculation Sheet'!$F$4:$F$40,$BJ15-3)),"")</f>
        <v/>
      </c>
      <c r="C12" t="str">
        <f>IF($BJ15&gt;0,IF(INDEX('Final Calculation Sheet'!$G$4:$G$40,$BJ15-3)="","",INDEX('Final Calculation Sheet'!$G$4:$G$40,$BJ15-3)),IF(OR($BI15=1,$BL15=1,$BH15&gt;0),IF($BI15=1,37,IF($BL15=1,37-INDEX($BD$4:$BD$13,10),INDEX($BD$4:$BD$13,$BH15)))&amp;" lot(s)",""))</f>
        <v/>
      </c>
      <c r="D12" t="str">
        <f>IF($BJ15&gt;0,IF(INDEX('Final Calculation Sheet'!$B$4:$B$40,$BJ15-3)="","",INDEX('Final Calculation Sheet'!$B$4:$B$40,$BJ15-3)),IF(OR($BI15=1,$BL15=1,$BH15&gt;0),IF($BI15=1,"GRAND TOTAL  —  matching + remaining",IF($BL15=1,"TOTAL MATCHED  —  every group together",IF($BH15=10,"REMAINING  —  did not match the search",IF($BH15=9,IF(COUNTIF($A$4:$AI$4,"&lt;&gt;")&gt;0,"FILTERED LOTS  —  column fields","ALL LOTS  —  nothing typed in the box"),"GROUP "&amp;$BH15&amp;" TOTAL  —  lots matching  "&amp;INDEX($AR$6:$AY$6,$BH15))))),""))</f>
        <v/>
      </c>
      <c r="E12" t="str">
        <f>IF($BJ15&gt;0,IF(INDEX('Final Calculation Sheet'!$D$4:$D$40,$BJ15-3)="","",INDEX('Final Calculation Sheet'!$D$4:$D$40,$BJ15-3)),IF(OR($BI15=1,$BL15=1,$BH15&gt;0),"–",""))</f>
        <v/>
      </c>
      <c r="F12" t="str">
        <f>IF($BJ15&gt;0,IF(INDEX('Final Calculation Sheet'!$A$4:$A$40,$BJ15-3)="","",INDEX('Final Calculation Sheet'!$A$4:$A$40,$BJ15-3)),IF(OR($BI15=1,$BL15=1,$BH15&gt;0),IF($BI15=1,SUM('Final Calculation Sheet'!$A$4:$A$40),IF($BL15=1,SUM('Final Calculation Sheet'!$A$4:$A$40)-SUMIFS('Final Calculation Sheet'!$A$4:$A$40,$AZ$5:$AZ$41,10),SUMIFS('Final Calculation Sheet'!$A$4:$A$40,$AZ$5:$AZ$41,$BH15))),""))</f>
        <v/>
      </c>
      <c r="G12" t="str">
        <f>IF($BJ15&gt;0,IF(INDEX('Final Calculation Sheet'!$E$4:$E$40,$BJ15-3)="","",INDEX('Final Calculation Sheet'!$E$4:$E$40,$BJ15-3)),IF(OR($BI15=1,$BL15=1,$BH15&gt;0),"–",""))</f>
        <v/>
      </c>
      <c r="H12" t="str">
        <f>IF($BJ15&gt;0,IF(INDEX('Final Calculation Sheet'!$C$4:$C$40,$BJ15-3)="","",INDEX('Final Calculation Sheet'!$C$4:$C$40,$BJ15-3)),IF(OR($BI15=1,$BL15=1,$BH15&gt;0),"–",""))</f>
        <v/>
      </c>
      <c r="I12" t="str">
        <f>IF($BJ15&gt;0,IF(INDEX('Final Calculation Sheet'!$H$4:$H$40,$BJ15-3)="","",INDEX('Final Calculation Sheet'!$H$4:$H$40,$BJ15-3)),IF(OR($BI15=1,$BL15=1,$BH15&gt;0),IF($BI15=1,SUM('Final Calculation Sheet'!$H$4:$H$40),IF($BL15=1,SUM('Final Calculation Sheet'!$H$4:$H$40)-SUMIFS('Final Calculation Sheet'!$H$4:$H$40,$AZ$5:$AZ$41,10),SUMIFS('Final Calculation Sheet'!$H$4:$H$40,$AZ$5:$AZ$41,$BH15))),""))</f>
        <v/>
      </c>
      <c r="J12" t="str">
        <f>IF($BJ15&gt;0,IF(INDEX('Final Calculation Sheet'!$I$4:$I$40,$BJ15-3)="","",INDEX('Final Calculation Sheet'!$I$4:$I$40,$BJ15-3)),IF(OR($BI15=1,$BL15=1,$BH15&gt;0),IF($BI15=1,SUM('Final Calculation Sheet'!$I$4:$I$40),IF($BL15=1,SUM('Final Calculation Sheet'!$I$4:$I$40)-SUMIFS('Final Calculation Sheet'!$I$4:$I$40,$AZ$5:$AZ$41,10),SUMIFS('Final Calculation Sheet'!$I$4:$I$40,$AZ$5:$AZ$41,$BH15))),""))</f>
        <v/>
      </c>
      <c r="K12" t="str">
        <f>IF($BJ15&gt;0,IF(INDEX('Final Calculation Sheet'!$J$4:$J$40,$BJ15-3)="","",INDEX('Final Calculation Sheet'!$J$4:$J$40,$BJ15-3)),IF(OR($BI15=1,$BL15=1,$BH15&gt;0),IF($BI15=1,SUM('Final Calculation Sheet'!$J$4:$J$40),IF($BL15=1,SUM('Final Calculation Sheet'!$J$4:$J$40)-SUMIFS('Final Calculation Sheet'!$J$4:$J$40,$AZ$5:$AZ$41,10),SUMIFS('Final Calculation Sheet'!$J$4:$J$40,$AZ$5:$AZ$41,$BH15))),""))</f>
        <v/>
      </c>
      <c r="L12" t="str">
        <f>IF($BJ15&gt;0,IF(INDEX('Final Calculation Sheet'!$K$4:$K$40,$BJ15-3)="","",INDEX('Final Calculation Sheet'!$K$4:$K$40,$BJ15-3)),IF(OR($BI15=1,$BL15=1,$BH15&gt;0),IF($BI15=1,SUM('Final Calculation Sheet'!$K$4:$K$40),IF($BL15=1,SUM('Final Calculation Sheet'!$K$4:$K$40)-SUMIFS('Final Calculation Sheet'!$K$4:$K$40,$AZ$5:$AZ$41,10),SUMIFS('Final Calculation Sheet'!$K$4:$K$40,$AZ$5:$AZ$41,$BH15))),""))</f>
        <v/>
      </c>
      <c r="M12" t="str">
        <f>IF($BJ15&gt;0,IF(INDEX('Final Calculation Sheet'!$L$4:$L$40,$BJ15-3)="","",INDEX('Final Calculation Sheet'!$L$4:$L$40,$BJ15-3)),IF(OR($BI15=1,$BL15=1,$BH15&gt;0),IF($BI15=1,SUM('Final Calculation Sheet'!$L$4:$L$40),IF($BL15=1,SUM('Final Calculation Sheet'!$L$4:$L$40)-SUMIFS('Final Calculation Sheet'!$L$4:$L$40,$AZ$5:$AZ$41,10),SUMIFS('Final Calculation Sheet'!$L$4:$L$40,$AZ$5:$AZ$41,$BH15))),""))</f>
        <v/>
      </c>
      <c r="N12" t="str">
        <f>IF($BJ15&gt;0,IF(INDEX('Final Calculation Sheet'!$M$4:$M$40,$BJ15-3)="","",INDEX('Final Calculation Sheet'!$M$4:$M$40,$BJ15-3)),IF(OR($BI15=1,$BL15=1,$BH15&gt;0),IF($BI15=1,SUM('Final Calculation Sheet'!$M$4:$M$40),IF($BL15=1,SUM('Final Calculation Sheet'!$M$4:$M$40)-SUMIFS('Final Calculation Sheet'!$M$4:$M$40,$AZ$5:$AZ$41,10),SUMIFS('Final Calculation Sheet'!$M$4:$M$40,$AZ$5:$AZ$41,$BH15))),""))</f>
        <v/>
      </c>
      <c r="O12" t="str">
        <f>IF($BJ15&gt;0,IF(INDEX('Final Calculation Sheet'!$N$4:$N$40,$BJ15-3)="","",INDEX('Final Calculation Sheet'!$N$4:$N$40,$BJ15-3)),IF(OR($BI15=1,$BL15=1,$BH15&gt;0),IF($BI15=1,SUM('Final Calculation Sheet'!$N$4:$N$40),IF($BL15=1,SUM('Final Calculation Sheet'!$N$4:$N$40)-SUMIFS('Final Calculation Sheet'!$N$4:$N$40,$AZ$5:$AZ$41,10),SUMIFS('Final Calculation Sheet'!$N$4:$N$40,$AZ$5:$AZ$41,$BH15))),""))</f>
        <v/>
      </c>
      <c r="P12" t="str">
        <f>IF($BJ15&gt;0,IF(INDEX('Final Calculation Sheet'!$O$4:$O$40,$BJ15-3)="","",INDEX('Final Calculation Sheet'!$O$4:$O$40,$BJ15-3)),IF(OR($BI15=1,$BL15=1,$BH15&gt;0),IF($BI15=1,SUM('Final Calculation Sheet'!$O$4:$O$40),IF($BL15=1,SUM('Final Calculation Sheet'!$O$4:$O$40)-SUMIFS('Final Calculation Sheet'!$O$4:$O$40,$AZ$5:$AZ$41,10),SUMIFS('Final Calculation Sheet'!$O$4:$O$40,$AZ$5:$AZ$41,$BH15))),""))</f>
        <v/>
      </c>
      <c r="Q12" t="str">
        <f>IF($BJ15&gt;0,IF(INDEX('Final Calculation Sheet'!$P$4:$P$40,$BJ15-3)="","",INDEX('Final Calculation Sheet'!$P$4:$P$40,$BJ15-3)),IF(OR($BI15=1,$BL15=1,$BH15&gt;0),IF($BI15=1,SUM('Final Calculation Sheet'!$P$4:$P$40),IF($BL15=1,SUM('Final Calculation Sheet'!$P$4:$P$40)-SUMIFS('Final Calculation Sheet'!$P$4:$P$40,$AZ$5:$AZ$41,10),SUMIFS('Final Calculation Sheet'!$P$4:$P$40,$AZ$5:$AZ$41,$BH15))),""))</f>
        <v/>
      </c>
      <c r="R12" t="str">
        <f>IF($BJ15&gt;0,IF(INDEX('Final Calculation Sheet'!$Q$4:$Q$40,$BJ15-3)="","",INDEX('Final Calculation Sheet'!$Q$4:$Q$40,$BJ15-3)),IF(OR($BI15=1,$BL15=1,$BH15&gt;0),"–",""))</f>
        <v/>
      </c>
      <c r="S12" t="str">
        <f>IF($BJ15&gt;0,IF(INDEX('Final Calculation Sheet'!$R$4:$R$40,$BJ15-3)="","",INDEX('Final Calculation Sheet'!$R$4:$R$40,$BJ15-3)),IF(OR($BI15=1,$BL15=1,$BH15&gt;0),IF($BI15=1,SUM('Final Calculation Sheet'!$R$4:$R$40),IF($BL15=1,SUM('Final Calculation Sheet'!$R$4:$R$40)-SUMIFS('Final Calculation Sheet'!$R$4:$R$40,$AZ$5:$AZ$41,10),SUMIFS('Final Calculation Sheet'!$R$4:$R$40,$AZ$5:$AZ$41,$BH15))),""))</f>
        <v/>
      </c>
      <c r="T12" t="str">
        <f>IF($BJ15&gt;0,IF(INDEX('Final Calculation Sheet'!$S$4:$S$40,$BJ15-3)="","",INDEX('Final Calculation Sheet'!$S$4:$S$40,$BJ15-3)),IF(OR($BI15=1,$BL15=1,$BH15&gt;0),IF($BI15=1,SUM('Final Calculation Sheet'!$S$4:$S$40),IF($BL15=1,SUM('Final Calculation Sheet'!$S$4:$S$40)-SUMIFS('Final Calculation Sheet'!$S$4:$S$40,$AZ$5:$AZ$41,10),SUMIFS('Final Calculation Sheet'!$S$4:$S$40,$AZ$5:$AZ$41,$BH15))),""))</f>
        <v/>
      </c>
      <c r="U12" t="str">
        <f>IF($BJ15&gt;0,IF(INDEX('Final Calculation Sheet'!$T$4:$T$40,$BJ15-3)="","",INDEX('Final Calculation Sheet'!$T$4:$T$40,$BJ15-3)),IF(OR($BI15=1,$BL15=1,$BH15&gt;0),IF($BI15=1,SUM('Final Calculation Sheet'!$T$4:$T$40),IF($BL15=1,SUM('Final Calculation Sheet'!$T$4:$T$40)-SUMIFS('Final Calculation Sheet'!$T$4:$T$40,$AZ$5:$AZ$41,10),SUMIFS('Final Calculation Sheet'!$T$4:$T$40,$AZ$5:$AZ$41,$BH15))),""))</f>
        <v/>
      </c>
      <c r="V12" t="str">
        <f>IF($BJ15&gt;0,IF(INDEX('Final Calculation Sheet'!$U$4:$U$40,$BJ15-3)="","",INDEX('Final Calculation Sheet'!$U$4:$U$40,$BJ15-3)),IF(OR($BI15=1,$BL15=1,$BH15&gt;0),IF($BI15=1,SUM('Final Calculation Sheet'!$U$4:$U$40),IF($BL15=1,SUM('Final Calculation Sheet'!$U$4:$U$40)-SUMIFS('Final Calculation Sheet'!$U$4:$U$40,$AZ$5:$AZ$41,10),SUMIFS('Final Calculation Sheet'!$U$4:$U$40,$AZ$5:$AZ$41,$BH15))),""))</f>
        <v/>
      </c>
      <c r="W12" t="str">
        <f>IF($BJ15&gt;0,IF(INDEX('Final Calculation Sheet'!$V$4:$V$40,$BJ15-3)="","",INDEX('Final Calculation Sheet'!$V$4:$V$40,$BJ15-3)),IF(OR($BI15=1,$BL15=1,$BH15&gt;0),"–",""))</f>
        <v/>
      </c>
      <c r="X12" t="str">
        <f>IF($BJ15&gt;0,IF(INDEX('Final Calculation Sheet'!$W$4:$W$40,$BJ15-3)="","",INDEX('Final Calculation Sheet'!$W$4:$W$40,$BJ15-3)),IF(OR($BI15=1,$BL15=1,$BH15&gt;0),IF($BI15=1,SUM('Final Calculation Sheet'!$W$4:$W$40),IF($BL15=1,SUM('Final Calculation Sheet'!$W$4:$W$40)-SUMIFS('Final Calculation Sheet'!$W$4:$W$40,$AZ$5:$AZ$41,10),SUMIFS('Final Calculation Sheet'!$W$4:$W$40,$AZ$5:$AZ$41,$BH15))),""))</f>
        <v/>
      </c>
      <c r="Y12" t="str">
        <f>IF($BJ15&gt;0,IF(INDEX('Final Calculation Sheet'!$X$4:$X$40,$BJ15-3)="","",INDEX('Final Calculation Sheet'!$X$4:$X$40,$BJ15-3)),IF(OR($BI15=1,$BL15=1,$BH15&gt;0),IF($BI15=1,SUM('Final Calculation Sheet'!$X$4:$X$40),IF($BL15=1,SUM('Final Calculation Sheet'!$X$4:$X$40)-SUMIFS('Final Calculation Sheet'!$X$4:$X$40,$AZ$5:$AZ$41,10),SUMIFS('Final Calculation Sheet'!$X$4:$X$40,$AZ$5:$AZ$41,$BH15))),""))</f>
        <v/>
      </c>
      <c r="Z12" t="str">
        <f>IF($BJ15&gt;0,IF(INDEX('Final Calculation Sheet'!$Y$4:$Y$40,$BJ15-3)="","",INDEX('Final Calculation Sheet'!$Y$4:$Y$40,$BJ15-3)),IF(OR($BI15=1,$BL15=1,$BH15&gt;0),"–",""))</f>
        <v/>
      </c>
      <c r="AA12" t="str">
        <f>IF($BJ15&gt;0,IF(INDEX('Final Calculation Sheet'!$Z$4:$Z$40,$BJ15-3)="","",INDEX('Final Calculation Sheet'!$Z$4:$Z$40,$BJ15-3)),IF(OR($BI15=1,$BL15=1,$BH15&gt;0),IF($BI15=1,SUM('Final Calculation Sheet'!$Z$4:$Z$40),IF($BL15=1,SUM('Final Calculation Sheet'!$Z$4:$Z$40)-SUMIFS('Final Calculation Sheet'!$Z$4:$Z$40,$AZ$5:$AZ$41,10),SUMIFS('Final Calculation Sheet'!$Z$4:$Z$40,$AZ$5:$AZ$41,$BH15))),""))</f>
        <v/>
      </c>
      <c r="AB12" t="str">
        <f>IF($BJ15&gt;0,IF(INDEX('Final Calculation Sheet'!$AA$4:$AA$40,$BJ15-3)="","",INDEX('Final Calculation Sheet'!$AA$4:$AA$40,$BJ15-3)),IF(OR($BI15=1,$BL15=1,$BH15&gt;0),IF($BI15=1,SUM('Final Calculation Sheet'!$AA$4:$AA$40),IF($BL15=1,SUM('Final Calculation Sheet'!$AA$4:$AA$40)-SUMIFS('Final Calculation Sheet'!$AA$4:$AA$40,$AZ$5:$AZ$41,10),SUMIFS('Final Calculation Sheet'!$AA$4:$AA$40,$AZ$5:$AZ$41,$BH15))),""))</f>
        <v/>
      </c>
      <c r="AC12" t="str">
        <f>IF($BJ15&gt;0,IF(INDEX('Final Calculation Sheet'!$AB$4:$AB$40,$BJ15-3)="","",INDEX('Final Calculation Sheet'!$AB$4:$AB$40,$BJ15-3)),IF(OR($BI15=1,$BL15=1,$BH15&gt;0),"–",""))</f>
        <v/>
      </c>
      <c r="AD12" t="str">
        <f>IF($BJ15&gt;0,IF(INDEX('Final Calculation Sheet'!$AC$4:$AC$40,$BJ15-3)="","",INDEX('Final Calculation Sheet'!$AC$4:$AC$40,$BJ15-3)),IF(OR($BI15=1,$BL15=1,$BH15&gt;0),IF($BI15=1,SUM('Final Calculation Sheet'!$AC$4:$AC$40),IF($BL15=1,SUM('Final Calculation Sheet'!$AC$4:$AC$40)-SUMIFS('Final Calculation Sheet'!$AC$4:$AC$40,$AZ$5:$AZ$41,10),SUMIFS('Final Calculation Sheet'!$AC$4:$AC$40,$AZ$5:$AZ$41,$BH15))),""))</f>
        <v/>
      </c>
      <c r="AE12" t="str">
        <f>IF($BJ15&gt;0,IF(INDEX('Final Calculation Sheet'!$AD$4:$AD$40,$BJ15-3)="","",INDEX('Final Calculation Sheet'!$AD$4:$AD$40,$BJ15-3)),IF(OR($BI15=1,$BL15=1,$BH15&gt;0),IF($BI15=1,SUM('Final Calculation Sheet'!$AD$4:$AD$40),IF($BL15=1,SUM('Final Calculation Sheet'!$AD$4:$AD$40)-SUMIFS('Final Calculation Sheet'!$AD$4:$AD$40,$AZ$5:$AZ$41,10),SUMIFS('Final Calculation Sheet'!$AD$4:$AD$40,$AZ$5:$AZ$41,$BH15))),""))</f>
        <v/>
      </c>
      <c r="AF12" t="str">
        <f>IF($BJ15&gt;0,IF(INDEX('Final Calculation Sheet'!$AE$4:$AE$40,$BJ15-3)="","",INDEX('Final Calculation Sheet'!$AE$4:$AE$40,$BJ15-3)),IF(OR($BI15=1,$BL15=1,$BH15&gt;0),"–",""))</f>
        <v/>
      </c>
      <c r="AG12" t="str">
        <f>IF($BJ15&gt;0,IF(INDEX('Final Calculation Sheet'!$AF$4:$AF$40,$BJ15-3)="","",INDEX('Final Calculation Sheet'!$AF$4:$AF$40,$BJ15-3)),IF(OR($BI15=1,$BL15=1,$BH15&gt;0),"–",""))</f>
        <v/>
      </c>
      <c r="AH12" t="str">
        <f>IF($BJ15&gt;0,IF(INDEX('Final Calculation Sheet'!$AG$4:$AG$40,$BJ15-3)="","",INDEX('Final Calculation Sheet'!$AG$4:$AG$40,$BJ15-3)),IF(OR($BI15=1,$BL15=1,$BH15&gt;0),"–",""))</f>
        <v/>
      </c>
      <c r="AI12" t="str">
        <f>IF($BJ15&gt;0,IF(INDEX('Final Calculation Sheet'!$AD$4:$AD$40,$BJ15-3)="","",IF(INDEX('Final Calculation Sheet'!$AD$4:$AD$40,$BJ15-3)&lt;=5,"SETTLED","OUTSTANDING")),IF(OR($BI15=1,$BL15=1,$BH15&gt;0),IF(IF($BI15=1,SUM('Final Calculation Sheet'!$AD$4:$AD$40),IF($BL15=1,SUM('Final Calculation Sheet'!$AD$4:$AD$40)-SUMIFS('Final Calculation Sheet'!$AD$4:$AD$40,$AZ$5:$AZ$41,10),SUMIFS('Final Calculation Sheet'!$AD$4:$AD$40,$AZ$5:$AZ$41,$BH15)))&lt;=5,"ALL SETTLED","OUTSTANDING"),""))</f>
        <v/>
      </c>
    </row>
    <row r="13">
      <c r="A13" t="str">
        <f>IF($BJ16&gt;0,INDEX($BA$5:$BA$41,MATCH(16,$BB$5:$BB$41,0)),IF(OR($BI16=1,$BL16=1,$BH16&gt;0),"∑",""))</f>
        <v/>
      </c>
      <c r="B13" t="str">
        <f>IF($BJ16&gt;0,IF(INDEX('Final Calculation Sheet'!$F$4:$F$40,$BJ16-3)="","",INDEX('Final Calculation Sheet'!$F$4:$F$40,$BJ16-3)),"")</f>
        <v/>
      </c>
      <c r="C13" t="str">
        <f>IF($BJ16&gt;0,IF(INDEX('Final Calculation Sheet'!$G$4:$G$40,$BJ16-3)="","",INDEX('Final Calculation Sheet'!$G$4:$G$40,$BJ16-3)),IF(OR($BI16=1,$BL16=1,$BH16&gt;0),IF($BI16=1,37,IF($BL16=1,37-INDEX($BD$4:$BD$13,10),INDEX($BD$4:$BD$13,$BH16)))&amp;" lot(s)",""))</f>
        <v/>
      </c>
      <c r="D13" t="str">
        <f>IF($BJ16&gt;0,IF(INDEX('Final Calculation Sheet'!$B$4:$B$40,$BJ16-3)="","",INDEX('Final Calculation Sheet'!$B$4:$B$40,$BJ16-3)),IF(OR($BI16=1,$BL16=1,$BH16&gt;0),IF($BI16=1,"GRAND TOTAL  —  matching + remaining",IF($BL16=1,"TOTAL MATCHED  —  every group together",IF($BH16=10,"REMAINING  —  did not match the search",IF($BH16=9,IF(COUNTIF($A$4:$AI$4,"&lt;&gt;")&gt;0,"FILTERED LOTS  —  column fields","ALL LOTS  —  nothing typed in the box"),"GROUP "&amp;$BH16&amp;" TOTAL  —  lots matching  "&amp;INDEX($AR$6:$AY$6,$BH16))))),""))</f>
        <v/>
      </c>
      <c r="E13" t="str">
        <f>IF($BJ16&gt;0,IF(INDEX('Final Calculation Sheet'!$D$4:$D$40,$BJ16-3)="","",INDEX('Final Calculation Sheet'!$D$4:$D$40,$BJ16-3)),IF(OR($BI16=1,$BL16=1,$BH16&gt;0),"–",""))</f>
        <v/>
      </c>
      <c r="F13" t="str">
        <f>IF($BJ16&gt;0,IF(INDEX('Final Calculation Sheet'!$A$4:$A$40,$BJ16-3)="","",INDEX('Final Calculation Sheet'!$A$4:$A$40,$BJ16-3)),IF(OR($BI16=1,$BL16=1,$BH16&gt;0),IF($BI16=1,SUM('Final Calculation Sheet'!$A$4:$A$40),IF($BL16=1,SUM('Final Calculation Sheet'!$A$4:$A$40)-SUMIFS('Final Calculation Sheet'!$A$4:$A$40,$AZ$5:$AZ$41,10),SUMIFS('Final Calculation Sheet'!$A$4:$A$40,$AZ$5:$AZ$41,$BH16))),""))</f>
        <v/>
      </c>
      <c r="G13" t="str">
        <f>IF($BJ16&gt;0,IF(INDEX('Final Calculation Sheet'!$E$4:$E$40,$BJ16-3)="","",INDEX('Final Calculation Sheet'!$E$4:$E$40,$BJ16-3)),IF(OR($BI16=1,$BL16=1,$BH16&gt;0),"–",""))</f>
        <v/>
      </c>
      <c r="H13" t="str">
        <f>IF($BJ16&gt;0,IF(INDEX('Final Calculation Sheet'!$C$4:$C$40,$BJ16-3)="","",INDEX('Final Calculation Sheet'!$C$4:$C$40,$BJ16-3)),IF(OR($BI16=1,$BL16=1,$BH16&gt;0),"–",""))</f>
        <v/>
      </c>
      <c r="I13" t="str">
        <f>IF($BJ16&gt;0,IF(INDEX('Final Calculation Sheet'!$H$4:$H$40,$BJ16-3)="","",INDEX('Final Calculation Sheet'!$H$4:$H$40,$BJ16-3)),IF(OR($BI16=1,$BL16=1,$BH16&gt;0),IF($BI16=1,SUM('Final Calculation Sheet'!$H$4:$H$40),IF($BL16=1,SUM('Final Calculation Sheet'!$H$4:$H$40)-SUMIFS('Final Calculation Sheet'!$H$4:$H$40,$AZ$5:$AZ$41,10),SUMIFS('Final Calculation Sheet'!$H$4:$H$40,$AZ$5:$AZ$41,$BH16))),""))</f>
        <v/>
      </c>
      <c r="J13" t="str">
        <f>IF($BJ16&gt;0,IF(INDEX('Final Calculation Sheet'!$I$4:$I$40,$BJ16-3)="","",INDEX('Final Calculation Sheet'!$I$4:$I$40,$BJ16-3)),IF(OR($BI16=1,$BL16=1,$BH16&gt;0),IF($BI16=1,SUM('Final Calculation Sheet'!$I$4:$I$40),IF($BL16=1,SUM('Final Calculation Sheet'!$I$4:$I$40)-SUMIFS('Final Calculation Sheet'!$I$4:$I$40,$AZ$5:$AZ$41,10),SUMIFS('Final Calculation Sheet'!$I$4:$I$40,$AZ$5:$AZ$41,$BH16))),""))</f>
        <v/>
      </c>
      <c r="K13" t="str">
        <f>IF($BJ16&gt;0,IF(INDEX('Final Calculation Sheet'!$J$4:$J$40,$BJ16-3)="","",INDEX('Final Calculation Sheet'!$J$4:$J$40,$BJ16-3)),IF(OR($BI16=1,$BL16=1,$BH16&gt;0),IF($BI16=1,SUM('Final Calculation Sheet'!$J$4:$J$40),IF($BL16=1,SUM('Final Calculation Sheet'!$J$4:$J$40)-SUMIFS('Final Calculation Sheet'!$J$4:$J$40,$AZ$5:$AZ$41,10),SUMIFS('Final Calculation Sheet'!$J$4:$J$40,$AZ$5:$AZ$41,$BH16))),""))</f>
        <v/>
      </c>
      <c r="L13" t="str">
        <f>IF($BJ16&gt;0,IF(INDEX('Final Calculation Sheet'!$K$4:$K$40,$BJ16-3)="","",INDEX('Final Calculation Sheet'!$K$4:$K$40,$BJ16-3)),IF(OR($BI16=1,$BL16=1,$BH16&gt;0),IF($BI16=1,SUM('Final Calculation Sheet'!$K$4:$K$40),IF($BL16=1,SUM('Final Calculation Sheet'!$K$4:$K$40)-SUMIFS('Final Calculation Sheet'!$K$4:$K$40,$AZ$5:$AZ$41,10),SUMIFS('Final Calculation Sheet'!$K$4:$K$40,$AZ$5:$AZ$41,$BH16))),""))</f>
        <v/>
      </c>
      <c r="M13" t="str">
        <f>IF($BJ16&gt;0,IF(INDEX('Final Calculation Sheet'!$L$4:$L$40,$BJ16-3)="","",INDEX('Final Calculation Sheet'!$L$4:$L$40,$BJ16-3)),IF(OR($BI16=1,$BL16=1,$BH16&gt;0),IF($BI16=1,SUM('Final Calculation Sheet'!$L$4:$L$40),IF($BL16=1,SUM('Final Calculation Sheet'!$L$4:$L$40)-SUMIFS('Final Calculation Sheet'!$L$4:$L$40,$AZ$5:$AZ$41,10),SUMIFS('Final Calculation Sheet'!$L$4:$L$40,$AZ$5:$AZ$41,$BH16))),""))</f>
        <v/>
      </c>
      <c r="N13" t="str">
        <f>IF($BJ16&gt;0,IF(INDEX('Final Calculation Sheet'!$M$4:$M$40,$BJ16-3)="","",INDEX('Final Calculation Sheet'!$M$4:$M$40,$BJ16-3)),IF(OR($BI16=1,$BL16=1,$BH16&gt;0),IF($BI16=1,SUM('Final Calculation Sheet'!$M$4:$M$40),IF($BL16=1,SUM('Final Calculation Sheet'!$M$4:$M$40)-SUMIFS('Final Calculation Sheet'!$M$4:$M$40,$AZ$5:$AZ$41,10),SUMIFS('Final Calculation Sheet'!$M$4:$M$40,$AZ$5:$AZ$41,$BH16))),""))</f>
        <v/>
      </c>
      <c r="O13" t="str">
        <f>IF($BJ16&gt;0,IF(INDEX('Final Calculation Sheet'!$N$4:$N$40,$BJ16-3)="","",INDEX('Final Calculation Sheet'!$N$4:$N$40,$BJ16-3)),IF(OR($BI16=1,$BL16=1,$BH16&gt;0),IF($BI16=1,SUM('Final Calculation Sheet'!$N$4:$N$40),IF($BL16=1,SUM('Final Calculation Sheet'!$N$4:$N$40)-SUMIFS('Final Calculation Sheet'!$N$4:$N$40,$AZ$5:$AZ$41,10),SUMIFS('Final Calculation Sheet'!$N$4:$N$40,$AZ$5:$AZ$41,$BH16))),""))</f>
        <v/>
      </c>
      <c r="P13" t="str">
        <f>IF($BJ16&gt;0,IF(INDEX('Final Calculation Sheet'!$O$4:$O$40,$BJ16-3)="","",INDEX('Final Calculation Sheet'!$O$4:$O$40,$BJ16-3)),IF(OR($BI16=1,$BL16=1,$BH16&gt;0),IF($BI16=1,SUM('Final Calculation Sheet'!$O$4:$O$40),IF($BL16=1,SUM('Final Calculation Sheet'!$O$4:$O$40)-SUMIFS('Final Calculation Sheet'!$O$4:$O$40,$AZ$5:$AZ$41,10),SUMIFS('Final Calculation Sheet'!$O$4:$O$40,$AZ$5:$AZ$41,$BH16))),""))</f>
        <v/>
      </c>
      <c r="Q13" t="str">
        <f>IF($BJ16&gt;0,IF(INDEX('Final Calculation Sheet'!$P$4:$P$40,$BJ16-3)="","",INDEX('Final Calculation Sheet'!$P$4:$P$40,$BJ16-3)),IF(OR($BI16=1,$BL16=1,$BH16&gt;0),IF($BI16=1,SUM('Final Calculation Sheet'!$P$4:$P$40),IF($BL16=1,SUM('Final Calculation Sheet'!$P$4:$P$40)-SUMIFS('Final Calculation Sheet'!$P$4:$P$40,$AZ$5:$AZ$41,10),SUMIFS('Final Calculation Sheet'!$P$4:$P$40,$AZ$5:$AZ$41,$BH16))),""))</f>
        <v/>
      </c>
      <c r="R13" t="str">
        <f>IF($BJ16&gt;0,IF(INDEX('Final Calculation Sheet'!$Q$4:$Q$40,$BJ16-3)="","",INDEX('Final Calculation Sheet'!$Q$4:$Q$40,$BJ16-3)),IF(OR($BI16=1,$BL16=1,$BH16&gt;0),"–",""))</f>
        <v/>
      </c>
      <c r="S13" t="str">
        <f>IF($BJ16&gt;0,IF(INDEX('Final Calculation Sheet'!$R$4:$R$40,$BJ16-3)="","",INDEX('Final Calculation Sheet'!$R$4:$R$40,$BJ16-3)),IF(OR($BI16=1,$BL16=1,$BH16&gt;0),IF($BI16=1,SUM('Final Calculation Sheet'!$R$4:$R$40),IF($BL16=1,SUM('Final Calculation Sheet'!$R$4:$R$40)-SUMIFS('Final Calculation Sheet'!$R$4:$R$40,$AZ$5:$AZ$41,10),SUMIFS('Final Calculation Sheet'!$R$4:$R$40,$AZ$5:$AZ$41,$BH16))),""))</f>
        <v/>
      </c>
      <c r="T13" t="str">
        <f>IF($BJ16&gt;0,IF(INDEX('Final Calculation Sheet'!$S$4:$S$40,$BJ16-3)="","",INDEX('Final Calculation Sheet'!$S$4:$S$40,$BJ16-3)),IF(OR($BI16=1,$BL16=1,$BH16&gt;0),IF($BI16=1,SUM('Final Calculation Sheet'!$S$4:$S$40),IF($BL16=1,SUM('Final Calculation Sheet'!$S$4:$S$40)-SUMIFS('Final Calculation Sheet'!$S$4:$S$40,$AZ$5:$AZ$41,10),SUMIFS('Final Calculation Sheet'!$S$4:$S$40,$AZ$5:$AZ$41,$BH16))),""))</f>
        <v/>
      </c>
      <c r="U13" t="str">
        <f>IF($BJ16&gt;0,IF(INDEX('Final Calculation Sheet'!$T$4:$T$40,$BJ16-3)="","",INDEX('Final Calculation Sheet'!$T$4:$T$40,$BJ16-3)),IF(OR($BI16=1,$BL16=1,$BH16&gt;0),IF($BI16=1,SUM('Final Calculation Sheet'!$T$4:$T$40),IF($BL16=1,SUM('Final Calculation Sheet'!$T$4:$T$40)-SUMIFS('Final Calculation Sheet'!$T$4:$T$40,$AZ$5:$AZ$41,10),SUMIFS('Final Calculation Sheet'!$T$4:$T$40,$AZ$5:$AZ$41,$BH16))),""))</f>
        <v/>
      </c>
      <c r="V13" t="str">
        <f>IF($BJ16&gt;0,IF(INDEX('Final Calculation Sheet'!$U$4:$U$40,$BJ16-3)="","",INDEX('Final Calculation Sheet'!$U$4:$U$40,$BJ16-3)),IF(OR($BI16=1,$BL16=1,$BH16&gt;0),IF($BI16=1,SUM('Final Calculation Sheet'!$U$4:$U$40),IF($BL16=1,SUM('Final Calculation Sheet'!$U$4:$U$40)-SUMIFS('Final Calculation Sheet'!$U$4:$U$40,$AZ$5:$AZ$41,10),SUMIFS('Final Calculation Sheet'!$U$4:$U$40,$AZ$5:$AZ$41,$BH16))),""))</f>
        <v/>
      </c>
      <c r="W13" t="str">
        <f>IF($BJ16&gt;0,IF(INDEX('Final Calculation Sheet'!$V$4:$V$40,$BJ16-3)="","",INDEX('Final Calculation Sheet'!$V$4:$V$40,$BJ16-3)),IF(OR($BI16=1,$BL16=1,$BH16&gt;0),"–",""))</f>
        <v/>
      </c>
      <c r="X13" t="str">
        <f>IF($BJ16&gt;0,IF(INDEX('Final Calculation Sheet'!$W$4:$W$40,$BJ16-3)="","",INDEX('Final Calculation Sheet'!$W$4:$W$40,$BJ16-3)),IF(OR($BI16=1,$BL16=1,$BH16&gt;0),IF($BI16=1,SUM('Final Calculation Sheet'!$W$4:$W$40),IF($BL16=1,SUM('Final Calculation Sheet'!$W$4:$W$40)-SUMIFS('Final Calculation Sheet'!$W$4:$W$40,$AZ$5:$AZ$41,10),SUMIFS('Final Calculation Sheet'!$W$4:$W$40,$AZ$5:$AZ$41,$BH16))),""))</f>
        <v/>
      </c>
      <c r="Y13" t="str">
        <f>IF($BJ16&gt;0,IF(INDEX('Final Calculation Sheet'!$X$4:$X$40,$BJ16-3)="","",INDEX('Final Calculation Sheet'!$X$4:$X$40,$BJ16-3)),IF(OR($BI16=1,$BL16=1,$BH16&gt;0),IF($BI16=1,SUM('Final Calculation Sheet'!$X$4:$X$40),IF($BL16=1,SUM('Final Calculation Sheet'!$X$4:$X$40)-SUMIFS('Final Calculation Sheet'!$X$4:$X$40,$AZ$5:$AZ$41,10),SUMIFS('Final Calculation Sheet'!$X$4:$X$40,$AZ$5:$AZ$41,$BH16))),""))</f>
        <v/>
      </c>
      <c r="Z13" t="str">
        <f>IF($BJ16&gt;0,IF(INDEX('Final Calculation Sheet'!$Y$4:$Y$40,$BJ16-3)="","",INDEX('Final Calculation Sheet'!$Y$4:$Y$40,$BJ16-3)),IF(OR($BI16=1,$BL16=1,$BH16&gt;0),"–",""))</f>
        <v/>
      </c>
      <c r="AA13" t="str">
        <f>IF($BJ16&gt;0,IF(INDEX('Final Calculation Sheet'!$Z$4:$Z$40,$BJ16-3)="","",INDEX('Final Calculation Sheet'!$Z$4:$Z$40,$BJ16-3)),IF(OR($BI16=1,$BL16=1,$BH16&gt;0),IF($BI16=1,SUM('Final Calculation Sheet'!$Z$4:$Z$40),IF($BL16=1,SUM('Final Calculation Sheet'!$Z$4:$Z$40)-SUMIFS('Final Calculation Sheet'!$Z$4:$Z$40,$AZ$5:$AZ$41,10),SUMIFS('Final Calculation Sheet'!$Z$4:$Z$40,$AZ$5:$AZ$41,$BH16))),""))</f>
        <v/>
      </c>
      <c r="AB13" t="str">
        <f>IF($BJ16&gt;0,IF(INDEX('Final Calculation Sheet'!$AA$4:$AA$40,$BJ16-3)="","",INDEX('Final Calculation Sheet'!$AA$4:$AA$40,$BJ16-3)),IF(OR($BI16=1,$BL16=1,$BH16&gt;0),IF($BI16=1,SUM('Final Calculation Sheet'!$AA$4:$AA$40),IF($BL16=1,SUM('Final Calculation Sheet'!$AA$4:$AA$40)-SUMIFS('Final Calculation Sheet'!$AA$4:$AA$40,$AZ$5:$AZ$41,10),SUMIFS('Final Calculation Sheet'!$AA$4:$AA$40,$AZ$5:$AZ$41,$BH16))),""))</f>
        <v/>
      </c>
      <c r="AC13" t="str">
        <f>IF($BJ16&gt;0,IF(INDEX('Final Calculation Sheet'!$AB$4:$AB$40,$BJ16-3)="","",INDEX('Final Calculation Sheet'!$AB$4:$AB$40,$BJ16-3)),IF(OR($BI16=1,$BL16=1,$BH16&gt;0),"–",""))</f>
        <v/>
      </c>
      <c r="AD13" t="str">
        <f>IF($BJ16&gt;0,IF(INDEX('Final Calculation Sheet'!$AC$4:$AC$40,$BJ16-3)="","",INDEX('Final Calculation Sheet'!$AC$4:$AC$40,$BJ16-3)),IF(OR($BI16=1,$BL16=1,$BH16&gt;0),IF($BI16=1,SUM('Final Calculation Sheet'!$AC$4:$AC$40),IF($BL16=1,SUM('Final Calculation Sheet'!$AC$4:$AC$40)-SUMIFS('Final Calculation Sheet'!$AC$4:$AC$40,$AZ$5:$AZ$41,10),SUMIFS('Final Calculation Sheet'!$AC$4:$AC$40,$AZ$5:$AZ$41,$BH16))),""))</f>
        <v/>
      </c>
      <c r="AE13" t="str">
        <f>IF($BJ16&gt;0,IF(INDEX('Final Calculation Sheet'!$AD$4:$AD$40,$BJ16-3)="","",INDEX('Final Calculation Sheet'!$AD$4:$AD$40,$BJ16-3)),IF(OR($BI16=1,$BL16=1,$BH16&gt;0),IF($BI16=1,SUM('Final Calculation Sheet'!$AD$4:$AD$40),IF($BL16=1,SUM('Final Calculation Sheet'!$AD$4:$AD$40)-SUMIFS('Final Calculation Sheet'!$AD$4:$AD$40,$AZ$5:$AZ$41,10),SUMIFS('Final Calculation Sheet'!$AD$4:$AD$40,$AZ$5:$AZ$41,$BH16))),""))</f>
        <v/>
      </c>
      <c r="AF13" t="str">
        <f>IF($BJ16&gt;0,IF(INDEX('Final Calculation Sheet'!$AE$4:$AE$40,$BJ16-3)="","",INDEX('Final Calculation Sheet'!$AE$4:$AE$40,$BJ16-3)),IF(OR($BI16=1,$BL16=1,$BH16&gt;0),"–",""))</f>
        <v/>
      </c>
      <c r="AG13" t="str">
        <f>IF($BJ16&gt;0,IF(INDEX('Final Calculation Sheet'!$AF$4:$AF$40,$BJ16-3)="","",INDEX('Final Calculation Sheet'!$AF$4:$AF$40,$BJ16-3)),IF(OR($BI16=1,$BL16=1,$BH16&gt;0),"–",""))</f>
        <v/>
      </c>
      <c r="AH13" t="str">
        <f>IF($BJ16&gt;0,IF(INDEX('Final Calculation Sheet'!$AG$4:$AG$40,$BJ16-3)="","",INDEX('Final Calculation Sheet'!$AG$4:$AG$40,$BJ16-3)),IF(OR($BI16=1,$BL16=1,$BH16&gt;0),"–",""))</f>
        <v/>
      </c>
      <c r="AI13" t="str">
        <f>IF($BJ16&gt;0,IF(INDEX('Final Calculation Sheet'!$AD$4:$AD$40,$BJ16-3)="","",IF(INDEX('Final Calculation Sheet'!$AD$4:$AD$40,$BJ16-3)&lt;=5,"SETTLED","OUTSTANDING")),IF(OR($BI16=1,$BL16=1,$BH16&gt;0),IF(IF($BI16=1,SUM('Final Calculation Sheet'!$AD$4:$AD$40),IF($BL16=1,SUM('Final Calculation Sheet'!$AD$4:$AD$40)-SUMIFS('Final Calculation Sheet'!$AD$4:$AD$40,$AZ$5:$AZ$41,10),SUMIFS('Final Calculation Sheet'!$AD$4:$AD$40,$AZ$5:$AZ$41,$BH16)))&lt;=5,"ALL SETTLED","OUTSTANDING"),""))</f>
        <v/>
      </c>
    </row>
    <row r="14">
      <c r="A14" t="str">
        <f>IF($BJ17&gt;0,INDEX($BA$5:$BA$41,MATCH(17,$BB$5:$BB$41,0)),IF(OR($BI17=1,$BL17=1,$BH17&gt;0),"∑",""))</f>
        <v/>
      </c>
      <c r="B14" t="str">
        <f>IF($BJ17&gt;0,IF(INDEX('Final Calculation Sheet'!$F$4:$F$40,$BJ17-3)="","",INDEX('Final Calculation Sheet'!$F$4:$F$40,$BJ17-3)),"")</f>
        <v/>
      </c>
      <c r="C14" t="str">
        <f>IF($BJ17&gt;0,IF(INDEX('Final Calculation Sheet'!$G$4:$G$40,$BJ17-3)="","",INDEX('Final Calculation Sheet'!$G$4:$G$40,$BJ17-3)),IF(OR($BI17=1,$BL17=1,$BH17&gt;0),IF($BI17=1,37,IF($BL17=1,37-INDEX($BD$4:$BD$13,10),INDEX($BD$4:$BD$13,$BH17)))&amp;" lot(s)",""))</f>
        <v/>
      </c>
      <c r="D14" t="str">
        <f>IF($BJ17&gt;0,IF(INDEX('Final Calculation Sheet'!$B$4:$B$40,$BJ17-3)="","",INDEX('Final Calculation Sheet'!$B$4:$B$40,$BJ17-3)),IF(OR($BI17=1,$BL17=1,$BH17&gt;0),IF($BI17=1,"GRAND TOTAL  —  matching + remaining",IF($BL17=1,"TOTAL MATCHED  —  every group together",IF($BH17=10,"REMAINING  —  did not match the search",IF($BH17=9,IF(COUNTIF($A$4:$AI$4,"&lt;&gt;")&gt;0,"FILTERED LOTS  —  column fields","ALL LOTS  —  nothing typed in the box"),"GROUP "&amp;$BH17&amp;" TOTAL  —  lots matching  "&amp;INDEX($AR$6:$AY$6,$BH17))))),""))</f>
        <v/>
      </c>
      <c r="E14" t="str">
        <f>IF($BJ17&gt;0,IF(INDEX('Final Calculation Sheet'!$D$4:$D$40,$BJ17-3)="","",INDEX('Final Calculation Sheet'!$D$4:$D$40,$BJ17-3)),IF(OR($BI17=1,$BL17=1,$BH17&gt;0),"–",""))</f>
        <v/>
      </c>
      <c r="F14" t="str">
        <f>IF($BJ17&gt;0,IF(INDEX('Final Calculation Sheet'!$A$4:$A$40,$BJ17-3)="","",INDEX('Final Calculation Sheet'!$A$4:$A$40,$BJ17-3)),IF(OR($BI17=1,$BL17=1,$BH17&gt;0),IF($BI17=1,SUM('Final Calculation Sheet'!$A$4:$A$40),IF($BL17=1,SUM('Final Calculation Sheet'!$A$4:$A$40)-SUMIFS('Final Calculation Sheet'!$A$4:$A$40,$AZ$5:$AZ$41,10),SUMIFS('Final Calculation Sheet'!$A$4:$A$40,$AZ$5:$AZ$41,$BH17))),""))</f>
        <v/>
      </c>
      <c r="G14" t="str">
        <f>IF($BJ17&gt;0,IF(INDEX('Final Calculation Sheet'!$E$4:$E$40,$BJ17-3)="","",INDEX('Final Calculation Sheet'!$E$4:$E$40,$BJ17-3)),IF(OR($BI17=1,$BL17=1,$BH17&gt;0),"–",""))</f>
        <v/>
      </c>
      <c r="H14" t="str">
        <f>IF($BJ17&gt;0,IF(INDEX('Final Calculation Sheet'!$C$4:$C$40,$BJ17-3)="","",INDEX('Final Calculation Sheet'!$C$4:$C$40,$BJ17-3)),IF(OR($BI17=1,$BL17=1,$BH17&gt;0),"–",""))</f>
        <v/>
      </c>
      <c r="I14" t="str">
        <f>IF($BJ17&gt;0,IF(INDEX('Final Calculation Sheet'!$H$4:$H$40,$BJ17-3)="","",INDEX('Final Calculation Sheet'!$H$4:$H$40,$BJ17-3)),IF(OR($BI17=1,$BL17=1,$BH17&gt;0),IF($BI17=1,SUM('Final Calculation Sheet'!$H$4:$H$40),IF($BL17=1,SUM('Final Calculation Sheet'!$H$4:$H$40)-SUMIFS('Final Calculation Sheet'!$H$4:$H$40,$AZ$5:$AZ$41,10),SUMIFS('Final Calculation Sheet'!$H$4:$H$40,$AZ$5:$AZ$41,$BH17))),""))</f>
        <v/>
      </c>
      <c r="J14" t="str">
        <f>IF($BJ17&gt;0,IF(INDEX('Final Calculation Sheet'!$I$4:$I$40,$BJ17-3)="","",INDEX('Final Calculation Sheet'!$I$4:$I$40,$BJ17-3)),IF(OR($BI17=1,$BL17=1,$BH17&gt;0),IF($BI17=1,SUM('Final Calculation Sheet'!$I$4:$I$40),IF($BL17=1,SUM('Final Calculation Sheet'!$I$4:$I$40)-SUMIFS('Final Calculation Sheet'!$I$4:$I$40,$AZ$5:$AZ$41,10),SUMIFS('Final Calculation Sheet'!$I$4:$I$40,$AZ$5:$AZ$41,$BH17))),""))</f>
        <v/>
      </c>
      <c r="K14" t="str">
        <f>IF($BJ17&gt;0,IF(INDEX('Final Calculation Sheet'!$J$4:$J$40,$BJ17-3)="","",INDEX('Final Calculation Sheet'!$J$4:$J$40,$BJ17-3)),IF(OR($BI17=1,$BL17=1,$BH17&gt;0),IF($BI17=1,SUM('Final Calculation Sheet'!$J$4:$J$40),IF($BL17=1,SUM('Final Calculation Sheet'!$J$4:$J$40)-SUMIFS('Final Calculation Sheet'!$J$4:$J$40,$AZ$5:$AZ$41,10),SUMIFS('Final Calculation Sheet'!$J$4:$J$40,$AZ$5:$AZ$41,$BH17))),""))</f>
        <v/>
      </c>
      <c r="L14" t="str">
        <f>IF($BJ17&gt;0,IF(INDEX('Final Calculation Sheet'!$K$4:$K$40,$BJ17-3)="","",INDEX('Final Calculation Sheet'!$K$4:$K$40,$BJ17-3)),IF(OR($BI17=1,$BL17=1,$BH17&gt;0),IF($BI17=1,SUM('Final Calculation Sheet'!$K$4:$K$40),IF($BL17=1,SUM('Final Calculation Sheet'!$K$4:$K$40)-SUMIFS('Final Calculation Sheet'!$K$4:$K$40,$AZ$5:$AZ$41,10),SUMIFS('Final Calculation Sheet'!$K$4:$K$40,$AZ$5:$AZ$41,$BH17))),""))</f>
        <v/>
      </c>
      <c r="M14" t="str">
        <f>IF($BJ17&gt;0,IF(INDEX('Final Calculation Sheet'!$L$4:$L$40,$BJ17-3)="","",INDEX('Final Calculation Sheet'!$L$4:$L$40,$BJ17-3)),IF(OR($BI17=1,$BL17=1,$BH17&gt;0),IF($BI17=1,SUM('Final Calculation Sheet'!$L$4:$L$40),IF($BL17=1,SUM('Final Calculation Sheet'!$L$4:$L$40)-SUMIFS('Final Calculation Sheet'!$L$4:$L$40,$AZ$5:$AZ$41,10),SUMIFS('Final Calculation Sheet'!$L$4:$L$40,$AZ$5:$AZ$41,$BH17))),""))</f>
        <v/>
      </c>
      <c r="N14" t="str">
        <f>IF($BJ17&gt;0,IF(INDEX('Final Calculation Sheet'!$M$4:$M$40,$BJ17-3)="","",INDEX('Final Calculation Sheet'!$M$4:$M$40,$BJ17-3)),IF(OR($BI17=1,$BL17=1,$BH17&gt;0),IF($BI17=1,SUM('Final Calculation Sheet'!$M$4:$M$40),IF($BL17=1,SUM('Final Calculation Sheet'!$M$4:$M$40)-SUMIFS('Final Calculation Sheet'!$M$4:$M$40,$AZ$5:$AZ$41,10),SUMIFS('Final Calculation Sheet'!$M$4:$M$40,$AZ$5:$AZ$41,$BH17))),""))</f>
        <v/>
      </c>
      <c r="O14" t="str">
        <f>IF($BJ17&gt;0,IF(INDEX('Final Calculation Sheet'!$N$4:$N$40,$BJ17-3)="","",INDEX('Final Calculation Sheet'!$N$4:$N$40,$BJ17-3)),IF(OR($BI17=1,$BL17=1,$BH17&gt;0),IF($BI17=1,SUM('Final Calculation Sheet'!$N$4:$N$40),IF($BL17=1,SUM('Final Calculation Sheet'!$N$4:$N$40)-SUMIFS('Final Calculation Sheet'!$N$4:$N$40,$AZ$5:$AZ$41,10),SUMIFS('Final Calculation Sheet'!$N$4:$N$40,$AZ$5:$AZ$41,$BH17))),""))</f>
        <v/>
      </c>
      <c r="P14" t="str">
        <f>IF($BJ17&gt;0,IF(INDEX('Final Calculation Sheet'!$O$4:$O$40,$BJ17-3)="","",INDEX('Final Calculation Sheet'!$O$4:$O$40,$BJ17-3)),IF(OR($BI17=1,$BL17=1,$BH17&gt;0),IF($BI17=1,SUM('Final Calculation Sheet'!$O$4:$O$40),IF($BL17=1,SUM('Final Calculation Sheet'!$O$4:$O$40)-SUMIFS('Final Calculation Sheet'!$O$4:$O$40,$AZ$5:$AZ$41,10),SUMIFS('Final Calculation Sheet'!$O$4:$O$40,$AZ$5:$AZ$41,$BH17))),""))</f>
        <v/>
      </c>
      <c r="Q14" t="str">
        <f>IF($BJ17&gt;0,IF(INDEX('Final Calculation Sheet'!$P$4:$P$40,$BJ17-3)="","",INDEX('Final Calculation Sheet'!$P$4:$P$40,$BJ17-3)),IF(OR($BI17=1,$BL17=1,$BH17&gt;0),IF($BI17=1,SUM('Final Calculation Sheet'!$P$4:$P$40),IF($BL17=1,SUM('Final Calculation Sheet'!$P$4:$P$40)-SUMIFS('Final Calculation Sheet'!$P$4:$P$40,$AZ$5:$AZ$41,10),SUMIFS('Final Calculation Sheet'!$P$4:$P$40,$AZ$5:$AZ$41,$BH17))),""))</f>
        <v/>
      </c>
      <c r="R14" t="str">
        <f>IF($BJ17&gt;0,IF(INDEX('Final Calculation Sheet'!$Q$4:$Q$40,$BJ17-3)="","",INDEX('Final Calculation Sheet'!$Q$4:$Q$40,$BJ17-3)),IF(OR($BI17=1,$BL17=1,$BH17&gt;0),"–",""))</f>
        <v/>
      </c>
      <c r="S14" t="str">
        <f>IF($BJ17&gt;0,IF(INDEX('Final Calculation Sheet'!$R$4:$R$40,$BJ17-3)="","",INDEX('Final Calculation Sheet'!$R$4:$R$40,$BJ17-3)),IF(OR($BI17=1,$BL17=1,$BH17&gt;0),IF($BI17=1,SUM('Final Calculation Sheet'!$R$4:$R$40),IF($BL17=1,SUM('Final Calculation Sheet'!$R$4:$R$40)-SUMIFS('Final Calculation Sheet'!$R$4:$R$40,$AZ$5:$AZ$41,10),SUMIFS('Final Calculation Sheet'!$R$4:$R$40,$AZ$5:$AZ$41,$BH17))),""))</f>
        <v/>
      </c>
      <c r="T14" t="str">
        <f>IF($BJ17&gt;0,IF(INDEX('Final Calculation Sheet'!$S$4:$S$40,$BJ17-3)="","",INDEX('Final Calculation Sheet'!$S$4:$S$40,$BJ17-3)),IF(OR($BI17=1,$BL17=1,$BH17&gt;0),IF($BI17=1,SUM('Final Calculation Sheet'!$S$4:$S$40),IF($BL17=1,SUM('Final Calculation Sheet'!$S$4:$S$40)-SUMIFS('Final Calculation Sheet'!$S$4:$S$40,$AZ$5:$AZ$41,10),SUMIFS('Final Calculation Sheet'!$S$4:$S$40,$AZ$5:$AZ$41,$BH17))),""))</f>
        <v/>
      </c>
      <c r="U14" t="str">
        <f>IF($BJ17&gt;0,IF(INDEX('Final Calculation Sheet'!$T$4:$T$40,$BJ17-3)="","",INDEX('Final Calculation Sheet'!$T$4:$T$40,$BJ17-3)),IF(OR($BI17=1,$BL17=1,$BH17&gt;0),IF($BI17=1,SUM('Final Calculation Sheet'!$T$4:$T$40),IF($BL17=1,SUM('Final Calculation Sheet'!$T$4:$T$40)-SUMIFS('Final Calculation Sheet'!$T$4:$T$40,$AZ$5:$AZ$41,10),SUMIFS('Final Calculation Sheet'!$T$4:$T$40,$AZ$5:$AZ$41,$BH17))),""))</f>
        <v/>
      </c>
      <c r="V14" t="str">
        <f>IF($BJ17&gt;0,IF(INDEX('Final Calculation Sheet'!$U$4:$U$40,$BJ17-3)="","",INDEX('Final Calculation Sheet'!$U$4:$U$40,$BJ17-3)),IF(OR($BI17=1,$BL17=1,$BH17&gt;0),IF($BI17=1,SUM('Final Calculation Sheet'!$U$4:$U$40),IF($BL17=1,SUM('Final Calculation Sheet'!$U$4:$U$40)-SUMIFS('Final Calculation Sheet'!$U$4:$U$40,$AZ$5:$AZ$41,10),SUMIFS('Final Calculation Sheet'!$U$4:$U$40,$AZ$5:$AZ$41,$BH17))),""))</f>
        <v/>
      </c>
      <c r="W14" t="str">
        <f>IF($BJ17&gt;0,IF(INDEX('Final Calculation Sheet'!$V$4:$V$40,$BJ17-3)="","",INDEX('Final Calculation Sheet'!$V$4:$V$40,$BJ17-3)),IF(OR($BI17=1,$BL17=1,$BH17&gt;0),"–",""))</f>
        <v/>
      </c>
      <c r="X14" t="str">
        <f>IF($BJ17&gt;0,IF(INDEX('Final Calculation Sheet'!$W$4:$W$40,$BJ17-3)="","",INDEX('Final Calculation Sheet'!$W$4:$W$40,$BJ17-3)),IF(OR($BI17=1,$BL17=1,$BH17&gt;0),IF($BI17=1,SUM('Final Calculation Sheet'!$W$4:$W$40),IF($BL17=1,SUM('Final Calculation Sheet'!$W$4:$W$40)-SUMIFS('Final Calculation Sheet'!$W$4:$W$40,$AZ$5:$AZ$41,10),SUMIFS('Final Calculation Sheet'!$W$4:$W$40,$AZ$5:$AZ$41,$BH17))),""))</f>
        <v/>
      </c>
      <c r="Y14" t="str">
        <f>IF($BJ17&gt;0,IF(INDEX('Final Calculation Sheet'!$X$4:$X$40,$BJ17-3)="","",INDEX('Final Calculation Sheet'!$X$4:$X$40,$BJ17-3)),IF(OR($BI17=1,$BL17=1,$BH17&gt;0),IF($BI17=1,SUM('Final Calculation Sheet'!$X$4:$X$40),IF($BL17=1,SUM('Final Calculation Sheet'!$X$4:$X$40)-SUMIFS('Final Calculation Sheet'!$X$4:$X$40,$AZ$5:$AZ$41,10),SUMIFS('Final Calculation Sheet'!$X$4:$X$40,$AZ$5:$AZ$41,$BH17))),""))</f>
        <v/>
      </c>
      <c r="Z14" t="str">
        <f>IF($BJ17&gt;0,IF(INDEX('Final Calculation Sheet'!$Y$4:$Y$40,$BJ17-3)="","",INDEX('Final Calculation Sheet'!$Y$4:$Y$40,$BJ17-3)),IF(OR($BI17=1,$BL17=1,$BH17&gt;0),"–",""))</f>
        <v/>
      </c>
      <c r="AA14" t="str">
        <f>IF($BJ17&gt;0,IF(INDEX('Final Calculation Sheet'!$Z$4:$Z$40,$BJ17-3)="","",INDEX('Final Calculation Sheet'!$Z$4:$Z$40,$BJ17-3)),IF(OR($BI17=1,$BL17=1,$BH17&gt;0),IF($BI17=1,SUM('Final Calculation Sheet'!$Z$4:$Z$40),IF($BL17=1,SUM('Final Calculation Sheet'!$Z$4:$Z$40)-SUMIFS('Final Calculation Sheet'!$Z$4:$Z$40,$AZ$5:$AZ$41,10),SUMIFS('Final Calculation Sheet'!$Z$4:$Z$40,$AZ$5:$AZ$41,$BH17))),""))</f>
        <v/>
      </c>
      <c r="AB14" t="str">
        <f>IF($BJ17&gt;0,IF(INDEX('Final Calculation Sheet'!$AA$4:$AA$40,$BJ17-3)="","",INDEX('Final Calculation Sheet'!$AA$4:$AA$40,$BJ17-3)),IF(OR($BI17=1,$BL17=1,$BH17&gt;0),IF($BI17=1,SUM('Final Calculation Sheet'!$AA$4:$AA$40),IF($BL17=1,SUM('Final Calculation Sheet'!$AA$4:$AA$40)-SUMIFS('Final Calculation Sheet'!$AA$4:$AA$40,$AZ$5:$AZ$41,10),SUMIFS('Final Calculation Sheet'!$AA$4:$AA$40,$AZ$5:$AZ$41,$BH17))),""))</f>
        <v/>
      </c>
      <c r="AC14" t="str">
        <f>IF($BJ17&gt;0,IF(INDEX('Final Calculation Sheet'!$AB$4:$AB$40,$BJ17-3)="","",INDEX('Final Calculation Sheet'!$AB$4:$AB$40,$BJ17-3)),IF(OR($BI17=1,$BL17=1,$BH17&gt;0),"–",""))</f>
        <v/>
      </c>
      <c r="AD14" t="str">
        <f>IF($BJ17&gt;0,IF(INDEX('Final Calculation Sheet'!$AC$4:$AC$40,$BJ17-3)="","",INDEX('Final Calculation Sheet'!$AC$4:$AC$40,$BJ17-3)),IF(OR($BI17=1,$BL17=1,$BH17&gt;0),IF($BI17=1,SUM('Final Calculation Sheet'!$AC$4:$AC$40),IF($BL17=1,SUM('Final Calculation Sheet'!$AC$4:$AC$40)-SUMIFS('Final Calculation Sheet'!$AC$4:$AC$40,$AZ$5:$AZ$41,10),SUMIFS('Final Calculation Sheet'!$AC$4:$AC$40,$AZ$5:$AZ$41,$BH17))),""))</f>
        <v/>
      </c>
      <c r="AE14" t="str">
        <f>IF($BJ17&gt;0,IF(INDEX('Final Calculation Sheet'!$AD$4:$AD$40,$BJ17-3)="","",INDEX('Final Calculation Sheet'!$AD$4:$AD$40,$BJ17-3)),IF(OR($BI17=1,$BL17=1,$BH17&gt;0),IF($BI17=1,SUM('Final Calculation Sheet'!$AD$4:$AD$40),IF($BL17=1,SUM('Final Calculation Sheet'!$AD$4:$AD$40)-SUMIFS('Final Calculation Sheet'!$AD$4:$AD$40,$AZ$5:$AZ$41,10),SUMIFS('Final Calculation Sheet'!$AD$4:$AD$40,$AZ$5:$AZ$41,$BH17))),""))</f>
        <v/>
      </c>
      <c r="AF14" t="str">
        <f>IF($BJ17&gt;0,IF(INDEX('Final Calculation Sheet'!$AE$4:$AE$40,$BJ17-3)="","",INDEX('Final Calculation Sheet'!$AE$4:$AE$40,$BJ17-3)),IF(OR($BI17=1,$BL17=1,$BH17&gt;0),"–",""))</f>
        <v/>
      </c>
      <c r="AG14" t="str">
        <f>IF($BJ17&gt;0,IF(INDEX('Final Calculation Sheet'!$AF$4:$AF$40,$BJ17-3)="","",INDEX('Final Calculation Sheet'!$AF$4:$AF$40,$BJ17-3)),IF(OR($BI17=1,$BL17=1,$BH17&gt;0),"–",""))</f>
        <v/>
      </c>
      <c r="AH14" t="str">
        <f>IF($BJ17&gt;0,IF(INDEX('Final Calculation Sheet'!$AG$4:$AG$40,$BJ17-3)="","",INDEX('Final Calculation Sheet'!$AG$4:$AG$40,$BJ17-3)),IF(OR($BI17=1,$BL17=1,$BH17&gt;0),"–",""))</f>
        <v/>
      </c>
      <c r="AI14" t="str">
        <f>IF($BJ17&gt;0,IF(INDEX('Final Calculation Sheet'!$AD$4:$AD$40,$BJ17-3)="","",IF(INDEX('Final Calculation Sheet'!$AD$4:$AD$40,$BJ17-3)&lt;=5,"SETTLED","OUTSTANDING")),IF(OR($BI17=1,$BL17=1,$BH17&gt;0),IF(IF($BI17=1,SUM('Final Calculation Sheet'!$AD$4:$AD$40),IF($BL17=1,SUM('Final Calculation Sheet'!$AD$4:$AD$40)-SUMIFS('Final Calculation Sheet'!$AD$4:$AD$40,$AZ$5:$AZ$41,10),SUMIFS('Final Calculation Sheet'!$AD$4:$AD$40,$AZ$5:$AZ$41,$BH17)))&lt;=5,"ALL SETTLED","OUTSTANDING"),""))</f>
        <v/>
      </c>
    </row>
    <row r="15">
      <c r="A15" t="str">
        <f>IF($BJ18&gt;0,INDEX($BA$5:$BA$41,MATCH(18,$BB$5:$BB$41,0)),IF(OR($BI18=1,$BL18=1,$BH18&gt;0),"∑",""))</f>
        <v/>
      </c>
      <c r="B15" t="str">
        <f>IF($BJ18&gt;0,IF(INDEX('Final Calculation Sheet'!$F$4:$F$40,$BJ18-3)="","",INDEX('Final Calculation Sheet'!$F$4:$F$40,$BJ18-3)),"")</f>
        <v/>
      </c>
      <c r="C15" t="str">
        <f>IF($BJ18&gt;0,IF(INDEX('Final Calculation Sheet'!$G$4:$G$40,$BJ18-3)="","",INDEX('Final Calculation Sheet'!$G$4:$G$40,$BJ18-3)),IF(OR($BI18=1,$BL18=1,$BH18&gt;0),IF($BI18=1,37,IF($BL18=1,37-INDEX($BD$4:$BD$13,10),INDEX($BD$4:$BD$13,$BH18)))&amp;" lot(s)",""))</f>
        <v/>
      </c>
      <c r="D15" t="str">
        <f>IF($BJ18&gt;0,IF(INDEX('Final Calculation Sheet'!$B$4:$B$40,$BJ18-3)="","",INDEX('Final Calculation Sheet'!$B$4:$B$40,$BJ18-3)),IF(OR($BI18=1,$BL18=1,$BH18&gt;0),IF($BI18=1,"GRAND TOTAL  —  matching + remaining",IF($BL18=1,"TOTAL MATCHED  —  every group together",IF($BH18=10,"REMAINING  —  did not match the search",IF($BH18=9,IF(COUNTIF($A$4:$AI$4,"&lt;&gt;")&gt;0,"FILTERED LOTS  —  column fields","ALL LOTS  —  nothing typed in the box"),"GROUP "&amp;$BH18&amp;" TOTAL  —  lots matching  "&amp;INDEX($AR$6:$AY$6,$BH18))))),""))</f>
        <v/>
      </c>
      <c r="E15" t="str">
        <f>IF($BJ18&gt;0,IF(INDEX('Final Calculation Sheet'!$D$4:$D$40,$BJ18-3)="","",INDEX('Final Calculation Sheet'!$D$4:$D$40,$BJ18-3)),IF(OR($BI18=1,$BL18=1,$BH18&gt;0),"–",""))</f>
        <v/>
      </c>
      <c r="F15" t="str">
        <f>IF($BJ18&gt;0,IF(INDEX('Final Calculation Sheet'!$A$4:$A$40,$BJ18-3)="","",INDEX('Final Calculation Sheet'!$A$4:$A$40,$BJ18-3)),IF(OR($BI18=1,$BL18=1,$BH18&gt;0),IF($BI18=1,SUM('Final Calculation Sheet'!$A$4:$A$40),IF($BL18=1,SUM('Final Calculation Sheet'!$A$4:$A$40)-SUMIFS('Final Calculation Sheet'!$A$4:$A$40,$AZ$5:$AZ$41,10),SUMIFS('Final Calculation Sheet'!$A$4:$A$40,$AZ$5:$AZ$41,$BH18))),""))</f>
        <v/>
      </c>
      <c r="G15" t="str">
        <f>IF($BJ18&gt;0,IF(INDEX('Final Calculation Sheet'!$E$4:$E$40,$BJ18-3)="","",INDEX('Final Calculation Sheet'!$E$4:$E$40,$BJ18-3)),IF(OR($BI18=1,$BL18=1,$BH18&gt;0),"–",""))</f>
        <v/>
      </c>
      <c r="H15" t="str">
        <f>IF($BJ18&gt;0,IF(INDEX('Final Calculation Sheet'!$C$4:$C$40,$BJ18-3)="","",INDEX('Final Calculation Sheet'!$C$4:$C$40,$BJ18-3)),IF(OR($BI18=1,$BL18=1,$BH18&gt;0),"–",""))</f>
        <v/>
      </c>
      <c r="I15" t="str">
        <f>IF($BJ18&gt;0,IF(INDEX('Final Calculation Sheet'!$H$4:$H$40,$BJ18-3)="","",INDEX('Final Calculation Sheet'!$H$4:$H$40,$BJ18-3)),IF(OR($BI18=1,$BL18=1,$BH18&gt;0),IF($BI18=1,SUM('Final Calculation Sheet'!$H$4:$H$40),IF($BL18=1,SUM('Final Calculation Sheet'!$H$4:$H$40)-SUMIFS('Final Calculation Sheet'!$H$4:$H$40,$AZ$5:$AZ$41,10),SUMIFS('Final Calculation Sheet'!$H$4:$H$40,$AZ$5:$AZ$41,$BH18))),""))</f>
        <v/>
      </c>
      <c r="J15" t="str">
        <f>IF($BJ18&gt;0,IF(INDEX('Final Calculation Sheet'!$I$4:$I$40,$BJ18-3)="","",INDEX('Final Calculation Sheet'!$I$4:$I$40,$BJ18-3)),IF(OR($BI18=1,$BL18=1,$BH18&gt;0),IF($BI18=1,SUM('Final Calculation Sheet'!$I$4:$I$40),IF($BL18=1,SUM('Final Calculation Sheet'!$I$4:$I$40)-SUMIFS('Final Calculation Sheet'!$I$4:$I$40,$AZ$5:$AZ$41,10),SUMIFS('Final Calculation Sheet'!$I$4:$I$40,$AZ$5:$AZ$41,$BH18))),""))</f>
        <v/>
      </c>
      <c r="K15" t="str">
        <f>IF($BJ18&gt;0,IF(INDEX('Final Calculation Sheet'!$J$4:$J$40,$BJ18-3)="","",INDEX('Final Calculation Sheet'!$J$4:$J$40,$BJ18-3)),IF(OR($BI18=1,$BL18=1,$BH18&gt;0),IF($BI18=1,SUM('Final Calculation Sheet'!$J$4:$J$40),IF($BL18=1,SUM('Final Calculation Sheet'!$J$4:$J$40)-SUMIFS('Final Calculation Sheet'!$J$4:$J$40,$AZ$5:$AZ$41,10),SUMIFS('Final Calculation Sheet'!$J$4:$J$40,$AZ$5:$AZ$41,$BH18))),""))</f>
        <v/>
      </c>
      <c r="L15" t="str">
        <f>IF($BJ18&gt;0,IF(INDEX('Final Calculation Sheet'!$K$4:$K$40,$BJ18-3)="","",INDEX('Final Calculation Sheet'!$K$4:$K$40,$BJ18-3)),IF(OR($BI18=1,$BL18=1,$BH18&gt;0),IF($BI18=1,SUM('Final Calculation Sheet'!$K$4:$K$40),IF($BL18=1,SUM('Final Calculation Sheet'!$K$4:$K$40)-SUMIFS('Final Calculation Sheet'!$K$4:$K$40,$AZ$5:$AZ$41,10),SUMIFS('Final Calculation Sheet'!$K$4:$K$40,$AZ$5:$AZ$41,$BH18))),""))</f>
        <v/>
      </c>
      <c r="M15" t="str">
        <f>IF($BJ18&gt;0,IF(INDEX('Final Calculation Sheet'!$L$4:$L$40,$BJ18-3)="","",INDEX('Final Calculation Sheet'!$L$4:$L$40,$BJ18-3)),IF(OR($BI18=1,$BL18=1,$BH18&gt;0),IF($BI18=1,SUM('Final Calculation Sheet'!$L$4:$L$40),IF($BL18=1,SUM('Final Calculation Sheet'!$L$4:$L$40)-SUMIFS('Final Calculation Sheet'!$L$4:$L$40,$AZ$5:$AZ$41,10),SUMIFS('Final Calculation Sheet'!$L$4:$L$40,$AZ$5:$AZ$41,$BH18))),""))</f>
        <v/>
      </c>
      <c r="N15" t="str">
        <f>IF($BJ18&gt;0,IF(INDEX('Final Calculation Sheet'!$M$4:$M$40,$BJ18-3)="","",INDEX('Final Calculation Sheet'!$M$4:$M$40,$BJ18-3)),IF(OR($BI18=1,$BL18=1,$BH18&gt;0),IF($BI18=1,SUM('Final Calculation Sheet'!$M$4:$M$40),IF($BL18=1,SUM('Final Calculation Sheet'!$M$4:$M$40)-SUMIFS('Final Calculation Sheet'!$M$4:$M$40,$AZ$5:$AZ$41,10),SUMIFS('Final Calculation Sheet'!$M$4:$M$40,$AZ$5:$AZ$41,$BH18))),""))</f>
        <v/>
      </c>
      <c r="O15" t="str">
        <f>IF($BJ18&gt;0,IF(INDEX('Final Calculation Sheet'!$N$4:$N$40,$BJ18-3)="","",INDEX('Final Calculation Sheet'!$N$4:$N$40,$BJ18-3)),IF(OR($BI18=1,$BL18=1,$BH18&gt;0),IF($BI18=1,SUM('Final Calculation Sheet'!$N$4:$N$40),IF($BL18=1,SUM('Final Calculation Sheet'!$N$4:$N$40)-SUMIFS('Final Calculation Sheet'!$N$4:$N$40,$AZ$5:$AZ$41,10),SUMIFS('Final Calculation Sheet'!$N$4:$N$40,$AZ$5:$AZ$41,$BH18))),""))</f>
        <v/>
      </c>
      <c r="P15" t="str">
        <f>IF($BJ18&gt;0,IF(INDEX('Final Calculation Sheet'!$O$4:$O$40,$BJ18-3)="","",INDEX('Final Calculation Sheet'!$O$4:$O$40,$BJ18-3)),IF(OR($BI18=1,$BL18=1,$BH18&gt;0),IF($BI18=1,SUM('Final Calculation Sheet'!$O$4:$O$40),IF($BL18=1,SUM('Final Calculation Sheet'!$O$4:$O$40)-SUMIFS('Final Calculation Sheet'!$O$4:$O$40,$AZ$5:$AZ$41,10),SUMIFS('Final Calculation Sheet'!$O$4:$O$40,$AZ$5:$AZ$41,$BH18))),""))</f>
        <v/>
      </c>
      <c r="Q15" t="str">
        <f>IF($BJ18&gt;0,IF(INDEX('Final Calculation Sheet'!$P$4:$P$40,$BJ18-3)="","",INDEX('Final Calculation Sheet'!$P$4:$P$40,$BJ18-3)),IF(OR($BI18=1,$BL18=1,$BH18&gt;0),IF($BI18=1,SUM('Final Calculation Sheet'!$P$4:$P$40),IF($BL18=1,SUM('Final Calculation Sheet'!$P$4:$P$40)-SUMIFS('Final Calculation Sheet'!$P$4:$P$40,$AZ$5:$AZ$41,10),SUMIFS('Final Calculation Sheet'!$P$4:$P$40,$AZ$5:$AZ$41,$BH18))),""))</f>
        <v/>
      </c>
      <c r="R15" t="str">
        <f>IF($BJ18&gt;0,IF(INDEX('Final Calculation Sheet'!$Q$4:$Q$40,$BJ18-3)="","",INDEX('Final Calculation Sheet'!$Q$4:$Q$40,$BJ18-3)),IF(OR($BI18=1,$BL18=1,$BH18&gt;0),"–",""))</f>
        <v/>
      </c>
      <c r="S15" t="str">
        <f>IF($BJ18&gt;0,IF(INDEX('Final Calculation Sheet'!$R$4:$R$40,$BJ18-3)="","",INDEX('Final Calculation Sheet'!$R$4:$R$40,$BJ18-3)),IF(OR($BI18=1,$BL18=1,$BH18&gt;0),IF($BI18=1,SUM('Final Calculation Sheet'!$R$4:$R$40),IF($BL18=1,SUM('Final Calculation Sheet'!$R$4:$R$40)-SUMIFS('Final Calculation Sheet'!$R$4:$R$40,$AZ$5:$AZ$41,10),SUMIFS('Final Calculation Sheet'!$R$4:$R$40,$AZ$5:$AZ$41,$BH18))),""))</f>
        <v/>
      </c>
      <c r="T15" t="str">
        <f>IF($BJ18&gt;0,IF(INDEX('Final Calculation Sheet'!$S$4:$S$40,$BJ18-3)="","",INDEX('Final Calculation Sheet'!$S$4:$S$40,$BJ18-3)),IF(OR($BI18=1,$BL18=1,$BH18&gt;0),IF($BI18=1,SUM('Final Calculation Sheet'!$S$4:$S$40),IF($BL18=1,SUM('Final Calculation Sheet'!$S$4:$S$40)-SUMIFS('Final Calculation Sheet'!$S$4:$S$40,$AZ$5:$AZ$41,10),SUMIFS('Final Calculation Sheet'!$S$4:$S$40,$AZ$5:$AZ$41,$BH18))),""))</f>
        <v/>
      </c>
      <c r="U15" t="str">
        <f>IF($BJ18&gt;0,IF(INDEX('Final Calculation Sheet'!$T$4:$T$40,$BJ18-3)="","",INDEX('Final Calculation Sheet'!$T$4:$T$40,$BJ18-3)),IF(OR($BI18=1,$BL18=1,$BH18&gt;0),IF($BI18=1,SUM('Final Calculation Sheet'!$T$4:$T$40),IF($BL18=1,SUM('Final Calculation Sheet'!$T$4:$T$40)-SUMIFS('Final Calculation Sheet'!$T$4:$T$40,$AZ$5:$AZ$41,10),SUMIFS('Final Calculation Sheet'!$T$4:$T$40,$AZ$5:$AZ$41,$BH18))),""))</f>
        <v/>
      </c>
      <c r="V15" t="str">
        <f>IF($BJ18&gt;0,IF(INDEX('Final Calculation Sheet'!$U$4:$U$40,$BJ18-3)="","",INDEX('Final Calculation Sheet'!$U$4:$U$40,$BJ18-3)),IF(OR($BI18=1,$BL18=1,$BH18&gt;0),IF($BI18=1,SUM('Final Calculation Sheet'!$U$4:$U$40),IF($BL18=1,SUM('Final Calculation Sheet'!$U$4:$U$40)-SUMIFS('Final Calculation Sheet'!$U$4:$U$40,$AZ$5:$AZ$41,10),SUMIFS('Final Calculation Sheet'!$U$4:$U$40,$AZ$5:$AZ$41,$BH18))),""))</f>
        <v/>
      </c>
      <c r="W15" t="str">
        <f>IF($BJ18&gt;0,IF(INDEX('Final Calculation Sheet'!$V$4:$V$40,$BJ18-3)="","",INDEX('Final Calculation Sheet'!$V$4:$V$40,$BJ18-3)),IF(OR($BI18=1,$BL18=1,$BH18&gt;0),"–",""))</f>
        <v/>
      </c>
      <c r="X15" t="str">
        <f>IF($BJ18&gt;0,IF(INDEX('Final Calculation Sheet'!$W$4:$W$40,$BJ18-3)="","",INDEX('Final Calculation Sheet'!$W$4:$W$40,$BJ18-3)),IF(OR($BI18=1,$BL18=1,$BH18&gt;0),IF($BI18=1,SUM('Final Calculation Sheet'!$W$4:$W$40),IF($BL18=1,SUM('Final Calculation Sheet'!$W$4:$W$40)-SUMIFS('Final Calculation Sheet'!$W$4:$W$40,$AZ$5:$AZ$41,10),SUMIFS('Final Calculation Sheet'!$W$4:$W$40,$AZ$5:$AZ$41,$BH18))),""))</f>
        <v/>
      </c>
      <c r="Y15" t="str">
        <f>IF($BJ18&gt;0,IF(INDEX('Final Calculation Sheet'!$X$4:$X$40,$BJ18-3)="","",INDEX('Final Calculation Sheet'!$X$4:$X$40,$BJ18-3)),IF(OR($BI18=1,$BL18=1,$BH18&gt;0),IF($BI18=1,SUM('Final Calculation Sheet'!$X$4:$X$40),IF($BL18=1,SUM('Final Calculation Sheet'!$X$4:$X$40)-SUMIFS('Final Calculation Sheet'!$X$4:$X$40,$AZ$5:$AZ$41,10),SUMIFS('Final Calculation Sheet'!$X$4:$X$40,$AZ$5:$AZ$41,$BH18))),""))</f>
        <v/>
      </c>
      <c r="Z15" t="str">
        <f>IF($BJ18&gt;0,IF(INDEX('Final Calculation Sheet'!$Y$4:$Y$40,$BJ18-3)="","",INDEX('Final Calculation Sheet'!$Y$4:$Y$40,$BJ18-3)),IF(OR($BI18=1,$BL18=1,$BH18&gt;0),"–",""))</f>
        <v/>
      </c>
      <c r="AA15" t="str">
        <f>IF($BJ18&gt;0,IF(INDEX('Final Calculation Sheet'!$Z$4:$Z$40,$BJ18-3)="","",INDEX('Final Calculation Sheet'!$Z$4:$Z$40,$BJ18-3)),IF(OR($BI18=1,$BL18=1,$BH18&gt;0),IF($BI18=1,SUM('Final Calculation Sheet'!$Z$4:$Z$40),IF($BL18=1,SUM('Final Calculation Sheet'!$Z$4:$Z$40)-SUMIFS('Final Calculation Sheet'!$Z$4:$Z$40,$AZ$5:$AZ$41,10),SUMIFS('Final Calculation Sheet'!$Z$4:$Z$40,$AZ$5:$AZ$41,$BH18))),""))</f>
        <v/>
      </c>
      <c r="AB15" t="str">
        <f>IF($BJ18&gt;0,IF(INDEX('Final Calculation Sheet'!$AA$4:$AA$40,$BJ18-3)="","",INDEX('Final Calculation Sheet'!$AA$4:$AA$40,$BJ18-3)),IF(OR($BI18=1,$BL18=1,$BH18&gt;0),IF($BI18=1,SUM('Final Calculation Sheet'!$AA$4:$AA$40),IF($BL18=1,SUM('Final Calculation Sheet'!$AA$4:$AA$40)-SUMIFS('Final Calculation Sheet'!$AA$4:$AA$40,$AZ$5:$AZ$41,10),SUMIFS('Final Calculation Sheet'!$AA$4:$AA$40,$AZ$5:$AZ$41,$BH18))),""))</f>
        <v/>
      </c>
      <c r="AC15" t="str">
        <f>IF($BJ18&gt;0,IF(INDEX('Final Calculation Sheet'!$AB$4:$AB$40,$BJ18-3)="","",INDEX('Final Calculation Sheet'!$AB$4:$AB$40,$BJ18-3)),IF(OR($BI18=1,$BL18=1,$BH18&gt;0),"–",""))</f>
        <v/>
      </c>
      <c r="AD15" t="str">
        <f>IF($BJ18&gt;0,IF(INDEX('Final Calculation Sheet'!$AC$4:$AC$40,$BJ18-3)="","",INDEX('Final Calculation Sheet'!$AC$4:$AC$40,$BJ18-3)),IF(OR($BI18=1,$BL18=1,$BH18&gt;0),IF($BI18=1,SUM('Final Calculation Sheet'!$AC$4:$AC$40),IF($BL18=1,SUM('Final Calculation Sheet'!$AC$4:$AC$40)-SUMIFS('Final Calculation Sheet'!$AC$4:$AC$40,$AZ$5:$AZ$41,10),SUMIFS('Final Calculation Sheet'!$AC$4:$AC$40,$AZ$5:$AZ$41,$BH18))),""))</f>
        <v/>
      </c>
      <c r="AE15" t="str">
        <f>IF($BJ18&gt;0,IF(INDEX('Final Calculation Sheet'!$AD$4:$AD$40,$BJ18-3)="","",INDEX('Final Calculation Sheet'!$AD$4:$AD$40,$BJ18-3)),IF(OR($BI18=1,$BL18=1,$BH18&gt;0),IF($BI18=1,SUM('Final Calculation Sheet'!$AD$4:$AD$40),IF($BL18=1,SUM('Final Calculation Sheet'!$AD$4:$AD$40)-SUMIFS('Final Calculation Sheet'!$AD$4:$AD$40,$AZ$5:$AZ$41,10),SUMIFS('Final Calculation Sheet'!$AD$4:$AD$40,$AZ$5:$AZ$41,$BH18))),""))</f>
        <v/>
      </c>
      <c r="AF15" t="str">
        <f>IF($BJ18&gt;0,IF(INDEX('Final Calculation Sheet'!$AE$4:$AE$40,$BJ18-3)="","",INDEX('Final Calculation Sheet'!$AE$4:$AE$40,$BJ18-3)),IF(OR($BI18=1,$BL18=1,$BH18&gt;0),"–",""))</f>
        <v/>
      </c>
      <c r="AG15" t="str">
        <f>IF($BJ18&gt;0,IF(INDEX('Final Calculation Sheet'!$AF$4:$AF$40,$BJ18-3)="","",INDEX('Final Calculation Sheet'!$AF$4:$AF$40,$BJ18-3)),IF(OR($BI18=1,$BL18=1,$BH18&gt;0),"–",""))</f>
        <v/>
      </c>
      <c r="AH15" t="str">
        <f>IF($BJ18&gt;0,IF(INDEX('Final Calculation Sheet'!$AG$4:$AG$40,$BJ18-3)="","",INDEX('Final Calculation Sheet'!$AG$4:$AG$40,$BJ18-3)),IF(OR($BI18=1,$BL18=1,$BH18&gt;0),"–",""))</f>
        <v/>
      </c>
      <c r="AI15" t="str">
        <f>IF($BJ18&gt;0,IF(INDEX('Final Calculation Sheet'!$AD$4:$AD$40,$BJ18-3)="","",IF(INDEX('Final Calculation Sheet'!$AD$4:$AD$40,$BJ18-3)&lt;=5,"SETTLED","OUTSTANDING")),IF(OR($BI18=1,$BL18=1,$BH18&gt;0),IF(IF($BI18=1,SUM('Final Calculation Sheet'!$AD$4:$AD$40),IF($BL18=1,SUM('Final Calculation Sheet'!$AD$4:$AD$40)-SUMIFS('Final Calculation Sheet'!$AD$4:$AD$40,$AZ$5:$AZ$41,10),SUMIFS('Final Calculation Sheet'!$AD$4:$AD$40,$AZ$5:$AZ$41,$BH18)))&lt;=5,"ALL SETTLED","OUTSTANDING"),""))</f>
        <v/>
      </c>
    </row>
    <row r="16">
      <c r="A16" t="str">
        <f>IF($BJ19&gt;0,INDEX($BA$5:$BA$41,MATCH(19,$BB$5:$BB$41,0)),IF(OR($BI19=1,$BL19=1,$BH19&gt;0),"∑",""))</f>
        <v/>
      </c>
      <c r="B16" t="str">
        <f>IF($BJ19&gt;0,IF(INDEX('Final Calculation Sheet'!$F$4:$F$40,$BJ19-3)="","",INDEX('Final Calculation Sheet'!$F$4:$F$40,$BJ19-3)),"")</f>
        <v/>
      </c>
      <c r="C16" t="str">
        <f>IF($BJ19&gt;0,IF(INDEX('Final Calculation Sheet'!$G$4:$G$40,$BJ19-3)="","",INDEX('Final Calculation Sheet'!$G$4:$G$40,$BJ19-3)),IF(OR($BI19=1,$BL19=1,$BH19&gt;0),IF($BI19=1,37,IF($BL19=1,37-INDEX($BD$4:$BD$13,10),INDEX($BD$4:$BD$13,$BH19)))&amp;" lot(s)",""))</f>
        <v/>
      </c>
      <c r="D16" t="str">
        <f>IF($BJ19&gt;0,IF(INDEX('Final Calculation Sheet'!$B$4:$B$40,$BJ19-3)="","",INDEX('Final Calculation Sheet'!$B$4:$B$40,$BJ19-3)),IF(OR($BI19=1,$BL19=1,$BH19&gt;0),IF($BI19=1,"GRAND TOTAL  —  matching + remaining",IF($BL19=1,"TOTAL MATCHED  —  every group together",IF($BH19=10,"REMAINING  —  did not match the search",IF($BH19=9,IF(COUNTIF($A$4:$AI$4,"&lt;&gt;")&gt;0,"FILTERED LOTS  —  column fields","ALL LOTS  —  nothing typed in the box"),"GROUP "&amp;$BH19&amp;" TOTAL  —  lots matching  "&amp;INDEX($AR$6:$AY$6,$BH19))))),""))</f>
        <v/>
      </c>
      <c r="E16" t="str">
        <f>IF($BJ19&gt;0,IF(INDEX('Final Calculation Sheet'!$D$4:$D$40,$BJ19-3)="","",INDEX('Final Calculation Sheet'!$D$4:$D$40,$BJ19-3)),IF(OR($BI19=1,$BL19=1,$BH19&gt;0),"–",""))</f>
        <v/>
      </c>
      <c r="F16" t="str">
        <f>IF($BJ19&gt;0,IF(INDEX('Final Calculation Sheet'!$A$4:$A$40,$BJ19-3)="","",INDEX('Final Calculation Sheet'!$A$4:$A$40,$BJ19-3)),IF(OR($BI19=1,$BL19=1,$BH19&gt;0),IF($BI19=1,SUM('Final Calculation Sheet'!$A$4:$A$40),IF($BL19=1,SUM('Final Calculation Sheet'!$A$4:$A$40)-SUMIFS('Final Calculation Sheet'!$A$4:$A$40,$AZ$5:$AZ$41,10),SUMIFS('Final Calculation Sheet'!$A$4:$A$40,$AZ$5:$AZ$41,$BH19))),""))</f>
        <v/>
      </c>
      <c r="G16" t="str">
        <f>IF($BJ19&gt;0,IF(INDEX('Final Calculation Sheet'!$E$4:$E$40,$BJ19-3)="","",INDEX('Final Calculation Sheet'!$E$4:$E$40,$BJ19-3)),IF(OR($BI19=1,$BL19=1,$BH19&gt;0),"–",""))</f>
        <v/>
      </c>
      <c r="H16" t="str">
        <f>IF($BJ19&gt;0,IF(INDEX('Final Calculation Sheet'!$C$4:$C$40,$BJ19-3)="","",INDEX('Final Calculation Sheet'!$C$4:$C$40,$BJ19-3)),IF(OR($BI19=1,$BL19=1,$BH19&gt;0),"–",""))</f>
        <v/>
      </c>
      <c r="I16" t="str">
        <f>IF($BJ19&gt;0,IF(INDEX('Final Calculation Sheet'!$H$4:$H$40,$BJ19-3)="","",INDEX('Final Calculation Sheet'!$H$4:$H$40,$BJ19-3)),IF(OR($BI19=1,$BL19=1,$BH19&gt;0),IF($BI19=1,SUM('Final Calculation Sheet'!$H$4:$H$40),IF($BL19=1,SUM('Final Calculation Sheet'!$H$4:$H$40)-SUMIFS('Final Calculation Sheet'!$H$4:$H$40,$AZ$5:$AZ$41,10),SUMIFS('Final Calculation Sheet'!$H$4:$H$40,$AZ$5:$AZ$41,$BH19))),""))</f>
        <v/>
      </c>
      <c r="J16" t="str">
        <f>IF($BJ19&gt;0,IF(INDEX('Final Calculation Sheet'!$I$4:$I$40,$BJ19-3)="","",INDEX('Final Calculation Sheet'!$I$4:$I$40,$BJ19-3)),IF(OR($BI19=1,$BL19=1,$BH19&gt;0),IF($BI19=1,SUM('Final Calculation Sheet'!$I$4:$I$40),IF($BL19=1,SUM('Final Calculation Sheet'!$I$4:$I$40)-SUMIFS('Final Calculation Sheet'!$I$4:$I$40,$AZ$5:$AZ$41,10),SUMIFS('Final Calculation Sheet'!$I$4:$I$40,$AZ$5:$AZ$41,$BH19))),""))</f>
        <v/>
      </c>
      <c r="K16" t="str">
        <f>IF($BJ19&gt;0,IF(INDEX('Final Calculation Sheet'!$J$4:$J$40,$BJ19-3)="","",INDEX('Final Calculation Sheet'!$J$4:$J$40,$BJ19-3)),IF(OR($BI19=1,$BL19=1,$BH19&gt;0),IF($BI19=1,SUM('Final Calculation Sheet'!$J$4:$J$40),IF($BL19=1,SUM('Final Calculation Sheet'!$J$4:$J$40)-SUMIFS('Final Calculation Sheet'!$J$4:$J$40,$AZ$5:$AZ$41,10),SUMIFS('Final Calculation Sheet'!$J$4:$J$40,$AZ$5:$AZ$41,$BH19))),""))</f>
        <v/>
      </c>
      <c r="L16" t="str">
        <f>IF($BJ19&gt;0,IF(INDEX('Final Calculation Sheet'!$K$4:$K$40,$BJ19-3)="","",INDEX('Final Calculation Sheet'!$K$4:$K$40,$BJ19-3)),IF(OR($BI19=1,$BL19=1,$BH19&gt;0),IF($BI19=1,SUM('Final Calculation Sheet'!$K$4:$K$40),IF($BL19=1,SUM('Final Calculation Sheet'!$K$4:$K$40)-SUMIFS('Final Calculation Sheet'!$K$4:$K$40,$AZ$5:$AZ$41,10),SUMIFS('Final Calculation Sheet'!$K$4:$K$40,$AZ$5:$AZ$41,$BH19))),""))</f>
        <v/>
      </c>
      <c r="M16" t="str">
        <f>IF($BJ19&gt;0,IF(INDEX('Final Calculation Sheet'!$L$4:$L$40,$BJ19-3)="","",INDEX('Final Calculation Sheet'!$L$4:$L$40,$BJ19-3)),IF(OR($BI19=1,$BL19=1,$BH19&gt;0),IF($BI19=1,SUM('Final Calculation Sheet'!$L$4:$L$40),IF($BL19=1,SUM('Final Calculation Sheet'!$L$4:$L$40)-SUMIFS('Final Calculation Sheet'!$L$4:$L$40,$AZ$5:$AZ$41,10),SUMIFS('Final Calculation Sheet'!$L$4:$L$40,$AZ$5:$AZ$41,$BH19))),""))</f>
        <v/>
      </c>
      <c r="N16" t="str">
        <f>IF($BJ19&gt;0,IF(INDEX('Final Calculation Sheet'!$M$4:$M$40,$BJ19-3)="","",INDEX('Final Calculation Sheet'!$M$4:$M$40,$BJ19-3)),IF(OR($BI19=1,$BL19=1,$BH19&gt;0),IF($BI19=1,SUM('Final Calculation Sheet'!$M$4:$M$40),IF($BL19=1,SUM('Final Calculation Sheet'!$M$4:$M$40)-SUMIFS('Final Calculation Sheet'!$M$4:$M$40,$AZ$5:$AZ$41,10),SUMIFS('Final Calculation Sheet'!$M$4:$M$40,$AZ$5:$AZ$41,$BH19))),""))</f>
        <v/>
      </c>
      <c r="O16" t="str">
        <f>IF($BJ19&gt;0,IF(INDEX('Final Calculation Sheet'!$N$4:$N$40,$BJ19-3)="","",INDEX('Final Calculation Sheet'!$N$4:$N$40,$BJ19-3)),IF(OR($BI19=1,$BL19=1,$BH19&gt;0),IF($BI19=1,SUM('Final Calculation Sheet'!$N$4:$N$40),IF($BL19=1,SUM('Final Calculation Sheet'!$N$4:$N$40)-SUMIFS('Final Calculation Sheet'!$N$4:$N$40,$AZ$5:$AZ$41,10),SUMIFS('Final Calculation Sheet'!$N$4:$N$40,$AZ$5:$AZ$41,$BH19))),""))</f>
        <v/>
      </c>
      <c r="P16" t="str">
        <f>IF($BJ19&gt;0,IF(INDEX('Final Calculation Sheet'!$O$4:$O$40,$BJ19-3)="","",INDEX('Final Calculation Sheet'!$O$4:$O$40,$BJ19-3)),IF(OR($BI19=1,$BL19=1,$BH19&gt;0),IF($BI19=1,SUM('Final Calculation Sheet'!$O$4:$O$40),IF($BL19=1,SUM('Final Calculation Sheet'!$O$4:$O$40)-SUMIFS('Final Calculation Sheet'!$O$4:$O$40,$AZ$5:$AZ$41,10),SUMIFS('Final Calculation Sheet'!$O$4:$O$40,$AZ$5:$AZ$41,$BH19))),""))</f>
        <v/>
      </c>
      <c r="Q16" t="str">
        <f>IF($BJ19&gt;0,IF(INDEX('Final Calculation Sheet'!$P$4:$P$40,$BJ19-3)="","",INDEX('Final Calculation Sheet'!$P$4:$P$40,$BJ19-3)),IF(OR($BI19=1,$BL19=1,$BH19&gt;0),IF($BI19=1,SUM('Final Calculation Sheet'!$P$4:$P$40),IF($BL19=1,SUM('Final Calculation Sheet'!$P$4:$P$40)-SUMIFS('Final Calculation Sheet'!$P$4:$P$40,$AZ$5:$AZ$41,10),SUMIFS('Final Calculation Sheet'!$P$4:$P$40,$AZ$5:$AZ$41,$BH19))),""))</f>
        <v/>
      </c>
      <c r="R16" t="str">
        <f>IF($BJ19&gt;0,IF(INDEX('Final Calculation Sheet'!$Q$4:$Q$40,$BJ19-3)="","",INDEX('Final Calculation Sheet'!$Q$4:$Q$40,$BJ19-3)),IF(OR($BI19=1,$BL19=1,$BH19&gt;0),"–",""))</f>
        <v/>
      </c>
      <c r="S16" t="str">
        <f>IF($BJ19&gt;0,IF(INDEX('Final Calculation Sheet'!$R$4:$R$40,$BJ19-3)="","",INDEX('Final Calculation Sheet'!$R$4:$R$40,$BJ19-3)),IF(OR($BI19=1,$BL19=1,$BH19&gt;0),IF($BI19=1,SUM('Final Calculation Sheet'!$R$4:$R$40),IF($BL19=1,SUM('Final Calculation Sheet'!$R$4:$R$40)-SUMIFS('Final Calculation Sheet'!$R$4:$R$40,$AZ$5:$AZ$41,10),SUMIFS('Final Calculation Sheet'!$R$4:$R$40,$AZ$5:$AZ$41,$BH19))),""))</f>
        <v/>
      </c>
      <c r="T16" t="str">
        <f>IF($BJ19&gt;0,IF(INDEX('Final Calculation Sheet'!$S$4:$S$40,$BJ19-3)="","",INDEX('Final Calculation Sheet'!$S$4:$S$40,$BJ19-3)),IF(OR($BI19=1,$BL19=1,$BH19&gt;0),IF($BI19=1,SUM('Final Calculation Sheet'!$S$4:$S$40),IF($BL19=1,SUM('Final Calculation Sheet'!$S$4:$S$40)-SUMIFS('Final Calculation Sheet'!$S$4:$S$40,$AZ$5:$AZ$41,10),SUMIFS('Final Calculation Sheet'!$S$4:$S$40,$AZ$5:$AZ$41,$BH19))),""))</f>
        <v/>
      </c>
      <c r="U16" t="str">
        <f>IF($BJ19&gt;0,IF(INDEX('Final Calculation Sheet'!$T$4:$T$40,$BJ19-3)="","",INDEX('Final Calculation Sheet'!$T$4:$T$40,$BJ19-3)),IF(OR($BI19=1,$BL19=1,$BH19&gt;0),IF($BI19=1,SUM('Final Calculation Sheet'!$T$4:$T$40),IF($BL19=1,SUM('Final Calculation Sheet'!$T$4:$T$40)-SUMIFS('Final Calculation Sheet'!$T$4:$T$40,$AZ$5:$AZ$41,10),SUMIFS('Final Calculation Sheet'!$T$4:$T$40,$AZ$5:$AZ$41,$BH19))),""))</f>
        <v/>
      </c>
      <c r="V16" t="str">
        <f>IF($BJ19&gt;0,IF(INDEX('Final Calculation Sheet'!$U$4:$U$40,$BJ19-3)="","",INDEX('Final Calculation Sheet'!$U$4:$U$40,$BJ19-3)),IF(OR($BI19=1,$BL19=1,$BH19&gt;0),IF($BI19=1,SUM('Final Calculation Sheet'!$U$4:$U$40),IF($BL19=1,SUM('Final Calculation Sheet'!$U$4:$U$40)-SUMIFS('Final Calculation Sheet'!$U$4:$U$40,$AZ$5:$AZ$41,10),SUMIFS('Final Calculation Sheet'!$U$4:$U$40,$AZ$5:$AZ$41,$BH19))),""))</f>
        <v/>
      </c>
      <c r="W16" t="str">
        <f>IF($BJ19&gt;0,IF(INDEX('Final Calculation Sheet'!$V$4:$V$40,$BJ19-3)="","",INDEX('Final Calculation Sheet'!$V$4:$V$40,$BJ19-3)),IF(OR($BI19=1,$BL19=1,$BH19&gt;0),"–",""))</f>
        <v/>
      </c>
      <c r="X16" t="str">
        <f>IF($BJ19&gt;0,IF(INDEX('Final Calculation Sheet'!$W$4:$W$40,$BJ19-3)="","",INDEX('Final Calculation Sheet'!$W$4:$W$40,$BJ19-3)),IF(OR($BI19=1,$BL19=1,$BH19&gt;0),IF($BI19=1,SUM('Final Calculation Sheet'!$W$4:$W$40),IF($BL19=1,SUM('Final Calculation Sheet'!$W$4:$W$40)-SUMIFS('Final Calculation Sheet'!$W$4:$W$40,$AZ$5:$AZ$41,10),SUMIFS('Final Calculation Sheet'!$W$4:$W$40,$AZ$5:$AZ$41,$BH19))),""))</f>
        <v/>
      </c>
      <c r="Y16" t="str">
        <f>IF($BJ19&gt;0,IF(INDEX('Final Calculation Sheet'!$X$4:$X$40,$BJ19-3)="","",INDEX('Final Calculation Sheet'!$X$4:$X$40,$BJ19-3)),IF(OR($BI19=1,$BL19=1,$BH19&gt;0),IF($BI19=1,SUM('Final Calculation Sheet'!$X$4:$X$40),IF($BL19=1,SUM('Final Calculation Sheet'!$X$4:$X$40)-SUMIFS('Final Calculation Sheet'!$X$4:$X$40,$AZ$5:$AZ$41,10),SUMIFS('Final Calculation Sheet'!$X$4:$X$40,$AZ$5:$AZ$41,$BH19))),""))</f>
        <v/>
      </c>
      <c r="Z16" t="str">
        <f>IF($BJ19&gt;0,IF(INDEX('Final Calculation Sheet'!$Y$4:$Y$40,$BJ19-3)="","",INDEX('Final Calculation Sheet'!$Y$4:$Y$40,$BJ19-3)),IF(OR($BI19=1,$BL19=1,$BH19&gt;0),"–",""))</f>
        <v/>
      </c>
      <c r="AA16" t="str">
        <f>IF($BJ19&gt;0,IF(INDEX('Final Calculation Sheet'!$Z$4:$Z$40,$BJ19-3)="","",INDEX('Final Calculation Sheet'!$Z$4:$Z$40,$BJ19-3)),IF(OR($BI19=1,$BL19=1,$BH19&gt;0),IF($BI19=1,SUM('Final Calculation Sheet'!$Z$4:$Z$40),IF($BL19=1,SUM('Final Calculation Sheet'!$Z$4:$Z$40)-SUMIFS('Final Calculation Sheet'!$Z$4:$Z$40,$AZ$5:$AZ$41,10),SUMIFS('Final Calculation Sheet'!$Z$4:$Z$40,$AZ$5:$AZ$41,$BH19))),""))</f>
        <v/>
      </c>
      <c r="AB16" t="str">
        <f>IF($BJ19&gt;0,IF(INDEX('Final Calculation Sheet'!$AA$4:$AA$40,$BJ19-3)="","",INDEX('Final Calculation Sheet'!$AA$4:$AA$40,$BJ19-3)),IF(OR($BI19=1,$BL19=1,$BH19&gt;0),IF($BI19=1,SUM('Final Calculation Sheet'!$AA$4:$AA$40),IF($BL19=1,SUM('Final Calculation Sheet'!$AA$4:$AA$40)-SUMIFS('Final Calculation Sheet'!$AA$4:$AA$40,$AZ$5:$AZ$41,10),SUMIFS('Final Calculation Sheet'!$AA$4:$AA$40,$AZ$5:$AZ$41,$BH19))),""))</f>
        <v/>
      </c>
      <c r="AC16" t="str">
        <f>IF($BJ19&gt;0,IF(INDEX('Final Calculation Sheet'!$AB$4:$AB$40,$BJ19-3)="","",INDEX('Final Calculation Sheet'!$AB$4:$AB$40,$BJ19-3)),IF(OR($BI19=1,$BL19=1,$BH19&gt;0),"–",""))</f>
        <v/>
      </c>
      <c r="AD16" t="str">
        <f>IF($BJ19&gt;0,IF(INDEX('Final Calculation Sheet'!$AC$4:$AC$40,$BJ19-3)="","",INDEX('Final Calculation Sheet'!$AC$4:$AC$40,$BJ19-3)),IF(OR($BI19=1,$BL19=1,$BH19&gt;0),IF($BI19=1,SUM('Final Calculation Sheet'!$AC$4:$AC$40),IF($BL19=1,SUM('Final Calculation Sheet'!$AC$4:$AC$40)-SUMIFS('Final Calculation Sheet'!$AC$4:$AC$40,$AZ$5:$AZ$41,10),SUMIFS('Final Calculation Sheet'!$AC$4:$AC$40,$AZ$5:$AZ$41,$BH19))),""))</f>
        <v/>
      </c>
      <c r="AE16" t="str">
        <f>IF($BJ19&gt;0,IF(INDEX('Final Calculation Sheet'!$AD$4:$AD$40,$BJ19-3)="","",INDEX('Final Calculation Sheet'!$AD$4:$AD$40,$BJ19-3)),IF(OR($BI19=1,$BL19=1,$BH19&gt;0),IF($BI19=1,SUM('Final Calculation Sheet'!$AD$4:$AD$40),IF($BL19=1,SUM('Final Calculation Sheet'!$AD$4:$AD$40)-SUMIFS('Final Calculation Sheet'!$AD$4:$AD$40,$AZ$5:$AZ$41,10),SUMIFS('Final Calculation Sheet'!$AD$4:$AD$40,$AZ$5:$AZ$41,$BH19))),""))</f>
        <v/>
      </c>
      <c r="AF16" t="str">
        <f>IF($BJ19&gt;0,IF(INDEX('Final Calculation Sheet'!$AE$4:$AE$40,$BJ19-3)="","",INDEX('Final Calculation Sheet'!$AE$4:$AE$40,$BJ19-3)),IF(OR($BI19=1,$BL19=1,$BH19&gt;0),"–",""))</f>
        <v/>
      </c>
      <c r="AG16" t="str">
        <f>IF($BJ19&gt;0,IF(INDEX('Final Calculation Sheet'!$AF$4:$AF$40,$BJ19-3)="","",INDEX('Final Calculation Sheet'!$AF$4:$AF$40,$BJ19-3)),IF(OR($BI19=1,$BL19=1,$BH19&gt;0),"–",""))</f>
        <v/>
      </c>
      <c r="AH16" t="str">
        <f>IF($BJ19&gt;0,IF(INDEX('Final Calculation Sheet'!$AG$4:$AG$40,$BJ19-3)="","",INDEX('Final Calculation Sheet'!$AG$4:$AG$40,$BJ19-3)),IF(OR($BI19=1,$BL19=1,$BH19&gt;0),"–",""))</f>
        <v/>
      </c>
      <c r="AI16" t="str">
        <f>IF($BJ19&gt;0,IF(INDEX('Final Calculation Sheet'!$AD$4:$AD$40,$BJ19-3)="","",IF(INDEX('Final Calculation Sheet'!$AD$4:$AD$40,$BJ19-3)&lt;=5,"SETTLED","OUTSTANDING")),IF(OR($BI19=1,$BL19=1,$BH19&gt;0),IF(IF($BI19=1,SUM('Final Calculation Sheet'!$AD$4:$AD$40),IF($BL19=1,SUM('Final Calculation Sheet'!$AD$4:$AD$40)-SUMIFS('Final Calculation Sheet'!$AD$4:$AD$40,$AZ$5:$AZ$41,10),SUMIFS('Final Calculation Sheet'!$AD$4:$AD$40,$AZ$5:$AZ$41,$BH19)))&lt;=5,"ALL SETTLED","OUTSTANDING"),""))</f>
        <v/>
      </c>
    </row>
    <row r="17">
      <c r="A17" t="str">
        <f>IF($BJ20&gt;0,INDEX($BA$5:$BA$41,MATCH(20,$BB$5:$BB$41,0)),IF(OR($BI20=1,$BL20=1,$BH20&gt;0),"∑",""))</f>
        <v/>
      </c>
      <c r="B17" t="str">
        <f>IF($BJ20&gt;0,IF(INDEX('Final Calculation Sheet'!$F$4:$F$40,$BJ20-3)="","",INDEX('Final Calculation Sheet'!$F$4:$F$40,$BJ20-3)),"")</f>
        <v/>
      </c>
      <c r="C17" t="str">
        <f>IF($BJ20&gt;0,IF(INDEX('Final Calculation Sheet'!$G$4:$G$40,$BJ20-3)="","",INDEX('Final Calculation Sheet'!$G$4:$G$40,$BJ20-3)),IF(OR($BI20=1,$BL20=1,$BH20&gt;0),IF($BI20=1,37,IF($BL20=1,37-INDEX($BD$4:$BD$13,10),INDEX($BD$4:$BD$13,$BH20)))&amp;" lot(s)",""))</f>
        <v/>
      </c>
      <c r="D17" t="str">
        <f>IF($BJ20&gt;0,IF(INDEX('Final Calculation Sheet'!$B$4:$B$40,$BJ20-3)="","",INDEX('Final Calculation Sheet'!$B$4:$B$40,$BJ20-3)),IF(OR($BI20=1,$BL20=1,$BH20&gt;0),IF($BI20=1,"GRAND TOTAL  —  matching + remaining",IF($BL20=1,"TOTAL MATCHED  —  every group together",IF($BH20=10,"REMAINING  —  did not match the search",IF($BH20=9,IF(COUNTIF($A$4:$AI$4,"&lt;&gt;")&gt;0,"FILTERED LOTS  —  column fields","ALL LOTS  —  nothing typed in the box"),"GROUP "&amp;$BH20&amp;" TOTAL  —  lots matching  "&amp;INDEX($AR$6:$AY$6,$BH20))))),""))</f>
        <v/>
      </c>
      <c r="E17" t="str">
        <f>IF($BJ20&gt;0,IF(INDEX('Final Calculation Sheet'!$D$4:$D$40,$BJ20-3)="","",INDEX('Final Calculation Sheet'!$D$4:$D$40,$BJ20-3)),IF(OR($BI20=1,$BL20=1,$BH20&gt;0),"–",""))</f>
        <v/>
      </c>
      <c r="F17" t="str">
        <f>IF($BJ20&gt;0,IF(INDEX('Final Calculation Sheet'!$A$4:$A$40,$BJ20-3)="","",INDEX('Final Calculation Sheet'!$A$4:$A$40,$BJ20-3)),IF(OR($BI20=1,$BL20=1,$BH20&gt;0),IF($BI20=1,SUM('Final Calculation Sheet'!$A$4:$A$40),IF($BL20=1,SUM('Final Calculation Sheet'!$A$4:$A$40)-SUMIFS('Final Calculation Sheet'!$A$4:$A$40,$AZ$5:$AZ$41,10),SUMIFS('Final Calculation Sheet'!$A$4:$A$40,$AZ$5:$AZ$41,$BH20))),""))</f>
        <v/>
      </c>
      <c r="G17" t="str">
        <f>IF($BJ20&gt;0,IF(INDEX('Final Calculation Sheet'!$E$4:$E$40,$BJ20-3)="","",INDEX('Final Calculation Sheet'!$E$4:$E$40,$BJ20-3)),IF(OR($BI20=1,$BL20=1,$BH20&gt;0),"–",""))</f>
        <v/>
      </c>
      <c r="H17" t="str">
        <f>IF($BJ20&gt;0,IF(INDEX('Final Calculation Sheet'!$C$4:$C$40,$BJ20-3)="","",INDEX('Final Calculation Sheet'!$C$4:$C$40,$BJ20-3)),IF(OR($BI20=1,$BL20=1,$BH20&gt;0),"–",""))</f>
        <v/>
      </c>
      <c r="I17" t="str">
        <f>IF($BJ20&gt;0,IF(INDEX('Final Calculation Sheet'!$H$4:$H$40,$BJ20-3)="","",INDEX('Final Calculation Sheet'!$H$4:$H$40,$BJ20-3)),IF(OR($BI20=1,$BL20=1,$BH20&gt;0),IF($BI20=1,SUM('Final Calculation Sheet'!$H$4:$H$40),IF($BL20=1,SUM('Final Calculation Sheet'!$H$4:$H$40)-SUMIFS('Final Calculation Sheet'!$H$4:$H$40,$AZ$5:$AZ$41,10),SUMIFS('Final Calculation Sheet'!$H$4:$H$40,$AZ$5:$AZ$41,$BH20))),""))</f>
        <v/>
      </c>
      <c r="J17" t="str">
        <f>IF($BJ20&gt;0,IF(INDEX('Final Calculation Sheet'!$I$4:$I$40,$BJ20-3)="","",INDEX('Final Calculation Sheet'!$I$4:$I$40,$BJ20-3)),IF(OR($BI20=1,$BL20=1,$BH20&gt;0),IF($BI20=1,SUM('Final Calculation Sheet'!$I$4:$I$40),IF($BL20=1,SUM('Final Calculation Sheet'!$I$4:$I$40)-SUMIFS('Final Calculation Sheet'!$I$4:$I$40,$AZ$5:$AZ$41,10),SUMIFS('Final Calculation Sheet'!$I$4:$I$40,$AZ$5:$AZ$41,$BH20))),""))</f>
        <v/>
      </c>
      <c r="K17" t="str">
        <f>IF($BJ20&gt;0,IF(INDEX('Final Calculation Sheet'!$J$4:$J$40,$BJ20-3)="","",INDEX('Final Calculation Sheet'!$J$4:$J$40,$BJ20-3)),IF(OR($BI20=1,$BL20=1,$BH20&gt;0),IF($BI20=1,SUM('Final Calculation Sheet'!$J$4:$J$40),IF($BL20=1,SUM('Final Calculation Sheet'!$J$4:$J$40)-SUMIFS('Final Calculation Sheet'!$J$4:$J$40,$AZ$5:$AZ$41,10),SUMIFS('Final Calculation Sheet'!$J$4:$J$40,$AZ$5:$AZ$41,$BH20))),""))</f>
        <v/>
      </c>
      <c r="L17" t="str">
        <f>IF($BJ20&gt;0,IF(INDEX('Final Calculation Sheet'!$K$4:$K$40,$BJ20-3)="","",INDEX('Final Calculation Sheet'!$K$4:$K$40,$BJ20-3)),IF(OR($BI20=1,$BL20=1,$BH20&gt;0),IF($BI20=1,SUM('Final Calculation Sheet'!$K$4:$K$40),IF($BL20=1,SUM('Final Calculation Sheet'!$K$4:$K$40)-SUMIFS('Final Calculation Sheet'!$K$4:$K$40,$AZ$5:$AZ$41,10),SUMIFS('Final Calculation Sheet'!$K$4:$K$40,$AZ$5:$AZ$41,$BH20))),""))</f>
        <v/>
      </c>
      <c r="M17" t="str">
        <f>IF($BJ20&gt;0,IF(INDEX('Final Calculation Sheet'!$L$4:$L$40,$BJ20-3)="","",INDEX('Final Calculation Sheet'!$L$4:$L$40,$BJ20-3)),IF(OR($BI20=1,$BL20=1,$BH20&gt;0),IF($BI20=1,SUM('Final Calculation Sheet'!$L$4:$L$40),IF($BL20=1,SUM('Final Calculation Sheet'!$L$4:$L$40)-SUMIFS('Final Calculation Sheet'!$L$4:$L$40,$AZ$5:$AZ$41,10),SUMIFS('Final Calculation Sheet'!$L$4:$L$40,$AZ$5:$AZ$41,$BH20))),""))</f>
        <v/>
      </c>
      <c r="N17" t="str">
        <f>IF($BJ20&gt;0,IF(INDEX('Final Calculation Sheet'!$M$4:$M$40,$BJ20-3)="","",INDEX('Final Calculation Sheet'!$M$4:$M$40,$BJ20-3)),IF(OR($BI20=1,$BL20=1,$BH20&gt;0),IF($BI20=1,SUM('Final Calculation Sheet'!$M$4:$M$40),IF($BL20=1,SUM('Final Calculation Sheet'!$M$4:$M$40)-SUMIFS('Final Calculation Sheet'!$M$4:$M$40,$AZ$5:$AZ$41,10),SUMIFS('Final Calculation Sheet'!$M$4:$M$40,$AZ$5:$AZ$41,$BH20))),""))</f>
        <v/>
      </c>
      <c r="O17" t="str">
        <f>IF($BJ20&gt;0,IF(INDEX('Final Calculation Sheet'!$N$4:$N$40,$BJ20-3)="","",INDEX('Final Calculation Sheet'!$N$4:$N$40,$BJ20-3)),IF(OR($BI20=1,$BL20=1,$BH20&gt;0),IF($BI20=1,SUM('Final Calculation Sheet'!$N$4:$N$40),IF($BL20=1,SUM('Final Calculation Sheet'!$N$4:$N$40)-SUMIFS('Final Calculation Sheet'!$N$4:$N$40,$AZ$5:$AZ$41,10),SUMIFS('Final Calculation Sheet'!$N$4:$N$40,$AZ$5:$AZ$41,$BH20))),""))</f>
        <v/>
      </c>
      <c r="P17" t="str">
        <f>IF($BJ20&gt;0,IF(INDEX('Final Calculation Sheet'!$O$4:$O$40,$BJ20-3)="","",INDEX('Final Calculation Sheet'!$O$4:$O$40,$BJ20-3)),IF(OR($BI20=1,$BL20=1,$BH20&gt;0),IF($BI20=1,SUM('Final Calculation Sheet'!$O$4:$O$40),IF($BL20=1,SUM('Final Calculation Sheet'!$O$4:$O$40)-SUMIFS('Final Calculation Sheet'!$O$4:$O$40,$AZ$5:$AZ$41,10),SUMIFS('Final Calculation Sheet'!$O$4:$O$40,$AZ$5:$AZ$41,$BH20))),""))</f>
        <v/>
      </c>
      <c r="Q17" t="str">
        <f>IF($BJ20&gt;0,IF(INDEX('Final Calculation Sheet'!$P$4:$P$40,$BJ20-3)="","",INDEX('Final Calculation Sheet'!$P$4:$P$40,$BJ20-3)),IF(OR($BI20=1,$BL20=1,$BH20&gt;0),IF($BI20=1,SUM('Final Calculation Sheet'!$P$4:$P$40),IF($BL20=1,SUM('Final Calculation Sheet'!$P$4:$P$40)-SUMIFS('Final Calculation Sheet'!$P$4:$P$40,$AZ$5:$AZ$41,10),SUMIFS('Final Calculation Sheet'!$P$4:$P$40,$AZ$5:$AZ$41,$BH20))),""))</f>
        <v/>
      </c>
      <c r="R17" t="str">
        <f>IF($BJ20&gt;0,IF(INDEX('Final Calculation Sheet'!$Q$4:$Q$40,$BJ20-3)="","",INDEX('Final Calculation Sheet'!$Q$4:$Q$40,$BJ20-3)),IF(OR($BI20=1,$BL20=1,$BH20&gt;0),"–",""))</f>
        <v/>
      </c>
      <c r="S17" t="str">
        <f>IF($BJ20&gt;0,IF(INDEX('Final Calculation Sheet'!$R$4:$R$40,$BJ20-3)="","",INDEX('Final Calculation Sheet'!$R$4:$R$40,$BJ20-3)),IF(OR($BI20=1,$BL20=1,$BH20&gt;0),IF($BI20=1,SUM('Final Calculation Sheet'!$R$4:$R$40),IF($BL20=1,SUM('Final Calculation Sheet'!$R$4:$R$40)-SUMIFS('Final Calculation Sheet'!$R$4:$R$40,$AZ$5:$AZ$41,10),SUMIFS('Final Calculation Sheet'!$R$4:$R$40,$AZ$5:$AZ$41,$BH20))),""))</f>
        <v/>
      </c>
      <c r="T17" t="str">
        <f>IF($BJ20&gt;0,IF(INDEX('Final Calculation Sheet'!$S$4:$S$40,$BJ20-3)="","",INDEX('Final Calculation Sheet'!$S$4:$S$40,$BJ20-3)),IF(OR($BI20=1,$BL20=1,$BH20&gt;0),IF($BI20=1,SUM('Final Calculation Sheet'!$S$4:$S$40),IF($BL20=1,SUM('Final Calculation Sheet'!$S$4:$S$40)-SUMIFS('Final Calculation Sheet'!$S$4:$S$40,$AZ$5:$AZ$41,10),SUMIFS('Final Calculation Sheet'!$S$4:$S$40,$AZ$5:$AZ$41,$BH20))),""))</f>
        <v/>
      </c>
      <c r="U17" t="str">
        <f>IF($BJ20&gt;0,IF(INDEX('Final Calculation Sheet'!$T$4:$T$40,$BJ20-3)="","",INDEX('Final Calculation Sheet'!$T$4:$T$40,$BJ20-3)),IF(OR($BI20=1,$BL20=1,$BH20&gt;0),IF($BI20=1,SUM('Final Calculation Sheet'!$T$4:$T$40),IF($BL20=1,SUM('Final Calculation Sheet'!$T$4:$T$40)-SUMIFS('Final Calculation Sheet'!$T$4:$T$40,$AZ$5:$AZ$41,10),SUMIFS('Final Calculation Sheet'!$T$4:$T$40,$AZ$5:$AZ$41,$BH20))),""))</f>
        <v/>
      </c>
      <c r="V17" t="str">
        <f>IF($BJ20&gt;0,IF(INDEX('Final Calculation Sheet'!$U$4:$U$40,$BJ20-3)="","",INDEX('Final Calculation Sheet'!$U$4:$U$40,$BJ20-3)),IF(OR($BI20=1,$BL20=1,$BH20&gt;0),IF($BI20=1,SUM('Final Calculation Sheet'!$U$4:$U$40),IF($BL20=1,SUM('Final Calculation Sheet'!$U$4:$U$40)-SUMIFS('Final Calculation Sheet'!$U$4:$U$40,$AZ$5:$AZ$41,10),SUMIFS('Final Calculation Sheet'!$U$4:$U$40,$AZ$5:$AZ$41,$BH20))),""))</f>
        <v/>
      </c>
      <c r="W17" t="str">
        <f>IF($BJ20&gt;0,IF(INDEX('Final Calculation Sheet'!$V$4:$V$40,$BJ20-3)="","",INDEX('Final Calculation Sheet'!$V$4:$V$40,$BJ20-3)),IF(OR($BI20=1,$BL20=1,$BH20&gt;0),"–",""))</f>
        <v/>
      </c>
      <c r="X17" t="str">
        <f>IF($BJ20&gt;0,IF(INDEX('Final Calculation Sheet'!$W$4:$W$40,$BJ20-3)="","",INDEX('Final Calculation Sheet'!$W$4:$W$40,$BJ20-3)),IF(OR($BI20=1,$BL20=1,$BH20&gt;0),IF($BI20=1,SUM('Final Calculation Sheet'!$W$4:$W$40),IF($BL20=1,SUM('Final Calculation Sheet'!$W$4:$W$40)-SUMIFS('Final Calculation Sheet'!$W$4:$W$40,$AZ$5:$AZ$41,10),SUMIFS('Final Calculation Sheet'!$W$4:$W$40,$AZ$5:$AZ$41,$BH20))),""))</f>
        <v/>
      </c>
      <c r="Y17" t="str">
        <f>IF($BJ20&gt;0,IF(INDEX('Final Calculation Sheet'!$X$4:$X$40,$BJ20-3)="","",INDEX('Final Calculation Sheet'!$X$4:$X$40,$BJ20-3)),IF(OR($BI20=1,$BL20=1,$BH20&gt;0),IF($BI20=1,SUM('Final Calculation Sheet'!$X$4:$X$40),IF($BL20=1,SUM('Final Calculation Sheet'!$X$4:$X$40)-SUMIFS('Final Calculation Sheet'!$X$4:$X$40,$AZ$5:$AZ$41,10),SUMIFS('Final Calculation Sheet'!$X$4:$X$40,$AZ$5:$AZ$41,$BH20))),""))</f>
        <v/>
      </c>
      <c r="Z17" t="str">
        <f>IF($BJ20&gt;0,IF(INDEX('Final Calculation Sheet'!$Y$4:$Y$40,$BJ20-3)="","",INDEX('Final Calculation Sheet'!$Y$4:$Y$40,$BJ20-3)),IF(OR($BI20=1,$BL20=1,$BH20&gt;0),"–",""))</f>
        <v/>
      </c>
      <c r="AA17" t="str">
        <f>IF($BJ20&gt;0,IF(INDEX('Final Calculation Sheet'!$Z$4:$Z$40,$BJ20-3)="","",INDEX('Final Calculation Sheet'!$Z$4:$Z$40,$BJ20-3)),IF(OR($BI20=1,$BL20=1,$BH20&gt;0),IF($BI20=1,SUM('Final Calculation Sheet'!$Z$4:$Z$40),IF($BL20=1,SUM('Final Calculation Sheet'!$Z$4:$Z$40)-SUMIFS('Final Calculation Sheet'!$Z$4:$Z$40,$AZ$5:$AZ$41,10),SUMIFS('Final Calculation Sheet'!$Z$4:$Z$40,$AZ$5:$AZ$41,$BH20))),""))</f>
        <v/>
      </c>
      <c r="AB17" t="str">
        <f>IF($BJ20&gt;0,IF(INDEX('Final Calculation Sheet'!$AA$4:$AA$40,$BJ20-3)="","",INDEX('Final Calculation Sheet'!$AA$4:$AA$40,$BJ20-3)),IF(OR($BI20=1,$BL20=1,$BH20&gt;0),IF($BI20=1,SUM('Final Calculation Sheet'!$AA$4:$AA$40),IF($BL20=1,SUM('Final Calculation Sheet'!$AA$4:$AA$40)-SUMIFS('Final Calculation Sheet'!$AA$4:$AA$40,$AZ$5:$AZ$41,10),SUMIFS('Final Calculation Sheet'!$AA$4:$AA$40,$AZ$5:$AZ$41,$BH20))),""))</f>
        <v/>
      </c>
      <c r="AC17" t="str">
        <f>IF($BJ20&gt;0,IF(INDEX('Final Calculation Sheet'!$AB$4:$AB$40,$BJ20-3)="","",INDEX('Final Calculation Sheet'!$AB$4:$AB$40,$BJ20-3)),IF(OR($BI20=1,$BL20=1,$BH20&gt;0),"–",""))</f>
        <v/>
      </c>
      <c r="AD17" t="str">
        <f>IF($BJ20&gt;0,IF(INDEX('Final Calculation Sheet'!$AC$4:$AC$40,$BJ20-3)="","",INDEX('Final Calculation Sheet'!$AC$4:$AC$40,$BJ20-3)),IF(OR($BI20=1,$BL20=1,$BH20&gt;0),IF($BI20=1,SUM('Final Calculation Sheet'!$AC$4:$AC$40),IF($BL20=1,SUM('Final Calculation Sheet'!$AC$4:$AC$40)-SUMIFS('Final Calculation Sheet'!$AC$4:$AC$40,$AZ$5:$AZ$41,10),SUMIFS('Final Calculation Sheet'!$AC$4:$AC$40,$AZ$5:$AZ$41,$BH20))),""))</f>
        <v/>
      </c>
      <c r="AE17" t="str">
        <f>IF($BJ20&gt;0,IF(INDEX('Final Calculation Sheet'!$AD$4:$AD$40,$BJ20-3)="","",INDEX('Final Calculation Sheet'!$AD$4:$AD$40,$BJ20-3)),IF(OR($BI20=1,$BL20=1,$BH20&gt;0),IF($BI20=1,SUM('Final Calculation Sheet'!$AD$4:$AD$40),IF($BL20=1,SUM('Final Calculation Sheet'!$AD$4:$AD$40)-SUMIFS('Final Calculation Sheet'!$AD$4:$AD$40,$AZ$5:$AZ$41,10),SUMIFS('Final Calculation Sheet'!$AD$4:$AD$40,$AZ$5:$AZ$41,$BH20))),""))</f>
        <v/>
      </c>
      <c r="AF17" t="str">
        <f>IF($BJ20&gt;0,IF(INDEX('Final Calculation Sheet'!$AE$4:$AE$40,$BJ20-3)="","",INDEX('Final Calculation Sheet'!$AE$4:$AE$40,$BJ20-3)),IF(OR($BI20=1,$BL20=1,$BH20&gt;0),"–",""))</f>
        <v/>
      </c>
      <c r="AG17" t="str">
        <f>IF($BJ20&gt;0,IF(INDEX('Final Calculation Sheet'!$AF$4:$AF$40,$BJ20-3)="","",INDEX('Final Calculation Sheet'!$AF$4:$AF$40,$BJ20-3)),IF(OR($BI20=1,$BL20=1,$BH20&gt;0),"–",""))</f>
        <v/>
      </c>
      <c r="AH17" t="str">
        <f>IF($BJ20&gt;0,IF(INDEX('Final Calculation Sheet'!$AG$4:$AG$40,$BJ20-3)="","",INDEX('Final Calculation Sheet'!$AG$4:$AG$40,$BJ20-3)),IF(OR($BI20=1,$BL20=1,$BH20&gt;0),"–",""))</f>
        <v/>
      </c>
      <c r="AI17" t="str">
        <f>IF($BJ20&gt;0,IF(INDEX('Final Calculation Sheet'!$AD$4:$AD$40,$BJ20-3)="","",IF(INDEX('Final Calculation Sheet'!$AD$4:$AD$40,$BJ20-3)&lt;=5,"SETTLED","OUTSTANDING")),IF(OR($BI20=1,$BL20=1,$BH20&gt;0),IF(IF($BI20=1,SUM('Final Calculation Sheet'!$AD$4:$AD$40),IF($BL20=1,SUM('Final Calculation Sheet'!$AD$4:$AD$40)-SUMIFS('Final Calculation Sheet'!$AD$4:$AD$40,$AZ$5:$AZ$41,10),SUMIFS('Final Calculation Sheet'!$AD$4:$AD$40,$AZ$5:$AZ$41,$BH20)))&lt;=5,"ALL SETTLED","OUTSTANDING"),""))</f>
        <v/>
      </c>
    </row>
    <row r="18">
      <c r="A18" t="str">
        <f>IF($BJ21&gt;0,INDEX($BA$5:$BA$41,MATCH(21,$BB$5:$BB$41,0)),IF(OR($BI21=1,$BL21=1,$BH21&gt;0),"∑",""))</f>
        <v/>
      </c>
      <c r="B18" t="str">
        <f>IF($BJ21&gt;0,IF(INDEX('Final Calculation Sheet'!$F$4:$F$40,$BJ21-3)="","",INDEX('Final Calculation Sheet'!$F$4:$F$40,$BJ21-3)),"")</f>
        <v/>
      </c>
      <c r="C18" t="str">
        <f>IF($BJ21&gt;0,IF(INDEX('Final Calculation Sheet'!$G$4:$G$40,$BJ21-3)="","",INDEX('Final Calculation Sheet'!$G$4:$G$40,$BJ21-3)),IF(OR($BI21=1,$BL21=1,$BH21&gt;0),IF($BI21=1,37,IF($BL21=1,37-INDEX($BD$4:$BD$13,10),INDEX($BD$4:$BD$13,$BH21)))&amp;" lot(s)",""))</f>
        <v/>
      </c>
      <c r="D18" t="str">
        <f>IF($BJ21&gt;0,IF(INDEX('Final Calculation Sheet'!$B$4:$B$40,$BJ21-3)="","",INDEX('Final Calculation Sheet'!$B$4:$B$40,$BJ21-3)),IF(OR($BI21=1,$BL21=1,$BH21&gt;0),IF($BI21=1,"GRAND TOTAL  —  matching + remaining",IF($BL21=1,"TOTAL MATCHED  —  every group together",IF($BH21=10,"REMAINING  —  did not match the search",IF($BH21=9,IF(COUNTIF($A$4:$AI$4,"&lt;&gt;")&gt;0,"FILTERED LOTS  —  column fields","ALL LOTS  —  nothing typed in the box"),"GROUP "&amp;$BH21&amp;" TOTAL  —  lots matching  "&amp;INDEX($AR$6:$AY$6,$BH21))))),""))</f>
        <v/>
      </c>
      <c r="E18" t="str">
        <f>IF($BJ21&gt;0,IF(INDEX('Final Calculation Sheet'!$D$4:$D$40,$BJ21-3)="","",INDEX('Final Calculation Sheet'!$D$4:$D$40,$BJ21-3)),IF(OR($BI21=1,$BL21=1,$BH21&gt;0),"–",""))</f>
        <v/>
      </c>
      <c r="F18" t="str">
        <f>IF($BJ21&gt;0,IF(INDEX('Final Calculation Sheet'!$A$4:$A$40,$BJ21-3)="","",INDEX('Final Calculation Sheet'!$A$4:$A$40,$BJ21-3)),IF(OR($BI21=1,$BL21=1,$BH21&gt;0),IF($BI21=1,SUM('Final Calculation Sheet'!$A$4:$A$40),IF($BL21=1,SUM('Final Calculation Sheet'!$A$4:$A$40)-SUMIFS('Final Calculation Sheet'!$A$4:$A$40,$AZ$5:$AZ$41,10),SUMIFS('Final Calculation Sheet'!$A$4:$A$40,$AZ$5:$AZ$41,$BH21))),""))</f>
        <v/>
      </c>
      <c r="G18" t="str">
        <f>IF($BJ21&gt;0,IF(INDEX('Final Calculation Sheet'!$E$4:$E$40,$BJ21-3)="","",INDEX('Final Calculation Sheet'!$E$4:$E$40,$BJ21-3)),IF(OR($BI21=1,$BL21=1,$BH21&gt;0),"–",""))</f>
        <v/>
      </c>
      <c r="H18" t="str">
        <f>IF($BJ21&gt;0,IF(INDEX('Final Calculation Sheet'!$C$4:$C$40,$BJ21-3)="","",INDEX('Final Calculation Sheet'!$C$4:$C$40,$BJ21-3)),IF(OR($BI21=1,$BL21=1,$BH21&gt;0),"–",""))</f>
        <v/>
      </c>
      <c r="I18" t="str">
        <f>IF($BJ21&gt;0,IF(INDEX('Final Calculation Sheet'!$H$4:$H$40,$BJ21-3)="","",INDEX('Final Calculation Sheet'!$H$4:$H$40,$BJ21-3)),IF(OR($BI21=1,$BL21=1,$BH21&gt;0),IF($BI21=1,SUM('Final Calculation Sheet'!$H$4:$H$40),IF($BL21=1,SUM('Final Calculation Sheet'!$H$4:$H$40)-SUMIFS('Final Calculation Sheet'!$H$4:$H$40,$AZ$5:$AZ$41,10),SUMIFS('Final Calculation Sheet'!$H$4:$H$40,$AZ$5:$AZ$41,$BH21))),""))</f>
        <v/>
      </c>
      <c r="J18" t="str">
        <f>IF($BJ21&gt;0,IF(INDEX('Final Calculation Sheet'!$I$4:$I$40,$BJ21-3)="","",INDEX('Final Calculation Sheet'!$I$4:$I$40,$BJ21-3)),IF(OR($BI21=1,$BL21=1,$BH21&gt;0),IF($BI21=1,SUM('Final Calculation Sheet'!$I$4:$I$40),IF($BL21=1,SUM('Final Calculation Sheet'!$I$4:$I$40)-SUMIFS('Final Calculation Sheet'!$I$4:$I$40,$AZ$5:$AZ$41,10),SUMIFS('Final Calculation Sheet'!$I$4:$I$40,$AZ$5:$AZ$41,$BH21))),""))</f>
        <v/>
      </c>
      <c r="K18" t="str">
        <f>IF($BJ21&gt;0,IF(INDEX('Final Calculation Sheet'!$J$4:$J$40,$BJ21-3)="","",INDEX('Final Calculation Sheet'!$J$4:$J$40,$BJ21-3)),IF(OR($BI21=1,$BL21=1,$BH21&gt;0),IF($BI21=1,SUM('Final Calculation Sheet'!$J$4:$J$40),IF($BL21=1,SUM('Final Calculation Sheet'!$J$4:$J$40)-SUMIFS('Final Calculation Sheet'!$J$4:$J$40,$AZ$5:$AZ$41,10),SUMIFS('Final Calculation Sheet'!$J$4:$J$40,$AZ$5:$AZ$41,$BH21))),""))</f>
        <v/>
      </c>
      <c r="L18" t="str">
        <f>IF($BJ21&gt;0,IF(INDEX('Final Calculation Sheet'!$K$4:$K$40,$BJ21-3)="","",INDEX('Final Calculation Sheet'!$K$4:$K$40,$BJ21-3)),IF(OR($BI21=1,$BL21=1,$BH21&gt;0),IF($BI21=1,SUM('Final Calculation Sheet'!$K$4:$K$40),IF($BL21=1,SUM('Final Calculation Sheet'!$K$4:$K$40)-SUMIFS('Final Calculation Sheet'!$K$4:$K$40,$AZ$5:$AZ$41,10),SUMIFS('Final Calculation Sheet'!$K$4:$K$40,$AZ$5:$AZ$41,$BH21))),""))</f>
        <v/>
      </c>
      <c r="M18" t="str">
        <f>IF($BJ21&gt;0,IF(INDEX('Final Calculation Sheet'!$L$4:$L$40,$BJ21-3)="","",INDEX('Final Calculation Sheet'!$L$4:$L$40,$BJ21-3)),IF(OR($BI21=1,$BL21=1,$BH21&gt;0),IF($BI21=1,SUM('Final Calculation Sheet'!$L$4:$L$40),IF($BL21=1,SUM('Final Calculation Sheet'!$L$4:$L$40)-SUMIFS('Final Calculation Sheet'!$L$4:$L$40,$AZ$5:$AZ$41,10),SUMIFS('Final Calculation Sheet'!$L$4:$L$40,$AZ$5:$AZ$41,$BH21))),""))</f>
        <v/>
      </c>
      <c r="N18" t="str">
        <f>IF($BJ21&gt;0,IF(INDEX('Final Calculation Sheet'!$M$4:$M$40,$BJ21-3)="","",INDEX('Final Calculation Sheet'!$M$4:$M$40,$BJ21-3)),IF(OR($BI21=1,$BL21=1,$BH21&gt;0),IF($BI21=1,SUM('Final Calculation Sheet'!$M$4:$M$40),IF($BL21=1,SUM('Final Calculation Sheet'!$M$4:$M$40)-SUMIFS('Final Calculation Sheet'!$M$4:$M$40,$AZ$5:$AZ$41,10),SUMIFS('Final Calculation Sheet'!$M$4:$M$40,$AZ$5:$AZ$41,$BH21))),""))</f>
        <v/>
      </c>
      <c r="O18" t="str">
        <f>IF($BJ21&gt;0,IF(INDEX('Final Calculation Sheet'!$N$4:$N$40,$BJ21-3)="","",INDEX('Final Calculation Sheet'!$N$4:$N$40,$BJ21-3)),IF(OR($BI21=1,$BL21=1,$BH21&gt;0),IF($BI21=1,SUM('Final Calculation Sheet'!$N$4:$N$40),IF($BL21=1,SUM('Final Calculation Sheet'!$N$4:$N$40)-SUMIFS('Final Calculation Sheet'!$N$4:$N$40,$AZ$5:$AZ$41,10),SUMIFS('Final Calculation Sheet'!$N$4:$N$40,$AZ$5:$AZ$41,$BH21))),""))</f>
        <v/>
      </c>
      <c r="P18" t="str">
        <f>IF($BJ21&gt;0,IF(INDEX('Final Calculation Sheet'!$O$4:$O$40,$BJ21-3)="","",INDEX('Final Calculation Sheet'!$O$4:$O$40,$BJ21-3)),IF(OR($BI21=1,$BL21=1,$BH21&gt;0),IF($BI21=1,SUM('Final Calculation Sheet'!$O$4:$O$40),IF($BL21=1,SUM('Final Calculation Sheet'!$O$4:$O$40)-SUMIFS('Final Calculation Sheet'!$O$4:$O$40,$AZ$5:$AZ$41,10),SUMIFS('Final Calculation Sheet'!$O$4:$O$40,$AZ$5:$AZ$41,$BH21))),""))</f>
        <v/>
      </c>
      <c r="Q18" t="str">
        <f>IF($BJ21&gt;0,IF(INDEX('Final Calculation Sheet'!$P$4:$P$40,$BJ21-3)="","",INDEX('Final Calculation Sheet'!$P$4:$P$40,$BJ21-3)),IF(OR($BI21=1,$BL21=1,$BH21&gt;0),IF($BI21=1,SUM('Final Calculation Sheet'!$P$4:$P$40),IF($BL21=1,SUM('Final Calculation Sheet'!$P$4:$P$40)-SUMIFS('Final Calculation Sheet'!$P$4:$P$40,$AZ$5:$AZ$41,10),SUMIFS('Final Calculation Sheet'!$P$4:$P$40,$AZ$5:$AZ$41,$BH21))),""))</f>
        <v/>
      </c>
      <c r="R18" t="str">
        <f>IF($BJ21&gt;0,IF(INDEX('Final Calculation Sheet'!$Q$4:$Q$40,$BJ21-3)="","",INDEX('Final Calculation Sheet'!$Q$4:$Q$40,$BJ21-3)),IF(OR($BI21=1,$BL21=1,$BH21&gt;0),"–",""))</f>
        <v/>
      </c>
      <c r="S18" t="str">
        <f>IF($BJ21&gt;0,IF(INDEX('Final Calculation Sheet'!$R$4:$R$40,$BJ21-3)="","",INDEX('Final Calculation Sheet'!$R$4:$R$40,$BJ21-3)),IF(OR($BI21=1,$BL21=1,$BH21&gt;0),IF($BI21=1,SUM('Final Calculation Sheet'!$R$4:$R$40),IF($BL21=1,SUM('Final Calculation Sheet'!$R$4:$R$40)-SUMIFS('Final Calculation Sheet'!$R$4:$R$40,$AZ$5:$AZ$41,10),SUMIFS('Final Calculation Sheet'!$R$4:$R$40,$AZ$5:$AZ$41,$BH21))),""))</f>
        <v/>
      </c>
      <c r="T18" t="str">
        <f>IF($BJ21&gt;0,IF(INDEX('Final Calculation Sheet'!$S$4:$S$40,$BJ21-3)="","",INDEX('Final Calculation Sheet'!$S$4:$S$40,$BJ21-3)),IF(OR($BI21=1,$BL21=1,$BH21&gt;0),IF($BI21=1,SUM('Final Calculation Sheet'!$S$4:$S$40),IF($BL21=1,SUM('Final Calculation Sheet'!$S$4:$S$40)-SUMIFS('Final Calculation Sheet'!$S$4:$S$40,$AZ$5:$AZ$41,10),SUMIFS('Final Calculation Sheet'!$S$4:$S$40,$AZ$5:$AZ$41,$BH21))),""))</f>
        <v/>
      </c>
      <c r="U18" t="str">
        <f>IF($BJ21&gt;0,IF(INDEX('Final Calculation Sheet'!$T$4:$T$40,$BJ21-3)="","",INDEX('Final Calculation Sheet'!$T$4:$T$40,$BJ21-3)),IF(OR($BI21=1,$BL21=1,$BH21&gt;0),IF($BI21=1,SUM('Final Calculation Sheet'!$T$4:$T$40),IF($BL21=1,SUM('Final Calculation Sheet'!$T$4:$T$40)-SUMIFS('Final Calculation Sheet'!$T$4:$T$40,$AZ$5:$AZ$41,10),SUMIFS('Final Calculation Sheet'!$T$4:$T$40,$AZ$5:$AZ$41,$BH21))),""))</f>
        <v/>
      </c>
      <c r="V18" t="str">
        <f>IF($BJ21&gt;0,IF(INDEX('Final Calculation Sheet'!$U$4:$U$40,$BJ21-3)="","",INDEX('Final Calculation Sheet'!$U$4:$U$40,$BJ21-3)),IF(OR($BI21=1,$BL21=1,$BH21&gt;0),IF($BI21=1,SUM('Final Calculation Sheet'!$U$4:$U$40),IF($BL21=1,SUM('Final Calculation Sheet'!$U$4:$U$40)-SUMIFS('Final Calculation Sheet'!$U$4:$U$40,$AZ$5:$AZ$41,10),SUMIFS('Final Calculation Sheet'!$U$4:$U$40,$AZ$5:$AZ$41,$BH21))),""))</f>
        <v/>
      </c>
      <c r="W18" t="str">
        <f>IF($BJ21&gt;0,IF(INDEX('Final Calculation Sheet'!$V$4:$V$40,$BJ21-3)="","",INDEX('Final Calculation Sheet'!$V$4:$V$40,$BJ21-3)),IF(OR($BI21=1,$BL21=1,$BH21&gt;0),"–",""))</f>
        <v/>
      </c>
      <c r="X18" t="str">
        <f>IF($BJ21&gt;0,IF(INDEX('Final Calculation Sheet'!$W$4:$W$40,$BJ21-3)="","",INDEX('Final Calculation Sheet'!$W$4:$W$40,$BJ21-3)),IF(OR($BI21=1,$BL21=1,$BH21&gt;0),IF($BI21=1,SUM('Final Calculation Sheet'!$W$4:$W$40),IF($BL21=1,SUM('Final Calculation Sheet'!$W$4:$W$40)-SUMIFS('Final Calculation Sheet'!$W$4:$W$40,$AZ$5:$AZ$41,10),SUMIFS('Final Calculation Sheet'!$W$4:$W$40,$AZ$5:$AZ$41,$BH21))),""))</f>
        <v/>
      </c>
      <c r="Y18" t="str">
        <f>IF($BJ21&gt;0,IF(INDEX('Final Calculation Sheet'!$X$4:$X$40,$BJ21-3)="","",INDEX('Final Calculation Sheet'!$X$4:$X$40,$BJ21-3)),IF(OR($BI21=1,$BL21=1,$BH21&gt;0),IF($BI21=1,SUM('Final Calculation Sheet'!$X$4:$X$40),IF($BL21=1,SUM('Final Calculation Sheet'!$X$4:$X$40)-SUMIFS('Final Calculation Sheet'!$X$4:$X$40,$AZ$5:$AZ$41,10),SUMIFS('Final Calculation Sheet'!$X$4:$X$40,$AZ$5:$AZ$41,$BH21))),""))</f>
        <v/>
      </c>
      <c r="Z18" t="str">
        <f>IF($BJ21&gt;0,IF(INDEX('Final Calculation Sheet'!$Y$4:$Y$40,$BJ21-3)="","",INDEX('Final Calculation Sheet'!$Y$4:$Y$40,$BJ21-3)),IF(OR($BI21=1,$BL21=1,$BH21&gt;0),"–",""))</f>
        <v/>
      </c>
      <c r="AA18" t="str">
        <f>IF($BJ21&gt;0,IF(INDEX('Final Calculation Sheet'!$Z$4:$Z$40,$BJ21-3)="","",INDEX('Final Calculation Sheet'!$Z$4:$Z$40,$BJ21-3)),IF(OR($BI21=1,$BL21=1,$BH21&gt;0),IF($BI21=1,SUM('Final Calculation Sheet'!$Z$4:$Z$40),IF($BL21=1,SUM('Final Calculation Sheet'!$Z$4:$Z$40)-SUMIFS('Final Calculation Sheet'!$Z$4:$Z$40,$AZ$5:$AZ$41,10),SUMIFS('Final Calculation Sheet'!$Z$4:$Z$40,$AZ$5:$AZ$41,$BH21))),""))</f>
        <v/>
      </c>
      <c r="AB18" t="str">
        <f>IF($BJ21&gt;0,IF(INDEX('Final Calculation Sheet'!$AA$4:$AA$40,$BJ21-3)="","",INDEX('Final Calculation Sheet'!$AA$4:$AA$40,$BJ21-3)),IF(OR($BI21=1,$BL21=1,$BH21&gt;0),IF($BI21=1,SUM('Final Calculation Sheet'!$AA$4:$AA$40),IF($BL21=1,SUM('Final Calculation Sheet'!$AA$4:$AA$40)-SUMIFS('Final Calculation Sheet'!$AA$4:$AA$40,$AZ$5:$AZ$41,10),SUMIFS('Final Calculation Sheet'!$AA$4:$AA$40,$AZ$5:$AZ$41,$BH21))),""))</f>
        <v/>
      </c>
      <c r="AC18" t="str">
        <f>IF($BJ21&gt;0,IF(INDEX('Final Calculation Sheet'!$AB$4:$AB$40,$BJ21-3)="","",INDEX('Final Calculation Sheet'!$AB$4:$AB$40,$BJ21-3)),IF(OR($BI21=1,$BL21=1,$BH21&gt;0),"–",""))</f>
        <v/>
      </c>
      <c r="AD18" t="str">
        <f>IF($BJ21&gt;0,IF(INDEX('Final Calculation Sheet'!$AC$4:$AC$40,$BJ21-3)="","",INDEX('Final Calculation Sheet'!$AC$4:$AC$40,$BJ21-3)),IF(OR($BI21=1,$BL21=1,$BH21&gt;0),IF($BI21=1,SUM('Final Calculation Sheet'!$AC$4:$AC$40),IF($BL21=1,SUM('Final Calculation Sheet'!$AC$4:$AC$40)-SUMIFS('Final Calculation Sheet'!$AC$4:$AC$40,$AZ$5:$AZ$41,10),SUMIFS('Final Calculation Sheet'!$AC$4:$AC$40,$AZ$5:$AZ$41,$BH21))),""))</f>
        <v/>
      </c>
      <c r="AE18" t="str">
        <f>IF($BJ21&gt;0,IF(INDEX('Final Calculation Sheet'!$AD$4:$AD$40,$BJ21-3)="","",INDEX('Final Calculation Sheet'!$AD$4:$AD$40,$BJ21-3)),IF(OR($BI21=1,$BL21=1,$BH21&gt;0),IF($BI21=1,SUM('Final Calculation Sheet'!$AD$4:$AD$40),IF($BL21=1,SUM('Final Calculation Sheet'!$AD$4:$AD$40)-SUMIFS('Final Calculation Sheet'!$AD$4:$AD$40,$AZ$5:$AZ$41,10),SUMIFS('Final Calculation Sheet'!$AD$4:$AD$40,$AZ$5:$AZ$41,$BH21))),""))</f>
        <v/>
      </c>
      <c r="AF18" t="str">
        <f>IF($BJ21&gt;0,IF(INDEX('Final Calculation Sheet'!$AE$4:$AE$40,$BJ21-3)="","",INDEX('Final Calculation Sheet'!$AE$4:$AE$40,$BJ21-3)),IF(OR($BI21=1,$BL21=1,$BH21&gt;0),"–",""))</f>
        <v/>
      </c>
      <c r="AG18" t="str">
        <f>IF($BJ21&gt;0,IF(INDEX('Final Calculation Sheet'!$AF$4:$AF$40,$BJ21-3)="","",INDEX('Final Calculation Sheet'!$AF$4:$AF$40,$BJ21-3)),IF(OR($BI21=1,$BL21=1,$BH21&gt;0),"–",""))</f>
        <v/>
      </c>
      <c r="AH18" t="str">
        <f>IF($BJ21&gt;0,IF(INDEX('Final Calculation Sheet'!$AG$4:$AG$40,$BJ21-3)="","",INDEX('Final Calculation Sheet'!$AG$4:$AG$40,$BJ21-3)),IF(OR($BI21=1,$BL21=1,$BH21&gt;0),"–",""))</f>
        <v/>
      </c>
      <c r="AI18" t="str">
        <f>IF($BJ21&gt;0,IF(INDEX('Final Calculation Sheet'!$AD$4:$AD$40,$BJ21-3)="","",IF(INDEX('Final Calculation Sheet'!$AD$4:$AD$40,$BJ21-3)&lt;=5,"SETTLED","OUTSTANDING")),IF(OR($BI21=1,$BL21=1,$BH21&gt;0),IF(IF($BI21=1,SUM('Final Calculation Sheet'!$AD$4:$AD$40),IF($BL21=1,SUM('Final Calculation Sheet'!$AD$4:$AD$40)-SUMIFS('Final Calculation Sheet'!$AD$4:$AD$40,$AZ$5:$AZ$41,10),SUMIFS('Final Calculation Sheet'!$AD$4:$AD$40,$AZ$5:$AZ$41,$BH21)))&lt;=5,"ALL SETTLED","OUTSTANDING"),""))</f>
        <v/>
      </c>
    </row>
    <row r="19">
      <c r="A19" t="str">
        <f>IF($BJ22&gt;0,INDEX($BA$5:$BA$41,MATCH(22,$BB$5:$BB$41,0)),IF(OR($BI22=1,$BL22=1,$BH22&gt;0),"∑",""))</f>
        <v/>
      </c>
      <c r="B19" t="str">
        <f>IF($BJ22&gt;0,IF(INDEX('Final Calculation Sheet'!$F$4:$F$40,$BJ22-3)="","",INDEX('Final Calculation Sheet'!$F$4:$F$40,$BJ22-3)),"")</f>
        <v/>
      </c>
      <c r="C19" t="str">
        <f>IF($BJ22&gt;0,IF(INDEX('Final Calculation Sheet'!$G$4:$G$40,$BJ22-3)="","",INDEX('Final Calculation Sheet'!$G$4:$G$40,$BJ22-3)),IF(OR($BI22=1,$BL22=1,$BH22&gt;0),IF($BI22=1,37,IF($BL22=1,37-INDEX($BD$4:$BD$13,10),INDEX($BD$4:$BD$13,$BH22)))&amp;" lot(s)",""))</f>
        <v/>
      </c>
      <c r="D19" t="str">
        <f>IF($BJ22&gt;0,IF(INDEX('Final Calculation Sheet'!$B$4:$B$40,$BJ22-3)="","",INDEX('Final Calculation Sheet'!$B$4:$B$40,$BJ22-3)),IF(OR($BI22=1,$BL22=1,$BH22&gt;0),IF($BI22=1,"GRAND TOTAL  —  matching + remaining",IF($BL22=1,"TOTAL MATCHED  —  every group together",IF($BH22=10,"REMAINING  —  did not match the search",IF($BH22=9,IF(COUNTIF($A$4:$AI$4,"&lt;&gt;")&gt;0,"FILTERED LOTS  —  column fields","ALL LOTS  —  nothing typed in the box"),"GROUP "&amp;$BH22&amp;" TOTAL  —  lots matching  "&amp;INDEX($AR$6:$AY$6,$BH22))))),""))</f>
        <v/>
      </c>
      <c r="E19" t="str">
        <f>IF($BJ22&gt;0,IF(INDEX('Final Calculation Sheet'!$D$4:$D$40,$BJ22-3)="","",INDEX('Final Calculation Sheet'!$D$4:$D$40,$BJ22-3)),IF(OR($BI22=1,$BL22=1,$BH22&gt;0),"–",""))</f>
        <v/>
      </c>
      <c r="F19" t="str">
        <f>IF($BJ22&gt;0,IF(INDEX('Final Calculation Sheet'!$A$4:$A$40,$BJ22-3)="","",INDEX('Final Calculation Sheet'!$A$4:$A$40,$BJ22-3)),IF(OR($BI22=1,$BL22=1,$BH22&gt;0),IF($BI22=1,SUM('Final Calculation Sheet'!$A$4:$A$40),IF($BL22=1,SUM('Final Calculation Sheet'!$A$4:$A$40)-SUMIFS('Final Calculation Sheet'!$A$4:$A$40,$AZ$5:$AZ$41,10),SUMIFS('Final Calculation Sheet'!$A$4:$A$40,$AZ$5:$AZ$41,$BH22))),""))</f>
        <v/>
      </c>
      <c r="G19" t="str">
        <f>IF($BJ22&gt;0,IF(INDEX('Final Calculation Sheet'!$E$4:$E$40,$BJ22-3)="","",INDEX('Final Calculation Sheet'!$E$4:$E$40,$BJ22-3)),IF(OR($BI22=1,$BL22=1,$BH22&gt;0),"–",""))</f>
        <v/>
      </c>
      <c r="H19" t="str">
        <f>IF($BJ22&gt;0,IF(INDEX('Final Calculation Sheet'!$C$4:$C$40,$BJ22-3)="","",INDEX('Final Calculation Sheet'!$C$4:$C$40,$BJ22-3)),IF(OR($BI22=1,$BL22=1,$BH22&gt;0),"–",""))</f>
        <v/>
      </c>
      <c r="I19" t="str">
        <f>IF($BJ22&gt;0,IF(INDEX('Final Calculation Sheet'!$H$4:$H$40,$BJ22-3)="","",INDEX('Final Calculation Sheet'!$H$4:$H$40,$BJ22-3)),IF(OR($BI22=1,$BL22=1,$BH22&gt;0),IF($BI22=1,SUM('Final Calculation Sheet'!$H$4:$H$40),IF($BL22=1,SUM('Final Calculation Sheet'!$H$4:$H$40)-SUMIFS('Final Calculation Sheet'!$H$4:$H$40,$AZ$5:$AZ$41,10),SUMIFS('Final Calculation Sheet'!$H$4:$H$40,$AZ$5:$AZ$41,$BH22))),""))</f>
        <v/>
      </c>
      <c r="J19" t="str">
        <f>IF($BJ22&gt;0,IF(INDEX('Final Calculation Sheet'!$I$4:$I$40,$BJ22-3)="","",INDEX('Final Calculation Sheet'!$I$4:$I$40,$BJ22-3)),IF(OR($BI22=1,$BL22=1,$BH22&gt;0),IF($BI22=1,SUM('Final Calculation Sheet'!$I$4:$I$40),IF($BL22=1,SUM('Final Calculation Sheet'!$I$4:$I$40)-SUMIFS('Final Calculation Sheet'!$I$4:$I$40,$AZ$5:$AZ$41,10),SUMIFS('Final Calculation Sheet'!$I$4:$I$40,$AZ$5:$AZ$41,$BH22))),""))</f>
        <v/>
      </c>
      <c r="K19" t="str">
        <f>IF($BJ22&gt;0,IF(INDEX('Final Calculation Sheet'!$J$4:$J$40,$BJ22-3)="","",INDEX('Final Calculation Sheet'!$J$4:$J$40,$BJ22-3)),IF(OR($BI22=1,$BL22=1,$BH22&gt;0),IF($BI22=1,SUM('Final Calculation Sheet'!$J$4:$J$40),IF($BL22=1,SUM('Final Calculation Sheet'!$J$4:$J$40)-SUMIFS('Final Calculation Sheet'!$J$4:$J$40,$AZ$5:$AZ$41,10),SUMIFS('Final Calculation Sheet'!$J$4:$J$40,$AZ$5:$AZ$41,$BH22))),""))</f>
        <v/>
      </c>
      <c r="L19" t="str">
        <f>IF($BJ22&gt;0,IF(INDEX('Final Calculation Sheet'!$K$4:$K$40,$BJ22-3)="","",INDEX('Final Calculation Sheet'!$K$4:$K$40,$BJ22-3)),IF(OR($BI22=1,$BL22=1,$BH22&gt;0),IF($BI22=1,SUM('Final Calculation Sheet'!$K$4:$K$40),IF($BL22=1,SUM('Final Calculation Sheet'!$K$4:$K$40)-SUMIFS('Final Calculation Sheet'!$K$4:$K$40,$AZ$5:$AZ$41,10),SUMIFS('Final Calculation Sheet'!$K$4:$K$40,$AZ$5:$AZ$41,$BH22))),""))</f>
        <v/>
      </c>
      <c r="M19" t="str">
        <f>IF($BJ22&gt;0,IF(INDEX('Final Calculation Sheet'!$L$4:$L$40,$BJ22-3)="","",INDEX('Final Calculation Sheet'!$L$4:$L$40,$BJ22-3)),IF(OR($BI22=1,$BL22=1,$BH22&gt;0),IF($BI22=1,SUM('Final Calculation Sheet'!$L$4:$L$40),IF($BL22=1,SUM('Final Calculation Sheet'!$L$4:$L$40)-SUMIFS('Final Calculation Sheet'!$L$4:$L$40,$AZ$5:$AZ$41,10),SUMIFS('Final Calculation Sheet'!$L$4:$L$40,$AZ$5:$AZ$41,$BH22))),""))</f>
        <v/>
      </c>
      <c r="N19" t="str">
        <f>IF($BJ22&gt;0,IF(INDEX('Final Calculation Sheet'!$M$4:$M$40,$BJ22-3)="","",INDEX('Final Calculation Sheet'!$M$4:$M$40,$BJ22-3)),IF(OR($BI22=1,$BL22=1,$BH22&gt;0),IF($BI22=1,SUM('Final Calculation Sheet'!$M$4:$M$40),IF($BL22=1,SUM('Final Calculation Sheet'!$M$4:$M$40)-SUMIFS('Final Calculation Sheet'!$M$4:$M$40,$AZ$5:$AZ$41,10),SUMIFS('Final Calculation Sheet'!$M$4:$M$40,$AZ$5:$AZ$41,$BH22))),""))</f>
        <v/>
      </c>
      <c r="O19" t="str">
        <f>IF($BJ22&gt;0,IF(INDEX('Final Calculation Sheet'!$N$4:$N$40,$BJ22-3)="","",INDEX('Final Calculation Sheet'!$N$4:$N$40,$BJ22-3)),IF(OR($BI22=1,$BL22=1,$BH22&gt;0),IF($BI22=1,SUM('Final Calculation Sheet'!$N$4:$N$40),IF($BL22=1,SUM('Final Calculation Sheet'!$N$4:$N$40)-SUMIFS('Final Calculation Sheet'!$N$4:$N$40,$AZ$5:$AZ$41,10),SUMIFS('Final Calculation Sheet'!$N$4:$N$40,$AZ$5:$AZ$41,$BH22))),""))</f>
        <v/>
      </c>
      <c r="P19" t="str">
        <f>IF($BJ22&gt;0,IF(INDEX('Final Calculation Sheet'!$O$4:$O$40,$BJ22-3)="","",INDEX('Final Calculation Sheet'!$O$4:$O$40,$BJ22-3)),IF(OR($BI22=1,$BL22=1,$BH22&gt;0),IF($BI22=1,SUM('Final Calculation Sheet'!$O$4:$O$40),IF($BL22=1,SUM('Final Calculation Sheet'!$O$4:$O$40)-SUMIFS('Final Calculation Sheet'!$O$4:$O$40,$AZ$5:$AZ$41,10),SUMIFS('Final Calculation Sheet'!$O$4:$O$40,$AZ$5:$AZ$41,$BH22))),""))</f>
        <v/>
      </c>
      <c r="Q19" t="str">
        <f>IF($BJ22&gt;0,IF(INDEX('Final Calculation Sheet'!$P$4:$P$40,$BJ22-3)="","",INDEX('Final Calculation Sheet'!$P$4:$P$40,$BJ22-3)),IF(OR($BI22=1,$BL22=1,$BH22&gt;0),IF($BI22=1,SUM('Final Calculation Sheet'!$P$4:$P$40),IF($BL22=1,SUM('Final Calculation Sheet'!$P$4:$P$40)-SUMIFS('Final Calculation Sheet'!$P$4:$P$40,$AZ$5:$AZ$41,10),SUMIFS('Final Calculation Sheet'!$P$4:$P$40,$AZ$5:$AZ$41,$BH22))),""))</f>
        <v/>
      </c>
      <c r="R19" t="str">
        <f>IF($BJ22&gt;0,IF(INDEX('Final Calculation Sheet'!$Q$4:$Q$40,$BJ22-3)="","",INDEX('Final Calculation Sheet'!$Q$4:$Q$40,$BJ22-3)),IF(OR($BI22=1,$BL22=1,$BH22&gt;0),"–",""))</f>
        <v/>
      </c>
      <c r="S19" t="str">
        <f>IF($BJ22&gt;0,IF(INDEX('Final Calculation Sheet'!$R$4:$R$40,$BJ22-3)="","",INDEX('Final Calculation Sheet'!$R$4:$R$40,$BJ22-3)),IF(OR($BI22=1,$BL22=1,$BH22&gt;0),IF($BI22=1,SUM('Final Calculation Sheet'!$R$4:$R$40),IF($BL22=1,SUM('Final Calculation Sheet'!$R$4:$R$40)-SUMIFS('Final Calculation Sheet'!$R$4:$R$40,$AZ$5:$AZ$41,10),SUMIFS('Final Calculation Sheet'!$R$4:$R$40,$AZ$5:$AZ$41,$BH22))),""))</f>
        <v/>
      </c>
      <c r="T19" t="str">
        <f>IF($BJ22&gt;0,IF(INDEX('Final Calculation Sheet'!$S$4:$S$40,$BJ22-3)="","",INDEX('Final Calculation Sheet'!$S$4:$S$40,$BJ22-3)),IF(OR($BI22=1,$BL22=1,$BH22&gt;0),IF($BI22=1,SUM('Final Calculation Sheet'!$S$4:$S$40),IF($BL22=1,SUM('Final Calculation Sheet'!$S$4:$S$40)-SUMIFS('Final Calculation Sheet'!$S$4:$S$40,$AZ$5:$AZ$41,10),SUMIFS('Final Calculation Sheet'!$S$4:$S$40,$AZ$5:$AZ$41,$BH22))),""))</f>
        <v/>
      </c>
      <c r="U19" t="str">
        <f>IF($BJ22&gt;0,IF(INDEX('Final Calculation Sheet'!$T$4:$T$40,$BJ22-3)="","",INDEX('Final Calculation Sheet'!$T$4:$T$40,$BJ22-3)),IF(OR($BI22=1,$BL22=1,$BH22&gt;0),IF($BI22=1,SUM('Final Calculation Sheet'!$T$4:$T$40),IF($BL22=1,SUM('Final Calculation Sheet'!$T$4:$T$40)-SUMIFS('Final Calculation Sheet'!$T$4:$T$40,$AZ$5:$AZ$41,10),SUMIFS('Final Calculation Sheet'!$T$4:$T$40,$AZ$5:$AZ$41,$BH22))),""))</f>
        <v/>
      </c>
      <c r="V19" t="str">
        <f>IF($BJ22&gt;0,IF(INDEX('Final Calculation Sheet'!$U$4:$U$40,$BJ22-3)="","",INDEX('Final Calculation Sheet'!$U$4:$U$40,$BJ22-3)),IF(OR($BI22=1,$BL22=1,$BH22&gt;0),IF($BI22=1,SUM('Final Calculation Sheet'!$U$4:$U$40),IF($BL22=1,SUM('Final Calculation Sheet'!$U$4:$U$40)-SUMIFS('Final Calculation Sheet'!$U$4:$U$40,$AZ$5:$AZ$41,10),SUMIFS('Final Calculation Sheet'!$U$4:$U$40,$AZ$5:$AZ$41,$BH22))),""))</f>
        <v/>
      </c>
      <c r="W19" t="str">
        <f>IF($BJ22&gt;0,IF(INDEX('Final Calculation Sheet'!$V$4:$V$40,$BJ22-3)="","",INDEX('Final Calculation Sheet'!$V$4:$V$40,$BJ22-3)),IF(OR($BI22=1,$BL22=1,$BH22&gt;0),"–",""))</f>
        <v/>
      </c>
      <c r="X19" t="str">
        <f>IF($BJ22&gt;0,IF(INDEX('Final Calculation Sheet'!$W$4:$W$40,$BJ22-3)="","",INDEX('Final Calculation Sheet'!$W$4:$W$40,$BJ22-3)),IF(OR($BI22=1,$BL22=1,$BH22&gt;0),IF($BI22=1,SUM('Final Calculation Sheet'!$W$4:$W$40),IF($BL22=1,SUM('Final Calculation Sheet'!$W$4:$W$40)-SUMIFS('Final Calculation Sheet'!$W$4:$W$40,$AZ$5:$AZ$41,10),SUMIFS('Final Calculation Sheet'!$W$4:$W$40,$AZ$5:$AZ$41,$BH22))),""))</f>
        <v/>
      </c>
      <c r="Y19" t="str">
        <f>IF($BJ22&gt;0,IF(INDEX('Final Calculation Sheet'!$X$4:$X$40,$BJ22-3)="","",INDEX('Final Calculation Sheet'!$X$4:$X$40,$BJ22-3)),IF(OR($BI22=1,$BL22=1,$BH22&gt;0),IF($BI22=1,SUM('Final Calculation Sheet'!$X$4:$X$40),IF($BL22=1,SUM('Final Calculation Sheet'!$X$4:$X$40)-SUMIFS('Final Calculation Sheet'!$X$4:$X$40,$AZ$5:$AZ$41,10),SUMIFS('Final Calculation Sheet'!$X$4:$X$40,$AZ$5:$AZ$41,$BH22))),""))</f>
        <v/>
      </c>
      <c r="Z19" t="str">
        <f>IF($BJ22&gt;0,IF(INDEX('Final Calculation Sheet'!$Y$4:$Y$40,$BJ22-3)="","",INDEX('Final Calculation Sheet'!$Y$4:$Y$40,$BJ22-3)),IF(OR($BI22=1,$BL22=1,$BH22&gt;0),"–",""))</f>
        <v/>
      </c>
      <c r="AA19" t="str">
        <f>IF($BJ22&gt;0,IF(INDEX('Final Calculation Sheet'!$Z$4:$Z$40,$BJ22-3)="","",INDEX('Final Calculation Sheet'!$Z$4:$Z$40,$BJ22-3)),IF(OR($BI22=1,$BL22=1,$BH22&gt;0),IF($BI22=1,SUM('Final Calculation Sheet'!$Z$4:$Z$40),IF($BL22=1,SUM('Final Calculation Sheet'!$Z$4:$Z$40)-SUMIFS('Final Calculation Sheet'!$Z$4:$Z$40,$AZ$5:$AZ$41,10),SUMIFS('Final Calculation Sheet'!$Z$4:$Z$40,$AZ$5:$AZ$41,$BH22))),""))</f>
        <v/>
      </c>
      <c r="AB19" t="str">
        <f>IF($BJ22&gt;0,IF(INDEX('Final Calculation Sheet'!$AA$4:$AA$40,$BJ22-3)="","",INDEX('Final Calculation Sheet'!$AA$4:$AA$40,$BJ22-3)),IF(OR($BI22=1,$BL22=1,$BH22&gt;0),IF($BI22=1,SUM('Final Calculation Sheet'!$AA$4:$AA$40),IF($BL22=1,SUM('Final Calculation Sheet'!$AA$4:$AA$40)-SUMIFS('Final Calculation Sheet'!$AA$4:$AA$40,$AZ$5:$AZ$41,10),SUMIFS('Final Calculation Sheet'!$AA$4:$AA$40,$AZ$5:$AZ$41,$BH22))),""))</f>
        <v/>
      </c>
      <c r="AC19" t="str">
        <f>IF($BJ22&gt;0,IF(INDEX('Final Calculation Sheet'!$AB$4:$AB$40,$BJ22-3)="","",INDEX('Final Calculation Sheet'!$AB$4:$AB$40,$BJ22-3)),IF(OR($BI22=1,$BL22=1,$BH22&gt;0),"–",""))</f>
        <v/>
      </c>
      <c r="AD19" t="str">
        <f>IF($BJ22&gt;0,IF(INDEX('Final Calculation Sheet'!$AC$4:$AC$40,$BJ22-3)="","",INDEX('Final Calculation Sheet'!$AC$4:$AC$40,$BJ22-3)),IF(OR($BI22=1,$BL22=1,$BH22&gt;0),IF($BI22=1,SUM('Final Calculation Sheet'!$AC$4:$AC$40),IF($BL22=1,SUM('Final Calculation Sheet'!$AC$4:$AC$40)-SUMIFS('Final Calculation Sheet'!$AC$4:$AC$40,$AZ$5:$AZ$41,10),SUMIFS('Final Calculation Sheet'!$AC$4:$AC$40,$AZ$5:$AZ$41,$BH22))),""))</f>
        <v/>
      </c>
      <c r="AE19" t="str">
        <f>IF($BJ22&gt;0,IF(INDEX('Final Calculation Sheet'!$AD$4:$AD$40,$BJ22-3)="","",INDEX('Final Calculation Sheet'!$AD$4:$AD$40,$BJ22-3)),IF(OR($BI22=1,$BL22=1,$BH22&gt;0),IF($BI22=1,SUM('Final Calculation Sheet'!$AD$4:$AD$40),IF($BL22=1,SUM('Final Calculation Sheet'!$AD$4:$AD$40)-SUMIFS('Final Calculation Sheet'!$AD$4:$AD$40,$AZ$5:$AZ$41,10),SUMIFS('Final Calculation Sheet'!$AD$4:$AD$40,$AZ$5:$AZ$41,$BH22))),""))</f>
        <v/>
      </c>
      <c r="AF19" t="str">
        <f>IF($BJ22&gt;0,IF(INDEX('Final Calculation Sheet'!$AE$4:$AE$40,$BJ22-3)="","",INDEX('Final Calculation Sheet'!$AE$4:$AE$40,$BJ22-3)),IF(OR($BI22=1,$BL22=1,$BH22&gt;0),"–",""))</f>
        <v/>
      </c>
      <c r="AG19" t="str">
        <f>IF($BJ22&gt;0,IF(INDEX('Final Calculation Sheet'!$AF$4:$AF$40,$BJ22-3)="","",INDEX('Final Calculation Sheet'!$AF$4:$AF$40,$BJ22-3)),IF(OR($BI22=1,$BL22=1,$BH22&gt;0),"–",""))</f>
        <v/>
      </c>
      <c r="AH19" t="str">
        <f>IF($BJ22&gt;0,IF(INDEX('Final Calculation Sheet'!$AG$4:$AG$40,$BJ22-3)="","",INDEX('Final Calculation Sheet'!$AG$4:$AG$40,$BJ22-3)),IF(OR($BI22=1,$BL22=1,$BH22&gt;0),"–",""))</f>
        <v/>
      </c>
      <c r="AI19" t="str">
        <f>IF($BJ22&gt;0,IF(INDEX('Final Calculation Sheet'!$AD$4:$AD$40,$BJ22-3)="","",IF(INDEX('Final Calculation Sheet'!$AD$4:$AD$40,$BJ22-3)&lt;=5,"SETTLED","OUTSTANDING")),IF(OR($BI22=1,$BL22=1,$BH22&gt;0),IF(IF($BI22=1,SUM('Final Calculation Sheet'!$AD$4:$AD$40),IF($BL22=1,SUM('Final Calculation Sheet'!$AD$4:$AD$40)-SUMIFS('Final Calculation Sheet'!$AD$4:$AD$40,$AZ$5:$AZ$41,10),SUMIFS('Final Calculation Sheet'!$AD$4:$AD$40,$AZ$5:$AZ$41,$BH22)))&lt;=5,"ALL SETTLED","OUTSTANDING"),""))</f>
        <v/>
      </c>
    </row>
    <row r="20">
      <c r="A20" t="str">
        <f>IF($BJ23&gt;0,INDEX($BA$5:$BA$41,MATCH(23,$BB$5:$BB$41,0)),IF(OR($BI23=1,$BL23=1,$BH23&gt;0),"∑",""))</f>
        <v/>
      </c>
      <c r="B20" t="str">
        <f>IF($BJ23&gt;0,IF(INDEX('Final Calculation Sheet'!$F$4:$F$40,$BJ23-3)="","",INDEX('Final Calculation Sheet'!$F$4:$F$40,$BJ23-3)),"")</f>
        <v/>
      </c>
      <c r="C20" t="str">
        <f>IF($BJ23&gt;0,IF(INDEX('Final Calculation Sheet'!$G$4:$G$40,$BJ23-3)="","",INDEX('Final Calculation Sheet'!$G$4:$G$40,$BJ23-3)),IF(OR($BI23=1,$BL23=1,$BH23&gt;0),IF($BI23=1,37,IF($BL23=1,37-INDEX($BD$4:$BD$13,10),INDEX($BD$4:$BD$13,$BH23)))&amp;" lot(s)",""))</f>
        <v/>
      </c>
      <c r="D20" t="str">
        <f>IF($BJ23&gt;0,IF(INDEX('Final Calculation Sheet'!$B$4:$B$40,$BJ23-3)="","",INDEX('Final Calculation Sheet'!$B$4:$B$40,$BJ23-3)),IF(OR($BI23=1,$BL23=1,$BH23&gt;0),IF($BI23=1,"GRAND TOTAL  —  matching + remaining",IF($BL23=1,"TOTAL MATCHED  —  every group together",IF($BH23=10,"REMAINING  —  did not match the search",IF($BH23=9,IF(COUNTIF($A$4:$AI$4,"&lt;&gt;")&gt;0,"FILTERED LOTS  —  column fields","ALL LOTS  —  nothing typed in the box"),"GROUP "&amp;$BH23&amp;" TOTAL  —  lots matching  "&amp;INDEX($AR$6:$AY$6,$BH23))))),""))</f>
        <v/>
      </c>
      <c r="E20" t="str">
        <f>IF($BJ23&gt;0,IF(INDEX('Final Calculation Sheet'!$D$4:$D$40,$BJ23-3)="","",INDEX('Final Calculation Sheet'!$D$4:$D$40,$BJ23-3)),IF(OR($BI23=1,$BL23=1,$BH23&gt;0),"–",""))</f>
        <v/>
      </c>
      <c r="F20" t="str">
        <f>IF($BJ23&gt;0,IF(INDEX('Final Calculation Sheet'!$A$4:$A$40,$BJ23-3)="","",INDEX('Final Calculation Sheet'!$A$4:$A$40,$BJ23-3)),IF(OR($BI23=1,$BL23=1,$BH23&gt;0),IF($BI23=1,SUM('Final Calculation Sheet'!$A$4:$A$40),IF($BL23=1,SUM('Final Calculation Sheet'!$A$4:$A$40)-SUMIFS('Final Calculation Sheet'!$A$4:$A$40,$AZ$5:$AZ$41,10),SUMIFS('Final Calculation Sheet'!$A$4:$A$40,$AZ$5:$AZ$41,$BH23))),""))</f>
        <v/>
      </c>
      <c r="G20" t="str">
        <f>IF($BJ23&gt;0,IF(INDEX('Final Calculation Sheet'!$E$4:$E$40,$BJ23-3)="","",INDEX('Final Calculation Sheet'!$E$4:$E$40,$BJ23-3)),IF(OR($BI23=1,$BL23=1,$BH23&gt;0),"–",""))</f>
        <v/>
      </c>
      <c r="H20" t="str">
        <f>IF($BJ23&gt;0,IF(INDEX('Final Calculation Sheet'!$C$4:$C$40,$BJ23-3)="","",INDEX('Final Calculation Sheet'!$C$4:$C$40,$BJ23-3)),IF(OR($BI23=1,$BL23=1,$BH23&gt;0),"–",""))</f>
        <v/>
      </c>
      <c r="I20" t="str">
        <f>IF($BJ23&gt;0,IF(INDEX('Final Calculation Sheet'!$H$4:$H$40,$BJ23-3)="","",INDEX('Final Calculation Sheet'!$H$4:$H$40,$BJ23-3)),IF(OR($BI23=1,$BL23=1,$BH23&gt;0),IF($BI23=1,SUM('Final Calculation Sheet'!$H$4:$H$40),IF($BL23=1,SUM('Final Calculation Sheet'!$H$4:$H$40)-SUMIFS('Final Calculation Sheet'!$H$4:$H$40,$AZ$5:$AZ$41,10),SUMIFS('Final Calculation Sheet'!$H$4:$H$40,$AZ$5:$AZ$41,$BH23))),""))</f>
        <v/>
      </c>
      <c r="J20" t="str">
        <f>IF($BJ23&gt;0,IF(INDEX('Final Calculation Sheet'!$I$4:$I$40,$BJ23-3)="","",INDEX('Final Calculation Sheet'!$I$4:$I$40,$BJ23-3)),IF(OR($BI23=1,$BL23=1,$BH23&gt;0),IF($BI23=1,SUM('Final Calculation Sheet'!$I$4:$I$40),IF($BL23=1,SUM('Final Calculation Sheet'!$I$4:$I$40)-SUMIFS('Final Calculation Sheet'!$I$4:$I$40,$AZ$5:$AZ$41,10),SUMIFS('Final Calculation Sheet'!$I$4:$I$40,$AZ$5:$AZ$41,$BH23))),""))</f>
        <v/>
      </c>
      <c r="K20" t="str">
        <f>IF($BJ23&gt;0,IF(INDEX('Final Calculation Sheet'!$J$4:$J$40,$BJ23-3)="","",INDEX('Final Calculation Sheet'!$J$4:$J$40,$BJ23-3)),IF(OR($BI23=1,$BL23=1,$BH23&gt;0),IF($BI23=1,SUM('Final Calculation Sheet'!$J$4:$J$40),IF($BL23=1,SUM('Final Calculation Sheet'!$J$4:$J$40)-SUMIFS('Final Calculation Sheet'!$J$4:$J$40,$AZ$5:$AZ$41,10),SUMIFS('Final Calculation Sheet'!$J$4:$J$40,$AZ$5:$AZ$41,$BH23))),""))</f>
        <v/>
      </c>
      <c r="L20" t="str">
        <f>IF($BJ23&gt;0,IF(INDEX('Final Calculation Sheet'!$K$4:$K$40,$BJ23-3)="","",INDEX('Final Calculation Sheet'!$K$4:$K$40,$BJ23-3)),IF(OR($BI23=1,$BL23=1,$BH23&gt;0),IF($BI23=1,SUM('Final Calculation Sheet'!$K$4:$K$40),IF($BL23=1,SUM('Final Calculation Sheet'!$K$4:$K$40)-SUMIFS('Final Calculation Sheet'!$K$4:$K$40,$AZ$5:$AZ$41,10),SUMIFS('Final Calculation Sheet'!$K$4:$K$40,$AZ$5:$AZ$41,$BH23))),""))</f>
        <v/>
      </c>
      <c r="M20" t="str">
        <f>IF($BJ23&gt;0,IF(INDEX('Final Calculation Sheet'!$L$4:$L$40,$BJ23-3)="","",INDEX('Final Calculation Sheet'!$L$4:$L$40,$BJ23-3)),IF(OR($BI23=1,$BL23=1,$BH23&gt;0),IF($BI23=1,SUM('Final Calculation Sheet'!$L$4:$L$40),IF($BL23=1,SUM('Final Calculation Sheet'!$L$4:$L$40)-SUMIFS('Final Calculation Sheet'!$L$4:$L$40,$AZ$5:$AZ$41,10),SUMIFS('Final Calculation Sheet'!$L$4:$L$40,$AZ$5:$AZ$41,$BH23))),""))</f>
        <v/>
      </c>
      <c r="N20" t="str">
        <f>IF($BJ23&gt;0,IF(INDEX('Final Calculation Sheet'!$M$4:$M$40,$BJ23-3)="","",INDEX('Final Calculation Sheet'!$M$4:$M$40,$BJ23-3)),IF(OR($BI23=1,$BL23=1,$BH23&gt;0),IF($BI23=1,SUM('Final Calculation Sheet'!$M$4:$M$40),IF($BL23=1,SUM('Final Calculation Sheet'!$M$4:$M$40)-SUMIFS('Final Calculation Sheet'!$M$4:$M$40,$AZ$5:$AZ$41,10),SUMIFS('Final Calculation Sheet'!$M$4:$M$40,$AZ$5:$AZ$41,$BH23))),""))</f>
        <v/>
      </c>
      <c r="O20" t="str">
        <f>IF($BJ23&gt;0,IF(INDEX('Final Calculation Sheet'!$N$4:$N$40,$BJ23-3)="","",INDEX('Final Calculation Sheet'!$N$4:$N$40,$BJ23-3)),IF(OR($BI23=1,$BL23=1,$BH23&gt;0),IF($BI23=1,SUM('Final Calculation Sheet'!$N$4:$N$40),IF($BL23=1,SUM('Final Calculation Sheet'!$N$4:$N$40)-SUMIFS('Final Calculation Sheet'!$N$4:$N$40,$AZ$5:$AZ$41,10),SUMIFS('Final Calculation Sheet'!$N$4:$N$40,$AZ$5:$AZ$41,$BH23))),""))</f>
        <v/>
      </c>
      <c r="P20" t="str">
        <f>IF($BJ23&gt;0,IF(INDEX('Final Calculation Sheet'!$O$4:$O$40,$BJ23-3)="","",INDEX('Final Calculation Sheet'!$O$4:$O$40,$BJ23-3)),IF(OR($BI23=1,$BL23=1,$BH23&gt;0),IF($BI23=1,SUM('Final Calculation Sheet'!$O$4:$O$40),IF($BL23=1,SUM('Final Calculation Sheet'!$O$4:$O$40)-SUMIFS('Final Calculation Sheet'!$O$4:$O$40,$AZ$5:$AZ$41,10),SUMIFS('Final Calculation Sheet'!$O$4:$O$40,$AZ$5:$AZ$41,$BH23))),""))</f>
        <v/>
      </c>
      <c r="Q20" t="str">
        <f>IF($BJ23&gt;0,IF(INDEX('Final Calculation Sheet'!$P$4:$P$40,$BJ23-3)="","",INDEX('Final Calculation Sheet'!$P$4:$P$40,$BJ23-3)),IF(OR($BI23=1,$BL23=1,$BH23&gt;0),IF($BI23=1,SUM('Final Calculation Sheet'!$P$4:$P$40),IF($BL23=1,SUM('Final Calculation Sheet'!$P$4:$P$40)-SUMIFS('Final Calculation Sheet'!$P$4:$P$40,$AZ$5:$AZ$41,10),SUMIFS('Final Calculation Sheet'!$P$4:$P$40,$AZ$5:$AZ$41,$BH23))),""))</f>
        <v/>
      </c>
      <c r="R20" t="str">
        <f>IF($BJ23&gt;0,IF(INDEX('Final Calculation Sheet'!$Q$4:$Q$40,$BJ23-3)="","",INDEX('Final Calculation Sheet'!$Q$4:$Q$40,$BJ23-3)),IF(OR($BI23=1,$BL23=1,$BH23&gt;0),"–",""))</f>
        <v/>
      </c>
      <c r="S20" t="str">
        <f>IF($BJ23&gt;0,IF(INDEX('Final Calculation Sheet'!$R$4:$R$40,$BJ23-3)="","",INDEX('Final Calculation Sheet'!$R$4:$R$40,$BJ23-3)),IF(OR($BI23=1,$BL23=1,$BH23&gt;0),IF($BI23=1,SUM('Final Calculation Sheet'!$R$4:$R$40),IF($BL23=1,SUM('Final Calculation Sheet'!$R$4:$R$40)-SUMIFS('Final Calculation Sheet'!$R$4:$R$40,$AZ$5:$AZ$41,10),SUMIFS('Final Calculation Sheet'!$R$4:$R$40,$AZ$5:$AZ$41,$BH23))),""))</f>
        <v/>
      </c>
      <c r="T20" t="str">
        <f>IF($BJ23&gt;0,IF(INDEX('Final Calculation Sheet'!$S$4:$S$40,$BJ23-3)="","",INDEX('Final Calculation Sheet'!$S$4:$S$40,$BJ23-3)),IF(OR($BI23=1,$BL23=1,$BH23&gt;0),IF($BI23=1,SUM('Final Calculation Sheet'!$S$4:$S$40),IF($BL23=1,SUM('Final Calculation Sheet'!$S$4:$S$40)-SUMIFS('Final Calculation Sheet'!$S$4:$S$40,$AZ$5:$AZ$41,10),SUMIFS('Final Calculation Sheet'!$S$4:$S$40,$AZ$5:$AZ$41,$BH23))),""))</f>
        <v/>
      </c>
      <c r="U20" t="str">
        <f>IF($BJ23&gt;0,IF(INDEX('Final Calculation Sheet'!$T$4:$T$40,$BJ23-3)="","",INDEX('Final Calculation Sheet'!$T$4:$T$40,$BJ23-3)),IF(OR($BI23=1,$BL23=1,$BH23&gt;0),IF($BI23=1,SUM('Final Calculation Sheet'!$T$4:$T$40),IF($BL23=1,SUM('Final Calculation Sheet'!$T$4:$T$40)-SUMIFS('Final Calculation Sheet'!$T$4:$T$40,$AZ$5:$AZ$41,10),SUMIFS('Final Calculation Sheet'!$T$4:$T$40,$AZ$5:$AZ$41,$BH23))),""))</f>
        <v/>
      </c>
      <c r="V20" t="str">
        <f>IF($BJ23&gt;0,IF(INDEX('Final Calculation Sheet'!$U$4:$U$40,$BJ23-3)="","",INDEX('Final Calculation Sheet'!$U$4:$U$40,$BJ23-3)),IF(OR($BI23=1,$BL23=1,$BH23&gt;0),IF($BI23=1,SUM('Final Calculation Sheet'!$U$4:$U$40),IF($BL23=1,SUM('Final Calculation Sheet'!$U$4:$U$40)-SUMIFS('Final Calculation Sheet'!$U$4:$U$40,$AZ$5:$AZ$41,10),SUMIFS('Final Calculation Sheet'!$U$4:$U$40,$AZ$5:$AZ$41,$BH23))),""))</f>
        <v/>
      </c>
      <c r="W20" t="str">
        <f>IF($BJ23&gt;0,IF(INDEX('Final Calculation Sheet'!$V$4:$V$40,$BJ23-3)="","",INDEX('Final Calculation Sheet'!$V$4:$V$40,$BJ23-3)),IF(OR($BI23=1,$BL23=1,$BH23&gt;0),"–",""))</f>
        <v/>
      </c>
      <c r="X20" t="str">
        <f>IF($BJ23&gt;0,IF(INDEX('Final Calculation Sheet'!$W$4:$W$40,$BJ23-3)="","",INDEX('Final Calculation Sheet'!$W$4:$W$40,$BJ23-3)),IF(OR($BI23=1,$BL23=1,$BH23&gt;0),IF($BI23=1,SUM('Final Calculation Sheet'!$W$4:$W$40),IF($BL23=1,SUM('Final Calculation Sheet'!$W$4:$W$40)-SUMIFS('Final Calculation Sheet'!$W$4:$W$40,$AZ$5:$AZ$41,10),SUMIFS('Final Calculation Sheet'!$W$4:$W$40,$AZ$5:$AZ$41,$BH23))),""))</f>
        <v/>
      </c>
      <c r="Y20" t="str">
        <f>IF($BJ23&gt;0,IF(INDEX('Final Calculation Sheet'!$X$4:$X$40,$BJ23-3)="","",INDEX('Final Calculation Sheet'!$X$4:$X$40,$BJ23-3)),IF(OR($BI23=1,$BL23=1,$BH23&gt;0),IF($BI23=1,SUM('Final Calculation Sheet'!$X$4:$X$40),IF($BL23=1,SUM('Final Calculation Sheet'!$X$4:$X$40)-SUMIFS('Final Calculation Sheet'!$X$4:$X$40,$AZ$5:$AZ$41,10),SUMIFS('Final Calculation Sheet'!$X$4:$X$40,$AZ$5:$AZ$41,$BH23))),""))</f>
        <v/>
      </c>
      <c r="Z20" t="str">
        <f>IF($BJ23&gt;0,IF(INDEX('Final Calculation Sheet'!$Y$4:$Y$40,$BJ23-3)="","",INDEX('Final Calculation Sheet'!$Y$4:$Y$40,$BJ23-3)),IF(OR($BI23=1,$BL23=1,$BH23&gt;0),"–",""))</f>
        <v/>
      </c>
      <c r="AA20" t="str">
        <f>IF($BJ23&gt;0,IF(INDEX('Final Calculation Sheet'!$Z$4:$Z$40,$BJ23-3)="","",INDEX('Final Calculation Sheet'!$Z$4:$Z$40,$BJ23-3)),IF(OR($BI23=1,$BL23=1,$BH23&gt;0),IF($BI23=1,SUM('Final Calculation Sheet'!$Z$4:$Z$40),IF($BL23=1,SUM('Final Calculation Sheet'!$Z$4:$Z$40)-SUMIFS('Final Calculation Sheet'!$Z$4:$Z$40,$AZ$5:$AZ$41,10),SUMIFS('Final Calculation Sheet'!$Z$4:$Z$40,$AZ$5:$AZ$41,$BH23))),""))</f>
        <v/>
      </c>
      <c r="AB20" t="str">
        <f>IF($BJ23&gt;0,IF(INDEX('Final Calculation Sheet'!$AA$4:$AA$40,$BJ23-3)="","",INDEX('Final Calculation Sheet'!$AA$4:$AA$40,$BJ23-3)),IF(OR($BI23=1,$BL23=1,$BH23&gt;0),IF($BI23=1,SUM('Final Calculation Sheet'!$AA$4:$AA$40),IF($BL23=1,SUM('Final Calculation Sheet'!$AA$4:$AA$40)-SUMIFS('Final Calculation Sheet'!$AA$4:$AA$40,$AZ$5:$AZ$41,10),SUMIFS('Final Calculation Sheet'!$AA$4:$AA$40,$AZ$5:$AZ$41,$BH23))),""))</f>
        <v/>
      </c>
      <c r="AC20" t="str">
        <f>IF($BJ23&gt;0,IF(INDEX('Final Calculation Sheet'!$AB$4:$AB$40,$BJ23-3)="","",INDEX('Final Calculation Sheet'!$AB$4:$AB$40,$BJ23-3)),IF(OR($BI23=1,$BL23=1,$BH23&gt;0),"–",""))</f>
        <v/>
      </c>
      <c r="AD20" t="str">
        <f>IF($BJ23&gt;0,IF(INDEX('Final Calculation Sheet'!$AC$4:$AC$40,$BJ23-3)="","",INDEX('Final Calculation Sheet'!$AC$4:$AC$40,$BJ23-3)),IF(OR($BI23=1,$BL23=1,$BH23&gt;0),IF($BI23=1,SUM('Final Calculation Sheet'!$AC$4:$AC$40),IF($BL23=1,SUM('Final Calculation Sheet'!$AC$4:$AC$40)-SUMIFS('Final Calculation Sheet'!$AC$4:$AC$40,$AZ$5:$AZ$41,10),SUMIFS('Final Calculation Sheet'!$AC$4:$AC$40,$AZ$5:$AZ$41,$BH23))),""))</f>
        <v/>
      </c>
      <c r="AE20" t="str">
        <f>IF($BJ23&gt;0,IF(INDEX('Final Calculation Sheet'!$AD$4:$AD$40,$BJ23-3)="","",INDEX('Final Calculation Sheet'!$AD$4:$AD$40,$BJ23-3)),IF(OR($BI23=1,$BL23=1,$BH23&gt;0),IF($BI23=1,SUM('Final Calculation Sheet'!$AD$4:$AD$40),IF($BL23=1,SUM('Final Calculation Sheet'!$AD$4:$AD$40)-SUMIFS('Final Calculation Sheet'!$AD$4:$AD$40,$AZ$5:$AZ$41,10),SUMIFS('Final Calculation Sheet'!$AD$4:$AD$40,$AZ$5:$AZ$41,$BH23))),""))</f>
        <v/>
      </c>
      <c r="AF20" t="str">
        <f>IF($BJ23&gt;0,IF(INDEX('Final Calculation Sheet'!$AE$4:$AE$40,$BJ23-3)="","",INDEX('Final Calculation Sheet'!$AE$4:$AE$40,$BJ23-3)),IF(OR($BI23=1,$BL23=1,$BH23&gt;0),"–",""))</f>
        <v/>
      </c>
      <c r="AG20" t="str">
        <f>IF($BJ23&gt;0,IF(INDEX('Final Calculation Sheet'!$AF$4:$AF$40,$BJ23-3)="","",INDEX('Final Calculation Sheet'!$AF$4:$AF$40,$BJ23-3)),IF(OR($BI23=1,$BL23=1,$BH23&gt;0),"–",""))</f>
        <v/>
      </c>
      <c r="AH20" t="str">
        <f>IF($BJ23&gt;0,IF(INDEX('Final Calculation Sheet'!$AG$4:$AG$40,$BJ23-3)="","",INDEX('Final Calculation Sheet'!$AG$4:$AG$40,$BJ23-3)),IF(OR($BI23=1,$BL23=1,$BH23&gt;0),"–",""))</f>
        <v/>
      </c>
      <c r="AI20" t="str">
        <f>IF($BJ23&gt;0,IF(INDEX('Final Calculation Sheet'!$AD$4:$AD$40,$BJ23-3)="","",IF(INDEX('Final Calculation Sheet'!$AD$4:$AD$40,$BJ23-3)&lt;=5,"SETTLED","OUTSTANDING")),IF(OR($BI23=1,$BL23=1,$BH23&gt;0),IF(IF($BI23=1,SUM('Final Calculation Sheet'!$AD$4:$AD$40),IF($BL23=1,SUM('Final Calculation Sheet'!$AD$4:$AD$40)-SUMIFS('Final Calculation Sheet'!$AD$4:$AD$40,$AZ$5:$AZ$41,10),SUMIFS('Final Calculation Sheet'!$AD$4:$AD$40,$AZ$5:$AZ$41,$BH23)))&lt;=5,"ALL SETTLED","OUTSTANDING"),""))</f>
        <v/>
      </c>
    </row>
    <row r="21">
      <c r="A21" t="str">
        <f>IF($BJ24&gt;0,INDEX($BA$5:$BA$41,MATCH(24,$BB$5:$BB$41,0)),IF(OR($BI24=1,$BL24=1,$BH24&gt;0),"∑",""))</f>
        <v/>
      </c>
      <c r="B21" t="str">
        <f>IF($BJ24&gt;0,IF(INDEX('Final Calculation Sheet'!$F$4:$F$40,$BJ24-3)="","",INDEX('Final Calculation Sheet'!$F$4:$F$40,$BJ24-3)),"")</f>
        <v/>
      </c>
      <c r="C21" t="str">
        <f>IF($BJ24&gt;0,IF(INDEX('Final Calculation Sheet'!$G$4:$G$40,$BJ24-3)="","",INDEX('Final Calculation Sheet'!$G$4:$G$40,$BJ24-3)),IF(OR($BI24=1,$BL24=1,$BH24&gt;0),IF($BI24=1,37,IF($BL24=1,37-INDEX($BD$4:$BD$13,10),INDEX($BD$4:$BD$13,$BH24)))&amp;" lot(s)",""))</f>
        <v/>
      </c>
      <c r="D21" t="str">
        <f>IF($BJ24&gt;0,IF(INDEX('Final Calculation Sheet'!$B$4:$B$40,$BJ24-3)="","",INDEX('Final Calculation Sheet'!$B$4:$B$40,$BJ24-3)),IF(OR($BI24=1,$BL24=1,$BH24&gt;0),IF($BI24=1,"GRAND TOTAL  —  matching + remaining",IF($BL24=1,"TOTAL MATCHED  —  every group together",IF($BH24=10,"REMAINING  —  did not match the search",IF($BH24=9,IF(COUNTIF($A$4:$AI$4,"&lt;&gt;")&gt;0,"FILTERED LOTS  —  column fields","ALL LOTS  —  nothing typed in the box"),"GROUP "&amp;$BH24&amp;" TOTAL  —  lots matching  "&amp;INDEX($AR$6:$AY$6,$BH24))))),""))</f>
        <v/>
      </c>
      <c r="E21" t="str">
        <f>IF($BJ24&gt;0,IF(INDEX('Final Calculation Sheet'!$D$4:$D$40,$BJ24-3)="","",INDEX('Final Calculation Sheet'!$D$4:$D$40,$BJ24-3)),IF(OR($BI24=1,$BL24=1,$BH24&gt;0),"–",""))</f>
        <v/>
      </c>
      <c r="F21" t="str">
        <f>IF($BJ24&gt;0,IF(INDEX('Final Calculation Sheet'!$A$4:$A$40,$BJ24-3)="","",INDEX('Final Calculation Sheet'!$A$4:$A$40,$BJ24-3)),IF(OR($BI24=1,$BL24=1,$BH24&gt;0),IF($BI24=1,SUM('Final Calculation Sheet'!$A$4:$A$40),IF($BL24=1,SUM('Final Calculation Sheet'!$A$4:$A$40)-SUMIFS('Final Calculation Sheet'!$A$4:$A$40,$AZ$5:$AZ$41,10),SUMIFS('Final Calculation Sheet'!$A$4:$A$40,$AZ$5:$AZ$41,$BH24))),""))</f>
        <v/>
      </c>
      <c r="G21" t="str">
        <f>IF($BJ24&gt;0,IF(INDEX('Final Calculation Sheet'!$E$4:$E$40,$BJ24-3)="","",INDEX('Final Calculation Sheet'!$E$4:$E$40,$BJ24-3)),IF(OR($BI24=1,$BL24=1,$BH24&gt;0),"–",""))</f>
        <v/>
      </c>
      <c r="H21" t="str">
        <f>IF($BJ24&gt;0,IF(INDEX('Final Calculation Sheet'!$C$4:$C$40,$BJ24-3)="","",INDEX('Final Calculation Sheet'!$C$4:$C$40,$BJ24-3)),IF(OR($BI24=1,$BL24=1,$BH24&gt;0),"–",""))</f>
        <v/>
      </c>
      <c r="I21" t="str">
        <f>IF($BJ24&gt;0,IF(INDEX('Final Calculation Sheet'!$H$4:$H$40,$BJ24-3)="","",INDEX('Final Calculation Sheet'!$H$4:$H$40,$BJ24-3)),IF(OR($BI24=1,$BL24=1,$BH24&gt;0),IF($BI24=1,SUM('Final Calculation Sheet'!$H$4:$H$40),IF($BL24=1,SUM('Final Calculation Sheet'!$H$4:$H$40)-SUMIFS('Final Calculation Sheet'!$H$4:$H$40,$AZ$5:$AZ$41,10),SUMIFS('Final Calculation Sheet'!$H$4:$H$40,$AZ$5:$AZ$41,$BH24))),""))</f>
        <v/>
      </c>
      <c r="J21" t="str">
        <f>IF($BJ24&gt;0,IF(INDEX('Final Calculation Sheet'!$I$4:$I$40,$BJ24-3)="","",INDEX('Final Calculation Sheet'!$I$4:$I$40,$BJ24-3)),IF(OR($BI24=1,$BL24=1,$BH24&gt;0),IF($BI24=1,SUM('Final Calculation Sheet'!$I$4:$I$40),IF($BL24=1,SUM('Final Calculation Sheet'!$I$4:$I$40)-SUMIFS('Final Calculation Sheet'!$I$4:$I$40,$AZ$5:$AZ$41,10),SUMIFS('Final Calculation Sheet'!$I$4:$I$40,$AZ$5:$AZ$41,$BH24))),""))</f>
        <v/>
      </c>
      <c r="K21" t="str">
        <f>IF($BJ24&gt;0,IF(INDEX('Final Calculation Sheet'!$J$4:$J$40,$BJ24-3)="","",INDEX('Final Calculation Sheet'!$J$4:$J$40,$BJ24-3)),IF(OR($BI24=1,$BL24=1,$BH24&gt;0),IF($BI24=1,SUM('Final Calculation Sheet'!$J$4:$J$40),IF($BL24=1,SUM('Final Calculation Sheet'!$J$4:$J$40)-SUMIFS('Final Calculation Sheet'!$J$4:$J$40,$AZ$5:$AZ$41,10),SUMIFS('Final Calculation Sheet'!$J$4:$J$40,$AZ$5:$AZ$41,$BH24))),""))</f>
        <v/>
      </c>
      <c r="L21" t="str">
        <f>IF($BJ24&gt;0,IF(INDEX('Final Calculation Sheet'!$K$4:$K$40,$BJ24-3)="","",INDEX('Final Calculation Sheet'!$K$4:$K$40,$BJ24-3)),IF(OR($BI24=1,$BL24=1,$BH24&gt;0),IF($BI24=1,SUM('Final Calculation Sheet'!$K$4:$K$40),IF($BL24=1,SUM('Final Calculation Sheet'!$K$4:$K$40)-SUMIFS('Final Calculation Sheet'!$K$4:$K$40,$AZ$5:$AZ$41,10),SUMIFS('Final Calculation Sheet'!$K$4:$K$40,$AZ$5:$AZ$41,$BH24))),""))</f>
        <v/>
      </c>
      <c r="M21" t="str">
        <f>IF($BJ24&gt;0,IF(INDEX('Final Calculation Sheet'!$L$4:$L$40,$BJ24-3)="","",INDEX('Final Calculation Sheet'!$L$4:$L$40,$BJ24-3)),IF(OR($BI24=1,$BL24=1,$BH24&gt;0),IF($BI24=1,SUM('Final Calculation Sheet'!$L$4:$L$40),IF($BL24=1,SUM('Final Calculation Sheet'!$L$4:$L$40)-SUMIFS('Final Calculation Sheet'!$L$4:$L$40,$AZ$5:$AZ$41,10),SUMIFS('Final Calculation Sheet'!$L$4:$L$40,$AZ$5:$AZ$41,$BH24))),""))</f>
        <v/>
      </c>
      <c r="N21" t="str">
        <f>IF($BJ24&gt;0,IF(INDEX('Final Calculation Sheet'!$M$4:$M$40,$BJ24-3)="","",INDEX('Final Calculation Sheet'!$M$4:$M$40,$BJ24-3)),IF(OR($BI24=1,$BL24=1,$BH24&gt;0),IF($BI24=1,SUM('Final Calculation Sheet'!$M$4:$M$40),IF($BL24=1,SUM('Final Calculation Sheet'!$M$4:$M$40)-SUMIFS('Final Calculation Sheet'!$M$4:$M$40,$AZ$5:$AZ$41,10),SUMIFS('Final Calculation Sheet'!$M$4:$M$40,$AZ$5:$AZ$41,$BH24))),""))</f>
        <v/>
      </c>
      <c r="O21" t="str">
        <f>IF($BJ24&gt;0,IF(INDEX('Final Calculation Sheet'!$N$4:$N$40,$BJ24-3)="","",INDEX('Final Calculation Sheet'!$N$4:$N$40,$BJ24-3)),IF(OR($BI24=1,$BL24=1,$BH24&gt;0),IF($BI24=1,SUM('Final Calculation Sheet'!$N$4:$N$40),IF($BL24=1,SUM('Final Calculation Sheet'!$N$4:$N$40)-SUMIFS('Final Calculation Sheet'!$N$4:$N$40,$AZ$5:$AZ$41,10),SUMIFS('Final Calculation Sheet'!$N$4:$N$40,$AZ$5:$AZ$41,$BH24))),""))</f>
        <v/>
      </c>
      <c r="P21" t="str">
        <f>IF($BJ24&gt;0,IF(INDEX('Final Calculation Sheet'!$O$4:$O$40,$BJ24-3)="","",INDEX('Final Calculation Sheet'!$O$4:$O$40,$BJ24-3)),IF(OR($BI24=1,$BL24=1,$BH24&gt;0),IF($BI24=1,SUM('Final Calculation Sheet'!$O$4:$O$40),IF($BL24=1,SUM('Final Calculation Sheet'!$O$4:$O$40)-SUMIFS('Final Calculation Sheet'!$O$4:$O$40,$AZ$5:$AZ$41,10),SUMIFS('Final Calculation Sheet'!$O$4:$O$40,$AZ$5:$AZ$41,$BH24))),""))</f>
        <v/>
      </c>
      <c r="Q21" t="str">
        <f>IF($BJ24&gt;0,IF(INDEX('Final Calculation Sheet'!$P$4:$P$40,$BJ24-3)="","",INDEX('Final Calculation Sheet'!$P$4:$P$40,$BJ24-3)),IF(OR($BI24=1,$BL24=1,$BH24&gt;0),IF($BI24=1,SUM('Final Calculation Sheet'!$P$4:$P$40),IF($BL24=1,SUM('Final Calculation Sheet'!$P$4:$P$40)-SUMIFS('Final Calculation Sheet'!$P$4:$P$40,$AZ$5:$AZ$41,10),SUMIFS('Final Calculation Sheet'!$P$4:$P$40,$AZ$5:$AZ$41,$BH24))),""))</f>
        <v/>
      </c>
      <c r="R21" t="str">
        <f>IF($BJ24&gt;0,IF(INDEX('Final Calculation Sheet'!$Q$4:$Q$40,$BJ24-3)="","",INDEX('Final Calculation Sheet'!$Q$4:$Q$40,$BJ24-3)),IF(OR($BI24=1,$BL24=1,$BH24&gt;0),"–",""))</f>
        <v/>
      </c>
      <c r="S21" t="str">
        <f>IF($BJ24&gt;0,IF(INDEX('Final Calculation Sheet'!$R$4:$R$40,$BJ24-3)="","",INDEX('Final Calculation Sheet'!$R$4:$R$40,$BJ24-3)),IF(OR($BI24=1,$BL24=1,$BH24&gt;0),IF($BI24=1,SUM('Final Calculation Sheet'!$R$4:$R$40),IF($BL24=1,SUM('Final Calculation Sheet'!$R$4:$R$40)-SUMIFS('Final Calculation Sheet'!$R$4:$R$40,$AZ$5:$AZ$41,10),SUMIFS('Final Calculation Sheet'!$R$4:$R$40,$AZ$5:$AZ$41,$BH24))),""))</f>
        <v/>
      </c>
      <c r="T21" t="str">
        <f>IF($BJ24&gt;0,IF(INDEX('Final Calculation Sheet'!$S$4:$S$40,$BJ24-3)="","",INDEX('Final Calculation Sheet'!$S$4:$S$40,$BJ24-3)),IF(OR($BI24=1,$BL24=1,$BH24&gt;0),IF($BI24=1,SUM('Final Calculation Sheet'!$S$4:$S$40),IF($BL24=1,SUM('Final Calculation Sheet'!$S$4:$S$40)-SUMIFS('Final Calculation Sheet'!$S$4:$S$40,$AZ$5:$AZ$41,10),SUMIFS('Final Calculation Sheet'!$S$4:$S$40,$AZ$5:$AZ$41,$BH24))),""))</f>
        <v/>
      </c>
      <c r="U21" t="str">
        <f>IF($BJ24&gt;0,IF(INDEX('Final Calculation Sheet'!$T$4:$T$40,$BJ24-3)="","",INDEX('Final Calculation Sheet'!$T$4:$T$40,$BJ24-3)),IF(OR($BI24=1,$BL24=1,$BH24&gt;0),IF($BI24=1,SUM('Final Calculation Sheet'!$T$4:$T$40),IF($BL24=1,SUM('Final Calculation Sheet'!$T$4:$T$40)-SUMIFS('Final Calculation Sheet'!$T$4:$T$40,$AZ$5:$AZ$41,10),SUMIFS('Final Calculation Sheet'!$T$4:$T$40,$AZ$5:$AZ$41,$BH24))),""))</f>
        <v/>
      </c>
      <c r="V21" t="str">
        <f>IF($BJ24&gt;0,IF(INDEX('Final Calculation Sheet'!$U$4:$U$40,$BJ24-3)="","",INDEX('Final Calculation Sheet'!$U$4:$U$40,$BJ24-3)),IF(OR($BI24=1,$BL24=1,$BH24&gt;0),IF($BI24=1,SUM('Final Calculation Sheet'!$U$4:$U$40),IF($BL24=1,SUM('Final Calculation Sheet'!$U$4:$U$40)-SUMIFS('Final Calculation Sheet'!$U$4:$U$40,$AZ$5:$AZ$41,10),SUMIFS('Final Calculation Sheet'!$U$4:$U$40,$AZ$5:$AZ$41,$BH24))),""))</f>
        <v/>
      </c>
      <c r="W21" t="str">
        <f>IF($BJ24&gt;0,IF(INDEX('Final Calculation Sheet'!$V$4:$V$40,$BJ24-3)="","",INDEX('Final Calculation Sheet'!$V$4:$V$40,$BJ24-3)),IF(OR($BI24=1,$BL24=1,$BH24&gt;0),"–",""))</f>
        <v/>
      </c>
      <c r="X21" t="str">
        <f>IF($BJ24&gt;0,IF(INDEX('Final Calculation Sheet'!$W$4:$W$40,$BJ24-3)="","",INDEX('Final Calculation Sheet'!$W$4:$W$40,$BJ24-3)),IF(OR($BI24=1,$BL24=1,$BH24&gt;0),IF($BI24=1,SUM('Final Calculation Sheet'!$W$4:$W$40),IF($BL24=1,SUM('Final Calculation Sheet'!$W$4:$W$40)-SUMIFS('Final Calculation Sheet'!$W$4:$W$40,$AZ$5:$AZ$41,10),SUMIFS('Final Calculation Sheet'!$W$4:$W$40,$AZ$5:$AZ$41,$BH24))),""))</f>
        <v/>
      </c>
      <c r="Y21" t="str">
        <f>IF($BJ24&gt;0,IF(INDEX('Final Calculation Sheet'!$X$4:$X$40,$BJ24-3)="","",INDEX('Final Calculation Sheet'!$X$4:$X$40,$BJ24-3)),IF(OR($BI24=1,$BL24=1,$BH24&gt;0),IF($BI24=1,SUM('Final Calculation Sheet'!$X$4:$X$40),IF($BL24=1,SUM('Final Calculation Sheet'!$X$4:$X$40)-SUMIFS('Final Calculation Sheet'!$X$4:$X$40,$AZ$5:$AZ$41,10),SUMIFS('Final Calculation Sheet'!$X$4:$X$40,$AZ$5:$AZ$41,$BH24))),""))</f>
        <v/>
      </c>
      <c r="Z21" t="str">
        <f>IF($BJ24&gt;0,IF(INDEX('Final Calculation Sheet'!$Y$4:$Y$40,$BJ24-3)="","",INDEX('Final Calculation Sheet'!$Y$4:$Y$40,$BJ24-3)),IF(OR($BI24=1,$BL24=1,$BH24&gt;0),"–",""))</f>
        <v/>
      </c>
      <c r="AA21" t="str">
        <f>IF($BJ24&gt;0,IF(INDEX('Final Calculation Sheet'!$Z$4:$Z$40,$BJ24-3)="","",INDEX('Final Calculation Sheet'!$Z$4:$Z$40,$BJ24-3)),IF(OR($BI24=1,$BL24=1,$BH24&gt;0),IF($BI24=1,SUM('Final Calculation Sheet'!$Z$4:$Z$40),IF($BL24=1,SUM('Final Calculation Sheet'!$Z$4:$Z$40)-SUMIFS('Final Calculation Sheet'!$Z$4:$Z$40,$AZ$5:$AZ$41,10),SUMIFS('Final Calculation Sheet'!$Z$4:$Z$40,$AZ$5:$AZ$41,$BH24))),""))</f>
        <v/>
      </c>
      <c r="AB21" t="str">
        <f>IF($BJ24&gt;0,IF(INDEX('Final Calculation Sheet'!$AA$4:$AA$40,$BJ24-3)="","",INDEX('Final Calculation Sheet'!$AA$4:$AA$40,$BJ24-3)),IF(OR($BI24=1,$BL24=1,$BH24&gt;0),IF($BI24=1,SUM('Final Calculation Sheet'!$AA$4:$AA$40),IF($BL24=1,SUM('Final Calculation Sheet'!$AA$4:$AA$40)-SUMIFS('Final Calculation Sheet'!$AA$4:$AA$40,$AZ$5:$AZ$41,10),SUMIFS('Final Calculation Sheet'!$AA$4:$AA$40,$AZ$5:$AZ$41,$BH24))),""))</f>
        <v/>
      </c>
      <c r="AC21" t="str">
        <f>IF($BJ24&gt;0,IF(INDEX('Final Calculation Sheet'!$AB$4:$AB$40,$BJ24-3)="","",INDEX('Final Calculation Sheet'!$AB$4:$AB$40,$BJ24-3)),IF(OR($BI24=1,$BL24=1,$BH24&gt;0),"–",""))</f>
        <v/>
      </c>
      <c r="AD21" t="str">
        <f>IF($BJ24&gt;0,IF(INDEX('Final Calculation Sheet'!$AC$4:$AC$40,$BJ24-3)="","",INDEX('Final Calculation Sheet'!$AC$4:$AC$40,$BJ24-3)),IF(OR($BI24=1,$BL24=1,$BH24&gt;0),IF($BI24=1,SUM('Final Calculation Sheet'!$AC$4:$AC$40),IF($BL24=1,SUM('Final Calculation Sheet'!$AC$4:$AC$40)-SUMIFS('Final Calculation Sheet'!$AC$4:$AC$40,$AZ$5:$AZ$41,10),SUMIFS('Final Calculation Sheet'!$AC$4:$AC$40,$AZ$5:$AZ$41,$BH24))),""))</f>
        <v/>
      </c>
      <c r="AE21" t="str">
        <f>IF($BJ24&gt;0,IF(INDEX('Final Calculation Sheet'!$AD$4:$AD$40,$BJ24-3)="","",INDEX('Final Calculation Sheet'!$AD$4:$AD$40,$BJ24-3)),IF(OR($BI24=1,$BL24=1,$BH24&gt;0),IF($BI24=1,SUM('Final Calculation Sheet'!$AD$4:$AD$40),IF($BL24=1,SUM('Final Calculation Sheet'!$AD$4:$AD$40)-SUMIFS('Final Calculation Sheet'!$AD$4:$AD$40,$AZ$5:$AZ$41,10),SUMIFS('Final Calculation Sheet'!$AD$4:$AD$40,$AZ$5:$AZ$41,$BH24))),""))</f>
        <v/>
      </c>
      <c r="AF21" t="str">
        <f>IF($BJ24&gt;0,IF(INDEX('Final Calculation Sheet'!$AE$4:$AE$40,$BJ24-3)="","",INDEX('Final Calculation Sheet'!$AE$4:$AE$40,$BJ24-3)),IF(OR($BI24=1,$BL24=1,$BH24&gt;0),"–",""))</f>
        <v/>
      </c>
      <c r="AG21" t="str">
        <f>IF($BJ24&gt;0,IF(INDEX('Final Calculation Sheet'!$AF$4:$AF$40,$BJ24-3)="","",INDEX('Final Calculation Sheet'!$AF$4:$AF$40,$BJ24-3)),IF(OR($BI24=1,$BL24=1,$BH24&gt;0),"–",""))</f>
        <v/>
      </c>
      <c r="AH21" t="str">
        <f>IF($BJ24&gt;0,IF(INDEX('Final Calculation Sheet'!$AG$4:$AG$40,$BJ24-3)="","",INDEX('Final Calculation Sheet'!$AG$4:$AG$40,$BJ24-3)),IF(OR($BI24=1,$BL24=1,$BH24&gt;0),"–",""))</f>
        <v/>
      </c>
      <c r="AI21" t="str">
        <f>IF($BJ24&gt;0,IF(INDEX('Final Calculation Sheet'!$AD$4:$AD$40,$BJ24-3)="","",IF(INDEX('Final Calculation Sheet'!$AD$4:$AD$40,$BJ24-3)&lt;=5,"SETTLED","OUTSTANDING")),IF(OR($BI24=1,$BL24=1,$BH24&gt;0),IF(IF($BI24=1,SUM('Final Calculation Sheet'!$AD$4:$AD$40),IF($BL24=1,SUM('Final Calculation Sheet'!$AD$4:$AD$40)-SUMIFS('Final Calculation Sheet'!$AD$4:$AD$40,$AZ$5:$AZ$41,10),SUMIFS('Final Calculation Sheet'!$AD$4:$AD$40,$AZ$5:$AZ$41,$BH24)))&lt;=5,"ALL SETTLED","OUTSTANDING"),""))</f>
        <v/>
      </c>
    </row>
    <row r="22">
      <c r="A22" t="str">
        <f>IF($BJ25&gt;0,INDEX($BA$5:$BA$41,MATCH(25,$BB$5:$BB$41,0)),IF(OR($BI25=1,$BL25=1,$BH25&gt;0),"∑",""))</f>
        <v/>
      </c>
      <c r="B22" t="str">
        <f>IF($BJ25&gt;0,IF(INDEX('Final Calculation Sheet'!$F$4:$F$40,$BJ25-3)="","",INDEX('Final Calculation Sheet'!$F$4:$F$40,$BJ25-3)),"")</f>
        <v/>
      </c>
      <c r="C22" t="str">
        <f>IF($BJ25&gt;0,IF(INDEX('Final Calculation Sheet'!$G$4:$G$40,$BJ25-3)="","",INDEX('Final Calculation Sheet'!$G$4:$G$40,$BJ25-3)),IF(OR($BI25=1,$BL25=1,$BH25&gt;0),IF($BI25=1,37,IF($BL25=1,37-INDEX($BD$4:$BD$13,10),INDEX($BD$4:$BD$13,$BH25)))&amp;" lot(s)",""))</f>
        <v/>
      </c>
      <c r="D22" t="str">
        <f>IF($BJ25&gt;0,IF(INDEX('Final Calculation Sheet'!$B$4:$B$40,$BJ25-3)="","",INDEX('Final Calculation Sheet'!$B$4:$B$40,$BJ25-3)),IF(OR($BI25=1,$BL25=1,$BH25&gt;0),IF($BI25=1,"GRAND TOTAL  —  matching + remaining",IF($BL25=1,"TOTAL MATCHED  —  every group together",IF($BH25=10,"REMAINING  —  did not match the search",IF($BH25=9,IF(COUNTIF($A$4:$AI$4,"&lt;&gt;")&gt;0,"FILTERED LOTS  —  column fields","ALL LOTS  —  nothing typed in the box"),"GROUP "&amp;$BH25&amp;" TOTAL  —  lots matching  "&amp;INDEX($AR$6:$AY$6,$BH25))))),""))</f>
        <v/>
      </c>
      <c r="E22" t="str">
        <f>IF($BJ25&gt;0,IF(INDEX('Final Calculation Sheet'!$D$4:$D$40,$BJ25-3)="","",INDEX('Final Calculation Sheet'!$D$4:$D$40,$BJ25-3)),IF(OR($BI25=1,$BL25=1,$BH25&gt;0),"–",""))</f>
        <v/>
      </c>
      <c r="F22" t="str">
        <f>IF($BJ25&gt;0,IF(INDEX('Final Calculation Sheet'!$A$4:$A$40,$BJ25-3)="","",INDEX('Final Calculation Sheet'!$A$4:$A$40,$BJ25-3)),IF(OR($BI25=1,$BL25=1,$BH25&gt;0),IF($BI25=1,SUM('Final Calculation Sheet'!$A$4:$A$40),IF($BL25=1,SUM('Final Calculation Sheet'!$A$4:$A$40)-SUMIFS('Final Calculation Sheet'!$A$4:$A$40,$AZ$5:$AZ$41,10),SUMIFS('Final Calculation Sheet'!$A$4:$A$40,$AZ$5:$AZ$41,$BH25))),""))</f>
        <v/>
      </c>
      <c r="G22" t="str">
        <f>IF($BJ25&gt;0,IF(INDEX('Final Calculation Sheet'!$E$4:$E$40,$BJ25-3)="","",INDEX('Final Calculation Sheet'!$E$4:$E$40,$BJ25-3)),IF(OR($BI25=1,$BL25=1,$BH25&gt;0),"–",""))</f>
        <v/>
      </c>
      <c r="H22" t="str">
        <f>IF($BJ25&gt;0,IF(INDEX('Final Calculation Sheet'!$C$4:$C$40,$BJ25-3)="","",INDEX('Final Calculation Sheet'!$C$4:$C$40,$BJ25-3)),IF(OR($BI25=1,$BL25=1,$BH25&gt;0),"–",""))</f>
        <v/>
      </c>
      <c r="I22" t="str">
        <f>IF($BJ25&gt;0,IF(INDEX('Final Calculation Sheet'!$H$4:$H$40,$BJ25-3)="","",INDEX('Final Calculation Sheet'!$H$4:$H$40,$BJ25-3)),IF(OR($BI25=1,$BL25=1,$BH25&gt;0),IF($BI25=1,SUM('Final Calculation Sheet'!$H$4:$H$40),IF($BL25=1,SUM('Final Calculation Sheet'!$H$4:$H$40)-SUMIFS('Final Calculation Sheet'!$H$4:$H$40,$AZ$5:$AZ$41,10),SUMIFS('Final Calculation Sheet'!$H$4:$H$40,$AZ$5:$AZ$41,$BH25))),""))</f>
        <v/>
      </c>
      <c r="J22" t="str">
        <f>IF($BJ25&gt;0,IF(INDEX('Final Calculation Sheet'!$I$4:$I$40,$BJ25-3)="","",INDEX('Final Calculation Sheet'!$I$4:$I$40,$BJ25-3)),IF(OR($BI25=1,$BL25=1,$BH25&gt;0),IF($BI25=1,SUM('Final Calculation Sheet'!$I$4:$I$40),IF($BL25=1,SUM('Final Calculation Sheet'!$I$4:$I$40)-SUMIFS('Final Calculation Sheet'!$I$4:$I$40,$AZ$5:$AZ$41,10),SUMIFS('Final Calculation Sheet'!$I$4:$I$40,$AZ$5:$AZ$41,$BH25))),""))</f>
        <v/>
      </c>
      <c r="K22" t="str">
        <f>IF($BJ25&gt;0,IF(INDEX('Final Calculation Sheet'!$J$4:$J$40,$BJ25-3)="","",INDEX('Final Calculation Sheet'!$J$4:$J$40,$BJ25-3)),IF(OR($BI25=1,$BL25=1,$BH25&gt;0),IF($BI25=1,SUM('Final Calculation Sheet'!$J$4:$J$40),IF($BL25=1,SUM('Final Calculation Sheet'!$J$4:$J$40)-SUMIFS('Final Calculation Sheet'!$J$4:$J$40,$AZ$5:$AZ$41,10),SUMIFS('Final Calculation Sheet'!$J$4:$J$40,$AZ$5:$AZ$41,$BH25))),""))</f>
        <v/>
      </c>
      <c r="L22" t="str">
        <f>IF($BJ25&gt;0,IF(INDEX('Final Calculation Sheet'!$K$4:$K$40,$BJ25-3)="","",INDEX('Final Calculation Sheet'!$K$4:$K$40,$BJ25-3)),IF(OR($BI25=1,$BL25=1,$BH25&gt;0),IF($BI25=1,SUM('Final Calculation Sheet'!$K$4:$K$40),IF($BL25=1,SUM('Final Calculation Sheet'!$K$4:$K$40)-SUMIFS('Final Calculation Sheet'!$K$4:$K$40,$AZ$5:$AZ$41,10),SUMIFS('Final Calculation Sheet'!$K$4:$K$40,$AZ$5:$AZ$41,$BH25))),""))</f>
        <v/>
      </c>
      <c r="M22" t="str">
        <f>IF($BJ25&gt;0,IF(INDEX('Final Calculation Sheet'!$L$4:$L$40,$BJ25-3)="","",INDEX('Final Calculation Sheet'!$L$4:$L$40,$BJ25-3)),IF(OR($BI25=1,$BL25=1,$BH25&gt;0),IF($BI25=1,SUM('Final Calculation Sheet'!$L$4:$L$40),IF($BL25=1,SUM('Final Calculation Sheet'!$L$4:$L$40)-SUMIFS('Final Calculation Sheet'!$L$4:$L$40,$AZ$5:$AZ$41,10),SUMIFS('Final Calculation Sheet'!$L$4:$L$40,$AZ$5:$AZ$41,$BH25))),""))</f>
        <v/>
      </c>
      <c r="N22" t="str">
        <f>IF($BJ25&gt;0,IF(INDEX('Final Calculation Sheet'!$M$4:$M$40,$BJ25-3)="","",INDEX('Final Calculation Sheet'!$M$4:$M$40,$BJ25-3)),IF(OR($BI25=1,$BL25=1,$BH25&gt;0),IF($BI25=1,SUM('Final Calculation Sheet'!$M$4:$M$40),IF($BL25=1,SUM('Final Calculation Sheet'!$M$4:$M$40)-SUMIFS('Final Calculation Sheet'!$M$4:$M$40,$AZ$5:$AZ$41,10),SUMIFS('Final Calculation Sheet'!$M$4:$M$40,$AZ$5:$AZ$41,$BH25))),""))</f>
        <v/>
      </c>
      <c r="O22" t="str">
        <f>IF($BJ25&gt;0,IF(INDEX('Final Calculation Sheet'!$N$4:$N$40,$BJ25-3)="","",INDEX('Final Calculation Sheet'!$N$4:$N$40,$BJ25-3)),IF(OR($BI25=1,$BL25=1,$BH25&gt;0),IF($BI25=1,SUM('Final Calculation Sheet'!$N$4:$N$40),IF($BL25=1,SUM('Final Calculation Sheet'!$N$4:$N$40)-SUMIFS('Final Calculation Sheet'!$N$4:$N$40,$AZ$5:$AZ$41,10),SUMIFS('Final Calculation Sheet'!$N$4:$N$40,$AZ$5:$AZ$41,$BH25))),""))</f>
        <v/>
      </c>
      <c r="P22" t="str">
        <f>IF($BJ25&gt;0,IF(INDEX('Final Calculation Sheet'!$O$4:$O$40,$BJ25-3)="","",INDEX('Final Calculation Sheet'!$O$4:$O$40,$BJ25-3)),IF(OR($BI25=1,$BL25=1,$BH25&gt;0),IF($BI25=1,SUM('Final Calculation Sheet'!$O$4:$O$40),IF($BL25=1,SUM('Final Calculation Sheet'!$O$4:$O$40)-SUMIFS('Final Calculation Sheet'!$O$4:$O$40,$AZ$5:$AZ$41,10),SUMIFS('Final Calculation Sheet'!$O$4:$O$40,$AZ$5:$AZ$41,$BH25))),""))</f>
        <v/>
      </c>
      <c r="Q22" t="str">
        <f>IF($BJ25&gt;0,IF(INDEX('Final Calculation Sheet'!$P$4:$P$40,$BJ25-3)="","",INDEX('Final Calculation Sheet'!$P$4:$P$40,$BJ25-3)),IF(OR($BI25=1,$BL25=1,$BH25&gt;0),IF($BI25=1,SUM('Final Calculation Sheet'!$P$4:$P$40),IF($BL25=1,SUM('Final Calculation Sheet'!$P$4:$P$40)-SUMIFS('Final Calculation Sheet'!$P$4:$P$40,$AZ$5:$AZ$41,10),SUMIFS('Final Calculation Sheet'!$P$4:$P$40,$AZ$5:$AZ$41,$BH25))),""))</f>
        <v/>
      </c>
      <c r="R22" t="str">
        <f>IF($BJ25&gt;0,IF(INDEX('Final Calculation Sheet'!$Q$4:$Q$40,$BJ25-3)="","",INDEX('Final Calculation Sheet'!$Q$4:$Q$40,$BJ25-3)),IF(OR($BI25=1,$BL25=1,$BH25&gt;0),"–",""))</f>
        <v/>
      </c>
      <c r="S22" t="str">
        <f>IF($BJ25&gt;0,IF(INDEX('Final Calculation Sheet'!$R$4:$R$40,$BJ25-3)="","",INDEX('Final Calculation Sheet'!$R$4:$R$40,$BJ25-3)),IF(OR($BI25=1,$BL25=1,$BH25&gt;0),IF($BI25=1,SUM('Final Calculation Sheet'!$R$4:$R$40),IF($BL25=1,SUM('Final Calculation Sheet'!$R$4:$R$40)-SUMIFS('Final Calculation Sheet'!$R$4:$R$40,$AZ$5:$AZ$41,10),SUMIFS('Final Calculation Sheet'!$R$4:$R$40,$AZ$5:$AZ$41,$BH25))),""))</f>
        <v/>
      </c>
      <c r="T22" t="str">
        <f>IF($BJ25&gt;0,IF(INDEX('Final Calculation Sheet'!$S$4:$S$40,$BJ25-3)="","",INDEX('Final Calculation Sheet'!$S$4:$S$40,$BJ25-3)),IF(OR($BI25=1,$BL25=1,$BH25&gt;0),IF($BI25=1,SUM('Final Calculation Sheet'!$S$4:$S$40),IF($BL25=1,SUM('Final Calculation Sheet'!$S$4:$S$40)-SUMIFS('Final Calculation Sheet'!$S$4:$S$40,$AZ$5:$AZ$41,10),SUMIFS('Final Calculation Sheet'!$S$4:$S$40,$AZ$5:$AZ$41,$BH25))),""))</f>
        <v/>
      </c>
      <c r="U22" t="str">
        <f>IF($BJ25&gt;0,IF(INDEX('Final Calculation Sheet'!$T$4:$T$40,$BJ25-3)="","",INDEX('Final Calculation Sheet'!$T$4:$T$40,$BJ25-3)),IF(OR($BI25=1,$BL25=1,$BH25&gt;0),IF($BI25=1,SUM('Final Calculation Sheet'!$T$4:$T$40),IF($BL25=1,SUM('Final Calculation Sheet'!$T$4:$T$40)-SUMIFS('Final Calculation Sheet'!$T$4:$T$40,$AZ$5:$AZ$41,10),SUMIFS('Final Calculation Sheet'!$T$4:$T$40,$AZ$5:$AZ$41,$BH25))),""))</f>
        <v/>
      </c>
      <c r="V22" t="str">
        <f>IF($BJ25&gt;0,IF(INDEX('Final Calculation Sheet'!$U$4:$U$40,$BJ25-3)="","",INDEX('Final Calculation Sheet'!$U$4:$U$40,$BJ25-3)),IF(OR($BI25=1,$BL25=1,$BH25&gt;0),IF($BI25=1,SUM('Final Calculation Sheet'!$U$4:$U$40),IF($BL25=1,SUM('Final Calculation Sheet'!$U$4:$U$40)-SUMIFS('Final Calculation Sheet'!$U$4:$U$40,$AZ$5:$AZ$41,10),SUMIFS('Final Calculation Sheet'!$U$4:$U$40,$AZ$5:$AZ$41,$BH25))),""))</f>
        <v/>
      </c>
      <c r="W22" t="str">
        <f>IF($BJ25&gt;0,IF(INDEX('Final Calculation Sheet'!$V$4:$V$40,$BJ25-3)="","",INDEX('Final Calculation Sheet'!$V$4:$V$40,$BJ25-3)),IF(OR($BI25=1,$BL25=1,$BH25&gt;0),"–",""))</f>
        <v/>
      </c>
      <c r="X22" t="str">
        <f>IF($BJ25&gt;0,IF(INDEX('Final Calculation Sheet'!$W$4:$W$40,$BJ25-3)="","",INDEX('Final Calculation Sheet'!$W$4:$W$40,$BJ25-3)),IF(OR($BI25=1,$BL25=1,$BH25&gt;0),IF($BI25=1,SUM('Final Calculation Sheet'!$W$4:$W$40),IF($BL25=1,SUM('Final Calculation Sheet'!$W$4:$W$40)-SUMIFS('Final Calculation Sheet'!$W$4:$W$40,$AZ$5:$AZ$41,10),SUMIFS('Final Calculation Sheet'!$W$4:$W$40,$AZ$5:$AZ$41,$BH25))),""))</f>
        <v/>
      </c>
      <c r="Y22" t="str">
        <f>IF($BJ25&gt;0,IF(INDEX('Final Calculation Sheet'!$X$4:$X$40,$BJ25-3)="","",INDEX('Final Calculation Sheet'!$X$4:$X$40,$BJ25-3)),IF(OR($BI25=1,$BL25=1,$BH25&gt;0),IF($BI25=1,SUM('Final Calculation Sheet'!$X$4:$X$40),IF($BL25=1,SUM('Final Calculation Sheet'!$X$4:$X$40)-SUMIFS('Final Calculation Sheet'!$X$4:$X$40,$AZ$5:$AZ$41,10),SUMIFS('Final Calculation Sheet'!$X$4:$X$40,$AZ$5:$AZ$41,$BH25))),""))</f>
        <v/>
      </c>
      <c r="Z22" t="str">
        <f>IF($BJ25&gt;0,IF(INDEX('Final Calculation Sheet'!$Y$4:$Y$40,$BJ25-3)="","",INDEX('Final Calculation Sheet'!$Y$4:$Y$40,$BJ25-3)),IF(OR($BI25=1,$BL25=1,$BH25&gt;0),"–",""))</f>
        <v/>
      </c>
      <c r="AA22" t="str">
        <f>IF($BJ25&gt;0,IF(INDEX('Final Calculation Sheet'!$Z$4:$Z$40,$BJ25-3)="","",INDEX('Final Calculation Sheet'!$Z$4:$Z$40,$BJ25-3)),IF(OR($BI25=1,$BL25=1,$BH25&gt;0),IF($BI25=1,SUM('Final Calculation Sheet'!$Z$4:$Z$40),IF($BL25=1,SUM('Final Calculation Sheet'!$Z$4:$Z$40)-SUMIFS('Final Calculation Sheet'!$Z$4:$Z$40,$AZ$5:$AZ$41,10),SUMIFS('Final Calculation Sheet'!$Z$4:$Z$40,$AZ$5:$AZ$41,$BH25))),""))</f>
        <v/>
      </c>
      <c r="AB22" t="str">
        <f>IF($BJ25&gt;0,IF(INDEX('Final Calculation Sheet'!$AA$4:$AA$40,$BJ25-3)="","",INDEX('Final Calculation Sheet'!$AA$4:$AA$40,$BJ25-3)),IF(OR($BI25=1,$BL25=1,$BH25&gt;0),IF($BI25=1,SUM('Final Calculation Sheet'!$AA$4:$AA$40),IF($BL25=1,SUM('Final Calculation Sheet'!$AA$4:$AA$40)-SUMIFS('Final Calculation Sheet'!$AA$4:$AA$40,$AZ$5:$AZ$41,10),SUMIFS('Final Calculation Sheet'!$AA$4:$AA$40,$AZ$5:$AZ$41,$BH25))),""))</f>
        <v/>
      </c>
      <c r="AC22" t="str">
        <f>IF($BJ25&gt;0,IF(INDEX('Final Calculation Sheet'!$AB$4:$AB$40,$BJ25-3)="","",INDEX('Final Calculation Sheet'!$AB$4:$AB$40,$BJ25-3)),IF(OR($BI25=1,$BL25=1,$BH25&gt;0),"–",""))</f>
        <v/>
      </c>
      <c r="AD22" t="str">
        <f>IF($BJ25&gt;0,IF(INDEX('Final Calculation Sheet'!$AC$4:$AC$40,$BJ25-3)="","",INDEX('Final Calculation Sheet'!$AC$4:$AC$40,$BJ25-3)),IF(OR($BI25=1,$BL25=1,$BH25&gt;0),IF($BI25=1,SUM('Final Calculation Sheet'!$AC$4:$AC$40),IF($BL25=1,SUM('Final Calculation Sheet'!$AC$4:$AC$40)-SUMIFS('Final Calculation Sheet'!$AC$4:$AC$40,$AZ$5:$AZ$41,10),SUMIFS('Final Calculation Sheet'!$AC$4:$AC$40,$AZ$5:$AZ$41,$BH25))),""))</f>
        <v/>
      </c>
      <c r="AE22" t="str">
        <f>IF($BJ25&gt;0,IF(INDEX('Final Calculation Sheet'!$AD$4:$AD$40,$BJ25-3)="","",INDEX('Final Calculation Sheet'!$AD$4:$AD$40,$BJ25-3)),IF(OR($BI25=1,$BL25=1,$BH25&gt;0),IF($BI25=1,SUM('Final Calculation Sheet'!$AD$4:$AD$40),IF($BL25=1,SUM('Final Calculation Sheet'!$AD$4:$AD$40)-SUMIFS('Final Calculation Sheet'!$AD$4:$AD$40,$AZ$5:$AZ$41,10),SUMIFS('Final Calculation Sheet'!$AD$4:$AD$40,$AZ$5:$AZ$41,$BH25))),""))</f>
        <v/>
      </c>
      <c r="AF22" t="str">
        <f>IF($BJ25&gt;0,IF(INDEX('Final Calculation Sheet'!$AE$4:$AE$40,$BJ25-3)="","",INDEX('Final Calculation Sheet'!$AE$4:$AE$40,$BJ25-3)),IF(OR($BI25=1,$BL25=1,$BH25&gt;0),"–",""))</f>
        <v/>
      </c>
      <c r="AG22" t="str">
        <f>IF($BJ25&gt;0,IF(INDEX('Final Calculation Sheet'!$AF$4:$AF$40,$BJ25-3)="","",INDEX('Final Calculation Sheet'!$AF$4:$AF$40,$BJ25-3)),IF(OR($BI25=1,$BL25=1,$BH25&gt;0),"–",""))</f>
        <v/>
      </c>
      <c r="AH22" t="str">
        <f>IF($BJ25&gt;0,IF(INDEX('Final Calculation Sheet'!$AG$4:$AG$40,$BJ25-3)="","",INDEX('Final Calculation Sheet'!$AG$4:$AG$40,$BJ25-3)),IF(OR($BI25=1,$BL25=1,$BH25&gt;0),"–",""))</f>
        <v/>
      </c>
      <c r="AI22" t="str">
        <f>IF($BJ25&gt;0,IF(INDEX('Final Calculation Sheet'!$AD$4:$AD$40,$BJ25-3)="","",IF(INDEX('Final Calculation Sheet'!$AD$4:$AD$40,$BJ25-3)&lt;=5,"SETTLED","OUTSTANDING")),IF(OR($BI25=1,$BL25=1,$BH25&gt;0),IF(IF($BI25=1,SUM('Final Calculation Sheet'!$AD$4:$AD$40),IF($BL25=1,SUM('Final Calculation Sheet'!$AD$4:$AD$40)-SUMIFS('Final Calculation Sheet'!$AD$4:$AD$40,$AZ$5:$AZ$41,10),SUMIFS('Final Calculation Sheet'!$AD$4:$AD$40,$AZ$5:$AZ$41,$BH25)))&lt;=5,"ALL SETTLED","OUTSTANDING"),""))</f>
        <v/>
      </c>
    </row>
    <row r="23">
      <c r="A23" t="str">
        <f>IF($BJ26&gt;0,INDEX($BA$5:$BA$41,MATCH(26,$BB$5:$BB$41,0)),IF(OR($BI26=1,$BL26=1,$BH26&gt;0),"∑",""))</f>
        <v/>
      </c>
      <c r="B23" t="str">
        <f>IF($BJ26&gt;0,IF(INDEX('Final Calculation Sheet'!$F$4:$F$40,$BJ26-3)="","",INDEX('Final Calculation Sheet'!$F$4:$F$40,$BJ26-3)),"")</f>
        <v/>
      </c>
      <c r="C23" t="str">
        <f>IF($BJ26&gt;0,IF(INDEX('Final Calculation Sheet'!$G$4:$G$40,$BJ26-3)="","",INDEX('Final Calculation Sheet'!$G$4:$G$40,$BJ26-3)),IF(OR($BI26=1,$BL26=1,$BH26&gt;0),IF($BI26=1,37,IF($BL26=1,37-INDEX($BD$4:$BD$13,10),INDEX($BD$4:$BD$13,$BH26)))&amp;" lot(s)",""))</f>
        <v/>
      </c>
      <c r="D23" t="str">
        <f>IF($BJ26&gt;0,IF(INDEX('Final Calculation Sheet'!$B$4:$B$40,$BJ26-3)="","",INDEX('Final Calculation Sheet'!$B$4:$B$40,$BJ26-3)),IF(OR($BI26=1,$BL26=1,$BH26&gt;0),IF($BI26=1,"GRAND TOTAL  —  matching + remaining",IF($BL26=1,"TOTAL MATCHED  —  every group together",IF($BH26=10,"REMAINING  —  did not match the search",IF($BH26=9,IF(COUNTIF($A$4:$AI$4,"&lt;&gt;")&gt;0,"FILTERED LOTS  —  column fields","ALL LOTS  —  nothing typed in the box"),"GROUP "&amp;$BH26&amp;" TOTAL  —  lots matching  "&amp;INDEX($AR$6:$AY$6,$BH26))))),""))</f>
        <v/>
      </c>
      <c r="E23" t="str">
        <f>IF($BJ26&gt;0,IF(INDEX('Final Calculation Sheet'!$D$4:$D$40,$BJ26-3)="","",INDEX('Final Calculation Sheet'!$D$4:$D$40,$BJ26-3)),IF(OR($BI26=1,$BL26=1,$BH26&gt;0),"–",""))</f>
        <v/>
      </c>
      <c r="F23" t="str">
        <f>IF($BJ26&gt;0,IF(INDEX('Final Calculation Sheet'!$A$4:$A$40,$BJ26-3)="","",INDEX('Final Calculation Sheet'!$A$4:$A$40,$BJ26-3)),IF(OR($BI26=1,$BL26=1,$BH26&gt;0),IF($BI26=1,SUM('Final Calculation Sheet'!$A$4:$A$40),IF($BL26=1,SUM('Final Calculation Sheet'!$A$4:$A$40)-SUMIFS('Final Calculation Sheet'!$A$4:$A$40,$AZ$5:$AZ$41,10),SUMIFS('Final Calculation Sheet'!$A$4:$A$40,$AZ$5:$AZ$41,$BH26))),""))</f>
        <v/>
      </c>
      <c r="G23" t="str">
        <f>IF($BJ26&gt;0,IF(INDEX('Final Calculation Sheet'!$E$4:$E$40,$BJ26-3)="","",INDEX('Final Calculation Sheet'!$E$4:$E$40,$BJ26-3)),IF(OR($BI26=1,$BL26=1,$BH26&gt;0),"–",""))</f>
        <v/>
      </c>
      <c r="H23" t="str">
        <f>IF($BJ26&gt;0,IF(INDEX('Final Calculation Sheet'!$C$4:$C$40,$BJ26-3)="","",INDEX('Final Calculation Sheet'!$C$4:$C$40,$BJ26-3)),IF(OR($BI26=1,$BL26=1,$BH26&gt;0),"–",""))</f>
        <v/>
      </c>
      <c r="I23" t="str">
        <f>IF($BJ26&gt;0,IF(INDEX('Final Calculation Sheet'!$H$4:$H$40,$BJ26-3)="","",INDEX('Final Calculation Sheet'!$H$4:$H$40,$BJ26-3)),IF(OR($BI26=1,$BL26=1,$BH26&gt;0),IF($BI26=1,SUM('Final Calculation Sheet'!$H$4:$H$40),IF($BL26=1,SUM('Final Calculation Sheet'!$H$4:$H$40)-SUMIFS('Final Calculation Sheet'!$H$4:$H$40,$AZ$5:$AZ$41,10),SUMIFS('Final Calculation Sheet'!$H$4:$H$40,$AZ$5:$AZ$41,$BH26))),""))</f>
        <v/>
      </c>
      <c r="J23" t="str">
        <f>IF($BJ26&gt;0,IF(INDEX('Final Calculation Sheet'!$I$4:$I$40,$BJ26-3)="","",INDEX('Final Calculation Sheet'!$I$4:$I$40,$BJ26-3)),IF(OR($BI26=1,$BL26=1,$BH26&gt;0),IF($BI26=1,SUM('Final Calculation Sheet'!$I$4:$I$40),IF($BL26=1,SUM('Final Calculation Sheet'!$I$4:$I$40)-SUMIFS('Final Calculation Sheet'!$I$4:$I$40,$AZ$5:$AZ$41,10),SUMIFS('Final Calculation Sheet'!$I$4:$I$40,$AZ$5:$AZ$41,$BH26))),""))</f>
        <v/>
      </c>
      <c r="K23" t="str">
        <f>IF($BJ26&gt;0,IF(INDEX('Final Calculation Sheet'!$J$4:$J$40,$BJ26-3)="","",INDEX('Final Calculation Sheet'!$J$4:$J$40,$BJ26-3)),IF(OR($BI26=1,$BL26=1,$BH26&gt;0),IF($BI26=1,SUM('Final Calculation Sheet'!$J$4:$J$40),IF($BL26=1,SUM('Final Calculation Sheet'!$J$4:$J$40)-SUMIFS('Final Calculation Sheet'!$J$4:$J$40,$AZ$5:$AZ$41,10),SUMIFS('Final Calculation Sheet'!$J$4:$J$40,$AZ$5:$AZ$41,$BH26))),""))</f>
        <v/>
      </c>
      <c r="L23" t="str">
        <f>IF($BJ26&gt;0,IF(INDEX('Final Calculation Sheet'!$K$4:$K$40,$BJ26-3)="","",INDEX('Final Calculation Sheet'!$K$4:$K$40,$BJ26-3)),IF(OR($BI26=1,$BL26=1,$BH26&gt;0),IF($BI26=1,SUM('Final Calculation Sheet'!$K$4:$K$40),IF($BL26=1,SUM('Final Calculation Sheet'!$K$4:$K$40)-SUMIFS('Final Calculation Sheet'!$K$4:$K$40,$AZ$5:$AZ$41,10),SUMIFS('Final Calculation Sheet'!$K$4:$K$40,$AZ$5:$AZ$41,$BH26))),""))</f>
        <v/>
      </c>
      <c r="M23" t="str">
        <f>IF($BJ26&gt;0,IF(INDEX('Final Calculation Sheet'!$L$4:$L$40,$BJ26-3)="","",INDEX('Final Calculation Sheet'!$L$4:$L$40,$BJ26-3)),IF(OR($BI26=1,$BL26=1,$BH26&gt;0),IF($BI26=1,SUM('Final Calculation Sheet'!$L$4:$L$40),IF($BL26=1,SUM('Final Calculation Sheet'!$L$4:$L$40)-SUMIFS('Final Calculation Sheet'!$L$4:$L$40,$AZ$5:$AZ$41,10),SUMIFS('Final Calculation Sheet'!$L$4:$L$40,$AZ$5:$AZ$41,$BH26))),""))</f>
        <v/>
      </c>
      <c r="N23" t="str">
        <f>IF($BJ26&gt;0,IF(INDEX('Final Calculation Sheet'!$M$4:$M$40,$BJ26-3)="","",INDEX('Final Calculation Sheet'!$M$4:$M$40,$BJ26-3)),IF(OR($BI26=1,$BL26=1,$BH26&gt;0),IF($BI26=1,SUM('Final Calculation Sheet'!$M$4:$M$40),IF($BL26=1,SUM('Final Calculation Sheet'!$M$4:$M$40)-SUMIFS('Final Calculation Sheet'!$M$4:$M$40,$AZ$5:$AZ$41,10),SUMIFS('Final Calculation Sheet'!$M$4:$M$40,$AZ$5:$AZ$41,$BH26))),""))</f>
        <v/>
      </c>
      <c r="O23" t="str">
        <f>IF($BJ26&gt;0,IF(INDEX('Final Calculation Sheet'!$N$4:$N$40,$BJ26-3)="","",INDEX('Final Calculation Sheet'!$N$4:$N$40,$BJ26-3)),IF(OR($BI26=1,$BL26=1,$BH26&gt;0),IF($BI26=1,SUM('Final Calculation Sheet'!$N$4:$N$40),IF($BL26=1,SUM('Final Calculation Sheet'!$N$4:$N$40)-SUMIFS('Final Calculation Sheet'!$N$4:$N$40,$AZ$5:$AZ$41,10),SUMIFS('Final Calculation Sheet'!$N$4:$N$40,$AZ$5:$AZ$41,$BH26))),""))</f>
        <v/>
      </c>
      <c r="P23" t="str">
        <f>IF($BJ26&gt;0,IF(INDEX('Final Calculation Sheet'!$O$4:$O$40,$BJ26-3)="","",INDEX('Final Calculation Sheet'!$O$4:$O$40,$BJ26-3)),IF(OR($BI26=1,$BL26=1,$BH26&gt;0),IF($BI26=1,SUM('Final Calculation Sheet'!$O$4:$O$40),IF($BL26=1,SUM('Final Calculation Sheet'!$O$4:$O$40)-SUMIFS('Final Calculation Sheet'!$O$4:$O$40,$AZ$5:$AZ$41,10),SUMIFS('Final Calculation Sheet'!$O$4:$O$40,$AZ$5:$AZ$41,$BH26))),""))</f>
        <v/>
      </c>
      <c r="Q23" t="str">
        <f>IF($BJ26&gt;0,IF(INDEX('Final Calculation Sheet'!$P$4:$P$40,$BJ26-3)="","",INDEX('Final Calculation Sheet'!$P$4:$P$40,$BJ26-3)),IF(OR($BI26=1,$BL26=1,$BH26&gt;0),IF($BI26=1,SUM('Final Calculation Sheet'!$P$4:$P$40),IF($BL26=1,SUM('Final Calculation Sheet'!$P$4:$P$40)-SUMIFS('Final Calculation Sheet'!$P$4:$P$40,$AZ$5:$AZ$41,10),SUMIFS('Final Calculation Sheet'!$P$4:$P$40,$AZ$5:$AZ$41,$BH26))),""))</f>
        <v/>
      </c>
      <c r="R23" t="str">
        <f>IF($BJ26&gt;0,IF(INDEX('Final Calculation Sheet'!$Q$4:$Q$40,$BJ26-3)="","",INDEX('Final Calculation Sheet'!$Q$4:$Q$40,$BJ26-3)),IF(OR($BI26=1,$BL26=1,$BH26&gt;0),"–",""))</f>
        <v/>
      </c>
      <c r="S23" t="str">
        <f>IF($BJ26&gt;0,IF(INDEX('Final Calculation Sheet'!$R$4:$R$40,$BJ26-3)="","",INDEX('Final Calculation Sheet'!$R$4:$R$40,$BJ26-3)),IF(OR($BI26=1,$BL26=1,$BH26&gt;0),IF($BI26=1,SUM('Final Calculation Sheet'!$R$4:$R$40),IF($BL26=1,SUM('Final Calculation Sheet'!$R$4:$R$40)-SUMIFS('Final Calculation Sheet'!$R$4:$R$40,$AZ$5:$AZ$41,10),SUMIFS('Final Calculation Sheet'!$R$4:$R$40,$AZ$5:$AZ$41,$BH26))),""))</f>
        <v/>
      </c>
      <c r="T23" t="str">
        <f>IF($BJ26&gt;0,IF(INDEX('Final Calculation Sheet'!$S$4:$S$40,$BJ26-3)="","",INDEX('Final Calculation Sheet'!$S$4:$S$40,$BJ26-3)),IF(OR($BI26=1,$BL26=1,$BH26&gt;0),IF($BI26=1,SUM('Final Calculation Sheet'!$S$4:$S$40),IF($BL26=1,SUM('Final Calculation Sheet'!$S$4:$S$40)-SUMIFS('Final Calculation Sheet'!$S$4:$S$40,$AZ$5:$AZ$41,10),SUMIFS('Final Calculation Sheet'!$S$4:$S$40,$AZ$5:$AZ$41,$BH26))),""))</f>
        <v/>
      </c>
      <c r="U23" t="str">
        <f>IF($BJ26&gt;0,IF(INDEX('Final Calculation Sheet'!$T$4:$T$40,$BJ26-3)="","",INDEX('Final Calculation Sheet'!$T$4:$T$40,$BJ26-3)),IF(OR($BI26=1,$BL26=1,$BH26&gt;0),IF($BI26=1,SUM('Final Calculation Sheet'!$T$4:$T$40),IF($BL26=1,SUM('Final Calculation Sheet'!$T$4:$T$40)-SUMIFS('Final Calculation Sheet'!$T$4:$T$40,$AZ$5:$AZ$41,10),SUMIFS('Final Calculation Sheet'!$T$4:$T$40,$AZ$5:$AZ$41,$BH26))),""))</f>
        <v/>
      </c>
      <c r="V23" t="str">
        <f>IF($BJ26&gt;0,IF(INDEX('Final Calculation Sheet'!$U$4:$U$40,$BJ26-3)="","",INDEX('Final Calculation Sheet'!$U$4:$U$40,$BJ26-3)),IF(OR($BI26=1,$BL26=1,$BH26&gt;0),IF($BI26=1,SUM('Final Calculation Sheet'!$U$4:$U$40),IF($BL26=1,SUM('Final Calculation Sheet'!$U$4:$U$40)-SUMIFS('Final Calculation Sheet'!$U$4:$U$40,$AZ$5:$AZ$41,10),SUMIFS('Final Calculation Sheet'!$U$4:$U$40,$AZ$5:$AZ$41,$BH26))),""))</f>
        <v/>
      </c>
      <c r="W23" t="str">
        <f>IF($BJ26&gt;0,IF(INDEX('Final Calculation Sheet'!$V$4:$V$40,$BJ26-3)="","",INDEX('Final Calculation Sheet'!$V$4:$V$40,$BJ26-3)),IF(OR($BI26=1,$BL26=1,$BH26&gt;0),"–",""))</f>
        <v/>
      </c>
      <c r="X23" t="str">
        <f>IF($BJ26&gt;0,IF(INDEX('Final Calculation Sheet'!$W$4:$W$40,$BJ26-3)="","",INDEX('Final Calculation Sheet'!$W$4:$W$40,$BJ26-3)),IF(OR($BI26=1,$BL26=1,$BH26&gt;0),IF($BI26=1,SUM('Final Calculation Sheet'!$W$4:$W$40),IF($BL26=1,SUM('Final Calculation Sheet'!$W$4:$W$40)-SUMIFS('Final Calculation Sheet'!$W$4:$W$40,$AZ$5:$AZ$41,10),SUMIFS('Final Calculation Sheet'!$W$4:$W$40,$AZ$5:$AZ$41,$BH26))),""))</f>
        <v/>
      </c>
      <c r="Y23" t="str">
        <f>IF($BJ26&gt;0,IF(INDEX('Final Calculation Sheet'!$X$4:$X$40,$BJ26-3)="","",INDEX('Final Calculation Sheet'!$X$4:$X$40,$BJ26-3)),IF(OR($BI26=1,$BL26=1,$BH26&gt;0),IF($BI26=1,SUM('Final Calculation Sheet'!$X$4:$X$40),IF($BL26=1,SUM('Final Calculation Sheet'!$X$4:$X$40)-SUMIFS('Final Calculation Sheet'!$X$4:$X$40,$AZ$5:$AZ$41,10),SUMIFS('Final Calculation Sheet'!$X$4:$X$40,$AZ$5:$AZ$41,$BH26))),""))</f>
        <v/>
      </c>
      <c r="Z23" t="str">
        <f>IF($BJ26&gt;0,IF(INDEX('Final Calculation Sheet'!$Y$4:$Y$40,$BJ26-3)="","",INDEX('Final Calculation Sheet'!$Y$4:$Y$40,$BJ26-3)),IF(OR($BI26=1,$BL26=1,$BH26&gt;0),"–",""))</f>
        <v/>
      </c>
      <c r="AA23" t="str">
        <f>IF($BJ26&gt;0,IF(INDEX('Final Calculation Sheet'!$Z$4:$Z$40,$BJ26-3)="","",INDEX('Final Calculation Sheet'!$Z$4:$Z$40,$BJ26-3)),IF(OR($BI26=1,$BL26=1,$BH26&gt;0),IF($BI26=1,SUM('Final Calculation Sheet'!$Z$4:$Z$40),IF($BL26=1,SUM('Final Calculation Sheet'!$Z$4:$Z$40)-SUMIFS('Final Calculation Sheet'!$Z$4:$Z$40,$AZ$5:$AZ$41,10),SUMIFS('Final Calculation Sheet'!$Z$4:$Z$40,$AZ$5:$AZ$41,$BH26))),""))</f>
        <v/>
      </c>
      <c r="AB23" t="str">
        <f>IF($BJ26&gt;0,IF(INDEX('Final Calculation Sheet'!$AA$4:$AA$40,$BJ26-3)="","",INDEX('Final Calculation Sheet'!$AA$4:$AA$40,$BJ26-3)),IF(OR($BI26=1,$BL26=1,$BH26&gt;0),IF($BI26=1,SUM('Final Calculation Sheet'!$AA$4:$AA$40),IF($BL26=1,SUM('Final Calculation Sheet'!$AA$4:$AA$40)-SUMIFS('Final Calculation Sheet'!$AA$4:$AA$40,$AZ$5:$AZ$41,10),SUMIFS('Final Calculation Sheet'!$AA$4:$AA$40,$AZ$5:$AZ$41,$BH26))),""))</f>
        <v/>
      </c>
      <c r="AC23" t="str">
        <f>IF($BJ26&gt;0,IF(INDEX('Final Calculation Sheet'!$AB$4:$AB$40,$BJ26-3)="","",INDEX('Final Calculation Sheet'!$AB$4:$AB$40,$BJ26-3)),IF(OR($BI26=1,$BL26=1,$BH26&gt;0),"–",""))</f>
        <v/>
      </c>
      <c r="AD23" t="str">
        <f>IF($BJ26&gt;0,IF(INDEX('Final Calculation Sheet'!$AC$4:$AC$40,$BJ26-3)="","",INDEX('Final Calculation Sheet'!$AC$4:$AC$40,$BJ26-3)),IF(OR($BI26=1,$BL26=1,$BH26&gt;0),IF($BI26=1,SUM('Final Calculation Sheet'!$AC$4:$AC$40),IF($BL26=1,SUM('Final Calculation Sheet'!$AC$4:$AC$40)-SUMIFS('Final Calculation Sheet'!$AC$4:$AC$40,$AZ$5:$AZ$41,10),SUMIFS('Final Calculation Sheet'!$AC$4:$AC$40,$AZ$5:$AZ$41,$BH26))),""))</f>
        <v/>
      </c>
      <c r="AE23" t="str">
        <f>IF($BJ26&gt;0,IF(INDEX('Final Calculation Sheet'!$AD$4:$AD$40,$BJ26-3)="","",INDEX('Final Calculation Sheet'!$AD$4:$AD$40,$BJ26-3)),IF(OR($BI26=1,$BL26=1,$BH26&gt;0),IF($BI26=1,SUM('Final Calculation Sheet'!$AD$4:$AD$40),IF($BL26=1,SUM('Final Calculation Sheet'!$AD$4:$AD$40)-SUMIFS('Final Calculation Sheet'!$AD$4:$AD$40,$AZ$5:$AZ$41,10),SUMIFS('Final Calculation Sheet'!$AD$4:$AD$40,$AZ$5:$AZ$41,$BH26))),""))</f>
        <v/>
      </c>
      <c r="AF23" t="str">
        <f>IF($BJ26&gt;0,IF(INDEX('Final Calculation Sheet'!$AE$4:$AE$40,$BJ26-3)="","",INDEX('Final Calculation Sheet'!$AE$4:$AE$40,$BJ26-3)),IF(OR($BI26=1,$BL26=1,$BH26&gt;0),"–",""))</f>
        <v/>
      </c>
      <c r="AG23" t="str">
        <f>IF($BJ26&gt;0,IF(INDEX('Final Calculation Sheet'!$AF$4:$AF$40,$BJ26-3)="","",INDEX('Final Calculation Sheet'!$AF$4:$AF$40,$BJ26-3)),IF(OR($BI26=1,$BL26=1,$BH26&gt;0),"–",""))</f>
        <v/>
      </c>
      <c r="AH23" t="str">
        <f>IF($BJ26&gt;0,IF(INDEX('Final Calculation Sheet'!$AG$4:$AG$40,$BJ26-3)="","",INDEX('Final Calculation Sheet'!$AG$4:$AG$40,$BJ26-3)),IF(OR($BI26=1,$BL26=1,$BH26&gt;0),"–",""))</f>
        <v/>
      </c>
      <c r="AI23" t="str">
        <f>IF($BJ26&gt;0,IF(INDEX('Final Calculation Sheet'!$AD$4:$AD$40,$BJ26-3)="","",IF(INDEX('Final Calculation Sheet'!$AD$4:$AD$40,$BJ26-3)&lt;=5,"SETTLED","OUTSTANDING")),IF(OR($BI26=1,$BL26=1,$BH26&gt;0),IF(IF($BI26=1,SUM('Final Calculation Sheet'!$AD$4:$AD$40),IF($BL26=1,SUM('Final Calculation Sheet'!$AD$4:$AD$40)-SUMIFS('Final Calculation Sheet'!$AD$4:$AD$40,$AZ$5:$AZ$41,10),SUMIFS('Final Calculation Sheet'!$AD$4:$AD$40,$AZ$5:$AZ$41,$BH26)))&lt;=5,"ALL SETTLED","OUTSTANDING"),""))</f>
        <v/>
      </c>
    </row>
    <row r="24">
      <c r="A24" t="str">
        <f>IF($BJ27&gt;0,INDEX($BA$5:$BA$41,MATCH(27,$BB$5:$BB$41,0)),IF(OR($BI27=1,$BL27=1,$BH27&gt;0),"∑",""))</f>
        <v/>
      </c>
      <c r="B24" t="str">
        <f>IF($BJ27&gt;0,IF(INDEX('Final Calculation Sheet'!$F$4:$F$40,$BJ27-3)="","",INDEX('Final Calculation Sheet'!$F$4:$F$40,$BJ27-3)),"")</f>
        <v/>
      </c>
      <c r="C24" t="str">
        <f>IF($BJ27&gt;0,IF(INDEX('Final Calculation Sheet'!$G$4:$G$40,$BJ27-3)="","",INDEX('Final Calculation Sheet'!$G$4:$G$40,$BJ27-3)),IF(OR($BI27=1,$BL27=1,$BH27&gt;0),IF($BI27=1,37,IF($BL27=1,37-INDEX($BD$4:$BD$13,10),INDEX($BD$4:$BD$13,$BH27)))&amp;" lot(s)",""))</f>
        <v/>
      </c>
      <c r="D24" t="str">
        <f>IF($BJ27&gt;0,IF(INDEX('Final Calculation Sheet'!$B$4:$B$40,$BJ27-3)="","",INDEX('Final Calculation Sheet'!$B$4:$B$40,$BJ27-3)),IF(OR($BI27=1,$BL27=1,$BH27&gt;0),IF($BI27=1,"GRAND TOTAL  —  matching + remaining",IF($BL27=1,"TOTAL MATCHED  —  every group together",IF($BH27=10,"REMAINING  —  did not match the search",IF($BH27=9,IF(COUNTIF($A$4:$AI$4,"&lt;&gt;")&gt;0,"FILTERED LOTS  —  column fields","ALL LOTS  —  nothing typed in the box"),"GROUP "&amp;$BH27&amp;" TOTAL  —  lots matching  "&amp;INDEX($AR$6:$AY$6,$BH27))))),""))</f>
        <v/>
      </c>
      <c r="E24" t="str">
        <f>IF($BJ27&gt;0,IF(INDEX('Final Calculation Sheet'!$D$4:$D$40,$BJ27-3)="","",INDEX('Final Calculation Sheet'!$D$4:$D$40,$BJ27-3)),IF(OR($BI27=1,$BL27=1,$BH27&gt;0),"–",""))</f>
        <v/>
      </c>
      <c r="F24" t="str">
        <f>IF($BJ27&gt;0,IF(INDEX('Final Calculation Sheet'!$A$4:$A$40,$BJ27-3)="","",INDEX('Final Calculation Sheet'!$A$4:$A$40,$BJ27-3)),IF(OR($BI27=1,$BL27=1,$BH27&gt;0),IF($BI27=1,SUM('Final Calculation Sheet'!$A$4:$A$40),IF($BL27=1,SUM('Final Calculation Sheet'!$A$4:$A$40)-SUMIFS('Final Calculation Sheet'!$A$4:$A$40,$AZ$5:$AZ$41,10),SUMIFS('Final Calculation Sheet'!$A$4:$A$40,$AZ$5:$AZ$41,$BH27))),""))</f>
        <v/>
      </c>
      <c r="G24" t="str">
        <f>IF($BJ27&gt;0,IF(INDEX('Final Calculation Sheet'!$E$4:$E$40,$BJ27-3)="","",INDEX('Final Calculation Sheet'!$E$4:$E$40,$BJ27-3)),IF(OR($BI27=1,$BL27=1,$BH27&gt;0),"–",""))</f>
        <v/>
      </c>
      <c r="H24" t="str">
        <f>IF($BJ27&gt;0,IF(INDEX('Final Calculation Sheet'!$C$4:$C$40,$BJ27-3)="","",INDEX('Final Calculation Sheet'!$C$4:$C$40,$BJ27-3)),IF(OR($BI27=1,$BL27=1,$BH27&gt;0),"–",""))</f>
        <v/>
      </c>
      <c r="I24" t="str">
        <f>IF($BJ27&gt;0,IF(INDEX('Final Calculation Sheet'!$H$4:$H$40,$BJ27-3)="","",INDEX('Final Calculation Sheet'!$H$4:$H$40,$BJ27-3)),IF(OR($BI27=1,$BL27=1,$BH27&gt;0),IF($BI27=1,SUM('Final Calculation Sheet'!$H$4:$H$40),IF($BL27=1,SUM('Final Calculation Sheet'!$H$4:$H$40)-SUMIFS('Final Calculation Sheet'!$H$4:$H$40,$AZ$5:$AZ$41,10),SUMIFS('Final Calculation Sheet'!$H$4:$H$40,$AZ$5:$AZ$41,$BH27))),""))</f>
        <v/>
      </c>
      <c r="J24" t="str">
        <f>IF($BJ27&gt;0,IF(INDEX('Final Calculation Sheet'!$I$4:$I$40,$BJ27-3)="","",INDEX('Final Calculation Sheet'!$I$4:$I$40,$BJ27-3)),IF(OR($BI27=1,$BL27=1,$BH27&gt;0),IF($BI27=1,SUM('Final Calculation Sheet'!$I$4:$I$40),IF($BL27=1,SUM('Final Calculation Sheet'!$I$4:$I$40)-SUMIFS('Final Calculation Sheet'!$I$4:$I$40,$AZ$5:$AZ$41,10),SUMIFS('Final Calculation Sheet'!$I$4:$I$40,$AZ$5:$AZ$41,$BH27))),""))</f>
        <v/>
      </c>
      <c r="K24" t="str">
        <f>IF($BJ27&gt;0,IF(INDEX('Final Calculation Sheet'!$J$4:$J$40,$BJ27-3)="","",INDEX('Final Calculation Sheet'!$J$4:$J$40,$BJ27-3)),IF(OR($BI27=1,$BL27=1,$BH27&gt;0),IF($BI27=1,SUM('Final Calculation Sheet'!$J$4:$J$40),IF($BL27=1,SUM('Final Calculation Sheet'!$J$4:$J$40)-SUMIFS('Final Calculation Sheet'!$J$4:$J$40,$AZ$5:$AZ$41,10),SUMIFS('Final Calculation Sheet'!$J$4:$J$40,$AZ$5:$AZ$41,$BH27))),""))</f>
        <v/>
      </c>
      <c r="L24" t="str">
        <f>IF($BJ27&gt;0,IF(INDEX('Final Calculation Sheet'!$K$4:$K$40,$BJ27-3)="","",INDEX('Final Calculation Sheet'!$K$4:$K$40,$BJ27-3)),IF(OR($BI27=1,$BL27=1,$BH27&gt;0),IF($BI27=1,SUM('Final Calculation Sheet'!$K$4:$K$40),IF($BL27=1,SUM('Final Calculation Sheet'!$K$4:$K$40)-SUMIFS('Final Calculation Sheet'!$K$4:$K$40,$AZ$5:$AZ$41,10),SUMIFS('Final Calculation Sheet'!$K$4:$K$40,$AZ$5:$AZ$41,$BH27))),""))</f>
        <v/>
      </c>
      <c r="M24" t="str">
        <f>IF($BJ27&gt;0,IF(INDEX('Final Calculation Sheet'!$L$4:$L$40,$BJ27-3)="","",INDEX('Final Calculation Sheet'!$L$4:$L$40,$BJ27-3)),IF(OR($BI27=1,$BL27=1,$BH27&gt;0),IF($BI27=1,SUM('Final Calculation Sheet'!$L$4:$L$40),IF($BL27=1,SUM('Final Calculation Sheet'!$L$4:$L$40)-SUMIFS('Final Calculation Sheet'!$L$4:$L$40,$AZ$5:$AZ$41,10),SUMIFS('Final Calculation Sheet'!$L$4:$L$40,$AZ$5:$AZ$41,$BH27))),""))</f>
        <v/>
      </c>
      <c r="N24" t="str">
        <f>IF($BJ27&gt;0,IF(INDEX('Final Calculation Sheet'!$M$4:$M$40,$BJ27-3)="","",INDEX('Final Calculation Sheet'!$M$4:$M$40,$BJ27-3)),IF(OR($BI27=1,$BL27=1,$BH27&gt;0),IF($BI27=1,SUM('Final Calculation Sheet'!$M$4:$M$40),IF($BL27=1,SUM('Final Calculation Sheet'!$M$4:$M$40)-SUMIFS('Final Calculation Sheet'!$M$4:$M$40,$AZ$5:$AZ$41,10),SUMIFS('Final Calculation Sheet'!$M$4:$M$40,$AZ$5:$AZ$41,$BH27))),""))</f>
        <v/>
      </c>
      <c r="O24" t="str">
        <f>IF($BJ27&gt;0,IF(INDEX('Final Calculation Sheet'!$N$4:$N$40,$BJ27-3)="","",INDEX('Final Calculation Sheet'!$N$4:$N$40,$BJ27-3)),IF(OR($BI27=1,$BL27=1,$BH27&gt;0),IF($BI27=1,SUM('Final Calculation Sheet'!$N$4:$N$40),IF($BL27=1,SUM('Final Calculation Sheet'!$N$4:$N$40)-SUMIFS('Final Calculation Sheet'!$N$4:$N$40,$AZ$5:$AZ$41,10),SUMIFS('Final Calculation Sheet'!$N$4:$N$40,$AZ$5:$AZ$41,$BH27))),""))</f>
        <v/>
      </c>
      <c r="P24" t="str">
        <f>IF($BJ27&gt;0,IF(INDEX('Final Calculation Sheet'!$O$4:$O$40,$BJ27-3)="","",INDEX('Final Calculation Sheet'!$O$4:$O$40,$BJ27-3)),IF(OR($BI27=1,$BL27=1,$BH27&gt;0),IF($BI27=1,SUM('Final Calculation Sheet'!$O$4:$O$40),IF($BL27=1,SUM('Final Calculation Sheet'!$O$4:$O$40)-SUMIFS('Final Calculation Sheet'!$O$4:$O$40,$AZ$5:$AZ$41,10),SUMIFS('Final Calculation Sheet'!$O$4:$O$40,$AZ$5:$AZ$41,$BH27))),""))</f>
        <v/>
      </c>
      <c r="Q24" t="str">
        <f>IF($BJ27&gt;0,IF(INDEX('Final Calculation Sheet'!$P$4:$P$40,$BJ27-3)="","",INDEX('Final Calculation Sheet'!$P$4:$P$40,$BJ27-3)),IF(OR($BI27=1,$BL27=1,$BH27&gt;0),IF($BI27=1,SUM('Final Calculation Sheet'!$P$4:$P$40),IF($BL27=1,SUM('Final Calculation Sheet'!$P$4:$P$40)-SUMIFS('Final Calculation Sheet'!$P$4:$P$40,$AZ$5:$AZ$41,10),SUMIFS('Final Calculation Sheet'!$P$4:$P$40,$AZ$5:$AZ$41,$BH27))),""))</f>
        <v/>
      </c>
      <c r="R24" t="str">
        <f>IF($BJ27&gt;0,IF(INDEX('Final Calculation Sheet'!$Q$4:$Q$40,$BJ27-3)="","",INDEX('Final Calculation Sheet'!$Q$4:$Q$40,$BJ27-3)),IF(OR($BI27=1,$BL27=1,$BH27&gt;0),"–",""))</f>
        <v/>
      </c>
      <c r="S24" t="str">
        <f>IF($BJ27&gt;0,IF(INDEX('Final Calculation Sheet'!$R$4:$R$40,$BJ27-3)="","",INDEX('Final Calculation Sheet'!$R$4:$R$40,$BJ27-3)),IF(OR($BI27=1,$BL27=1,$BH27&gt;0),IF($BI27=1,SUM('Final Calculation Sheet'!$R$4:$R$40),IF($BL27=1,SUM('Final Calculation Sheet'!$R$4:$R$40)-SUMIFS('Final Calculation Sheet'!$R$4:$R$40,$AZ$5:$AZ$41,10),SUMIFS('Final Calculation Sheet'!$R$4:$R$40,$AZ$5:$AZ$41,$BH27))),""))</f>
        <v/>
      </c>
      <c r="T24" t="str">
        <f>IF($BJ27&gt;0,IF(INDEX('Final Calculation Sheet'!$S$4:$S$40,$BJ27-3)="","",INDEX('Final Calculation Sheet'!$S$4:$S$40,$BJ27-3)),IF(OR($BI27=1,$BL27=1,$BH27&gt;0),IF($BI27=1,SUM('Final Calculation Sheet'!$S$4:$S$40),IF($BL27=1,SUM('Final Calculation Sheet'!$S$4:$S$40)-SUMIFS('Final Calculation Sheet'!$S$4:$S$40,$AZ$5:$AZ$41,10),SUMIFS('Final Calculation Sheet'!$S$4:$S$40,$AZ$5:$AZ$41,$BH27))),""))</f>
        <v/>
      </c>
      <c r="U24" t="str">
        <f>IF($BJ27&gt;0,IF(INDEX('Final Calculation Sheet'!$T$4:$T$40,$BJ27-3)="","",INDEX('Final Calculation Sheet'!$T$4:$T$40,$BJ27-3)),IF(OR($BI27=1,$BL27=1,$BH27&gt;0),IF($BI27=1,SUM('Final Calculation Sheet'!$T$4:$T$40),IF($BL27=1,SUM('Final Calculation Sheet'!$T$4:$T$40)-SUMIFS('Final Calculation Sheet'!$T$4:$T$40,$AZ$5:$AZ$41,10),SUMIFS('Final Calculation Sheet'!$T$4:$T$40,$AZ$5:$AZ$41,$BH27))),""))</f>
        <v/>
      </c>
      <c r="V24" t="str">
        <f>IF($BJ27&gt;0,IF(INDEX('Final Calculation Sheet'!$U$4:$U$40,$BJ27-3)="","",INDEX('Final Calculation Sheet'!$U$4:$U$40,$BJ27-3)),IF(OR($BI27=1,$BL27=1,$BH27&gt;0),IF($BI27=1,SUM('Final Calculation Sheet'!$U$4:$U$40),IF($BL27=1,SUM('Final Calculation Sheet'!$U$4:$U$40)-SUMIFS('Final Calculation Sheet'!$U$4:$U$40,$AZ$5:$AZ$41,10),SUMIFS('Final Calculation Sheet'!$U$4:$U$40,$AZ$5:$AZ$41,$BH27))),""))</f>
        <v/>
      </c>
      <c r="W24" t="str">
        <f>IF($BJ27&gt;0,IF(INDEX('Final Calculation Sheet'!$V$4:$V$40,$BJ27-3)="","",INDEX('Final Calculation Sheet'!$V$4:$V$40,$BJ27-3)),IF(OR($BI27=1,$BL27=1,$BH27&gt;0),"–",""))</f>
        <v/>
      </c>
      <c r="X24" t="str">
        <f>IF($BJ27&gt;0,IF(INDEX('Final Calculation Sheet'!$W$4:$W$40,$BJ27-3)="","",INDEX('Final Calculation Sheet'!$W$4:$W$40,$BJ27-3)),IF(OR($BI27=1,$BL27=1,$BH27&gt;0),IF($BI27=1,SUM('Final Calculation Sheet'!$W$4:$W$40),IF($BL27=1,SUM('Final Calculation Sheet'!$W$4:$W$40)-SUMIFS('Final Calculation Sheet'!$W$4:$W$40,$AZ$5:$AZ$41,10),SUMIFS('Final Calculation Sheet'!$W$4:$W$40,$AZ$5:$AZ$41,$BH27))),""))</f>
        <v/>
      </c>
      <c r="Y24" t="str">
        <f>IF($BJ27&gt;0,IF(INDEX('Final Calculation Sheet'!$X$4:$X$40,$BJ27-3)="","",INDEX('Final Calculation Sheet'!$X$4:$X$40,$BJ27-3)),IF(OR($BI27=1,$BL27=1,$BH27&gt;0),IF($BI27=1,SUM('Final Calculation Sheet'!$X$4:$X$40),IF($BL27=1,SUM('Final Calculation Sheet'!$X$4:$X$40)-SUMIFS('Final Calculation Sheet'!$X$4:$X$40,$AZ$5:$AZ$41,10),SUMIFS('Final Calculation Sheet'!$X$4:$X$40,$AZ$5:$AZ$41,$BH27))),""))</f>
        <v/>
      </c>
      <c r="Z24" t="str">
        <f>IF($BJ27&gt;0,IF(INDEX('Final Calculation Sheet'!$Y$4:$Y$40,$BJ27-3)="","",INDEX('Final Calculation Sheet'!$Y$4:$Y$40,$BJ27-3)),IF(OR($BI27=1,$BL27=1,$BH27&gt;0),"–",""))</f>
        <v/>
      </c>
      <c r="AA24" t="str">
        <f>IF($BJ27&gt;0,IF(INDEX('Final Calculation Sheet'!$Z$4:$Z$40,$BJ27-3)="","",INDEX('Final Calculation Sheet'!$Z$4:$Z$40,$BJ27-3)),IF(OR($BI27=1,$BL27=1,$BH27&gt;0),IF($BI27=1,SUM('Final Calculation Sheet'!$Z$4:$Z$40),IF($BL27=1,SUM('Final Calculation Sheet'!$Z$4:$Z$40)-SUMIFS('Final Calculation Sheet'!$Z$4:$Z$40,$AZ$5:$AZ$41,10),SUMIFS('Final Calculation Sheet'!$Z$4:$Z$40,$AZ$5:$AZ$41,$BH27))),""))</f>
        <v/>
      </c>
      <c r="AB24" t="str">
        <f>IF($BJ27&gt;0,IF(INDEX('Final Calculation Sheet'!$AA$4:$AA$40,$BJ27-3)="","",INDEX('Final Calculation Sheet'!$AA$4:$AA$40,$BJ27-3)),IF(OR($BI27=1,$BL27=1,$BH27&gt;0),IF($BI27=1,SUM('Final Calculation Sheet'!$AA$4:$AA$40),IF($BL27=1,SUM('Final Calculation Sheet'!$AA$4:$AA$40)-SUMIFS('Final Calculation Sheet'!$AA$4:$AA$40,$AZ$5:$AZ$41,10),SUMIFS('Final Calculation Sheet'!$AA$4:$AA$40,$AZ$5:$AZ$41,$BH27))),""))</f>
        <v/>
      </c>
      <c r="AC24" t="str">
        <f>IF($BJ27&gt;0,IF(INDEX('Final Calculation Sheet'!$AB$4:$AB$40,$BJ27-3)="","",INDEX('Final Calculation Sheet'!$AB$4:$AB$40,$BJ27-3)),IF(OR($BI27=1,$BL27=1,$BH27&gt;0),"–",""))</f>
        <v/>
      </c>
      <c r="AD24" t="str">
        <f>IF($BJ27&gt;0,IF(INDEX('Final Calculation Sheet'!$AC$4:$AC$40,$BJ27-3)="","",INDEX('Final Calculation Sheet'!$AC$4:$AC$40,$BJ27-3)),IF(OR($BI27=1,$BL27=1,$BH27&gt;0),IF($BI27=1,SUM('Final Calculation Sheet'!$AC$4:$AC$40),IF($BL27=1,SUM('Final Calculation Sheet'!$AC$4:$AC$40)-SUMIFS('Final Calculation Sheet'!$AC$4:$AC$40,$AZ$5:$AZ$41,10),SUMIFS('Final Calculation Sheet'!$AC$4:$AC$40,$AZ$5:$AZ$41,$BH27))),""))</f>
        <v/>
      </c>
      <c r="AE24" t="str">
        <f>IF($BJ27&gt;0,IF(INDEX('Final Calculation Sheet'!$AD$4:$AD$40,$BJ27-3)="","",INDEX('Final Calculation Sheet'!$AD$4:$AD$40,$BJ27-3)),IF(OR($BI27=1,$BL27=1,$BH27&gt;0),IF($BI27=1,SUM('Final Calculation Sheet'!$AD$4:$AD$40),IF($BL27=1,SUM('Final Calculation Sheet'!$AD$4:$AD$40)-SUMIFS('Final Calculation Sheet'!$AD$4:$AD$40,$AZ$5:$AZ$41,10),SUMIFS('Final Calculation Sheet'!$AD$4:$AD$40,$AZ$5:$AZ$41,$BH27))),""))</f>
        <v/>
      </c>
      <c r="AF24" t="str">
        <f>IF($BJ27&gt;0,IF(INDEX('Final Calculation Sheet'!$AE$4:$AE$40,$BJ27-3)="","",INDEX('Final Calculation Sheet'!$AE$4:$AE$40,$BJ27-3)),IF(OR($BI27=1,$BL27=1,$BH27&gt;0),"–",""))</f>
        <v/>
      </c>
      <c r="AG24" t="str">
        <f>IF($BJ27&gt;0,IF(INDEX('Final Calculation Sheet'!$AF$4:$AF$40,$BJ27-3)="","",INDEX('Final Calculation Sheet'!$AF$4:$AF$40,$BJ27-3)),IF(OR($BI27=1,$BL27=1,$BH27&gt;0),"–",""))</f>
        <v/>
      </c>
      <c r="AH24" t="str">
        <f>IF($BJ27&gt;0,IF(INDEX('Final Calculation Sheet'!$AG$4:$AG$40,$BJ27-3)="","",INDEX('Final Calculation Sheet'!$AG$4:$AG$40,$BJ27-3)),IF(OR($BI27=1,$BL27=1,$BH27&gt;0),"–",""))</f>
        <v/>
      </c>
      <c r="AI24" t="str">
        <f>IF($BJ27&gt;0,IF(INDEX('Final Calculation Sheet'!$AD$4:$AD$40,$BJ27-3)="","",IF(INDEX('Final Calculation Sheet'!$AD$4:$AD$40,$BJ27-3)&lt;=5,"SETTLED","OUTSTANDING")),IF(OR($BI27=1,$BL27=1,$BH27&gt;0),IF(IF($BI27=1,SUM('Final Calculation Sheet'!$AD$4:$AD$40),IF($BL27=1,SUM('Final Calculation Sheet'!$AD$4:$AD$40)-SUMIFS('Final Calculation Sheet'!$AD$4:$AD$40,$AZ$5:$AZ$41,10),SUMIFS('Final Calculation Sheet'!$AD$4:$AD$40,$AZ$5:$AZ$41,$BH27)))&lt;=5,"ALL SETTLED","OUTSTANDING"),""))</f>
        <v/>
      </c>
    </row>
    <row r="25">
      <c r="A25" t="str">
        <f>IF($BJ28&gt;0,INDEX($BA$5:$BA$41,MATCH(28,$BB$5:$BB$41,0)),IF(OR($BI28=1,$BL28=1,$BH28&gt;0),"∑",""))</f>
        <v/>
      </c>
      <c r="B25" t="str">
        <f>IF($BJ28&gt;0,IF(INDEX('Final Calculation Sheet'!$F$4:$F$40,$BJ28-3)="","",INDEX('Final Calculation Sheet'!$F$4:$F$40,$BJ28-3)),"")</f>
        <v/>
      </c>
      <c r="C25" t="str">
        <f>IF($BJ28&gt;0,IF(INDEX('Final Calculation Sheet'!$G$4:$G$40,$BJ28-3)="","",INDEX('Final Calculation Sheet'!$G$4:$G$40,$BJ28-3)),IF(OR($BI28=1,$BL28=1,$BH28&gt;0),IF($BI28=1,37,IF($BL28=1,37-INDEX($BD$4:$BD$13,10),INDEX($BD$4:$BD$13,$BH28)))&amp;" lot(s)",""))</f>
        <v/>
      </c>
      <c r="D25" t="str">
        <f>IF($BJ28&gt;0,IF(INDEX('Final Calculation Sheet'!$B$4:$B$40,$BJ28-3)="","",INDEX('Final Calculation Sheet'!$B$4:$B$40,$BJ28-3)),IF(OR($BI28=1,$BL28=1,$BH28&gt;0),IF($BI28=1,"GRAND TOTAL  —  matching + remaining",IF($BL28=1,"TOTAL MATCHED  —  every group together",IF($BH28=10,"REMAINING  —  did not match the search",IF($BH28=9,IF(COUNTIF($A$4:$AI$4,"&lt;&gt;")&gt;0,"FILTERED LOTS  —  column fields","ALL LOTS  —  nothing typed in the box"),"GROUP "&amp;$BH28&amp;" TOTAL  —  lots matching  "&amp;INDEX($AR$6:$AY$6,$BH28))))),""))</f>
        <v/>
      </c>
      <c r="E25" t="str">
        <f>IF($BJ28&gt;0,IF(INDEX('Final Calculation Sheet'!$D$4:$D$40,$BJ28-3)="","",INDEX('Final Calculation Sheet'!$D$4:$D$40,$BJ28-3)),IF(OR($BI28=1,$BL28=1,$BH28&gt;0),"–",""))</f>
        <v/>
      </c>
      <c r="F25" t="str">
        <f>IF($BJ28&gt;0,IF(INDEX('Final Calculation Sheet'!$A$4:$A$40,$BJ28-3)="","",INDEX('Final Calculation Sheet'!$A$4:$A$40,$BJ28-3)),IF(OR($BI28=1,$BL28=1,$BH28&gt;0),IF($BI28=1,SUM('Final Calculation Sheet'!$A$4:$A$40),IF($BL28=1,SUM('Final Calculation Sheet'!$A$4:$A$40)-SUMIFS('Final Calculation Sheet'!$A$4:$A$40,$AZ$5:$AZ$41,10),SUMIFS('Final Calculation Sheet'!$A$4:$A$40,$AZ$5:$AZ$41,$BH28))),""))</f>
        <v/>
      </c>
      <c r="G25" t="str">
        <f>IF($BJ28&gt;0,IF(INDEX('Final Calculation Sheet'!$E$4:$E$40,$BJ28-3)="","",INDEX('Final Calculation Sheet'!$E$4:$E$40,$BJ28-3)),IF(OR($BI28=1,$BL28=1,$BH28&gt;0),"–",""))</f>
        <v/>
      </c>
      <c r="H25" t="str">
        <f>IF($BJ28&gt;0,IF(INDEX('Final Calculation Sheet'!$C$4:$C$40,$BJ28-3)="","",INDEX('Final Calculation Sheet'!$C$4:$C$40,$BJ28-3)),IF(OR($BI28=1,$BL28=1,$BH28&gt;0),"–",""))</f>
        <v/>
      </c>
      <c r="I25" t="str">
        <f>IF($BJ28&gt;0,IF(INDEX('Final Calculation Sheet'!$H$4:$H$40,$BJ28-3)="","",INDEX('Final Calculation Sheet'!$H$4:$H$40,$BJ28-3)),IF(OR($BI28=1,$BL28=1,$BH28&gt;0),IF($BI28=1,SUM('Final Calculation Sheet'!$H$4:$H$40),IF($BL28=1,SUM('Final Calculation Sheet'!$H$4:$H$40)-SUMIFS('Final Calculation Sheet'!$H$4:$H$40,$AZ$5:$AZ$41,10),SUMIFS('Final Calculation Sheet'!$H$4:$H$40,$AZ$5:$AZ$41,$BH28))),""))</f>
        <v/>
      </c>
      <c r="J25" t="str">
        <f>IF($BJ28&gt;0,IF(INDEX('Final Calculation Sheet'!$I$4:$I$40,$BJ28-3)="","",INDEX('Final Calculation Sheet'!$I$4:$I$40,$BJ28-3)),IF(OR($BI28=1,$BL28=1,$BH28&gt;0),IF($BI28=1,SUM('Final Calculation Sheet'!$I$4:$I$40),IF($BL28=1,SUM('Final Calculation Sheet'!$I$4:$I$40)-SUMIFS('Final Calculation Sheet'!$I$4:$I$40,$AZ$5:$AZ$41,10),SUMIFS('Final Calculation Sheet'!$I$4:$I$40,$AZ$5:$AZ$41,$BH28))),""))</f>
        <v/>
      </c>
      <c r="K25" t="str">
        <f>IF($BJ28&gt;0,IF(INDEX('Final Calculation Sheet'!$J$4:$J$40,$BJ28-3)="","",INDEX('Final Calculation Sheet'!$J$4:$J$40,$BJ28-3)),IF(OR($BI28=1,$BL28=1,$BH28&gt;0),IF($BI28=1,SUM('Final Calculation Sheet'!$J$4:$J$40),IF($BL28=1,SUM('Final Calculation Sheet'!$J$4:$J$40)-SUMIFS('Final Calculation Sheet'!$J$4:$J$40,$AZ$5:$AZ$41,10),SUMIFS('Final Calculation Sheet'!$J$4:$J$40,$AZ$5:$AZ$41,$BH28))),""))</f>
        <v/>
      </c>
      <c r="L25" t="str">
        <f>IF($BJ28&gt;0,IF(INDEX('Final Calculation Sheet'!$K$4:$K$40,$BJ28-3)="","",INDEX('Final Calculation Sheet'!$K$4:$K$40,$BJ28-3)),IF(OR($BI28=1,$BL28=1,$BH28&gt;0),IF($BI28=1,SUM('Final Calculation Sheet'!$K$4:$K$40),IF($BL28=1,SUM('Final Calculation Sheet'!$K$4:$K$40)-SUMIFS('Final Calculation Sheet'!$K$4:$K$40,$AZ$5:$AZ$41,10),SUMIFS('Final Calculation Sheet'!$K$4:$K$40,$AZ$5:$AZ$41,$BH28))),""))</f>
        <v/>
      </c>
      <c r="M25" t="str">
        <f>IF($BJ28&gt;0,IF(INDEX('Final Calculation Sheet'!$L$4:$L$40,$BJ28-3)="","",INDEX('Final Calculation Sheet'!$L$4:$L$40,$BJ28-3)),IF(OR($BI28=1,$BL28=1,$BH28&gt;0),IF($BI28=1,SUM('Final Calculation Sheet'!$L$4:$L$40),IF($BL28=1,SUM('Final Calculation Sheet'!$L$4:$L$40)-SUMIFS('Final Calculation Sheet'!$L$4:$L$40,$AZ$5:$AZ$41,10),SUMIFS('Final Calculation Sheet'!$L$4:$L$40,$AZ$5:$AZ$41,$BH28))),""))</f>
        <v/>
      </c>
      <c r="N25" t="str">
        <f>IF($BJ28&gt;0,IF(INDEX('Final Calculation Sheet'!$M$4:$M$40,$BJ28-3)="","",INDEX('Final Calculation Sheet'!$M$4:$M$40,$BJ28-3)),IF(OR($BI28=1,$BL28=1,$BH28&gt;0),IF($BI28=1,SUM('Final Calculation Sheet'!$M$4:$M$40),IF($BL28=1,SUM('Final Calculation Sheet'!$M$4:$M$40)-SUMIFS('Final Calculation Sheet'!$M$4:$M$40,$AZ$5:$AZ$41,10),SUMIFS('Final Calculation Sheet'!$M$4:$M$40,$AZ$5:$AZ$41,$BH28))),""))</f>
        <v/>
      </c>
      <c r="O25" t="str">
        <f>IF($BJ28&gt;0,IF(INDEX('Final Calculation Sheet'!$N$4:$N$40,$BJ28-3)="","",INDEX('Final Calculation Sheet'!$N$4:$N$40,$BJ28-3)),IF(OR($BI28=1,$BL28=1,$BH28&gt;0),IF($BI28=1,SUM('Final Calculation Sheet'!$N$4:$N$40),IF($BL28=1,SUM('Final Calculation Sheet'!$N$4:$N$40)-SUMIFS('Final Calculation Sheet'!$N$4:$N$40,$AZ$5:$AZ$41,10),SUMIFS('Final Calculation Sheet'!$N$4:$N$40,$AZ$5:$AZ$41,$BH28))),""))</f>
        <v/>
      </c>
      <c r="P25" t="str">
        <f>IF($BJ28&gt;0,IF(INDEX('Final Calculation Sheet'!$O$4:$O$40,$BJ28-3)="","",INDEX('Final Calculation Sheet'!$O$4:$O$40,$BJ28-3)),IF(OR($BI28=1,$BL28=1,$BH28&gt;0),IF($BI28=1,SUM('Final Calculation Sheet'!$O$4:$O$40),IF($BL28=1,SUM('Final Calculation Sheet'!$O$4:$O$40)-SUMIFS('Final Calculation Sheet'!$O$4:$O$40,$AZ$5:$AZ$41,10),SUMIFS('Final Calculation Sheet'!$O$4:$O$40,$AZ$5:$AZ$41,$BH28))),""))</f>
        <v/>
      </c>
      <c r="Q25" t="str">
        <f>IF($BJ28&gt;0,IF(INDEX('Final Calculation Sheet'!$P$4:$P$40,$BJ28-3)="","",INDEX('Final Calculation Sheet'!$P$4:$P$40,$BJ28-3)),IF(OR($BI28=1,$BL28=1,$BH28&gt;0),IF($BI28=1,SUM('Final Calculation Sheet'!$P$4:$P$40),IF($BL28=1,SUM('Final Calculation Sheet'!$P$4:$P$40)-SUMIFS('Final Calculation Sheet'!$P$4:$P$40,$AZ$5:$AZ$41,10),SUMIFS('Final Calculation Sheet'!$P$4:$P$40,$AZ$5:$AZ$41,$BH28))),""))</f>
        <v/>
      </c>
      <c r="R25" t="str">
        <f>IF($BJ28&gt;0,IF(INDEX('Final Calculation Sheet'!$Q$4:$Q$40,$BJ28-3)="","",INDEX('Final Calculation Sheet'!$Q$4:$Q$40,$BJ28-3)),IF(OR($BI28=1,$BL28=1,$BH28&gt;0),"–",""))</f>
        <v/>
      </c>
      <c r="S25" t="str">
        <f>IF($BJ28&gt;0,IF(INDEX('Final Calculation Sheet'!$R$4:$R$40,$BJ28-3)="","",INDEX('Final Calculation Sheet'!$R$4:$R$40,$BJ28-3)),IF(OR($BI28=1,$BL28=1,$BH28&gt;0),IF($BI28=1,SUM('Final Calculation Sheet'!$R$4:$R$40),IF($BL28=1,SUM('Final Calculation Sheet'!$R$4:$R$40)-SUMIFS('Final Calculation Sheet'!$R$4:$R$40,$AZ$5:$AZ$41,10),SUMIFS('Final Calculation Sheet'!$R$4:$R$40,$AZ$5:$AZ$41,$BH28))),""))</f>
        <v/>
      </c>
      <c r="T25" t="str">
        <f>IF($BJ28&gt;0,IF(INDEX('Final Calculation Sheet'!$S$4:$S$40,$BJ28-3)="","",INDEX('Final Calculation Sheet'!$S$4:$S$40,$BJ28-3)),IF(OR($BI28=1,$BL28=1,$BH28&gt;0),IF($BI28=1,SUM('Final Calculation Sheet'!$S$4:$S$40),IF($BL28=1,SUM('Final Calculation Sheet'!$S$4:$S$40)-SUMIFS('Final Calculation Sheet'!$S$4:$S$40,$AZ$5:$AZ$41,10),SUMIFS('Final Calculation Sheet'!$S$4:$S$40,$AZ$5:$AZ$41,$BH28))),""))</f>
        <v/>
      </c>
      <c r="U25" t="str">
        <f>IF($BJ28&gt;0,IF(INDEX('Final Calculation Sheet'!$T$4:$T$40,$BJ28-3)="","",INDEX('Final Calculation Sheet'!$T$4:$T$40,$BJ28-3)),IF(OR($BI28=1,$BL28=1,$BH28&gt;0),IF($BI28=1,SUM('Final Calculation Sheet'!$T$4:$T$40),IF($BL28=1,SUM('Final Calculation Sheet'!$T$4:$T$40)-SUMIFS('Final Calculation Sheet'!$T$4:$T$40,$AZ$5:$AZ$41,10),SUMIFS('Final Calculation Sheet'!$T$4:$T$40,$AZ$5:$AZ$41,$BH28))),""))</f>
        <v/>
      </c>
      <c r="V25" t="str">
        <f>IF($BJ28&gt;0,IF(INDEX('Final Calculation Sheet'!$U$4:$U$40,$BJ28-3)="","",INDEX('Final Calculation Sheet'!$U$4:$U$40,$BJ28-3)),IF(OR($BI28=1,$BL28=1,$BH28&gt;0),IF($BI28=1,SUM('Final Calculation Sheet'!$U$4:$U$40),IF($BL28=1,SUM('Final Calculation Sheet'!$U$4:$U$40)-SUMIFS('Final Calculation Sheet'!$U$4:$U$40,$AZ$5:$AZ$41,10),SUMIFS('Final Calculation Sheet'!$U$4:$U$40,$AZ$5:$AZ$41,$BH28))),""))</f>
        <v/>
      </c>
      <c r="W25" t="str">
        <f>IF($BJ28&gt;0,IF(INDEX('Final Calculation Sheet'!$V$4:$V$40,$BJ28-3)="","",INDEX('Final Calculation Sheet'!$V$4:$V$40,$BJ28-3)),IF(OR($BI28=1,$BL28=1,$BH28&gt;0),"–",""))</f>
        <v/>
      </c>
      <c r="X25" t="str">
        <f>IF($BJ28&gt;0,IF(INDEX('Final Calculation Sheet'!$W$4:$W$40,$BJ28-3)="","",INDEX('Final Calculation Sheet'!$W$4:$W$40,$BJ28-3)),IF(OR($BI28=1,$BL28=1,$BH28&gt;0),IF($BI28=1,SUM('Final Calculation Sheet'!$W$4:$W$40),IF($BL28=1,SUM('Final Calculation Sheet'!$W$4:$W$40)-SUMIFS('Final Calculation Sheet'!$W$4:$W$40,$AZ$5:$AZ$41,10),SUMIFS('Final Calculation Sheet'!$W$4:$W$40,$AZ$5:$AZ$41,$BH28))),""))</f>
        <v/>
      </c>
      <c r="Y25" t="str">
        <f>IF($BJ28&gt;0,IF(INDEX('Final Calculation Sheet'!$X$4:$X$40,$BJ28-3)="","",INDEX('Final Calculation Sheet'!$X$4:$X$40,$BJ28-3)),IF(OR($BI28=1,$BL28=1,$BH28&gt;0),IF($BI28=1,SUM('Final Calculation Sheet'!$X$4:$X$40),IF($BL28=1,SUM('Final Calculation Sheet'!$X$4:$X$40)-SUMIFS('Final Calculation Sheet'!$X$4:$X$40,$AZ$5:$AZ$41,10),SUMIFS('Final Calculation Sheet'!$X$4:$X$40,$AZ$5:$AZ$41,$BH28))),""))</f>
        <v/>
      </c>
      <c r="Z25" t="str">
        <f>IF($BJ28&gt;0,IF(INDEX('Final Calculation Sheet'!$Y$4:$Y$40,$BJ28-3)="","",INDEX('Final Calculation Sheet'!$Y$4:$Y$40,$BJ28-3)),IF(OR($BI28=1,$BL28=1,$BH28&gt;0),"–",""))</f>
        <v/>
      </c>
      <c r="AA25" t="str">
        <f>IF($BJ28&gt;0,IF(INDEX('Final Calculation Sheet'!$Z$4:$Z$40,$BJ28-3)="","",INDEX('Final Calculation Sheet'!$Z$4:$Z$40,$BJ28-3)),IF(OR($BI28=1,$BL28=1,$BH28&gt;0),IF($BI28=1,SUM('Final Calculation Sheet'!$Z$4:$Z$40),IF($BL28=1,SUM('Final Calculation Sheet'!$Z$4:$Z$40)-SUMIFS('Final Calculation Sheet'!$Z$4:$Z$40,$AZ$5:$AZ$41,10),SUMIFS('Final Calculation Sheet'!$Z$4:$Z$40,$AZ$5:$AZ$41,$BH28))),""))</f>
        <v/>
      </c>
      <c r="AB25" t="str">
        <f>IF($BJ28&gt;0,IF(INDEX('Final Calculation Sheet'!$AA$4:$AA$40,$BJ28-3)="","",INDEX('Final Calculation Sheet'!$AA$4:$AA$40,$BJ28-3)),IF(OR($BI28=1,$BL28=1,$BH28&gt;0),IF($BI28=1,SUM('Final Calculation Sheet'!$AA$4:$AA$40),IF($BL28=1,SUM('Final Calculation Sheet'!$AA$4:$AA$40)-SUMIFS('Final Calculation Sheet'!$AA$4:$AA$40,$AZ$5:$AZ$41,10),SUMIFS('Final Calculation Sheet'!$AA$4:$AA$40,$AZ$5:$AZ$41,$BH28))),""))</f>
        <v/>
      </c>
      <c r="AC25" t="str">
        <f>IF($BJ28&gt;0,IF(INDEX('Final Calculation Sheet'!$AB$4:$AB$40,$BJ28-3)="","",INDEX('Final Calculation Sheet'!$AB$4:$AB$40,$BJ28-3)),IF(OR($BI28=1,$BL28=1,$BH28&gt;0),"–",""))</f>
        <v/>
      </c>
      <c r="AD25" t="str">
        <f>IF($BJ28&gt;0,IF(INDEX('Final Calculation Sheet'!$AC$4:$AC$40,$BJ28-3)="","",INDEX('Final Calculation Sheet'!$AC$4:$AC$40,$BJ28-3)),IF(OR($BI28=1,$BL28=1,$BH28&gt;0),IF($BI28=1,SUM('Final Calculation Sheet'!$AC$4:$AC$40),IF($BL28=1,SUM('Final Calculation Sheet'!$AC$4:$AC$40)-SUMIFS('Final Calculation Sheet'!$AC$4:$AC$40,$AZ$5:$AZ$41,10),SUMIFS('Final Calculation Sheet'!$AC$4:$AC$40,$AZ$5:$AZ$41,$BH28))),""))</f>
        <v/>
      </c>
      <c r="AE25" t="str">
        <f>IF($BJ28&gt;0,IF(INDEX('Final Calculation Sheet'!$AD$4:$AD$40,$BJ28-3)="","",INDEX('Final Calculation Sheet'!$AD$4:$AD$40,$BJ28-3)),IF(OR($BI28=1,$BL28=1,$BH28&gt;0),IF($BI28=1,SUM('Final Calculation Sheet'!$AD$4:$AD$40),IF($BL28=1,SUM('Final Calculation Sheet'!$AD$4:$AD$40)-SUMIFS('Final Calculation Sheet'!$AD$4:$AD$40,$AZ$5:$AZ$41,10),SUMIFS('Final Calculation Sheet'!$AD$4:$AD$40,$AZ$5:$AZ$41,$BH28))),""))</f>
        <v/>
      </c>
      <c r="AF25" t="str">
        <f>IF($BJ28&gt;0,IF(INDEX('Final Calculation Sheet'!$AE$4:$AE$40,$BJ28-3)="","",INDEX('Final Calculation Sheet'!$AE$4:$AE$40,$BJ28-3)),IF(OR($BI28=1,$BL28=1,$BH28&gt;0),"–",""))</f>
        <v/>
      </c>
      <c r="AG25" t="str">
        <f>IF($BJ28&gt;0,IF(INDEX('Final Calculation Sheet'!$AF$4:$AF$40,$BJ28-3)="","",INDEX('Final Calculation Sheet'!$AF$4:$AF$40,$BJ28-3)),IF(OR($BI28=1,$BL28=1,$BH28&gt;0),"–",""))</f>
        <v/>
      </c>
      <c r="AH25" t="str">
        <f>IF($BJ28&gt;0,IF(INDEX('Final Calculation Sheet'!$AG$4:$AG$40,$BJ28-3)="","",INDEX('Final Calculation Sheet'!$AG$4:$AG$40,$BJ28-3)),IF(OR($BI28=1,$BL28=1,$BH28&gt;0),"–",""))</f>
        <v/>
      </c>
      <c r="AI25" t="str">
        <f>IF($BJ28&gt;0,IF(INDEX('Final Calculation Sheet'!$AD$4:$AD$40,$BJ28-3)="","",IF(INDEX('Final Calculation Sheet'!$AD$4:$AD$40,$BJ28-3)&lt;=5,"SETTLED","OUTSTANDING")),IF(OR($BI28=1,$BL28=1,$BH28&gt;0),IF(IF($BI28=1,SUM('Final Calculation Sheet'!$AD$4:$AD$40),IF($BL28=1,SUM('Final Calculation Sheet'!$AD$4:$AD$40)-SUMIFS('Final Calculation Sheet'!$AD$4:$AD$40,$AZ$5:$AZ$41,10),SUMIFS('Final Calculation Sheet'!$AD$4:$AD$40,$AZ$5:$AZ$41,$BH28)))&lt;=5,"ALL SETTLED","OUTSTANDING"),""))</f>
        <v/>
      </c>
    </row>
    <row r="26">
      <c r="A26" t="str">
        <f>IF($BJ29&gt;0,INDEX($BA$5:$BA$41,MATCH(29,$BB$5:$BB$41,0)),IF(OR($BI29=1,$BL29=1,$BH29&gt;0),"∑",""))</f>
        <v/>
      </c>
      <c r="B26" t="str">
        <f>IF($BJ29&gt;0,IF(INDEX('Final Calculation Sheet'!$F$4:$F$40,$BJ29-3)="","",INDEX('Final Calculation Sheet'!$F$4:$F$40,$BJ29-3)),"")</f>
        <v/>
      </c>
      <c r="C26" t="str">
        <f>IF($BJ29&gt;0,IF(INDEX('Final Calculation Sheet'!$G$4:$G$40,$BJ29-3)="","",INDEX('Final Calculation Sheet'!$G$4:$G$40,$BJ29-3)),IF(OR($BI29=1,$BL29=1,$BH29&gt;0),IF($BI29=1,37,IF($BL29=1,37-INDEX($BD$4:$BD$13,10),INDEX($BD$4:$BD$13,$BH29)))&amp;" lot(s)",""))</f>
        <v/>
      </c>
      <c r="D26" t="str">
        <f>IF($BJ29&gt;0,IF(INDEX('Final Calculation Sheet'!$B$4:$B$40,$BJ29-3)="","",INDEX('Final Calculation Sheet'!$B$4:$B$40,$BJ29-3)),IF(OR($BI29=1,$BL29=1,$BH29&gt;0),IF($BI29=1,"GRAND TOTAL  —  matching + remaining",IF($BL29=1,"TOTAL MATCHED  —  every group together",IF($BH29=10,"REMAINING  —  did not match the search",IF($BH29=9,IF(COUNTIF($A$4:$AI$4,"&lt;&gt;")&gt;0,"FILTERED LOTS  —  column fields","ALL LOTS  —  nothing typed in the box"),"GROUP "&amp;$BH29&amp;" TOTAL  —  lots matching  "&amp;INDEX($AR$6:$AY$6,$BH29))))),""))</f>
        <v/>
      </c>
      <c r="E26" t="str">
        <f>IF($BJ29&gt;0,IF(INDEX('Final Calculation Sheet'!$D$4:$D$40,$BJ29-3)="","",INDEX('Final Calculation Sheet'!$D$4:$D$40,$BJ29-3)),IF(OR($BI29=1,$BL29=1,$BH29&gt;0),"–",""))</f>
        <v/>
      </c>
      <c r="F26" t="str">
        <f>IF($BJ29&gt;0,IF(INDEX('Final Calculation Sheet'!$A$4:$A$40,$BJ29-3)="","",INDEX('Final Calculation Sheet'!$A$4:$A$40,$BJ29-3)),IF(OR($BI29=1,$BL29=1,$BH29&gt;0),IF($BI29=1,SUM('Final Calculation Sheet'!$A$4:$A$40),IF($BL29=1,SUM('Final Calculation Sheet'!$A$4:$A$40)-SUMIFS('Final Calculation Sheet'!$A$4:$A$40,$AZ$5:$AZ$41,10),SUMIFS('Final Calculation Sheet'!$A$4:$A$40,$AZ$5:$AZ$41,$BH29))),""))</f>
        <v/>
      </c>
      <c r="G26" t="str">
        <f>IF($BJ29&gt;0,IF(INDEX('Final Calculation Sheet'!$E$4:$E$40,$BJ29-3)="","",INDEX('Final Calculation Sheet'!$E$4:$E$40,$BJ29-3)),IF(OR($BI29=1,$BL29=1,$BH29&gt;0),"–",""))</f>
        <v/>
      </c>
      <c r="H26" t="str">
        <f>IF($BJ29&gt;0,IF(INDEX('Final Calculation Sheet'!$C$4:$C$40,$BJ29-3)="","",INDEX('Final Calculation Sheet'!$C$4:$C$40,$BJ29-3)),IF(OR($BI29=1,$BL29=1,$BH29&gt;0),"–",""))</f>
        <v/>
      </c>
      <c r="I26" t="str">
        <f>IF($BJ29&gt;0,IF(INDEX('Final Calculation Sheet'!$H$4:$H$40,$BJ29-3)="","",INDEX('Final Calculation Sheet'!$H$4:$H$40,$BJ29-3)),IF(OR($BI29=1,$BL29=1,$BH29&gt;0),IF($BI29=1,SUM('Final Calculation Sheet'!$H$4:$H$40),IF($BL29=1,SUM('Final Calculation Sheet'!$H$4:$H$40)-SUMIFS('Final Calculation Sheet'!$H$4:$H$40,$AZ$5:$AZ$41,10),SUMIFS('Final Calculation Sheet'!$H$4:$H$40,$AZ$5:$AZ$41,$BH29))),""))</f>
        <v/>
      </c>
      <c r="J26" t="str">
        <f>IF($BJ29&gt;0,IF(INDEX('Final Calculation Sheet'!$I$4:$I$40,$BJ29-3)="","",INDEX('Final Calculation Sheet'!$I$4:$I$40,$BJ29-3)),IF(OR($BI29=1,$BL29=1,$BH29&gt;0),IF($BI29=1,SUM('Final Calculation Sheet'!$I$4:$I$40),IF($BL29=1,SUM('Final Calculation Sheet'!$I$4:$I$40)-SUMIFS('Final Calculation Sheet'!$I$4:$I$40,$AZ$5:$AZ$41,10),SUMIFS('Final Calculation Sheet'!$I$4:$I$40,$AZ$5:$AZ$41,$BH29))),""))</f>
        <v/>
      </c>
      <c r="K26" t="str">
        <f>IF($BJ29&gt;0,IF(INDEX('Final Calculation Sheet'!$J$4:$J$40,$BJ29-3)="","",INDEX('Final Calculation Sheet'!$J$4:$J$40,$BJ29-3)),IF(OR($BI29=1,$BL29=1,$BH29&gt;0),IF($BI29=1,SUM('Final Calculation Sheet'!$J$4:$J$40),IF($BL29=1,SUM('Final Calculation Sheet'!$J$4:$J$40)-SUMIFS('Final Calculation Sheet'!$J$4:$J$40,$AZ$5:$AZ$41,10),SUMIFS('Final Calculation Sheet'!$J$4:$J$40,$AZ$5:$AZ$41,$BH29))),""))</f>
        <v/>
      </c>
      <c r="L26" t="str">
        <f>IF($BJ29&gt;0,IF(INDEX('Final Calculation Sheet'!$K$4:$K$40,$BJ29-3)="","",INDEX('Final Calculation Sheet'!$K$4:$K$40,$BJ29-3)),IF(OR($BI29=1,$BL29=1,$BH29&gt;0),IF($BI29=1,SUM('Final Calculation Sheet'!$K$4:$K$40),IF($BL29=1,SUM('Final Calculation Sheet'!$K$4:$K$40)-SUMIFS('Final Calculation Sheet'!$K$4:$K$40,$AZ$5:$AZ$41,10),SUMIFS('Final Calculation Sheet'!$K$4:$K$40,$AZ$5:$AZ$41,$BH29))),""))</f>
        <v/>
      </c>
      <c r="M26" t="str">
        <f>IF($BJ29&gt;0,IF(INDEX('Final Calculation Sheet'!$L$4:$L$40,$BJ29-3)="","",INDEX('Final Calculation Sheet'!$L$4:$L$40,$BJ29-3)),IF(OR($BI29=1,$BL29=1,$BH29&gt;0),IF($BI29=1,SUM('Final Calculation Sheet'!$L$4:$L$40),IF($BL29=1,SUM('Final Calculation Sheet'!$L$4:$L$40)-SUMIFS('Final Calculation Sheet'!$L$4:$L$40,$AZ$5:$AZ$41,10),SUMIFS('Final Calculation Sheet'!$L$4:$L$40,$AZ$5:$AZ$41,$BH29))),""))</f>
        <v/>
      </c>
      <c r="N26" t="str">
        <f>IF($BJ29&gt;0,IF(INDEX('Final Calculation Sheet'!$M$4:$M$40,$BJ29-3)="","",INDEX('Final Calculation Sheet'!$M$4:$M$40,$BJ29-3)),IF(OR($BI29=1,$BL29=1,$BH29&gt;0),IF($BI29=1,SUM('Final Calculation Sheet'!$M$4:$M$40),IF($BL29=1,SUM('Final Calculation Sheet'!$M$4:$M$40)-SUMIFS('Final Calculation Sheet'!$M$4:$M$40,$AZ$5:$AZ$41,10),SUMIFS('Final Calculation Sheet'!$M$4:$M$40,$AZ$5:$AZ$41,$BH29))),""))</f>
        <v/>
      </c>
      <c r="O26" t="str">
        <f>IF($BJ29&gt;0,IF(INDEX('Final Calculation Sheet'!$N$4:$N$40,$BJ29-3)="","",INDEX('Final Calculation Sheet'!$N$4:$N$40,$BJ29-3)),IF(OR($BI29=1,$BL29=1,$BH29&gt;0),IF($BI29=1,SUM('Final Calculation Sheet'!$N$4:$N$40),IF($BL29=1,SUM('Final Calculation Sheet'!$N$4:$N$40)-SUMIFS('Final Calculation Sheet'!$N$4:$N$40,$AZ$5:$AZ$41,10),SUMIFS('Final Calculation Sheet'!$N$4:$N$40,$AZ$5:$AZ$41,$BH29))),""))</f>
        <v/>
      </c>
      <c r="P26" t="str">
        <f>IF($BJ29&gt;0,IF(INDEX('Final Calculation Sheet'!$O$4:$O$40,$BJ29-3)="","",INDEX('Final Calculation Sheet'!$O$4:$O$40,$BJ29-3)),IF(OR($BI29=1,$BL29=1,$BH29&gt;0),IF($BI29=1,SUM('Final Calculation Sheet'!$O$4:$O$40),IF($BL29=1,SUM('Final Calculation Sheet'!$O$4:$O$40)-SUMIFS('Final Calculation Sheet'!$O$4:$O$40,$AZ$5:$AZ$41,10),SUMIFS('Final Calculation Sheet'!$O$4:$O$40,$AZ$5:$AZ$41,$BH29))),""))</f>
        <v/>
      </c>
      <c r="Q26" t="str">
        <f>IF($BJ29&gt;0,IF(INDEX('Final Calculation Sheet'!$P$4:$P$40,$BJ29-3)="","",INDEX('Final Calculation Sheet'!$P$4:$P$40,$BJ29-3)),IF(OR($BI29=1,$BL29=1,$BH29&gt;0),IF($BI29=1,SUM('Final Calculation Sheet'!$P$4:$P$40),IF($BL29=1,SUM('Final Calculation Sheet'!$P$4:$P$40)-SUMIFS('Final Calculation Sheet'!$P$4:$P$40,$AZ$5:$AZ$41,10),SUMIFS('Final Calculation Sheet'!$P$4:$P$40,$AZ$5:$AZ$41,$BH29))),""))</f>
        <v/>
      </c>
      <c r="R26" t="str">
        <f>IF($BJ29&gt;0,IF(INDEX('Final Calculation Sheet'!$Q$4:$Q$40,$BJ29-3)="","",INDEX('Final Calculation Sheet'!$Q$4:$Q$40,$BJ29-3)),IF(OR($BI29=1,$BL29=1,$BH29&gt;0),"–",""))</f>
        <v/>
      </c>
      <c r="S26" t="str">
        <f>IF($BJ29&gt;0,IF(INDEX('Final Calculation Sheet'!$R$4:$R$40,$BJ29-3)="","",INDEX('Final Calculation Sheet'!$R$4:$R$40,$BJ29-3)),IF(OR($BI29=1,$BL29=1,$BH29&gt;0),IF($BI29=1,SUM('Final Calculation Sheet'!$R$4:$R$40),IF($BL29=1,SUM('Final Calculation Sheet'!$R$4:$R$40)-SUMIFS('Final Calculation Sheet'!$R$4:$R$40,$AZ$5:$AZ$41,10),SUMIFS('Final Calculation Sheet'!$R$4:$R$40,$AZ$5:$AZ$41,$BH29))),""))</f>
        <v/>
      </c>
      <c r="T26" t="str">
        <f>IF($BJ29&gt;0,IF(INDEX('Final Calculation Sheet'!$S$4:$S$40,$BJ29-3)="","",INDEX('Final Calculation Sheet'!$S$4:$S$40,$BJ29-3)),IF(OR($BI29=1,$BL29=1,$BH29&gt;0),IF($BI29=1,SUM('Final Calculation Sheet'!$S$4:$S$40),IF($BL29=1,SUM('Final Calculation Sheet'!$S$4:$S$40)-SUMIFS('Final Calculation Sheet'!$S$4:$S$40,$AZ$5:$AZ$41,10),SUMIFS('Final Calculation Sheet'!$S$4:$S$40,$AZ$5:$AZ$41,$BH29))),""))</f>
        <v/>
      </c>
      <c r="U26" t="str">
        <f>IF($BJ29&gt;0,IF(INDEX('Final Calculation Sheet'!$T$4:$T$40,$BJ29-3)="","",INDEX('Final Calculation Sheet'!$T$4:$T$40,$BJ29-3)),IF(OR($BI29=1,$BL29=1,$BH29&gt;0),IF($BI29=1,SUM('Final Calculation Sheet'!$T$4:$T$40),IF($BL29=1,SUM('Final Calculation Sheet'!$T$4:$T$40)-SUMIFS('Final Calculation Sheet'!$T$4:$T$40,$AZ$5:$AZ$41,10),SUMIFS('Final Calculation Sheet'!$T$4:$T$40,$AZ$5:$AZ$41,$BH29))),""))</f>
        <v/>
      </c>
      <c r="V26" t="str">
        <f>IF($BJ29&gt;0,IF(INDEX('Final Calculation Sheet'!$U$4:$U$40,$BJ29-3)="","",INDEX('Final Calculation Sheet'!$U$4:$U$40,$BJ29-3)),IF(OR($BI29=1,$BL29=1,$BH29&gt;0),IF($BI29=1,SUM('Final Calculation Sheet'!$U$4:$U$40),IF($BL29=1,SUM('Final Calculation Sheet'!$U$4:$U$40)-SUMIFS('Final Calculation Sheet'!$U$4:$U$40,$AZ$5:$AZ$41,10),SUMIFS('Final Calculation Sheet'!$U$4:$U$40,$AZ$5:$AZ$41,$BH29))),""))</f>
        <v/>
      </c>
      <c r="W26" t="str">
        <f>IF($BJ29&gt;0,IF(INDEX('Final Calculation Sheet'!$V$4:$V$40,$BJ29-3)="","",INDEX('Final Calculation Sheet'!$V$4:$V$40,$BJ29-3)),IF(OR($BI29=1,$BL29=1,$BH29&gt;0),"–",""))</f>
        <v/>
      </c>
      <c r="X26" t="str">
        <f>IF($BJ29&gt;0,IF(INDEX('Final Calculation Sheet'!$W$4:$W$40,$BJ29-3)="","",INDEX('Final Calculation Sheet'!$W$4:$W$40,$BJ29-3)),IF(OR($BI29=1,$BL29=1,$BH29&gt;0),IF($BI29=1,SUM('Final Calculation Sheet'!$W$4:$W$40),IF($BL29=1,SUM('Final Calculation Sheet'!$W$4:$W$40)-SUMIFS('Final Calculation Sheet'!$W$4:$W$40,$AZ$5:$AZ$41,10),SUMIFS('Final Calculation Sheet'!$W$4:$W$40,$AZ$5:$AZ$41,$BH29))),""))</f>
        <v/>
      </c>
      <c r="Y26" t="str">
        <f>IF($BJ29&gt;0,IF(INDEX('Final Calculation Sheet'!$X$4:$X$40,$BJ29-3)="","",INDEX('Final Calculation Sheet'!$X$4:$X$40,$BJ29-3)),IF(OR($BI29=1,$BL29=1,$BH29&gt;0),IF($BI29=1,SUM('Final Calculation Sheet'!$X$4:$X$40),IF($BL29=1,SUM('Final Calculation Sheet'!$X$4:$X$40)-SUMIFS('Final Calculation Sheet'!$X$4:$X$40,$AZ$5:$AZ$41,10),SUMIFS('Final Calculation Sheet'!$X$4:$X$40,$AZ$5:$AZ$41,$BH29))),""))</f>
        <v/>
      </c>
      <c r="Z26" t="str">
        <f>IF($BJ29&gt;0,IF(INDEX('Final Calculation Sheet'!$Y$4:$Y$40,$BJ29-3)="","",INDEX('Final Calculation Sheet'!$Y$4:$Y$40,$BJ29-3)),IF(OR($BI29=1,$BL29=1,$BH29&gt;0),"–",""))</f>
        <v/>
      </c>
      <c r="AA26" t="str">
        <f>IF($BJ29&gt;0,IF(INDEX('Final Calculation Sheet'!$Z$4:$Z$40,$BJ29-3)="","",INDEX('Final Calculation Sheet'!$Z$4:$Z$40,$BJ29-3)),IF(OR($BI29=1,$BL29=1,$BH29&gt;0),IF($BI29=1,SUM('Final Calculation Sheet'!$Z$4:$Z$40),IF($BL29=1,SUM('Final Calculation Sheet'!$Z$4:$Z$40)-SUMIFS('Final Calculation Sheet'!$Z$4:$Z$40,$AZ$5:$AZ$41,10),SUMIFS('Final Calculation Sheet'!$Z$4:$Z$40,$AZ$5:$AZ$41,$BH29))),""))</f>
        <v/>
      </c>
      <c r="AB26" t="str">
        <f>IF($BJ29&gt;0,IF(INDEX('Final Calculation Sheet'!$AA$4:$AA$40,$BJ29-3)="","",INDEX('Final Calculation Sheet'!$AA$4:$AA$40,$BJ29-3)),IF(OR($BI29=1,$BL29=1,$BH29&gt;0),IF($BI29=1,SUM('Final Calculation Sheet'!$AA$4:$AA$40),IF($BL29=1,SUM('Final Calculation Sheet'!$AA$4:$AA$40)-SUMIFS('Final Calculation Sheet'!$AA$4:$AA$40,$AZ$5:$AZ$41,10),SUMIFS('Final Calculation Sheet'!$AA$4:$AA$40,$AZ$5:$AZ$41,$BH29))),""))</f>
        <v/>
      </c>
      <c r="AC26" t="str">
        <f>IF($BJ29&gt;0,IF(INDEX('Final Calculation Sheet'!$AB$4:$AB$40,$BJ29-3)="","",INDEX('Final Calculation Sheet'!$AB$4:$AB$40,$BJ29-3)),IF(OR($BI29=1,$BL29=1,$BH29&gt;0),"–",""))</f>
        <v/>
      </c>
      <c r="AD26" t="str">
        <f>IF($BJ29&gt;0,IF(INDEX('Final Calculation Sheet'!$AC$4:$AC$40,$BJ29-3)="","",INDEX('Final Calculation Sheet'!$AC$4:$AC$40,$BJ29-3)),IF(OR($BI29=1,$BL29=1,$BH29&gt;0),IF($BI29=1,SUM('Final Calculation Sheet'!$AC$4:$AC$40),IF($BL29=1,SUM('Final Calculation Sheet'!$AC$4:$AC$40)-SUMIFS('Final Calculation Sheet'!$AC$4:$AC$40,$AZ$5:$AZ$41,10),SUMIFS('Final Calculation Sheet'!$AC$4:$AC$40,$AZ$5:$AZ$41,$BH29))),""))</f>
        <v/>
      </c>
      <c r="AE26" t="str">
        <f>IF($BJ29&gt;0,IF(INDEX('Final Calculation Sheet'!$AD$4:$AD$40,$BJ29-3)="","",INDEX('Final Calculation Sheet'!$AD$4:$AD$40,$BJ29-3)),IF(OR($BI29=1,$BL29=1,$BH29&gt;0),IF($BI29=1,SUM('Final Calculation Sheet'!$AD$4:$AD$40),IF($BL29=1,SUM('Final Calculation Sheet'!$AD$4:$AD$40)-SUMIFS('Final Calculation Sheet'!$AD$4:$AD$40,$AZ$5:$AZ$41,10),SUMIFS('Final Calculation Sheet'!$AD$4:$AD$40,$AZ$5:$AZ$41,$BH29))),""))</f>
        <v/>
      </c>
      <c r="AF26" t="str">
        <f>IF($BJ29&gt;0,IF(INDEX('Final Calculation Sheet'!$AE$4:$AE$40,$BJ29-3)="","",INDEX('Final Calculation Sheet'!$AE$4:$AE$40,$BJ29-3)),IF(OR($BI29=1,$BL29=1,$BH29&gt;0),"–",""))</f>
        <v/>
      </c>
      <c r="AG26" t="str">
        <f>IF($BJ29&gt;0,IF(INDEX('Final Calculation Sheet'!$AF$4:$AF$40,$BJ29-3)="","",INDEX('Final Calculation Sheet'!$AF$4:$AF$40,$BJ29-3)),IF(OR($BI29=1,$BL29=1,$BH29&gt;0),"–",""))</f>
        <v/>
      </c>
      <c r="AH26" t="str">
        <f>IF($BJ29&gt;0,IF(INDEX('Final Calculation Sheet'!$AG$4:$AG$40,$BJ29-3)="","",INDEX('Final Calculation Sheet'!$AG$4:$AG$40,$BJ29-3)),IF(OR($BI29=1,$BL29=1,$BH29&gt;0),"–",""))</f>
        <v/>
      </c>
      <c r="AI26" t="str">
        <f>IF($BJ29&gt;0,IF(INDEX('Final Calculation Sheet'!$AD$4:$AD$40,$BJ29-3)="","",IF(INDEX('Final Calculation Sheet'!$AD$4:$AD$40,$BJ29-3)&lt;=5,"SETTLED","OUTSTANDING")),IF(OR($BI29=1,$BL29=1,$BH29&gt;0),IF(IF($BI29=1,SUM('Final Calculation Sheet'!$AD$4:$AD$40),IF($BL29=1,SUM('Final Calculation Sheet'!$AD$4:$AD$40)-SUMIFS('Final Calculation Sheet'!$AD$4:$AD$40,$AZ$5:$AZ$41,10),SUMIFS('Final Calculation Sheet'!$AD$4:$AD$40,$AZ$5:$AZ$41,$BH29)))&lt;=5,"ALL SETTLED","OUTSTANDING"),""))</f>
        <v/>
      </c>
    </row>
    <row r="27">
      <c r="A27" t="str">
        <f>IF($BJ30&gt;0,INDEX($BA$5:$BA$41,MATCH(30,$BB$5:$BB$41,0)),IF(OR($BI30=1,$BL30=1,$BH30&gt;0),"∑",""))</f>
        <v/>
      </c>
      <c r="B27" t="str">
        <f>IF($BJ30&gt;0,IF(INDEX('Final Calculation Sheet'!$F$4:$F$40,$BJ30-3)="","",INDEX('Final Calculation Sheet'!$F$4:$F$40,$BJ30-3)),"")</f>
        <v/>
      </c>
      <c r="C27" t="str">
        <f>IF($BJ30&gt;0,IF(INDEX('Final Calculation Sheet'!$G$4:$G$40,$BJ30-3)="","",INDEX('Final Calculation Sheet'!$G$4:$G$40,$BJ30-3)),IF(OR($BI30=1,$BL30=1,$BH30&gt;0),IF($BI30=1,37,IF($BL30=1,37-INDEX($BD$4:$BD$13,10),INDEX($BD$4:$BD$13,$BH30)))&amp;" lot(s)",""))</f>
        <v/>
      </c>
      <c r="D27" t="str">
        <f>IF($BJ30&gt;0,IF(INDEX('Final Calculation Sheet'!$B$4:$B$40,$BJ30-3)="","",INDEX('Final Calculation Sheet'!$B$4:$B$40,$BJ30-3)),IF(OR($BI30=1,$BL30=1,$BH30&gt;0),IF($BI30=1,"GRAND TOTAL  —  matching + remaining",IF($BL30=1,"TOTAL MATCHED  —  every group together",IF($BH30=10,"REMAINING  —  did not match the search",IF($BH30=9,IF(COUNTIF($A$4:$AI$4,"&lt;&gt;")&gt;0,"FILTERED LOTS  —  column fields","ALL LOTS  —  nothing typed in the box"),"GROUP "&amp;$BH30&amp;" TOTAL  —  lots matching  "&amp;INDEX($AR$6:$AY$6,$BH30))))),""))</f>
        <v/>
      </c>
      <c r="E27" t="str">
        <f>IF($BJ30&gt;0,IF(INDEX('Final Calculation Sheet'!$D$4:$D$40,$BJ30-3)="","",INDEX('Final Calculation Sheet'!$D$4:$D$40,$BJ30-3)),IF(OR($BI30=1,$BL30=1,$BH30&gt;0),"–",""))</f>
        <v/>
      </c>
      <c r="F27" t="str">
        <f>IF($BJ30&gt;0,IF(INDEX('Final Calculation Sheet'!$A$4:$A$40,$BJ30-3)="","",INDEX('Final Calculation Sheet'!$A$4:$A$40,$BJ30-3)),IF(OR($BI30=1,$BL30=1,$BH30&gt;0),IF($BI30=1,SUM('Final Calculation Sheet'!$A$4:$A$40),IF($BL30=1,SUM('Final Calculation Sheet'!$A$4:$A$40)-SUMIFS('Final Calculation Sheet'!$A$4:$A$40,$AZ$5:$AZ$41,10),SUMIFS('Final Calculation Sheet'!$A$4:$A$40,$AZ$5:$AZ$41,$BH30))),""))</f>
        <v/>
      </c>
      <c r="G27" t="str">
        <f>IF($BJ30&gt;0,IF(INDEX('Final Calculation Sheet'!$E$4:$E$40,$BJ30-3)="","",INDEX('Final Calculation Sheet'!$E$4:$E$40,$BJ30-3)),IF(OR($BI30=1,$BL30=1,$BH30&gt;0),"–",""))</f>
        <v/>
      </c>
      <c r="H27" t="str">
        <f>IF($BJ30&gt;0,IF(INDEX('Final Calculation Sheet'!$C$4:$C$40,$BJ30-3)="","",INDEX('Final Calculation Sheet'!$C$4:$C$40,$BJ30-3)),IF(OR($BI30=1,$BL30=1,$BH30&gt;0),"–",""))</f>
        <v/>
      </c>
      <c r="I27" t="str">
        <f>IF($BJ30&gt;0,IF(INDEX('Final Calculation Sheet'!$H$4:$H$40,$BJ30-3)="","",INDEX('Final Calculation Sheet'!$H$4:$H$40,$BJ30-3)),IF(OR($BI30=1,$BL30=1,$BH30&gt;0),IF($BI30=1,SUM('Final Calculation Sheet'!$H$4:$H$40),IF($BL30=1,SUM('Final Calculation Sheet'!$H$4:$H$40)-SUMIFS('Final Calculation Sheet'!$H$4:$H$40,$AZ$5:$AZ$41,10),SUMIFS('Final Calculation Sheet'!$H$4:$H$40,$AZ$5:$AZ$41,$BH30))),""))</f>
        <v/>
      </c>
      <c r="J27" t="str">
        <f>IF($BJ30&gt;0,IF(INDEX('Final Calculation Sheet'!$I$4:$I$40,$BJ30-3)="","",INDEX('Final Calculation Sheet'!$I$4:$I$40,$BJ30-3)),IF(OR($BI30=1,$BL30=1,$BH30&gt;0),IF($BI30=1,SUM('Final Calculation Sheet'!$I$4:$I$40),IF($BL30=1,SUM('Final Calculation Sheet'!$I$4:$I$40)-SUMIFS('Final Calculation Sheet'!$I$4:$I$40,$AZ$5:$AZ$41,10),SUMIFS('Final Calculation Sheet'!$I$4:$I$40,$AZ$5:$AZ$41,$BH30))),""))</f>
        <v/>
      </c>
      <c r="K27" t="str">
        <f>IF($BJ30&gt;0,IF(INDEX('Final Calculation Sheet'!$J$4:$J$40,$BJ30-3)="","",INDEX('Final Calculation Sheet'!$J$4:$J$40,$BJ30-3)),IF(OR($BI30=1,$BL30=1,$BH30&gt;0),IF($BI30=1,SUM('Final Calculation Sheet'!$J$4:$J$40),IF($BL30=1,SUM('Final Calculation Sheet'!$J$4:$J$40)-SUMIFS('Final Calculation Sheet'!$J$4:$J$40,$AZ$5:$AZ$41,10),SUMIFS('Final Calculation Sheet'!$J$4:$J$40,$AZ$5:$AZ$41,$BH30))),""))</f>
        <v/>
      </c>
      <c r="L27" t="str">
        <f>IF($BJ30&gt;0,IF(INDEX('Final Calculation Sheet'!$K$4:$K$40,$BJ30-3)="","",INDEX('Final Calculation Sheet'!$K$4:$K$40,$BJ30-3)),IF(OR($BI30=1,$BL30=1,$BH30&gt;0),IF($BI30=1,SUM('Final Calculation Sheet'!$K$4:$K$40),IF($BL30=1,SUM('Final Calculation Sheet'!$K$4:$K$40)-SUMIFS('Final Calculation Sheet'!$K$4:$K$40,$AZ$5:$AZ$41,10),SUMIFS('Final Calculation Sheet'!$K$4:$K$40,$AZ$5:$AZ$41,$BH30))),""))</f>
        <v/>
      </c>
      <c r="M27" t="str">
        <f>IF($BJ30&gt;0,IF(INDEX('Final Calculation Sheet'!$L$4:$L$40,$BJ30-3)="","",INDEX('Final Calculation Sheet'!$L$4:$L$40,$BJ30-3)),IF(OR($BI30=1,$BL30=1,$BH30&gt;0),IF($BI30=1,SUM('Final Calculation Sheet'!$L$4:$L$40),IF($BL30=1,SUM('Final Calculation Sheet'!$L$4:$L$40)-SUMIFS('Final Calculation Sheet'!$L$4:$L$40,$AZ$5:$AZ$41,10),SUMIFS('Final Calculation Sheet'!$L$4:$L$40,$AZ$5:$AZ$41,$BH30))),""))</f>
        <v/>
      </c>
      <c r="N27" t="str">
        <f>IF($BJ30&gt;0,IF(INDEX('Final Calculation Sheet'!$M$4:$M$40,$BJ30-3)="","",INDEX('Final Calculation Sheet'!$M$4:$M$40,$BJ30-3)),IF(OR($BI30=1,$BL30=1,$BH30&gt;0),IF($BI30=1,SUM('Final Calculation Sheet'!$M$4:$M$40),IF($BL30=1,SUM('Final Calculation Sheet'!$M$4:$M$40)-SUMIFS('Final Calculation Sheet'!$M$4:$M$40,$AZ$5:$AZ$41,10),SUMIFS('Final Calculation Sheet'!$M$4:$M$40,$AZ$5:$AZ$41,$BH30))),""))</f>
        <v/>
      </c>
      <c r="O27" t="str">
        <f>IF($BJ30&gt;0,IF(INDEX('Final Calculation Sheet'!$N$4:$N$40,$BJ30-3)="","",INDEX('Final Calculation Sheet'!$N$4:$N$40,$BJ30-3)),IF(OR($BI30=1,$BL30=1,$BH30&gt;0),IF($BI30=1,SUM('Final Calculation Sheet'!$N$4:$N$40),IF($BL30=1,SUM('Final Calculation Sheet'!$N$4:$N$40)-SUMIFS('Final Calculation Sheet'!$N$4:$N$40,$AZ$5:$AZ$41,10),SUMIFS('Final Calculation Sheet'!$N$4:$N$40,$AZ$5:$AZ$41,$BH30))),""))</f>
        <v/>
      </c>
      <c r="P27" t="str">
        <f>IF($BJ30&gt;0,IF(INDEX('Final Calculation Sheet'!$O$4:$O$40,$BJ30-3)="","",INDEX('Final Calculation Sheet'!$O$4:$O$40,$BJ30-3)),IF(OR($BI30=1,$BL30=1,$BH30&gt;0),IF($BI30=1,SUM('Final Calculation Sheet'!$O$4:$O$40),IF($BL30=1,SUM('Final Calculation Sheet'!$O$4:$O$40)-SUMIFS('Final Calculation Sheet'!$O$4:$O$40,$AZ$5:$AZ$41,10),SUMIFS('Final Calculation Sheet'!$O$4:$O$40,$AZ$5:$AZ$41,$BH30))),""))</f>
        <v/>
      </c>
      <c r="Q27" t="str">
        <f>IF($BJ30&gt;0,IF(INDEX('Final Calculation Sheet'!$P$4:$P$40,$BJ30-3)="","",INDEX('Final Calculation Sheet'!$P$4:$P$40,$BJ30-3)),IF(OR($BI30=1,$BL30=1,$BH30&gt;0),IF($BI30=1,SUM('Final Calculation Sheet'!$P$4:$P$40),IF($BL30=1,SUM('Final Calculation Sheet'!$P$4:$P$40)-SUMIFS('Final Calculation Sheet'!$P$4:$P$40,$AZ$5:$AZ$41,10),SUMIFS('Final Calculation Sheet'!$P$4:$P$40,$AZ$5:$AZ$41,$BH30))),""))</f>
        <v/>
      </c>
      <c r="R27" t="str">
        <f>IF($BJ30&gt;0,IF(INDEX('Final Calculation Sheet'!$Q$4:$Q$40,$BJ30-3)="","",INDEX('Final Calculation Sheet'!$Q$4:$Q$40,$BJ30-3)),IF(OR($BI30=1,$BL30=1,$BH30&gt;0),"–",""))</f>
        <v/>
      </c>
      <c r="S27" t="str">
        <f>IF($BJ30&gt;0,IF(INDEX('Final Calculation Sheet'!$R$4:$R$40,$BJ30-3)="","",INDEX('Final Calculation Sheet'!$R$4:$R$40,$BJ30-3)),IF(OR($BI30=1,$BL30=1,$BH30&gt;0),IF($BI30=1,SUM('Final Calculation Sheet'!$R$4:$R$40),IF($BL30=1,SUM('Final Calculation Sheet'!$R$4:$R$40)-SUMIFS('Final Calculation Sheet'!$R$4:$R$40,$AZ$5:$AZ$41,10),SUMIFS('Final Calculation Sheet'!$R$4:$R$40,$AZ$5:$AZ$41,$BH30))),""))</f>
        <v/>
      </c>
      <c r="T27" t="str">
        <f>IF($BJ30&gt;0,IF(INDEX('Final Calculation Sheet'!$S$4:$S$40,$BJ30-3)="","",INDEX('Final Calculation Sheet'!$S$4:$S$40,$BJ30-3)),IF(OR($BI30=1,$BL30=1,$BH30&gt;0),IF($BI30=1,SUM('Final Calculation Sheet'!$S$4:$S$40),IF($BL30=1,SUM('Final Calculation Sheet'!$S$4:$S$40)-SUMIFS('Final Calculation Sheet'!$S$4:$S$40,$AZ$5:$AZ$41,10),SUMIFS('Final Calculation Sheet'!$S$4:$S$40,$AZ$5:$AZ$41,$BH30))),""))</f>
        <v/>
      </c>
      <c r="U27" t="str">
        <f>IF($BJ30&gt;0,IF(INDEX('Final Calculation Sheet'!$T$4:$T$40,$BJ30-3)="","",INDEX('Final Calculation Sheet'!$T$4:$T$40,$BJ30-3)),IF(OR($BI30=1,$BL30=1,$BH30&gt;0),IF($BI30=1,SUM('Final Calculation Sheet'!$T$4:$T$40),IF($BL30=1,SUM('Final Calculation Sheet'!$T$4:$T$40)-SUMIFS('Final Calculation Sheet'!$T$4:$T$40,$AZ$5:$AZ$41,10),SUMIFS('Final Calculation Sheet'!$T$4:$T$40,$AZ$5:$AZ$41,$BH30))),""))</f>
        <v/>
      </c>
      <c r="V27" t="str">
        <f>IF($BJ30&gt;0,IF(INDEX('Final Calculation Sheet'!$U$4:$U$40,$BJ30-3)="","",INDEX('Final Calculation Sheet'!$U$4:$U$40,$BJ30-3)),IF(OR($BI30=1,$BL30=1,$BH30&gt;0),IF($BI30=1,SUM('Final Calculation Sheet'!$U$4:$U$40),IF($BL30=1,SUM('Final Calculation Sheet'!$U$4:$U$40)-SUMIFS('Final Calculation Sheet'!$U$4:$U$40,$AZ$5:$AZ$41,10),SUMIFS('Final Calculation Sheet'!$U$4:$U$40,$AZ$5:$AZ$41,$BH30))),""))</f>
        <v/>
      </c>
      <c r="W27" t="str">
        <f>IF($BJ30&gt;0,IF(INDEX('Final Calculation Sheet'!$V$4:$V$40,$BJ30-3)="","",INDEX('Final Calculation Sheet'!$V$4:$V$40,$BJ30-3)),IF(OR($BI30=1,$BL30=1,$BH30&gt;0),"–",""))</f>
        <v/>
      </c>
      <c r="X27" t="str">
        <f>IF($BJ30&gt;0,IF(INDEX('Final Calculation Sheet'!$W$4:$W$40,$BJ30-3)="","",INDEX('Final Calculation Sheet'!$W$4:$W$40,$BJ30-3)),IF(OR($BI30=1,$BL30=1,$BH30&gt;0),IF($BI30=1,SUM('Final Calculation Sheet'!$W$4:$W$40),IF($BL30=1,SUM('Final Calculation Sheet'!$W$4:$W$40)-SUMIFS('Final Calculation Sheet'!$W$4:$W$40,$AZ$5:$AZ$41,10),SUMIFS('Final Calculation Sheet'!$W$4:$W$40,$AZ$5:$AZ$41,$BH30))),""))</f>
        <v/>
      </c>
      <c r="Y27" t="str">
        <f>IF($BJ30&gt;0,IF(INDEX('Final Calculation Sheet'!$X$4:$X$40,$BJ30-3)="","",INDEX('Final Calculation Sheet'!$X$4:$X$40,$BJ30-3)),IF(OR($BI30=1,$BL30=1,$BH30&gt;0),IF($BI30=1,SUM('Final Calculation Sheet'!$X$4:$X$40),IF($BL30=1,SUM('Final Calculation Sheet'!$X$4:$X$40)-SUMIFS('Final Calculation Sheet'!$X$4:$X$40,$AZ$5:$AZ$41,10),SUMIFS('Final Calculation Sheet'!$X$4:$X$40,$AZ$5:$AZ$41,$BH30))),""))</f>
        <v/>
      </c>
      <c r="Z27" t="str">
        <f>IF($BJ30&gt;0,IF(INDEX('Final Calculation Sheet'!$Y$4:$Y$40,$BJ30-3)="","",INDEX('Final Calculation Sheet'!$Y$4:$Y$40,$BJ30-3)),IF(OR($BI30=1,$BL30=1,$BH30&gt;0),"–",""))</f>
        <v/>
      </c>
      <c r="AA27" t="str">
        <f>IF($BJ30&gt;0,IF(INDEX('Final Calculation Sheet'!$Z$4:$Z$40,$BJ30-3)="","",INDEX('Final Calculation Sheet'!$Z$4:$Z$40,$BJ30-3)),IF(OR($BI30=1,$BL30=1,$BH30&gt;0),IF($BI30=1,SUM('Final Calculation Sheet'!$Z$4:$Z$40),IF($BL30=1,SUM('Final Calculation Sheet'!$Z$4:$Z$40)-SUMIFS('Final Calculation Sheet'!$Z$4:$Z$40,$AZ$5:$AZ$41,10),SUMIFS('Final Calculation Sheet'!$Z$4:$Z$40,$AZ$5:$AZ$41,$BH30))),""))</f>
        <v/>
      </c>
      <c r="AB27" t="str">
        <f>IF($BJ30&gt;0,IF(INDEX('Final Calculation Sheet'!$AA$4:$AA$40,$BJ30-3)="","",INDEX('Final Calculation Sheet'!$AA$4:$AA$40,$BJ30-3)),IF(OR($BI30=1,$BL30=1,$BH30&gt;0),IF($BI30=1,SUM('Final Calculation Sheet'!$AA$4:$AA$40),IF($BL30=1,SUM('Final Calculation Sheet'!$AA$4:$AA$40)-SUMIFS('Final Calculation Sheet'!$AA$4:$AA$40,$AZ$5:$AZ$41,10),SUMIFS('Final Calculation Sheet'!$AA$4:$AA$40,$AZ$5:$AZ$41,$BH30))),""))</f>
        <v/>
      </c>
      <c r="AC27" t="str">
        <f>IF($BJ30&gt;0,IF(INDEX('Final Calculation Sheet'!$AB$4:$AB$40,$BJ30-3)="","",INDEX('Final Calculation Sheet'!$AB$4:$AB$40,$BJ30-3)),IF(OR($BI30=1,$BL30=1,$BH30&gt;0),"–",""))</f>
        <v/>
      </c>
      <c r="AD27" t="str">
        <f>IF($BJ30&gt;0,IF(INDEX('Final Calculation Sheet'!$AC$4:$AC$40,$BJ30-3)="","",INDEX('Final Calculation Sheet'!$AC$4:$AC$40,$BJ30-3)),IF(OR($BI30=1,$BL30=1,$BH30&gt;0),IF($BI30=1,SUM('Final Calculation Sheet'!$AC$4:$AC$40),IF($BL30=1,SUM('Final Calculation Sheet'!$AC$4:$AC$40)-SUMIFS('Final Calculation Sheet'!$AC$4:$AC$40,$AZ$5:$AZ$41,10),SUMIFS('Final Calculation Sheet'!$AC$4:$AC$40,$AZ$5:$AZ$41,$BH30))),""))</f>
        <v/>
      </c>
      <c r="AE27" t="str">
        <f>IF($BJ30&gt;0,IF(INDEX('Final Calculation Sheet'!$AD$4:$AD$40,$BJ30-3)="","",INDEX('Final Calculation Sheet'!$AD$4:$AD$40,$BJ30-3)),IF(OR($BI30=1,$BL30=1,$BH30&gt;0),IF($BI30=1,SUM('Final Calculation Sheet'!$AD$4:$AD$40),IF($BL30=1,SUM('Final Calculation Sheet'!$AD$4:$AD$40)-SUMIFS('Final Calculation Sheet'!$AD$4:$AD$40,$AZ$5:$AZ$41,10),SUMIFS('Final Calculation Sheet'!$AD$4:$AD$40,$AZ$5:$AZ$41,$BH30))),""))</f>
        <v/>
      </c>
      <c r="AF27" t="str">
        <f>IF($BJ30&gt;0,IF(INDEX('Final Calculation Sheet'!$AE$4:$AE$40,$BJ30-3)="","",INDEX('Final Calculation Sheet'!$AE$4:$AE$40,$BJ30-3)),IF(OR($BI30=1,$BL30=1,$BH30&gt;0),"–",""))</f>
        <v/>
      </c>
      <c r="AG27" t="str">
        <f>IF($BJ30&gt;0,IF(INDEX('Final Calculation Sheet'!$AF$4:$AF$40,$BJ30-3)="","",INDEX('Final Calculation Sheet'!$AF$4:$AF$40,$BJ30-3)),IF(OR($BI30=1,$BL30=1,$BH30&gt;0),"–",""))</f>
        <v/>
      </c>
      <c r="AH27" t="str">
        <f>IF($BJ30&gt;0,IF(INDEX('Final Calculation Sheet'!$AG$4:$AG$40,$BJ30-3)="","",INDEX('Final Calculation Sheet'!$AG$4:$AG$40,$BJ30-3)),IF(OR($BI30=1,$BL30=1,$BH30&gt;0),"–",""))</f>
        <v/>
      </c>
      <c r="AI27" t="str">
        <f>IF($BJ30&gt;0,IF(INDEX('Final Calculation Sheet'!$AD$4:$AD$40,$BJ30-3)="","",IF(INDEX('Final Calculation Sheet'!$AD$4:$AD$40,$BJ30-3)&lt;=5,"SETTLED","OUTSTANDING")),IF(OR($BI30=1,$BL30=1,$BH30&gt;0),IF(IF($BI30=1,SUM('Final Calculation Sheet'!$AD$4:$AD$40),IF($BL30=1,SUM('Final Calculation Sheet'!$AD$4:$AD$40)-SUMIFS('Final Calculation Sheet'!$AD$4:$AD$40,$AZ$5:$AZ$41,10),SUMIFS('Final Calculation Sheet'!$AD$4:$AD$40,$AZ$5:$AZ$41,$BH30)))&lt;=5,"ALL SETTLED","OUTSTANDING"),""))</f>
        <v/>
      </c>
    </row>
    <row r="28">
      <c r="A28" t="str">
        <f>IF($BJ31&gt;0,INDEX($BA$5:$BA$41,MATCH(31,$BB$5:$BB$41,0)),IF(OR($BI31=1,$BL31=1,$BH31&gt;0),"∑",""))</f>
        <v/>
      </c>
      <c r="B28" t="str">
        <f>IF($BJ31&gt;0,IF(INDEX('Final Calculation Sheet'!$F$4:$F$40,$BJ31-3)="","",INDEX('Final Calculation Sheet'!$F$4:$F$40,$BJ31-3)),"")</f>
        <v/>
      </c>
      <c r="C28" t="str">
        <f>IF($BJ31&gt;0,IF(INDEX('Final Calculation Sheet'!$G$4:$G$40,$BJ31-3)="","",INDEX('Final Calculation Sheet'!$G$4:$G$40,$BJ31-3)),IF(OR($BI31=1,$BL31=1,$BH31&gt;0),IF($BI31=1,37,IF($BL31=1,37-INDEX($BD$4:$BD$13,10),INDEX($BD$4:$BD$13,$BH31)))&amp;" lot(s)",""))</f>
        <v/>
      </c>
      <c r="D28" t="str">
        <f>IF($BJ31&gt;0,IF(INDEX('Final Calculation Sheet'!$B$4:$B$40,$BJ31-3)="","",INDEX('Final Calculation Sheet'!$B$4:$B$40,$BJ31-3)),IF(OR($BI31=1,$BL31=1,$BH31&gt;0),IF($BI31=1,"GRAND TOTAL  —  matching + remaining",IF($BL31=1,"TOTAL MATCHED  —  every group together",IF($BH31=10,"REMAINING  —  did not match the search",IF($BH31=9,IF(COUNTIF($A$4:$AI$4,"&lt;&gt;")&gt;0,"FILTERED LOTS  —  column fields","ALL LOTS  —  nothing typed in the box"),"GROUP "&amp;$BH31&amp;" TOTAL  —  lots matching  "&amp;INDEX($AR$6:$AY$6,$BH31))))),""))</f>
        <v/>
      </c>
      <c r="E28" t="str">
        <f>IF($BJ31&gt;0,IF(INDEX('Final Calculation Sheet'!$D$4:$D$40,$BJ31-3)="","",INDEX('Final Calculation Sheet'!$D$4:$D$40,$BJ31-3)),IF(OR($BI31=1,$BL31=1,$BH31&gt;0),"–",""))</f>
        <v/>
      </c>
      <c r="F28" t="str">
        <f>IF($BJ31&gt;0,IF(INDEX('Final Calculation Sheet'!$A$4:$A$40,$BJ31-3)="","",INDEX('Final Calculation Sheet'!$A$4:$A$40,$BJ31-3)),IF(OR($BI31=1,$BL31=1,$BH31&gt;0),IF($BI31=1,SUM('Final Calculation Sheet'!$A$4:$A$40),IF($BL31=1,SUM('Final Calculation Sheet'!$A$4:$A$40)-SUMIFS('Final Calculation Sheet'!$A$4:$A$40,$AZ$5:$AZ$41,10),SUMIFS('Final Calculation Sheet'!$A$4:$A$40,$AZ$5:$AZ$41,$BH31))),""))</f>
        <v/>
      </c>
      <c r="G28" t="str">
        <f>IF($BJ31&gt;0,IF(INDEX('Final Calculation Sheet'!$E$4:$E$40,$BJ31-3)="","",INDEX('Final Calculation Sheet'!$E$4:$E$40,$BJ31-3)),IF(OR($BI31=1,$BL31=1,$BH31&gt;0),"–",""))</f>
        <v/>
      </c>
      <c r="H28" t="str">
        <f>IF($BJ31&gt;0,IF(INDEX('Final Calculation Sheet'!$C$4:$C$40,$BJ31-3)="","",INDEX('Final Calculation Sheet'!$C$4:$C$40,$BJ31-3)),IF(OR($BI31=1,$BL31=1,$BH31&gt;0),"–",""))</f>
        <v/>
      </c>
      <c r="I28" t="str">
        <f>IF($BJ31&gt;0,IF(INDEX('Final Calculation Sheet'!$H$4:$H$40,$BJ31-3)="","",INDEX('Final Calculation Sheet'!$H$4:$H$40,$BJ31-3)),IF(OR($BI31=1,$BL31=1,$BH31&gt;0),IF($BI31=1,SUM('Final Calculation Sheet'!$H$4:$H$40),IF($BL31=1,SUM('Final Calculation Sheet'!$H$4:$H$40)-SUMIFS('Final Calculation Sheet'!$H$4:$H$40,$AZ$5:$AZ$41,10),SUMIFS('Final Calculation Sheet'!$H$4:$H$40,$AZ$5:$AZ$41,$BH31))),""))</f>
        <v/>
      </c>
      <c r="J28" t="str">
        <f>IF($BJ31&gt;0,IF(INDEX('Final Calculation Sheet'!$I$4:$I$40,$BJ31-3)="","",INDEX('Final Calculation Sheet'!$I$4:$I$40,$BJ31-3)),IF(OR($BI31=1,$BL31=1,$BH31&gt;0),IF($BI31=1,SUM('Final Calculation Sheet'!$I$4:$I$40),IF($BL31=1,SUM('Final Calculation Sheet'!$I$4:$I$40)-SUMIFS('Final Calculation Sheet'!$I$4:$I$40,$AZ$5:$AZ$41,10),SUMIFS('Final Calculation Sheet'!$I$4:$I$40,$AZ$5:$AZ$41,$BH31))),""))</f>
        <v/>
      </c>
      <c r="K28" t="str">
        <f>IF($BJ31&gt;0,IF(INDEX('Final Calculation Sheet'!$J$4:$J$40,$BJ31-3)="","",INDEX('Final Calculation Sheet'!$J$4:$J$40,$BJ31-3)),IF(OR($BI31=1,$BL31=1,$BH31&gt;0),IF($BI31=1,SUM('Final Calculation Sheet'!$J$4:$J$40),IF($BL31=1,SUM('Final Calculation Sheet'!$J$4:$J$40)-SUMIFS('Final Calculation Sheet'!$J$4:$J$40,$AZ$5:$AZ$41,10),SUMIFS('Final Calculation Sheet'!$J$4:$J$40,$AZ$5:$AZ$41,$BH31))),""))</f>
        <v/>
      </c>
      <c r="L28" t="str">
        <f>IF($BJ31&gt;0,IF(INDEX('Final Calculation Sheet'!$K$4:$K$40,$BJ31-3)="","",INDEX('Final Calculation Sheet'!$K$4:$K$40,$BJ31-3)),IF(OR($BI31=1,$BL31=1,$BH31&gt;0),IF($BI31=1,SUM('Final Calculation Sheet'!$K$4:$K$40),IF($BL31=1,SUM('Final Calculation Sheet'!$K$4:$K$40)-SUMIFS('Final Calculation Sheet'!$K$4:$K$40,$AZ$5:$AZ$41,10),SUMIFS('Final Calculation Sheet'!$K$4:$K$40,$AZ$5:$AZ$41,$BH31))),""))</f>
        <v/>
      </c>
      <c r="M28" t="str">
        <f>IF($BJ31&gt;0,IF(INDEX('Final Calculation Sheet'!$L$4:$L$40,$BJ31-3)="","",INDEX('Final Calculation Sheet'!$L$4:$L$40,$BJ31-3)),IF(OR($BI31=1,$BL31=1,$BH31&gt;0),IF($BI31=1,SUM('Final Calculation Sheet'!$L$4:$L$40),IF($BL31=1,SUM('Final Calculation Sheet'!$L$4:$L$40)-SUMIFS('Final Calculation Sheet'!$L$4:$L$40,$AZ$5:$AZ$41,10),SUMIFS('Final Calculation Sheet'!$L$4:$L$40,$AZ$5:$AZ$41,$BH31))),""))</f>
        <v/>
      </c>
      <c r="N28" t="str">
        <f>IF($BJ31&gt;0,IF(INDEX('Final Calculation Sheet'!$M$4:$M$40,$BJ31-3)="","",INDEX('Final Calculation Sheet'!$M$4:$M$40,$BJ31-3)),IF(OR($BI31=1,$BL31=1,$BH31&gt;0),IF($BI31=1,SUM('Final Calculation Sheet'!$M$4:$M$40),IF($BL31=1,SUM('Final Calculation Sheet'!$M$4:$M$40)-SUMIFS('Final Calculation Sheet'!$M$4:$M$40,$AZ$5:$AZ$41,10),SUMIFS('Final Calculation Sheet'!$M$4:$M$40,$AZ$5:$AZ$41,$BH31))),""))</f>
        <v/>
      </c>
      <c r="O28" t="str">
        <f>IF($BJ31&gt;0,IF(INDEX('Final Calculation Sheet'!$N$4:$N$40,$BJ31-3)="","",INDEX('Final Calculation Sheet'!$N$4:$N$40,$BJ31-3)),IF(OR($BI31=1,$BL31=1,$BH31&gt;0),IF($BI31=1,SUM('Final Calculation Sheet'!$N$4:$N$40),IF($BL31=1,SUM('Final Calculation Sheet'!$N$4:$N$40)-SUMIFS('Final Calculation Sheet'!$N$4:$N$40,$AZ$5:$AZ$41,10),SUMIFS('Final Calculation Sheet'!$N$4:$N$40,$AZ$5:$AZ$41,$BH31))),""))</f>
        <v/>
      </c>
      <c r="P28" t="str">
        <f>IF($BJ31&gt;0,IF(INDEX('Final Calculation Sheet'!$O$4:$O$40,$BJ31-3)="","",INDEX('Final Calculation Sheet'!$O$4:$O$40,$BJ31-3)),IF(OR($BI31=1,$BL31=1,$BH31&gt;0),IF($BI31=1,SUM('Final Calculation Sheet'!$O$4:$O$40),IF($BL31=1,SUM('Final Calculation Sheet'!$O$4:$O$40)-SUMIFS('Final Calculation Sheet'!$O$4:$O$40,$AZ$5:$AZ$41,10),SUMIFS('Final Calculation Sheet'!$O$4:$O$40,$AZ$5:$AZ$41,$BH31))),""))</f>
        <v/>
      </c>
      <c r="Q28" t="str">
        <f>IF($BJ31&gt;0,IF(INDEX('Final Calculation Sheet'!$P$4:$P$40,$BJ31-3)="","",INDEX('Final Calculation Sheet'!$P$4:$P$40,$BJ31-3)),IF(OR($BI31=1,$BL31=1,$BH31&gt;0),IF($BI31=1,SUM('Final Calculation Sheet'!$P$4:$P$40),IF($BL31=1,SUM('Final Calculation Sheet'!$P$4:$P$40)-SUMIFS('Final Calculation Sheet'!$P$4:$P$40,$AZ$5:$AZ$41,10),SUMIFS('Final Calculation Sheet'!$P$4:$P$40,$AZ$5:$AZ$41,$BH31))),""))</f>
        <v/>
      </c>
      <c r="R28" t="str">
        <f>IF($BJ31&gt;0,IF(INDEX('Final Calculation Sheet'!$Q$4:$Q$40,$BJ31-3)="","",INDEX('Final Calculation Sheet'!$Q$4:$Q$40,$BJ31-3)),IF(OR($BI31=1,$BL31=1,$BH31&gt;0),"–",""))</f>
        <v/>
      </c>
      <c r="S28" t="str">
        <f>IF($BJ31&gt;0,IF(INDEX('Final Calculation Sheet'!$R$4:$R$40,$BJ31-3)="","",INDEX('Final Calculation Sheet'!$R$4:$R$40,$BJ31-3)),IF(OR($BI31=1,$BL31=1,$BH31&gt;0),IF($BI31=1,SUM('Final Calculation Sheet'!$R$4:$R$40),IF($BL31=1,SUM('Final Calculation Sheet'!$R$4:$R$40)-SUMIFS('Final Calculation Sheet'!$R$4:$R$40,$AZ$5:$AZ$41,10),SUMIFS('Final Calculation Sheet'!$R$4:$R$40,$AZ$5:$AZ$41,$BH31))),""))</f>
        <v/>
      </c>
      <c r="T28" t="str">
        <f>IF($BJ31&gt;0,IF(INDEX('Final Calculation Sheet'!$S$4:$S$40,$BJ31-3)="","",INDEX('Final Calculation Sheet'!$S$4:$S$40,$BJ31-3)),IF(OR($BI31=1,$BL31=1,$BH31&gt;0),IF($BI31=1,SUM('Final Calculation Sheet'!$S$4:$S$40),IF($BL31=1,SUM('Final Calculation Sheet'!$S$4:$S$40)-SUMIFS('Final Calculation Sheet'!$S$4:$S$40,$AZ$5:$AZ$41,10),SUMIFS('Final Calculation Sheet'!$S$4:$S$40,$AZ$5:$AZ$41,$BH31))),""))</f>
        <v/>
      </c>
      <c r="U28" t="str">
        <f>IF($BJ31&gt;0,IF(INDEX('Final Calculation Sheet'!$T$4:$T$40,$BJ31-3)="","",INDEX('Final Calculation Sheet'!$T$4:$T$40,$BJ31-3)),IF(OR($BI31=1,$BL31=1,$BH31&gt;0),IF($BI31=1,SUM('Final Calculation Sheet'!$T$4:$T$40),IF($BL31=1,SUM('Final Calculation Sheet'!$T$4:$T$40)-SUMIFS('Final Calculation Sheet'!$T$4:$T$40,$AZ$5:$AZ$41,10),SUMIFS('Final Calculation Sheet'!$T$4:$T$40,$AZ$5:$AZ$41,$BH31))),""))</f>
        <v/>
      </c>
      <c r="V28" t="str">
        <f>IF($BJ31&gt;0,IF(INDEX('Final Calculation Sheet'!$U$4:$U$40,$BJ31-3)="","",INDEX('Final Calculation Sheet'!$U$4:$U$40,$BJ31-3)),IF(OR($BI31=1,$BL31=1,$BH31&gt;0),IF($BI31=1,SUM('Final Calculation Sheet'!$U$4:$U$40),IF($BL31=1,SUM('Final Calculation Sheet'!$U$4:$U$40)-SUMIFS('Final Calculation Sheet'!$U$4:$U$40,$AZ$5:$AZ$41,10),SUMIFS('Final Calculation Sheet'!$U$4:$U$40,$AZ$5:$AZ$41,$BH31))),""))</f>
        <v/>
      </c>
      <c r="W28" t="str">
        <f>IF($BJ31&gt;0,IF(INDEX('Final Calculation Sheet'!$V$4:$V$40,$BJ31-3)="","",INDEX('Final Calculation Sheet'!$V$4:$V$40,$BJ31-3)),IF(OR($BI31=1,$BL31=1,$BH31&gt;0),"–",""))</f>
        <v/>
      </c>
      <c r="X28" t="str">
        <f>IF($BJ31&gt;0,IF(INDEX('Final Calculation Sheet'!$W$4:$W$40,$BJ31-3)="","",INDEX('Final Calculation Sheet'!$W$4:$W$40,$BJ31-3)),IF(OR($BI31=1,$BL31=1,$BH31&gt;0),IF($BI31=1,SUM('Final Calculation Sheet'!$W$4:$W$40),IF($BL31=1,SUM('Final Calculation Sheet'!$W$4:$W$40)-SUMIFS('Final Calculation Sheet'!$W$4:$W$40,$AZ$5:$AZ$41,10),SUMIFS('Final Calculation Sheet'!$W$4:$W$40,$AZ$5:$AZ$41,$BH31))),""))</f>
        <v/>
      </c>
      <c r="Y28" t="str">
        <f>IF($BJ31&gt;0,IF(INDEX('Final Calculation Sheet'!$X$4:$X$40,$BJ31-3)="","",INDEX('Final Calculation Sheet'!$X$4:$X$40,$BJ31-3)),IF(OR($BI31=1,$BL31=1,$BH31&gt;0),IF($BI31=1,SUM('Final Calculation Sheet'!$X$4:$X$40),IF($BL31=1,SUM('Final Calculation Sheet'!$X$4:$X$40)-SUMIFS('Final Calculation Sheet'!$X$4:$X$40,$AZ$5:$AZ$41,10),SUMIFS('Final Calculation Sheet'!$X$4:$X$40,$AZ$5:$AZ$41,$BH31))),""))</f>
        <v/>
      </c>
      <c r="Z28" t="str">
        <f>IF($BJ31&gt;0,IF(INDEX('Final Calculation Sheet'!$Y$4:$Y$40,$BJ31-3)="","",INDEX('Final Calculation Sheet'!$Y$4:$Y$40,$BJ31-3)),IF(OR($BI31=1,$BL31=1,$BH31&gt;0),"–",""))</f>
        <v/>
      </c>
      <c r="AA28" t="str">
        <f>IF($BJ31&gt;0,IF(INDEX('Final Calculation Sheet'!$Z$4:$Z$40,$BJ31-3)="","",INDEX('Final Calculation Sheet'!$Z$4:$Z$40,$BJ31-3)),IF(OR($BI31=1,$BL31=1,$BH31&gt;0),IF($BI31=1,SUM('Final Calculation Sheet'!$Z$4:$Z$40),IF($BL31=1,SUM('Final Calculation Sheet'!$Z$4:$Z$40)-SUMIFS('Final Calculation Sheet'!$Z$4:$Z$40,$AZ$5:$AZ$41,10),SUMIFS('Final Calculation Sheet'!$Z$4:$Z$40,$AZ$5:$AZ$41,$BH31))),""))</f>
        <v/>
      </c>
      <c r="AB28" t="str">
        <f>IF($BJ31&gt;0,IF(INDEX('Final Calculation Sheet'!$AA$4:$AA$40,$BJ31-3)="","",INDEX('Final Calculation Sheet'!$AA$4:$AA$40,$BJ31-3)),IF(OR($BI31=1,$BL31=1,$BH31&gt;0),IF($BI31=1,SUM('Final Calculation Sheet'!$AA$4:$AA$40),IF($BL31=1,SUM('Final Calculation Sheet'!$AA$4:$AA$40)-SUMIFS('Final Calculation Sheet'!$AA$4:$AA$40,$AZ$5:$AZ$41,10),SUMIFS('Final Calculation Sheet'!$AA$4:$AA$40,$AZ$5:$AZ$41,$BH31))),""))</f>
        <v/>
      </c>
      <c r="AC28" t="str">
        <f>IF($BJ31&gt;0,IF(INDEX('Final Calculation Sheet'!$AB$4:$AB$40,$BJ31-3)="","",INDEX('Final Calculation Sheet'!$AB$4:$AB$40,$BJ31-3)),IF(OR($BI31=1,$BL31=1,$BH31&gt;0),"–",""))</f>
        <v/>
      </c>
      <c r="AD28" t="str">
        <f>IF($BJ31&gt;0,IF(INDEX('Final Calculation Sheet'!$AC$4:$AC$40,$BJ31-3)="","",INDEX('Final Calculation Sheet'!$AC$4:$AC$40,$BJ31-3)),IF(OR($BI31=1,$BL31=1,$BH31&gt;0),IF($BI31=1,SUM('Final Calculation Sheet'!$AC$4:$AC$40),IF($BL31=1,SUM('Final Calculation Sheet'!$AC$4:$AC$40)-SUMIFS('Final Calculation Sheet'!$AC$4:$AC$40,$AZ$5:$AZ$41,10),SUMIFS('Final Calculation Sheet'!$AC$4:$AC$40,$AZ$5:$AZ$41,$BH31))),""))</f>
        <v/>
      </c>
      <c r="AE28" t="str">
        <f>IF($BJ31&gt;0,IF(INDEX('Final Calculation Sheet'!$AD$4:$AD$40,$BJ31-3)="","",INDEX('Final Calculation Sheet'!$AD$4:$AD$40,$BJ31-3)),IF(OR($BI31=1,$BL31=1,$BH31&gt;0),IF($BI31=1,SUM('Final Calculation Sheet'!$AD$4:$AD$40),IF($BL31=1,SUM('Final Calculation Sheet'!$AD$4:$AD$40)-SUMIFS('Final Calculation Sheet'!$AD$4:$AD$40,$AZ$5:$AZ$41,10),SUMIFS('Final Calculation Sheet'!$AD$4:$AD$40,$AZ$5:$AZ$41,$BH31))),""))</f>
        <v/>
      </c>
      <c r="AF28" t="str">
        <f>IF($BJ31&gt;0,IF(INDEX('Final Calculation Sheet'!$AE$4:$AE$40,$BJ31-3)="","",INDEX('Final Calculation Sheet'!$AE$4:$AE$40,$BJ31-3)),IF(OR($BI31=1,$BL31=1,$BH31&gt;0),"–",""))</f>
        <v/>
      </c>
      <c r="AG28" t="str">
        <f>IF($BJ31&gt;0,IF(INDEX('Final Calculation Sheet'!$AF$4:$AF$40,$BJ31-3)="","",INDEX('Final Calculation Sheet'!$AF$4:$AF$40,$BJ31-3)),IF(OR($BI31=1,$BL31=1,$BH31&gt;0),"–",""))</f>
        <v/>
      </c>
      <c r="AH28" t="str">
        <f>IF($BJ31&gt;0,IF(INDEX('Final Calculation Sheet'!$AG$4:$AG$40,$BJ31-3)="","",INDEX('Final Calculation Sheet'!$AG$4:$AG$40,$BJ31-3)),IF(OR($BI31=1,$BL31=1,$BH31&gt;0),"–",""))</f>
        <v/>
      </c>
      <c r="AI28" t="str">
        <f>IF($BJ31&gt;0,IF(INDEX('Final Calculation Sheet'!$AD$4:$AD$40,$BJ31-3)="","",IF(INDEX('Final Calculation Sheet'!$AD$4:$AD$40,$BJ31-3)&lt;=5,"SETTLED","OUTSTANDING")),IF(OR($BI31=1,$BL31=1,$BH31&gt;0),IF(IF($BI31=1,SUM('Final Calculation Sheet'!$AD$4:$AD$40),IF($BL31=1,SUM('Final Calculation Sheet'!$AD$4:$AD$40)-SUMIFS('Final Calculation Sheet'!$AD$4:$AD$40,$AZ$5:$AZ$41,10),SUMIFS('Final Calculation Sheet'!$AD$4:$AD$40,$AZ$5:$AZ$41,$BH31)))&lt;=5,"ALL SETTLED","OUTSTANDING"),""))</f>
        <v/>
      </c>
    </row>
    <row r="29">
      <c r="A29" t="str">
        <f>IF($BJ32&gt;0,INDEX($BA$5:$BA$41,MATCH(32,$BB$5:$BB$41,0)),IF(OR($BI32=1,$BL32=1,$BH32&gt;0),"∑",""))</f>
        <v/>
      </c>
      <c r="B29" t="str">
        <f>IF($BJ32&gt;0,IF(INDEX('Final Calculation Sheet'!$F$4:$F$40,$BJ32-3)="","",INDEX('Final Calculation Sheet'!$F$4:$F$40,$BJ32-3)),"")</f>
        <v/>
      </c>
      <c r="C29" t="str">
        <f>IF($BJ32&gt;0,IF(INDEX('Final Calculation Sheet'!$G$4:$G$40,$BJ32-3)="","",INDEX('Final Calculation Sheet'!$G$4:$G$40,$BJ32-3)),IF(OR($BI32=1,$BL32=1,$BH32&gt;0),IF($BI32=1,37,IF($BL32=1,37-INDEX($BD$4:$BD$13,10),INDEX($BD$4:$BD$13,$BH32)))&amp;" lot(s)",""))</f>
        <v/>
      </c>
      <c r="D29" t="str">
        <f>IF($BJ32&gt;0,IF(INDEX('Final Calculation Sheet'!$B$4:$B$40,$BJ32-3)="","",INDEX('Final Calculation Sheet'!$B$4:$B$40,$BJ32-3)),IF(OR($BI32=1,$BL32=1,$BH32&gt;0),IF($BI32=1,"GRAND TOTAL  —  matching + remaining",IF($BL32=1,"TOTAL MATCHED  —  every group together",IF($BH32=10,"REMAINING  —  did not match the search",IF($BH32=9,IF(COUNTIF($A$4:$AI$4,"&lt;&gt;")&gt;0,"FILTERED LOTS  —  column fields","ALL LOTS  —  nothing typed in the box"),"GROUP "&amp;$BH32&amp;" TOTAL  —  lots matching  "&amp;INDEX($AR$6:$AY$6,$BH32))))),""))</f>
        <v/>
      </c>
      <c r="E29" t="str">
        <f>IF($BJ32&gt;0,IF(INDEX('Final Calculation Sheet'!$D$4:$D$40,$BJ32-3)="","",INDEX('Final Calculation Sheet'!$D$4:$D$40,$BJ32-3)),IF(OR($BI32=1,$BL32=1,$BH32&gt;0),"–",""))</f>
        <v/>
      </c>
      <c r="F29" t="str">
        <f>IF($BJ32&gt;0,IF(INDEX('Final Calculation Sheet'!$A$4:$A$40,$BJ32-3)="","",INDEX('Final Calculation Sheet'!$A$4:$A$40,$BJ32-3)),IF(OR($BI32=1,$BL32=1,$BH32&gt;0),IF($BI32=1,SUM('Final Calculation Sheet'!$A$4:$A$40),IF($BL32=1,SUM('Final Calculation Sheet'!$A$4:$A$40)-SUMIFS('Final Calculation Sheet'!$A$4:$A$40,$AZ$5:$AZ$41,10),SUMIFS('Final Calculation Sheet'!$A$4:$A$40,$AZ$5:$AZ$41,$BH32))),""))</f>
        <v/>
      </c>
      <c r="G29" t="str">
        <f>IF($BJ32&gt;0,IF(INDEX('Final Calculation Sheet'!$E$4:$E$40,$BJ32-3)="","",INDEX('Final Calculation Sheet'!$E$4:$E$40,$BJ32-3)),IF(OR($BI32=1,$BL32=1,$BH32&gt;0),"–",""))</f>
        <v/>
      </c>
      <c r="H29" t="str">
        <f>IF($BJ32&gt;0,IF(INDEX('Final Calculation Sheet'!$C$4:$C$40,$BJ32-3)="","",INDEX('Final Calculation Sheet'!$C$4:$C$40,$BJ32-3)),IF(OR($BI32=1,$BL32=1,$BH32&gt;0),"–",""))</f>
        <v/>
      </c>
      <c r="I29" t="str">
        <f>IF($BJ32&gt;0,IF(INDEX('Final Calculation Sheet'!$H$4:$H$40,$BJ32-3)="","",INDEX('Final Calculation Sheet'!$H$4:$H$40,$BJ32-3)),IF(OR($BI32=1,$BL32=1,$BH32&gt;0),IF($BI32=1,SUM('Final Calculation Sheet'!$H$4:$H$40),IF($BL32=1,SUM('Final Calculation Sheet'!$H$4:$H$40)-SUMIFS('Final Calculation Sheet'!$H$4:$H$40,$AZ$5:$AZ$41,10),SUMIFS('Final Calculation Sheet'!$H$4:$H$40,$AZ$5:$AZ$41,$BH32))),""))</f>
        <v/>
      </c>
      <c r="J29" t="str">
        <f>IF($BJ32&gt;0,IF(INDEX('Final Calculation Sheet'!$I$4:$I$40,$BJ32-3)="","",INDEX('Final Calculation Sheet'!$I$4:$I$40,$BJ32-3)),IF(OR($BI32=1,$BL32=1,$BH32&gt;0),IF($BI32=1,SUM('Final Calculation Sheet'!$I$4:$I$40),IF($BL32=1,SUM('Final Calculation Sheet'!$I$4:$I$40)-SUMIFS('Final Calculation Sheet'!$I$4:$I$40,$AZ$5:$AZ$41,10),SUMIFS('Final Calculation Sheet'!$I$4:$I$40,$AZ$5:$AZ$41,$BH32))),""))</f>
        <v/>
      </c>
      <c r="K29" t="str">
        <f>IF($BJ32&gt;0,IF(INDEX('Final Calculation Sheet'!$J$4:$J$40,$BJ32-3)="","",INDEX('Final Calculation Sheet'!$J$4:$J$40,$BJ32-3)),IF(OR($BI32=1,$BL32=1,$BH32&gt;0),IF($BI32=1,SUM('Final Calculation Sheet'!$J$4:$J$40),IF($BL32=1,SUM('Final Calculation Sheet'!$J$4:$J$40)-SUMIFS('Final Calculation Sheet'!$J$4:$J$40,$AZ$5:$AZ$41,10),SUMIFS('Final Calculation Sheet'!$J$4:$J$40,$AZ$5:$AZ$41,$BH32))),""))</f>
        <v/>
      </c>
      <c r="L29" t="str">
        <f>IF($BJ32&gt;0,IF(INDEX('Final Calculation Sheet'!$K$4:$K$40,$BJ32-3)="","",INDEX('Final Calculation Sheet'!$K$4:$K$40,$BJ32-3)),IF(OR($BI32=1,$BL32=1,$BH32&gt;0),IF($BI32=1,SUM('Final Calculation Sheet'!$K$4:$K$40),IF($BL32=1,SUM('Final Calculation Sheet'!$K$4:$K$40)-SUMIFS('Final Calculation Sheet'!$K$4:$K$40,$AZ$5:$AZ$41,10),SUMIFS('Final Calculation Sheet'!$K$4:$K$40,$AZ$5:$AZ$41,$BH32))),""))</f>
        <v/>
      </c>
      <c r="M29" t="str">
        <f>IF($BJ32&gt;0,IF(INDEX('Final Calculation Sheet'!$L$4:$L$40,$BJ32-3)="","",INDEX('Final Calculation Sheet'!$L$4:$L$40,$BJ32-3)),IF(OR($BI32=1,$BL32=1,$BH32&gt;0),IF($BI32=1,SUM('Final Calculation Sheet'!$L$4:$L$40),IF($BL32=1,SUM('Final Calculation Sheet'!$L$4:$L$40)-SUMIFS('Final Calculation Sheet'!$L$4:$L$40,$AZ$5:$AZ$41,10),SUMIFS('Final Calculation Sheet'!$L$4:$L$40,$AZ$5:$AZ$41,$BH32))),""))</f>
        <v/>
      </c>
      <c r="N29" t="str">
        <f>IF($BJ32&gt;0,IF(INDEX('Final Calculation Sheet'!$M$4:$M$40,$BJ32-3)="","",INDEX('Final Calculation Sheet'!$M$4:$M$40,$BJ32-3)),IF(OR($BI32=1,$BL32=1,$BH32&gt;0),IF($BI32=1,SUM('Final Calculation Sheet'!$M$4:$M$40),IF($BL32=1,SUM('Final Calculation Sheet'!$M$4:$M$40)-SUMIFS('Final Calculation Sheet'!$M$4:$M$40,$AZ$5:$AZ$41,10),SUMIFS('Final Calculation Sheet'!$M$4:$M$40,$AZ$5:$AZ$41,$BH32))),""))</f>
        <v/>
      </c>
      <c r="O29" t="str">
        <f>IF($BJ32&gt;0,IF(INDEX('Final Calculation Sheet'!$N$4:$N$40,$BJ32-3)="","",INDEX('Final Calculation Sheet'!$N$4:$N$40,$BJ32-3)),IF(OR($BI32=1,$BL32=1,$BH32&gt;0),IF($BI32=1,SUM('Final Calculation Sheet'!$N$4:$N$40),IF($BL32=1,SUM('Final Calculation Sheet'!$N$4:$N$40)-SUMIFS('Final Calculation Sheet'!$N$4:$N$40,$AZ$5:$AZ$41,10),SUMIFS('Final Calculation Sheet'!$N$4:$N$40,$AZ$5:$AZ$41,$BH32))),""))</f>
        <v/>
      </c>
      <c r="P29" t="str">
        <f>IF($BJ32&gt;0,IF(INDEX('Final Calculation Sheet'!$O$4:$O$40,$BJ32-3)="","",INDEX('Final Calculation Sheet'!$O$4:$O$40,$BJ32-3)),IF(OR($BI32=1,$BL32=1,$BH32&gt;0),IF($BI32=1,SUM('Final Calculation Sheet'!$O$4:$O$40),IF($BL32=1,SUM('Final Calculation Sheet'!$O$4:$O$40)-SUMIFS('Final Calculation Sheet'!$O$4:$O$40,$AZ$5:$AZ$41,10),SUMIFS('Final Calculation Sheet'!$O$4:$O$40,$AZ$5:$AZ$41,$BH32))),""))</f>
        <v/>
      </c>
      <c r="Q29" t="str">
        <f>IF($BJ32&gt;0,IF(INDEX('Final Calculation Sheet'!$P$4:$P$40,$BJ32-3)="","",INDEX('Final Calculation Sheet'!$P$4:$P$40,$BJ32-3)),IF(OR($BI32=1,$BL32=1,$BH32&gt;0),IF($BI32=1,SUM('Final Calculation Sheet'!$P$4:$P$40),IF($BL32=1,SUM('Final Calculation Sheet'!$P$4:$P$40)-SUMIFS('Final Calculation Sheet'!$P$4:$P$40,$AZ$5:$AZ$41,10),SUMIFS('Final Calculation Sheet'!$P$4:$P$40,$AZ$5:$AZ$41,$BH32))),""))</f>
        <v/>
      </c>
      <c r="R29" t="str">
        <f>IF($BJ32&gt;0,IF(INDEX('Final Calculation Sheet'!$Q$4:$Q$40,$BJ32-3)="","",INDEX('Final Calculation Sheet'!$Q$4:$Q$40,$BJ32-3)),IF(OR($BI32=1,$BL32=1,$BH32&gt;0),"–",""))</f>
        <v/>
      </c>
      <c r="S29" t="str">
        <f>IF($BJ32&gt;0,IF(INDEX('Final Calculation Sheet'!$R$4:$R$40,$BJ32-3)="","",INDEX('Final Calculation Sheet'!$R$4:$R$40,$BJ32-3)),IF(OR($BI32=1,$BL32=1,$BH32&gt;0),IF($BI32=1,SUM('Final Calculation Sheet'!$R$4:$R$40),IF($BL32=1,SUM('Final Calculation Sheet'!$R$4:$R$40)-SUMIFS('Final Calculation Sheet'!$R$4:$R$40,$AZ$5:$AZ$41,10),SUMIFS('Final Calculation Sheet'!$R$4:$R$40,$AZ$5:$AZ$41,$BH32))),""))</f>
        <v/>
      </c>
      <c r="T29" t="str">
        <f>IF($BJ32&gt;0,IF(INDEX('Final Calculation Sheet'!$S$4:$S$40,$BJ32-3)="","",INDEX('Final Calculation Sheet'!$S$4:$S$40,$BJ32-3)),IF(OR($BI32=1,$BL32=1,$BH32&gt;0),IF($BI32=1,SUM('Final Calculation Sheet'!$S$4:$S$40),IF($BL32=1,SUM('Final Calculation Sheet'!$S$4:$S$40)-SUMIFS('Final Calculation Sheet'!$S$4:$S$40,$AZ$5:$AZ$41,10),SUMIFS('Final Calculation Sheet'!$S$4:$S$40,$AZ$5:$AZ$41,$BH32))),""))</f>
        <v/>
      </c>
      <c r="U29" t="str">
        <f>IF($BJ32&gt;0,IF(INDEX('Final Calculation Sheet'!$T$4:$T$40,$BJ32-3)="","",INDEX('Final Calculation Sheet'!$T$4:$T$40,$BJ32-3)),IF(OR($BI32=1,$BL32=1,$BH32&gt;0),IF($BI32=1,SUM('Final Calculation Sheet'!$T$4:$T$40),IF($BL32=1,SUM('Final Calculation Sheet'!$T$4:$T$40)-SUMIFS('Final Calculation Sheet'!$T$4:$T$40,$AZ$5:$AZ$41,10),SUMIFS('Final Calculation Sheet'!$T$4:$T$40,$AZ$5:$AZ$41,$BH32))),""))</f>
        <v/>
      </c>
      <c r="V29" t="str">
        <f>IF($BJ32&gt;0,IF(INDEX('Final Calculation Sheet'!$U$4:$U$40,$BJ32-3)="","",INDEX('Final Calculation Sheet'!$U$4:$U$40,$BJ32-3)),IF(OR($BI32=1,$BL32=1,$BH32&gt;0),IF($BI32=1,SUM('Final Calculation Sheet'!$U$4:$U$40),IF($BL32=1,SUM('Final Calculation Sheet'!$U$4:$U$40)-SUMIFS('Final Calculation Sheet'!$U$4:$U$40,$AZ$5:$AZ$41,10),SUMIFS('Final Calculation Sheet'!$U$4:$U$40,$AZ$5:$AZ$41,$BH32))),""))</f>
        <v/>
      </c>
      <c r="W29" t="str">
        <f>IF($BJ32&gt;0,IF(INDEX('Final Calculation Sheet'!$V$4:$V$40,$BJ32-3)="","",INDEX('Final Calculation Sheet'!$V$4:$V$40,$BJ32-3)),IF(OR($BI32=1,$BL32=1,$BH32&gt;0),"–",""))</f>
        <v/>
      </c>
      <c r="X29" t="str">
        <f>IF($BJ32&gt;0,IF(INDEX('Final Calculation Sheet'!$W$4:$W$40,$BJ32-3)="","",INDEX('Final Calculation Sheet'!$W$4:$W$40,$BJ32-3)),IF(OR($BI32=1,$BL32=1,$BH32&gt;0),IF($BI32=1,SUM('Final Calculation Sheet'!$W$4:$W$40),IF($BL32=1,SUM('Final Calculation Sheet'!$W$4:$W$40)-SUMIFS('Final Calculation Sheet'!$W$4:$W$40,$AZ$5:$AZ$41,10),SUMIFS('Final Calculation Sheet'!$W$4:$W$40,$AZ$5:$AZ$41,$BH32))),""))</f>
        <v/>
      </c>
      <c r="Y29" t="str">
        <f>IF($BJ32&gt;0,IF(INDEX('Final Calculation Sheet'!$X$4:$X$40,$BJ32-3)="","",INDEX('Final Calculation Sheet'!$X$4:$X$40,$BJ32-3)),IF(OR($BI32=1,$BL32=1,$BH32&gt;0),IF($BI32=1,SUM('Final Calculation Sheet'!$X$4:$X$40),IF($BL32=1,SUM('Final Calculation Sheet'!$X$4:$X$40)-SUMIFS('Final Calculation Sheet'!$X$4:$X$40,$AZ$5:$AZ$41,10),SUMIFS('Final Calculation Sheet'!$X$4:$X$40,$AZ$5:$AZ$41,$BH32))),""))</f>
        <v/>
      </c>
      <c r="Z29" t="str">
        <f>IF($BJ32&gt;0,IF(INDEX('Final Calculation Sheet'!$Y$4:$Y$40,$BJ32-3)="","",INDEX('Final Calculation Sheet'!$Y$4:$Y$40,$BJ32-3)),IF(OR($BI32=1,$BL32=1,$BH32&gt;0),"–",""))</f>
        <v/>
      </c>
      <c r="AA29" t="str">
        <f>IF($BJ32&gt;0,IF(INDEX('Final Calculation Sheet'!$Z$4:$Z$40,$BJ32-3)="","",INDEX('Final Calculation Sheet'!$Z$4:$Z$40,$BJ32-3)),IF(OR($BI32=1,$BL32=1,$BH32&gt;0),IF($BI32=1,SUM('Final Calculation Sheet'!$Z$4:$Z$40),IF($BL32=1,SUM('Final Calculation Sheet'!$Z$4:$Z$40)-SUMIFS('Final Calculation Sheet'!$Z$4:$Z$40,$AZ$5:$AZ$41,10),SUMIFS('Final Calculation Sheet'!$Z$4:$Z$40,$AZ$5:$AZ$41,$BH32))),""))</f>
        <v/>
      </c>
      <c r="AB29" t="str">
        <f>IF($BJ32&gt;0,IF(INDEX('Final Calculation Sheet'!$AA$4:$AA$40,$BJ32-3)="","",INDEX('Final Calculation Sheet'!$AA$4:$AA$40,$BJ32-3)),IF(OR($BI32=1,$BL32=1,$BH32&gt;0),IF($BI32=1,SUM('Final Calculation Sheet'!$AA$4:$AA$40),IF($BL32=1,SUM('Final Calculation Sheet'!$AA$4:$AA$40)-SUMIFS('Final Calculation Sheet'!$AA$4:$AA$40,$AZ$5:$AZ$41,10),SUMIFS('Final Calculation Sheet'!$AA$4:$AA$40,$AZ$5:$AZ$41,$BH32))),""))</f>
        <v/>
      </c>
      <c r="AC29" t="str">
        <f>IF($BJ32&gt;0,IF(INDEX('Final Calculation Sheet'!$AB$4:$AB$40,$BJ32-3)="","",INDEX('Final Calculation Sheet'!$AB$4:$AB$40,$BJ32-3)),IF(OR($BI32=1,$BL32=1,$BH32&gt;0),"–",""))</f>
        <v/>
      </c>
      <c r="AD29" t="str">
        <f>IF($BJ32&gt;0,IF(INDEX('Final Calculation Sheet'!$AC$4:$AC$40,$BJ32-3)="","",INDEX('Final Calculation Sheet'!$AC$4:$AC$40,$BJ32-3)),IF(OR($BI32=1,$BL32=1,$BH32&gt;0),IF($BI32=1,SUM('Final Calculation Sheet'!$AC$4:$AC$40),IF($BL32=1,SUM('Final Calculation Sheet'!$AC$4:$AC$40)-SUMIFS('Final Calculation Sheet'!$AC$4:$AC$40,$AZ$5:$AZ$41,10),SUMIFS('Final Calculation Sheet'!$AC$4:$AC$40,$AZ$5:$AZ$41,$BH32))),""))</f>
        <v/>
      </c>
      <c r="AE29" t="str">
        <f>IF($BJ32&gt;0,IF(INDEX('Final Calculation Sheet'!$AD$4:$AD$40,$BJ32-3)="","",INDEX('Final Calculation Sheet'!$AD$4:$AD$40,$BJ32-3)),IF(OR($BI32=1,$BL32=1,$BH32&gt;0),IF($BI32=1,SUM('Final Calculation Sheet'!$AD$4:$AD$40),IF($BL32=1,SUM('Final Calculation Sheet'!$AD$4:$AD$40)-SUMIFS('Final Calculation Sheet'!$AD$4:$AD$40,$AZ$5:$AZ$41,10),SUMIFS('Final Calculation Sheet'!$AD$4:$AD$40,$AZ$5:$AZ$41,$BH32))),""))</f>
        <v/>
      </c>
      <c r="AF29" t="str">
        <f>IF($BJ32&gt;0,IF(INDEX('Final Calculation Sheet'!$AE$4:$AE$40,$BJ32-3)="","",INDEX('Final Calculation Sheet'!$AE$4:$AE$40,$BJ32-3)),IF(OR($BI32=1,$BL32=1,$BH32&gt;0),"–",""))</f>
        <v/>
      </c>
      <c r="AG29" t="str">
        <f>IF($BJ32&gt;0,IF(INDEX('Final Calculation Sheet'!$AF$4:$AF$40,$BJ32-3)="","",INDEX('Final Calculation Sheet'!$AF$4:$AF$40,$BJ32-3)),IF(OR($BI32=1,$BL32=1,$BH32&gt;0),"–",""))</f>
        <v/>
      </c>
      <c r="AH29" t="str">
        <f>IF($BJ32&gt;0,IF(INDEX('Final Calculation Sheet'!$AG$4:$AG$40,$BJ32-3)="","",INDEX('Final Calculation Sheet'!$AG$4:$AG$40,$BJ32-3)),IF(OR($BI32=1,$BL32=1,$BH32&gt;0),"–",""))</f>
        <v/>
      </c>
      <c r="AI29" t="str">
        <f>IF($BJ32&gt;0,IF(INDEX('Final Calculation Sheet'!$AD$4:$AD$40,$BJ32-3)="","",IF(INDEX('Final Calculation Sheet'!$AD$4:$AD$40,$BJ32-3)&lt;=5,"SETTLED","OUTSTANDING")),IF(OR($BI32=1,$BL32=1,$BH32&gt;0),IF(IF($BI32=1,SUM('Final Calculation Sheet'!$AD$4:$AD$40),IF($BL32=1,SUM('Final Calculation Sheet'!$AD$4:$AD$40)-SUMIFS('Final Calculation Sheet'!$AD$4:$AD$40,$AZ$5:$AZ$41,10),SUMIFS('Final Calculation Sheet'!$AD$4:$AD$40,$AZ$5:$AZ$41,$BH32)))&lt;=5,"ALL SETTLED","OUTSTANDING"),""))</f>
        <v/>
      </c>
    </row>
    <row r="30">
      <c r="A30" t="str">
        <f>IF($BJ33&gt;0,INDEX($BA$5:$BA$41,MATCH(33,$BB$5:$BB$41,0)),IF(OR($BI33=1,$BL33=1,$BH33&gt;0),"∑",""))</f>
        <v/>
      </c>
      <c r="B30" t="str">
        <f>IF($BJ33&gt;0,IF(INDEX('Final Calculation Sheet'!$F$4:$F$40,$BJ33-3)="","",INDEX('Final Calculation Sheet'!$F$4:$F$40,$BJ33-3)),"")</f>
        <v/>
      </c>
      <c r="C30" t="str">
        <f>IF($BJ33&gt;0,IF(INDEX('Final Calculation Sheet'!$G$4:$G$40,$BJ33-3)="","",INDEX('Final Calculation Sheet'!$G$4:$G$40,$BJ33-3)),IF(OR($BI33=1,$BL33=1,$BH33&gt;0),IF($BI33=1,37,IF($BL33=1,37-INDEX($BD$4:$BD$13,10),INDEX($BD$4:$BD$13,$BH33)))&amp;" lot(s)",""))</f>
        <v/>
      </c>
      <c r="D30" t="str">
        <f>IF($BJ33&gt;0,IF(INDEX('Final Calculation Sheet'!$B$4:$B$40,$BJ33-3)="","",INDEX('Final Calculation Sheet'!$B$4:$B$40,$BJ33-3)),IF(OR($BI33=1,$BL33=1,$BH33&gt;0),IF($BI33=1,"GRAND TOTAL  —  matching + remaining",IF($BL33=1,"TOTAL MATCHED  —  every group together",IF($BH33=10,"REMAINING  —  did not match the search",IF($BH33=9,IF(COUNTIF($A$4:$AI$4,"&lt;&gt;")&gt;0,"FILTERED LOTS  —  column fields","ALL LOTS  —  nothing typed in the box"),"GROUP "&amp;$BH33&amp;" TOTAL  —  lots matching  "&amp;INDEX($AR$6:$AY$6,$BH33))))),""))</f>
        <v/>
      </c>
      <c r="E30" t="str">
        <f>IF($BJ33&gt;0,IF(INDEX('Final Calculation Sheet'!$D$4:$D$40,$BJ33-3)="","",INDEX('Final Calculation Sheet'!$D$4:$D$40,$BJ33-3)),IF(OR($BI33=1,$BL33=1,$BH33&gt;0),"–",""))</f>
        <v/>
      </c>
      <c r="F30" t="str">
        <f>IF($BJ33&gt;0,IF(INDEX('Final Calculation Sheet'!$A$4:$A$40,$BJ33-3)="","",INDEX('Final Calculation Sheet'!$A$4:$A$40,$BJ33-3)),IF(OR($BI33=1,$BL33=1,$BH33&gt;0),IF($BI33=1,SUM('Final Calculation Sheet'!$A$4:$A$40),IF($BL33=1,SUM('Final Calculation Sheet'!$A$4:$A$40)-SUMIFS('Final Calculation Sheet'!$A$4:$A$40,$AZ$5:$AZ$41,10),SUMIFS('Final Calculation Sheet'!$A$4:$A$40,$AZ$5:$AZ$41,$BH33))),""))</f>
        <v/>
      </c>
      <c r="G30" t="str">
        <f>IF($BJ33&gt;0,IF(INDEX('Final Calculation Sheet'!$E$4:$E$40,$BJ33-3)="","",INDEX('Final Calculation Sheet'!$E$4:$E$40,$BJ33-3)),IF(OR($BI33=1,$BL33=1,$BH33&gt;0),"–",""))</f>
        <v/>
      </c>
      <c r="H30" t="str">
        <f>IF($BJ33&gt;0,IF(INDEX('Final Calculation Sheet'!$C$4:$C$40,$BJ33-3)="","",INDEX('Final Calculation Sheet'!$C$4:$C$40,$BJ33-3)),IF(OR($BI33=1,$BL33=1,$BH33&gt;0),"–",""))</f>
        <v/>
      </c>
      <c r="I30" t="str">
        <f>IF($BJ33&gt;0,IF(INDEX('Final Calculation Sheet'!$H$4:$H$40,$BJ33-3)="","",INDEX('Final Calculation Sheet'!$H$4:$H$40,$BJ33-3)),IF(OR($BI33=1,$BL33=1,$BH33&gt;0),IF($BI33=1,SUM('Final Calculation Sheet'!$H$4:$H$40),IF($BL33=1,SUM('Final Calculation Sheet'!$H$4:$H$40)-SUMIFS('Final Calculation Sheet'!$H$4:$H$40,$AZ$5:$AZ$41,10),SUMIFS('Final Calculation Sheet'!$H$4:$H$40,$AZ$5:$AZ$41,$BH33))),""))</f>
        <v/>
      </c>
      <c r="J30" t="str">
        <f>IF($BJ33&gt;0,IF(INDEX('Final Calculation Sheet'!$I$4:$I$40,$BJ33-3)="","",INDEX('Final Calculation Sheet'!$I$4:$I$40,$BJ33-3)),IF(OR($BI33=1,$BL33=1,$BH33&gt;0),IF($BI33=1,SUM('Final Calculation Sheet'!$I$4:$I$40),IF($BL33=1,SUM('Final Calculation Sheet'!$I$4:$I$40)-SUMIFS('Final Calculation Sheet'!$I$4:$I$40,$AZ$5:$AZ$41,10),SUMIFS('Final Calculation Sheet'!$I$4:$I$40,$AZ$5:$AZ$41,$BH33))),""))</f>
        <v/>
      </c>
      <c r="K30" t="str">
        <f>IF($BJ33&gt;0,IF(INDEX('Final Calculation Sheet'!$J$4:$J$40,$BJ33-3)="","",INDEX('Final Calculation Sheet'!$J$4:$J$40,$BJ33-3)),IF(OR($BI33=1,$BL33=1,$BH33&gt;0),IF($BI33=1,SUM('Final Calculation Sheet'!$J$4:$J$40),IF($BL33=1,SUM('Final Calculation Sheet'!$J$4:$J$40)-SUMIFS('Final Calculation Sheet'!$J$4:$J$40,$AZ$5:$AZ$41,10),SUMIFS('Final Calculation Sheet'!$J$4:$J$40,$AZ$5:$AZ$41,$BH33))),""))</f>
        <v/>
      </c>
      <c r="L30" t="str">
        <f>IF($BJ33&gt;0,IF(INDEX('Final Calculation Sheet'!$K$4:$K$40,$BJ33-3)="","",INDEX('Final Calculation Sheet'!$K$4:$K$40,$BJ33-3)),IF(OR($BI33=1,$BL33=1,$BH33&gt;0),IF($BI33=1,SUM('Final Calculation Sheet'!$K$4:$K$40),IF($BL33=1,SUM('Final Calculation Sheet'!$K$4:$K$40)-SUMIFS('Final Calculation Sheet'!$K$4:$K$40,$AZ$5:$AZ$41,10),SUMIFS('Final Calculation Sheet'!$K$4:$K$40,$AZ$5:$AZ$41,$BH33))),""))</f>
        <v/>
      </c>
      <c r="M30" t="str">
        <f>IF($BJ33&gt;0,IF(INDEX('Final Calculation Sheet'!$L$4:$L$40,$BJ33-3)="","",INDEX('Final Calculation Sheet'!$L$4:$L$40,$BJ33-3)),IF(OR($BI33=1,$BL33=1,$BH33&gt;0),IF($BI33=1,SUM('Final Calculation Sheet'!$L$4:$L$40),IF($BL33=1,SUM('Final Calculation Sheet'!$L$4:$L$40)-SUMIFS('Final Calculation Sheet'!$L$4:$L$40,$AZ$5:$AZ$41,10),SUMIFS('Final Calculation Sheet'!$L$4:$L$40,$AZ$5:$AZ$41,$BH33))),""))</f>
        <v/>
      </c>
      <c r="N30" t="str">
        <f>IF($BJ33&gt;0,IF(INDEX('Final Calculation Sheet'!$M$4:$M$40,$BJ33-3)="","",INDEX('Final Calculation Sheet'!$M$4:$M$40,$BJ33-3)),IF(OR($BI33=1,$BL33=1,$BH33&gt;0),IF($BI33=1,SUM('Final Calculation Sheet'!$M$4:$M$40),IF($BL33=1,SUM('Final Calculation Sheet'!$M$4:$M$40)-SUMIFS('Final Calculation Sheet'!$M$4:$M$40,$AZ$5:$AZ$41,10),SUMIFS('Final Calculation Sheet'!$M$4:$M$40,$AZ$5:$AZ$41,$BH33))),""))</f>
        <v/>
      </c>
      <c r="O30" t="str">
        <f>IF($BJ33&gt;0,IF(INDEX('Final Calculation Sheet'!$N$4:$N$40,$BJ33-3)="","",INDEX('Final Calculation Sheet'!$N$4:$N$40,$BJ33-3)),IF(OR($BI33=1,$BL33=1,$BH33&gt;0),IF($BI33=1,SUM('Final Calculation Sheet'!$N$4:$N$40),IF($BL33=1,SUM('Final Calculation Sheet'!$N$4:$N$40)-SUMIFS('Final Calculation Sheet'!$N$4:$N$40,$AZ$5:$AZ$41,10),SUMIFS('Final Calculation Sheet'!$N$4:$N$40,$AZ$5:$AZ$41,$BH33))),""))</f>
        <v/>
      </c>
      <c r="P30" t="str">
        <f>IF($BJ33&gt;0,IF(INDEX('Final Calculation Sheet'!$O$4:$O$40,$BJ33-3)="","",INDEX('Final Calculation Sheet'!$O$4:$O$40,$BJ33-3)),IF(OR($BI33=1,$BL33=1,$BH33&gt;0),IF($BI33=1,SUM('Final Calculation Sheet'!$O$4:$O$40),IF($BL33=1,SUM('Final Calculation Sheet'!$O$4:$O$40)-SUMIFS('Final Calculation Sheet'!$O$4:$O$40,$AZ$5:$AZ$41,10),SUMIFS('Final Calculation Sheet'!$O$4:$O$40,$AZ$5:$AZ$41,$BH33))),""))</f>
        <v/>
      </c>
      <c r="Q30" t="str">
        <f>IF($BJ33&gt;0,IF(INDEX('Final Calculation Sheet'!$P$4:$P$40,$BJ33-3)="","",INDEX('Final Calculation Sheet'!$P$4:$P$40,$BJ33-3)),IF(OR($BI33=1,$BL33=1,$BH33&gt;0),IF($BI33=1,SUM('Final Calculation Sheet'!$P$4:$P$40),IF($BL33=1,SUM('Final Calculation Sheet'!$P$4:$P$40)-SUMIFS('Final Calculation Sheet'!$P$4:$P$40,$AZ$5:$AZ$41,10),SUMIFS('Final Calculation Sheet'!$P$4:$P$40,$AZ$5:$AZ$41,$BH33))),""))</f>
        <v/>
      </c>
      <c r="R30" t="str">
        <f>IF($BJ33&gt;0,IF(INDEX('Final Calculation Sheet'!$Q$4:$Q$40,$BJ33-3)="","",INDEX('Final Calculation Sheet'!$Q$4:$Q$40,$BJ33-3)),IF(OR($BI33=1,$BL33=1,$BH33&gt;0),"–",""))</f>
        <v/>
      </c>
      <c r="S30" t="str">
        <f>IF($BJ33&gt;0,IF(INDEX('Final Calculation Sheet'!$R$4:$R$40,$BJ33-3)="","",INDEX('Final Calculation Sheet'!$R$4:$R$40,$BJ33-3)),IF(OR($BI33=1,$BL33=1,$BH33&gt;0),IF($BI33=1,SUM('Final Calculation Sheet'!$R$4:$R$40),IF($BL33=1,SUM('Final Calculation Sheet'!$R$4:$R$40)-SUMIFS('Final Calculation Sheet'!$R$4:$R$40,$AZ$5:$AZ$41,10),SUMIFS('Final Calculation Sheet'!$R$4:$R$40,$AZ$5:$AZ$41,$BH33))),""))</f>
        <v/>
      </c>
      <c r="T30" t="str">
        <f>IF($BJ33&gt;0,IF(INDEX('Final Calculation Sheet'!$S$4:$S$40,$BJ33-3)="","",INDEX('Final Calculation Sheet'!$S$4:$S$40,$BJ33-3)),IF(OR($BI33=1,$BL33=1,$BH33&gt;0),IF($BI33=1,SUM('Final Calculation Sheet'!$S$4:$S$40),IF($BL33=1,SUM('Final Calculation Sheet'!$S$4:$S$40)-SUMIFS('Final Calculation Sheet'!$S$4:$S$40,$AZ$5:$AZ$41,10),SUMIFS('Final Calculation Sheet'!$S$4:$S$40,$AZ$5:$AZ$41,$BH33))),""))</f>
        <v/>
      </c>
      <c r="U30" t="str">
        <f>IF($BJ33&gt;0,IF(INDEX('Final Calculation Sheet'!$T$4:$T$40,$BJ33-3)="","",INDEX('Final Calculation Sheet'!$T$4:$T$40,$BJ33-3)),IF(OR($BI33=1,$BL33=1,$BH33&gt;0),IF($BI33=1,SUM('Final Calculation Sheet'!$T$4:$T$40),IF($BL33=1,SUM('Final Calculation Sheet'!$T$4:$T$40)-SUMIFS('Final Calculation Sheet'!$T$4:$T$40,$AZ$5:$AZ$41,10),SUMIFS('Final Calculation Sheet'!$T$4:$T$40,$AZ$5:$AZ$41,$BH33))),""))</f>
        <v/>
      </c>
      <c r="V30" t="str">
        <f>IF($BJ33&gt;0,IF(INDEX('Final Calculation Sheet'!$U$4:$U$40,$BJ33-3)="","",INDEX('Final Calculation Sheet'!$U$4:$U$40,$BJ33-3)),IF(OR($BI33=1,$BL33=1,$BH33&gt;0),IF($BI33=1,SUM('Final Calculation Sheet'!$U$4:$U$40),IF($BL33=1,SUM('Final Calculation Sheet'!$U$4:$U$40)-SUMIFS('Final Calculation Sheet'!$U$4:$U$40,$AZ$5:$AZ$41,10),SUMIFS('Final Calculation Sheet'!$U$4:$U$40,$AZ$5:$AZ$41,$BH33))),""))</f>
        <v/>
      </c>
      <c r="W30" t="str">
        <f>IF($BJ33&gt;0,IF(INDEX('Final Calculation Sheet'!$V$4:$V$40,$BJ33-3)="","",INDEX('Final Calculation Sheet'!$V$4:$V$40,$BJ33-3)),IF(OR($BI33=1,$BL33=1,$BH33&gt;0),"–",""))</f>
        <v/>
      </c>
      <c r="X30" t="str">
        <f>IF($BJ33&gt;0,IF(INDEX('Final Calculation Sheet'!$W$4:$W$40,$BJ33-3)="","",INDEX('Final Calculation Sheet'!$W$4:$W$40,$BJ33-3)),IF(OR($BI33=1,$BL33=1,$BH33&gt;0),IF($BI33=1,SUM('Final Calculation Sheet'!$W$4:$W$40),IF($BL33=1,SUM('Final Calculation Sheet'!$W$4:$W$40)-SUMIFS('Final Calculation Sheet'!$W$4:$W$40,$AZ$5:$AZ$41,10),SUMIFS('Final Calculation Sheet'!$W$4:$W$40,$AZ$5:$AZ$41,$BH33))),""))</f>
        <v/>
      </c>
      <c r="Y30" t="str">
        <f>IF($BJ33&gt;0,IF(INDEX('Final Calculation Sheet'!$X$4:$X$40,$BJ33-3)="","",INDEX('Final Calculation Sheet'!$X$4:$X$40,$BJ33-3)),IF(OR($BI33=1,$BL33=1,$BH33&gt;0),IF($BI33=1,SUM('Final Calculation Sheet'!$X$4:$X$40),IF($BL33=1,SUM('Final Calculation Sheet'!$X$4:$X$40)-SUMIFS('Final Calculation Sheet'!$X$4:$X$40,$AZ$5:$AZ$41,10),SUMIFS('Final Calculation Sheet'!$X$4:$X$40,$AZ$5:$AZ$41,$BH33))),""))</f>
        <v/>
      </c>
      <c r="Z30" t="str">
        <f>IF($BJ33&gt;0,IF(INDEX('Final Calculation Sheet'!$Y$4:$Y$40,$BJ33-3)="","",INDEX('Final Calculation Sheet'!$Y$4:$Y$40,$BJ33-3)),IF(OR($BI33=1,$BL33=1,$BH33&gt;0),"–",""))</f>
        <v/>
      </c>
      <c r="AA30" t="str">
        <f>IF($BJ33&gt;0,IF(INDEX('Final Calculation Sheet'!$Z$4:$Z$40,$BJ33-3)="","",INDEX('Final Calculation Sheet'!$Z$4:$Z$40,$BJ33-3)),IF(OR($BI33=1,$BL33=1,$BH33&gt;0),IF($BI33=1,SUM('Final Calculation Sheet'!$Z$4:$Z$40),IF($BL33=1,SUM('Final Calculation Sheet'!$Z$4:$Z$40)-SUMIFS('Final Calculation Sheet'!$Z$4:$Z$40,$AZ$5:$AZ$41,10),SUMIFS('Final Calculation Sheet'!$Z$4:$Z$40,$AZ$5:$AZ$41,$BH33))),""))</f>
        <v/>
      </c>
      <c r="AB30" t="str">
        <f>IF($BJ33&gt;0,IF(INDEX('Final Calculation Sheet'!$AA$4:$AA$40,$BJ33-3)="","",INDEX('Final Calculation Sheet'!$AA$4:$AA$40,$BJ33-3)),IF(OR($BI33=1,$BL33=1,$BH33&gt;0),IF($BI33=1,SUM('Final Calculation Sheet'!$AA$4:$AA$40),IF($BL33=1,SUM('Final Calculation Sheet'!$AA$4:$AA$40)-SUMIFS('Final Calculation Sheet'!$AA$4:$AA$40,$AZ$5:$AZ$41,10),SUMIFS('Final Calculation Sheet'!$AA$4:$AA$40,$AZ$5:$AZ$41,$BH33))),""))</f>
        <v/>
      </c>
      <c r="AC30" t="str">
        <f>IF($BJ33&gt;0,IF(INDEX('Final Calculation Sheet'!$AB$4:$AB$40,$BJ33-3)="","",INDEX('Final Calculation Sheet'!$AB$4:$AB$40,$BJ33-3)),IF(OR($BI33=1,$BL33=1,$BH33&gt;0),"–",""))</f>
        <v/>
      </c>
      <c r="AD30" t="str">
        <f>IF($BJ33&gt;0,IF(INDEX('Final Calculation Sheet'!$AC$4:$AC$40,$BJ33-3)="","",INDEX('Final Calculation Sheet'!$AC$4:$AC$40,$BJ33-3)),IF(OR($BI33=1,$BL33=1,$BH33&gt;0),IF($BI33=1,SUM('Final Calculation Sheet'!$AC$4:$AC$40),IF($BL33=1,SUM('Final Calculation Sheet'!$AC$4:$AC$40)-SUMIFS('Final Calculation Sheet'!$AC$4:$AC$40,$AZ$5:$AZ$41,10),SUMIFS('Final Calculation Sheet'!$AC$4:$AC$40,$AZ$5:$AZ$41,$BH33))),""))</f>
        <v/>
      </c>
      <c r="AE30" t="str">
        <f>IF($BJ33&gt;0,IF(INDEX('Final Calculation Sheet'!$AD$4:$AD$40,$BJ33-3)="","",INDEX('Final Calculation Sheet'!$AD$4:$AD$40,$BJ33-3)),IF(OR($BI33=1,$BL33=1,$BH33&gt;0),IF($BI33=1,SUM('Final Calculation Sheet'!$AD$4:$AD$40),IF($BL33=1,SUM('Final Calculation Sheet'!$AD$4:$AD$40)-SUMIFS('Final Calculation Sheet'!$AD$4:$AD$40,$AZ$5:$AZ$41,10),SUMIFS('Final Calculation Sheet'!$AD$4:$AD$40,$AZ$5:$AZ$41,$BH33))),""))</f>
        <v/>
      </c>
      <c r="AF30" t="str">
        <f>IF($BJ33&gt;0,IF(INDEX('Final Calculation Sheet'!$AE$4:$AE$40,$BJ33-3)="","",INDEX('Final Calculation Sheet'!$AE$4:$AE$40,$BJ33-3)),IF(OR($BI33=1,$BL33=1,$BH33&gt;0),"–",""))</f>
        <v/>
      </c>
      <c r="AG30" t="str">
        <f>IF($BJ33&gt;0,IF(INDEX('Final Calculation Sheet'!$AF$4:$AF$40,$BJ33-3)="","",INDEX('Final Calculation Sheet'!$AF$4:$AF$40,$BJ33-3)),IF(OR($BI33=1,$BL33=1,$BH33&gt;0),"–",""))</f>
        <v/>
      </c>
      <c r="AH30" t="str">
        <f>IF($BJ33&gt;0,IF(INDEX('Final Calculation Sheet'!$AG$4:$AG$40,$BJ33-3)="","",INDEX('Final Calculation Sheet'!$AG$4:$AG$40,$BJ33-3)),IF(OR($BI33=1,$BL33=1,$BH33&gt;0),"–",""))</f>
        <v/>
      </c>
      <c r="AI30" t="str">
        <f>IF($BJ33&gt;0,IF(INDEX('Final Calculation Sheet'!$AD$4:$AD$40,$BJ33-3)="","",IF(INDEX('Final Calculation Sheet'!$AD$4:$AD$40,$BJ33-3)&lt;=5,"SETTLED","OUTSTANDING")),IF(OR($BI33=1,$BL33=1,$BH33&gt;0),IF(IF($BI33=1,SUM('Final Calculation Sheet'!$AD$4:$AD$40),IF($BL33=1,SUM('Final Calculation Sheet'!$AD$4:$AD$40)-SUMIFS('Final Calculation Sheet'!$AD$4:$AD$40,$AZ$5:$AZ$41,10),SUMIFS('Final Calculation Sheet'!$AD$4:$AD$40,$AZ$5:$AZ$41,$BH33)))&lt;=5,"ALL SETTLED","OUTSTANDING"),""))</f>
        <v/>
      </c>
    </row>
    <row r="31">
      <c r="A31" t="str">
        <f>IF($BJ34&gt;0,INDEX($BA$5:$BA$41,MATCH(34,$BB$5:$BB$41,0)),IF(OR($BI34=1,$BL34=1,$BH34&gt;0),"∑",""))</f>
        <v/>
      </c>
      <c r="B31" t="str">
        <f>IF($BJ34&gt;0,IF(INDEX('Final Calculation Sheet'!$F$4:$F$40,$BJ34-3)="","",INDEX('Final Calculation Sheet'!$F$4:$F$40,$BJ34-3)),"")</f>
        <v/>
      </c>
      <c r="C31" t="str">
        <f>IF($BJ34&gt;0,IF(INDEX('Final Calculation Sheet'!$G$4:$G$40,$BJ34-3)="","",INDEX('Final Calculation Sheet'!$G$4:$G$40,$BJ34-3)),IF(OR($BI34=1,$BL34=1,$BH34&gt;0),IF($BI34=1,37,IF($BL34=1,37-INDEX($BD$4:$BD$13,10),INDEX($BD$4:$BD$13,$BH34)))&amp;" lot(s)",""))</f>
        <v/>
      </c>
      <c r="D31" t="str">
        <f>IF($BJ34&gt;0,IF(INDEX('Final Calculation Sheet'!$B$4:$B$40,$BJ34-3)="","",INDEX('Final Calculation Sheet'!$B$4:$B$40,$BJ34-3)),IF(OR($BI34=1,$BL34=1,$BH34&gt;0),IF($BI34=1,"GRAND TOTAL  —  matching + remaining",IF($BL34=1,"TOTAL MATCHED  —  every group together",IF($BH34=10,"REMAINING  —  did not match the search",IF($BH34=9,IF(COUNTIF($A$4:$AI$4,"&lt;&gt;")&gt;0,"FILTERED LOTS  —  column fields","ALL LOTS  —  nothing typed in the box"),"GROUP "&amp;$BH34&amp;" TOTAL  —  lots matching  "&amp;INDEX($AR$6:$AY$6,$BH34))))),""))</f>
        <v/>
      </c>
      <c r="E31" t="str">
        <f>IF($BJ34&gt;0,IF(INDEX('Final Calculation Sheet'!$D$4:$D$40,$BJ34-3)="","",INDEX('Final Calculation Sheet'!$D$4:$D$40,$BJ34-3)),IF(OR($BI34=1,$BL34=1,$BH34&gt;0),"–",""))</f>
        <v/>
      </c>
      <c r="F31" t="str">
        <f>IF($BJ34&gt;0,IF(INDEX('Final Calculation Sheet'!$A$4:$A$40,$BJ34-3)="","",INDEX('Final Calculation Sheet'!$A$4:$A$40,$BJ34-3)),IF(OR($BI34=1,$BL34=1,$BH34&gt;0),IF($BI34=1,SUM('Final Calculation Sheet'!$A$4:$A$40),IF($BL34=1,SUM('Final Calculation Sheet'!$A$4:$A$40)-SUMIFS('Final Calculation Sheet'!$A$4:$A$40,$AZ$5:$AZ$41,10),SUMIFS('Final Calculation Sheet'!$A$4:$A$40,$AZ$5:$AZ$41,$BH34))),""))</f>
        <v/>
      </c>
      <c r="G31" t="str">
        <f>IF($BJ34&gt;0,IF(INDEX('Final Calculation Sheet'!$E$4:$E$40,$BJ34-3)="","",INDEX('Final Calculation Sheet'!$E$4:$E$40,$BJ34-3)),IF(OR($BI34=1,$BL34=1,$BH34&gt;0),"–",""))</f>
        <v/>
      </c>
      <c r="H31" t="str">
        <f>IF($BJ34&gt;0,IF(INDEX('Final Calculation Sheet'!$C$4:$C$40,$BJ34-3)="","",INDEX('Final Calculation Sheet'!$C$4:$C$40,$BJ34-3)),IF(OR($BI34=1,$BL34=1,$BH34&gt;0),"–",""))</f>
        <v/>
      </c>
      <c r="I31" t="str">
        <f>IF($BJ34&gt;0,IF(INDEX('Final Calculation Sheet'!$H$4:$H$40,$BJ34-3)="","",INDEX('Final Calculation Sheet'!$H$4:$H$40,$BJ34-3)),IF(OR($BI34=1,$BL34=1,$BH34&gt;0),IF($BI34=1,SUM('Final Calculation Sheet'!$H$4:$H$40),IF($BL34=1,SUM('Final Calculation Sheet'!$H$4:$H$40)-SUMIFS('Final Calculation Sheet'!$H$4:$H$40,$AZ$5:$AZ$41,10),SUMIFS('Final Calculation Sheet'!$H$4:$H$40,$AZ$5:$AZ$41,$BH34))),""))</f>
        <v/>
      </c>
      <c r="J31" t="str">
        <f>IF($BJ34&gt;0,IF(INDEX('Final Calculation Sheet'!$I$4:$I$40,$BJ34-3)="","",INDEX('Final Calculation Sheet'!$I$4:$I$40,$BJ34-3)),IF(OR($BI34=1,$BL34=1,$BH34&gt;0),IF($BI34=1,SUM('Final Calculation Sheet'!$I$4:$I$40),IF($BL34=1,SUM('Final Calculation Sheet'!$I$4:$I$40)-SUMIFS('Final Calculation Sheet'!$I$4:$I$40,$AZ$5:$AZ$41,10),SUMIFS('Final Calculation Sheet'!$I$4:$I$40,$AZ$5:$AZ$41,$BH34))),""))</f>
        <v/>
      </c>
      <c r="K31" t="str">
        <f>IF($BJ34&gt;0,IF(INDEX('Final Calculation Sheet'!$J$4:$J$40,$BJ34-3)="","",INDEX('Final Calculation Sheet'!$J$4:$J$40,$BJ34-3)),IF(OR($BI34=1,$BL34=1,$BH34&gt;0),IF($BI34=1,SUM('Final Calculation Sheet'!$J$4:$J$40),IF($BL34=1,SUM('Final Calculation Sheet'!$J$4:$J$40)-SUMIFS('Final Calculation Sheet'!$J$4:$J$40,$AZ$5:$AZ$41,10),SUMIFS('Final Calculation Sheet'!$J$4:$J$40,$AZ$5:$AZ$41,$BH34))),""))</f>
        <v/>
      </c>
      <c r="L31" t="str">
        <f>IF($BJ34&gt;0,IF(INDEX('Final Calculation Sheet'!$K$4:$K$40,$BJ34-3)="","",INDEX('Final Calculation Sheet'!$K$4:$K$40,$BJ34-3)),IF(OR($BI34=1,$BL34=1,$BH34&gt;0),IF($BI34=1,SUM('Final Calculation Sheet'!$K$4:$K$40),IF($BL34=1,SUM('Final Calculation Sheet'!$K$4:$K$40)-SUMIFS('Final Calculation Sheet'!$K$4:$K$40,$AZ$5:$AZ$41,10),SUMIFS('Final Calculation Sheet'!$K$4:$K$40,$AZ$5:$AZ$41,$BH34))),""))</f>
        <v/>
      </c>
      <c r="M31" t="str">
        <f>IF($BJ34&gt;0,IF(INDEX('Final Calculation Sheet'!$L$4:$L$40,$BJ34-3)="","",INDEX('Final Calculation Sheet'!$L$4:$L$40,$BJ34-3)),IF(OR($BI34=1,$BL34=1,$BH34&gt;0),IF($BI34=1,SUM('Final Calculation Sheet'!$L$4:$L$40),IF($BL34=1,SUM('Final Calculation Sheet'!$L$4:$L$40)-SUMIFS('Final Calculation Sheet'!$L$4:$L$40,$AZ$5:$AZ$41,10),SUMIFS('Final Calculation Sheet'!$L$4:$L$40,$AZ$5:$AZ$41,$BH34))),""))</f>
        <v/>
      </c>
      <c r="N31" t="str">
        <f>IF($BJ34&gt;0,IF(INDEX('Final Calculation Sheet'!$M$4:$M$40,$BJ34-3)="","",INDEX('Final Calculation Sheet'!$M$4:$M$40,$BJ34-3)),IF(OR($BI34=1,$BL34=1,$BH34&gt;0),IF($BI34=1,SUM('Final Calculation Sheet'!$M$4:$M$40),IF($BL34=1,SUM('Final Calculation Sheet'!$M$4:$M$40)-SUMIFS('Final Calculation Sheet'!$M$4:$M$40,$AZ$5:$AZ$41,10),SUMIFS('Final Calculation Sheet'!$M$4:$M$40,$AZ$5:$AZ$41,$BH34))),""))</f>
        <v/>
      </c>
      <c r="O31" t="str">
        <f>IF($BJ34&gt;0,IF(INDEX('Final Calculation Sheet'!$N$4:$N$40,$BJ34-3)="","",INDEX('Final Calculation Sheet'!$N$4:$N$40,$BJ34-3)),IF(OR($BI34=1,$BL34=1,$BH34&gt;0),IF($BI34=1,SUM('Final Calculation Sheet'!$N$4:$N$40),IF($BL34=1,SUM('Final Calculation Sheet'!$N$4:$N$40)-SUMIFS('Final Calculation Sheet'!$N$4:$N$40,$AZ$5:$AZ$41,10),SUMIFS('Final Calculation Sheet'!$N$4:$N$40,$AZ$5:$AZ$41,$BH34))),""))</f>
        <v/>
      </c>
      <c r="P31" t="str">
        <f>IF($BJ34&gt;0,IF(INDEX('Final Calculation Sheet'!$O$4:$O$40,$BJ34-3)="","",INDEX('Final Calculation Sheet'!$O$4:$O$40,$BJ34-3)),IF(OR($BI34=1,$BL34=1,$BH34&gt;0),IF($BI34=1,SUM('Final Calculation Sheet'!$O$4:$O$40),IF($BL34=1,SUM('Final Calculation Sheet'!$O$4:$O$40)-SUMIFS('Final Calculation Sheet'!$O$4:$O$40,$AZ$5:$AZ$41,10),SUMIFS('Final Calculation Sheet'!$O$4:$O$40,$AZ$5:$AZ$41,$BH34))),""))</f>
        <v/>
      </c>
      <c r="Q31" t="str">
        <f>IF($BJ34&gt;0,IF(INDEX('Final Calculation Sheet'!$P$4:$P$40,$BJ34-3)="","",INDEX('Final Calculation Sheet'!$P$4:$P$40,$BJ34-3)),IF(OR($BI34=1,$BL34=1,$BH34&gt;0),IF($BI34=1,SUM('Final Calculation Sheet'!$P$4:$P$40),IF($BL34=1,SUM('Final Calculation Sheet'!$P$4:$P$40)-SUMIFS('Final Calculation Sheet'!$P$4:$P$40,$AZ$5:$AZ$41,10),SUMIFS('Final Calculation Sheet'!$P$4:$P$40,$AZ$5:$AZ$41,$BH34))),""))</f>
        <v/>
      </c>
      <c r="R31" t="str">
        <f>IF($BJ34&gt;0,IF(INDEX('Final Calculation Sheet'!$Q$4:$Q$40,$BJ34-3)="","",INDEX('Final Calculation Sheet'!$Q$4:$Q$40,$BJ34-3)),IF(OR($BI34=1,$BL34=1,$BH34&gt;0),"–",""))</f>
        <v/>
      </c>
      <c r="S31" t="str">
        <f>IF($BJ34&gt;0,IF(INDEX('Final Calculation Sheet'!$R$4:$R$40,$BJ34-3)="","",INDEX('Final Calculation Sheet'!$R$4:$R$40,$BJ34-3)),IF(OR($BI34=1,$BL34=1,$BH34&gt;0),IF($BI34=1,SUM('Final Calculation Sheet'!$R$4:$R$40),IF($BL34=1,SUM('Final Calculation Sheet'!$R$4:$R$40)-SUMIFS('Final Calculation Sheet'!$R$4:$R$40,$AZ$5:$AZ$41,10),SUMIFS('Final Calculation Sheet'!$R$4:$R$40,$AZ$5:$AZ$41,$BH34))),""))</f>
        <v/>
      </c>
      <c r="T31" t="str">
        <f>IF($BJ34&gt;0,IF(INDEX('Final Calculation Sheet'!$S$4:$S$40,$BJ34-3)="","",INDEX('Final Calculation Sheet'!$S$4:$S$40,$BJ34-3)),IF(OR($BI34=1,$BL34=1,$BH34&gt;0),IF($BI34=1,SUM('Final Calculation Sheet'!$S$4:$S$40),IF($BL34=1,SUM('Final Calculation Sheet'!$S$4:$S$40)-SUMIFS('Final Calculation Sheet'!$S$4:$S$40,$AZ$5:$AZ$41,10),SUMIFS('Final Calculation Sheet'!$S$4:$S$40,$AZ$5:$AZ$41,$BH34))),""))</f>
        <v/>
      </c>
      <c r="U31" t="str">
        <f>IF($BJ34&gt;0,IF(INDEX('Final Calculation Sheet'!$T$4:$T$40,$BJ34-3)="","",INDEX('Final Calculation Sheet'!$T$4:$T$40,$BJ34-3)),IF(OR($BI34=1,$BL34=1,$BH34&gt;0),IF($BI34=1,SUM('Final Calculation Sheet'!$T$4:$T$40),IF($BL34=1,SUM('Final Calculation Sheet'!$T$4:$T$40)-SUMIFS('Final Calculation Sheet'!$T$4:$T$40,$AZ$5:$AZ$41,10),SUMIFS('Final Calculation Sheet'!$T$4:$T$40,$AZ$5:$AZ$41,$BH34))),""))</f>
        <v/>
      </c>
      <c r="V31" t="str">
        <f>IF($BJ34&gt;0,IF(INDEX('Final Calculation Sheet'!$U$4:$U$40,$BJ34-3)="","",INDEX('Final Calculation Sheet'!$U$4:$U$40,$BJ34-3)),IF(OR($BI34=1,$BL34=1,$BH34&gt;0),IF($BI34=1,SUM('Final Calculation Sheet'!$U$4:$U$40),IF($BL34=1,SUM('Final Calculation Sheet'!$U$4:$U$40)-SUMIFS('Final Calculation Sheet'!$U$4:$U$40,$AZ$5:$AZ$41,10),SUMIFS('Final Calculation Sheet'!$U$4:$U$40,$AZ$5:$AZ$41,$BH34))),""))</f>
        <v/>
      </c>
      <c r="W31" t="str">
        <f>IF($BJ34&gt;0,IF(INDEX('Final Calculation Sheet'!$V$4:$V$40,$BJ34-3)="","",INDEX('Final Calculation Sheet'!$V$4:$V$40,$BJ34-3)),IF(OR($BI34=1,$BL34=1,$BH34&gt;0),"–",""))</f>
        <v/>
      </c>
      <c r="X31" t="str">
        <f>IF($BJ34&gt;0,IF(INDEX('Final Calculation Sheet'!$W$4:$W$40,$BJ34-3)="","",INDEX('Final Calculation Sheet'!$W$4:$W$40,$BJ34-3)),IF(OR($BI34=1,$BL34=1,$BH34&gt;0),IF($BI34=1,SUM('Final Calculation Sheet'!$W$4:$W$40),IF($BL34=1,SUM('Final Calculation Sheet'!$W$4:$W$40)-SUMIFS('Final Calculation Sheet'!$W$4:$W$40,$AZ$5:$AZ$41,10),SUMIFS('Final Calculation Sheet'!$W$4:$W$40,$AZ$5:$AZ$41,$BH34))),""))</f>
        <v/>
      </c>
      <c r="Y31" t="str">
        <f>IF($BJ34&gt;0,IF(INDEX('Final Calculation Sheet'!$X$4:$X$40,$BJ34-3)="","",INDEX('Final Calculation Sheet'!$X$4:$X$40,$BJ34-3)),IF(OR($BI34=1,$BL34=1,$BH34&gt;0),IF($BI34=1,SUM('Final Calculation Sheet'!$X$4:$X$40),IF($BL34=1,SUM('Final Calculation Sheet'!$X$4:$X$40)-SUMIFS('Final Calculation Sheet'!$X$4:$X$40,$AZ$5:$AZ$41,10),SUMIFS('Final Calculation Sheet'!$X$4:$X$40,$AZ$5:$AZ$41,$BH34))),""))</f>
        <v/>
      </c>
      <c r="Z31" t="str">
        <f>IF($BJ34&gt;0,IF(INDEX('Final Calculation Sheet'!$Y$4:$Y$40,$BJ34-3)="","",INDEX('Final Calculation Sheet'!$Y$4:$Y$40,$BJ34-3)),IF(OR($BI34=1,$BL34=1,$BH34&gt;0),"–",""))</f>
        <v/>
      </c>
      <c r="AA31" t="str">
        <f>IF($BJ34&gt;0,IF(INDEX('Final Calculation Sheet'!$Z$4:$Z$40,$BJ34-3)="","",INDEX('Final Calculation Sheet'!$Z$4:$Z$40,$BJ34-3)),IF(OR($BI34=1,$BL34=1,$BH34&gt;0),IF($BI34=1,SUM('Final Calculation Sheet'!$Z$4:$Z$40),IF($BL34=1,SUM('Final Calculation Sheet'!$Z$4:$Z$40)-SUMIFS('Final Calculation Sheet'!$Z$4:$Z$40,$AZ$5:$AZ$41,10),SUMIFS('Final Calculation Sheet'!$Z$4:$Z$40,$AZ$5:$AZ$41,$BH34))),""))</f>
        <v/>
      </c>
      <c r="AB31" t="str">
        <f>IF($BJ34&gt;0,IF(INDEX('Final Calculation Sheet'!$AA$4:$AA$40,$BJ34-3)="","",INDEX('Final Calculation Sheet'!$AA$4:$AA$40,$BJ34-3)),IF(OR($BI34=1,$BL34=1,$BH34&gt;0),IF($BI34=1,SUM('Final Calculation Sheet'!$AA$4:$AA$40),IF($BL34=1,SUM('Final Calculation Sheet'!$AA$4:$AA$40)-SUMIFS('Final Calculation Sheet'!$AA$4:$AA$40,$AZ$5:$AZ$41,10),SUMIFS('Final Calculation Sheet'!$AA$4:$AA$40,$AZ$5:$AZ$41,$BH34))),""))</f>
        <v/>
      </c>
      <c r="AC31" t="str">
        <f>IF($BJ34&gt;0,IF(INDEX('Final Calculation Sheet'!$AB$4:$AB$40,$BJ34-3)="","",INDEX('Final Calculation Sheet'!$AB$4:$AB$40,$BJ34-3)),IF(OR($BI34=1,$BL34=1,$BH34&gt;0),"–",""))</f>
        <v/>
      </c>
      <c r="AD31" t="str">
        <f>IF($BJ34&gt;0,IF(INDEX('Final Calculation Sheet'!$AC$4:$AC$40,$BJ34-3)="","",INDEX('Final Calculation Sheet'!$AC$4:$AC$40,$BJ34-3)),IF(OR($BI34=1,$BL34=1,$BH34&gt;0),IF($BI34=1,SUM('Final Calculation Sheet'!$AC$4:$AC$40),IF($BL34=1,SUM('Final Calculation Sheet'!$AC$4:$AC$40)-SUMIFS('Final Calculation Sheet'!$AC$4:$AC$40,$AZ$5:$AZ$41,10),SUMIFS('Final Calculation Sheet'!$AC$4:$AC$40,$AZ$5:$AZ$41,$BH34))),""))</f>
        <v/>
      </c>
      <c r="AE31" t="str">
        <f>IF($BJ34&gt;0,IF(INDEX('Final Calculation Sheet'!$AD$4:$AD$40,$BJ34-3)="","",INDEX('Final Calculation Sheet'!$AD$4:$AD$40,$BJ34-3)),IF(OR($BI34=1,$BL34=1,$BH34&gt;0),IF($BI34=1,SUM('Final Calculation Sheet'!$AD$4:$AD$40),IF($BL34=1,SUM('Final Calculation Sheet'!$AD$4:$AD$40)-SUMIFS('Final Calculation Sheet'!$AD$4:$AD$40,$AZ$5:$AZ$41,10),SUMIFS('Final Calculation Sheet'!$AD$4:$AD$40,$AZ$5:$AZ$41,$BH34))),""))</f>
        <v/>
      </c>
      <c r="AF31" t="str">
        <f>IF($BJ34&gt;0,IF(INDEX('Final Calculation Sheet'!$AE$4:$AE$40,$BJ34-3)="","",INDEX('Final Calculation Sheet'!$AE$4:$AE$40,$BJ34-3)),IF(OR($BI34=1,$BL34=1,$BH34&gt;0),"–",""))</f>
        <v/>
      </c>
      <c r="AG31" t="str">
        <f>IF($BJ34&gt;0,IF(INDEX('Final Calculation Sheet'!$AF$4:$AF$40,$BJ34-3)="","",INDEX('Final Calculation Sheet'!$AF$4:$AF$40,$BJ34-3)),IF(OR($BI34=1,$BL34=1,$BH34&gt;0),"–",""))</f>
        <v/>
      </c>
      <c r="AH31" t="str">
        <f>IF($BJ34&gt;0,IF(INDEX('Final Calculation Sheet'!$AG$4:$AG$40,$BJ34-3)="","",INDEX('Final Calculation Sheet'!$AG$4:$AG$40,$BJ34-3)),IF(OR($BI34=1,$BL34=1,$BH34&gt;0),"–",""))</f>
        <v/>
      </c>
      <c r="AI31" t="str">
        <f>IF($BJ34&gt;0,IF(INDEX('Final Calculation Sheet'!$AD$4:$AD$40,$BJ34-3)="","",IF(INDEX('Final Calculation Sheet'!$AD$4:$AD$40,$BJ34-3)&lt;=5,"SETTLED","OUTSTANDING")),IF(OR($BI34=1,$BL34=1,$BH34&gt;0),IF(IF($BI34=1,SUM('Final Calculation Sheet'!$AD$4:$AD$40),IF($BL34=1,SUM('Final Calculation Sheet'!$AD$4:$AD$40)-SUMIFS('Final Calculation Sheet'!$AD$4:$AD$40,$AZ$5:$AZ$41,10),SUMIFS('Final Calculation Sheet'!$AD$4:$AD$40,$AZ$5:$AZ$41,$BH34)))&lt;=5,"ALL SETTLED","OUTSTANDING"),""))</f>
        <v/>
      </c>
    </row>
    <row r="32">
      <c r="A32" t="str">
        <f>IF($BJ35&gt;0,INDEX($BA$5:$BA$41,MATCH(35,$BB$5:$BB$41,0)),IF(OR($BI35=1,$BL35=1,$BH35&gt;0),"∑",""))</f>
        <v/>
      </c>
      <c r="B32" t="str">
        <f>IF($BJ35&gt;0,IF(INDEX('Final Calculation Sheet'!$F$4:$F$40,$BJ35-3)="","",INDEX('Final Calculation Sheet'!$F$4:$F$40,$BJ35-3)),"")</f>
        <v/>
      </c>
      <c r="C32" t="str">
        <f>IF($BJ35&gt;0,IF(INDEX('Final Calculation Sheet'!$G$4:$G$40,$BJ35-3)="","",INDEX('Final Calculation Sheet'!$G$4:$G$40,$BJ35-3)),IF(OR($BI35=1,$BL35=1,$BH35&gt;0),IF($BI35=1,37,IF($BL35=1,37-INDEX($BD$4:$BD$13,10),INDEX($BD$4:$BD$13,$BH35)))&amp;" lot(s)",""))</f>
        <v/>
      </c>
      <c r="D32" t="str">
        <f>IF($BJ35&gt;0,IF(INDEX('Final Calculation Sheet'!$B$4:$B$40,$BJ35-3)="","",INDEX('Final Calculation Sheet'!$B$4:$B$40,$BJ35-3)),IF(OR($BI35=1,$BL35=1,$BH35&gt;0),IF($BI35=1,"GRAND TOTAL  —  matching + remaining",IF($BL35=1,"TOTAL MATCHED  —  every group together",IF($BH35=10,"REMAINING  —  did not match the search",IF($BH35=9,IF(COUNTIF($A$4:$AI$4,"&lt;&gt;")&gt;0,"FILTERED LOTS  —  column fields","ALL LOTS  —  nothing typed in the box"),"GROUP "&amp;$BH35&amp;" TOTAL  —  lots matching  "&amp;INDEX($AR$6:$AY$6,$BH35))))),""))</f>
        <v/>
      </c>
      <c r="E32" t="str">
        <f>IF($BJ35&gt;0,IF(INDEX('Final Calculation Sheet'!$D$4:$D$40,$BJ35-3)="","",INDEX('Final Calculation Sheet'!$D$4:$D$40,$BJ35-3)),IF(OR($BI35=1,$BL35=1,$BH35&gt;0),"–",""))</f>
        <v/>
      </c>
      <c r="F32" t="str">
        <f>IF($BJ35&gt;0,IF(INDEX('Final Calculation Sheet'!$A$4:$A$40,$BJ35-3)="","",INDEX('Final Calculation Sheet'!$A$4:$A$40,$BJ35-3)),IF(OR($BI35=1,$BL35=1,$BH35&gt;0),IF($BI35=1,SUM('Final Calculation Sheet'!$A$4:$A$40),IF($BL35=1,SUM('Final Calculation Sheet'!$A$4:$A$40)-SUMIFS('Final Calculation Sheet'!$A$4:$A$40,$AZ$5:$AZ$41,10),SUMIFS('Final Calculation Sheet'!$A$4:$A$40,$AZ$5:$AZ$41,$BH35))),""))</f>
        <v/>
      </c>
      <c r="G32" t="str">
        <f>IF($BJ35&gt;0,IF(INDEX('Final Calculation Sheet'!$E$4:$E$40,$BJ35-3)="","",INDEX('Final Calculation Sheet'!$E$4:$E$40,$BJ35-3)),IF(OR($BI35=1,$BL35=1,$BH35&gt;0),"–",""))</f>
        <v/>
      </c>
      <c r="H32" t="str">
        <f>IF($BJ35&gt;0,IF(INDEX('Final Calculation Sheet'!$C$4:$C$40,$BJ35-3)="","",INDEX('Final Calculation Sheet'!$C$4:$C$40,$BJ35-3)),IF(OR($BI35=1,$BL35=1,$BH35&gt;0),"–",""))</f>
        <v/>
      </c>
      <c r="I32" t="str">
        <f>IF($BJ35&gt;0,IF(INDEX('Final Calculation Sheet'!$H$4:$H$40,$BJ35-3)="","",INDEX('Final Calculation Sheet'!$H$4:$H$40,$BJ35-3)),IF(OR($BI35=1,$BL35=1,$BH35&gt;0),IF($BI35=1,SUM('Final Calculation Sheet'!$H$4:$H$40),IF($BL35=1,SUM('Final Calculation Sheet'!$H$4:$H$40)-SUMIFS('Final Calculation Sheet'!$H$4:$H$40,$AZ$5:$AZ$41,10),SUMIFS('Final Calculation Sheet'!$H$4:$H$40,$AZ$5:$AZ$41,$BH35))),""))</f>
        <v/>
      </c>
      <c r="J32" t="str">
        <f>IF($BJ35&gt;0,IF(INDEX('Final Calculation Sheet'!$I$4:$I$40,$BJ35-3)="","",INDEX('Final Calculation Sheet'!$I$4:$I$40,$BJ35-3)),IF(OR($BI35=1,$BL35=1,$BH35&gt;0),IF($BI35=1,SUM('Final Calculation Sheet'!$I$4:$I$40),IF($BL35=1,SUM('Final Calculation Sheet'!$I$4:$I$40)-SUMIFS('Final Calculation Sheet'!$I$4:$I$40,$AZ$5:$AZ$41,10),SUMIFS('Final Calculation Sheet'!$I$4:$I$40,$AZ$5:$AZ$41,$BH35))),""))</f>
        <v/>
      </c>
      <c r="K32" t="str">
        <f>IF($BJ35&gt;0,IF(INDEX('Final Calculation Sheet'!$J$4:$J$40,$BJ35-3)="","",INDEX('Final Calculation Sheet'!$J$4:$J$40,$BJ35-3)),IF(OR($BI35=1,$BL35=1,$BH35&gt;0),IF($BI35=1,SUM('Final Calculation Sheet'!$J$4:$J$40),IF($BL35=1,SUM('Final Calculation Sheet'!$J$4:$J$40)-SUMIFS('Final Calculation Sheet'!$J$4:$J$40,$AZ$5:$AZ$41,10),SUMIFS('Final Calculation Sheet'!$J$4:$J$40,$AZ$5:$AZ$41,$BH35))),""))</f>
        <v/>
      </c>
      <c r="L32" t="str">
        <f>IF($BJ35&gt;0,IF(INDEX('Final Calculation Sheet'!$K$4:$K$40,$BJ35-3)="","",INDEX('Final Calculation Sheet'!$K$4:$K$40,$BJ35-3)),IF(OR($BI35=1,$BL35=1,$BH35&gt;0),IF($BI35=1,SUM('Final Calculation Sheet'!$K$4:$K$40),IF($BL35=1,SUM('Final Calculation Sheet'!$K$4:$K$40)-SUMIFS('Final Calculation Sheet'!$K$4:$K$40,$AZ$5:$AZ$41,10),SUMIFS('Final Calculation Sheet'!$K$4:$K$40,$AZ$5:$AZ$41,$BH35))),""))</f>
        <v/>
      </c>
      <c r="M32" t="str">
        <f>IF($BJ35&gt;0,IF(INDEX('Final Calculation Sheet'!$L$4:$L$40,$BJ35-3)="","",INDEX('Final Calculation Sheet'!$L$4:$L$40,$BJ35-3)),IF(OR($BI35=1,$BL35=1,$BH35&gt;0),IF($BI35=1,SUM('Final Calculation Sheet'!$L$4:$L$40),IF($BL35=1,SUM('Final Calculation Sheet'!$L$4:$L$40)-SUMIFS('Final Calculation Sheet'!$L$4:$L$40,$AZ$5:$AZ$41,10),SUMIFS('Final Calculation Sheet'!$L$4:$L$40,$AZ$5:$AZ$41,$BH35))),""))</f>
        <v/>
      </c>
      <c r="N32" t="str">
        <f>IF($BJ35&gt;0,IF(INDEX('Final Calculation Sheet'!$M$4:$M$40,$BJ35-3)="","",INDEX('Final Calculation Sheet'!$M$4:$M$40,$BJ35-3)),IF(OR($BI35=1,$BL35=1,$BH35&gt;0),IF($BI35=1,SUM('Final Calculation Sheet'!$M$4:$M$40),IF($BL35=1,SUM('Final Calculation Sheet'!$M$4:$M$40)-SUMIFS('Final Calculation Sheet'!$M$4:$M$40,$AZ$5:$AZ$41,10),SUMIFS('Final Calculation Sheet'!$M$4:$M$40,$AZ$5:$AZ$41,$BH35))),""))</f>
        <v/>
      </c>
      <c r="O32" t="str">
        <f>IF($BJ35&gt;0,IF(INDEX('Final Calculation Sheet'!$N$4:$N$40,$BJ35-3)="","",INDEX('Final Calculation Sheet'!$N$4:$N$40,$BJ35-3)),IF(OR($BI35=1,$BL35=1,$BH35&gt;0),IF($BI35=1,SUM('Final Calculation Sheet'!$N$4:$N$40),IF($BL35=1,SUM('Final Calculation Sheet'!$N$4:$N$40)-SUMIFS('Final Calculation Sheet'!$N$4:$N$40,$AZ$5:$AZ$41,10),SUMIFS('Final Calculation Sheet'!$N$4:$N$40,$AZ$5:$AZ$41,$BH35))),""))</f>
        <v/>
      </c>
      <c r="P32" t="str">
        <f>IF($BJ35&gt;0,IF(INDEX('Final Calculation Sheet'!$O$4:$O$40,$BJ35-3)="","",INDEX('Final Calculation Sheet'!$O$4:$O$40,$BJ35-3)),IF(OR($BI35=1,$BL35=1,$BH35&gt;0),IF($BI35=1,SUM('Final Calculation Sheet'!$O$4:$O$40),IF($BL35=1,SUM('Final Calculation Sheet'!$O$4:$O$40)-SUMIFS('Final Calculation Sheet'!$O$4:$O$40,$AZ$5:$AZ$41,10),SUMIFS('Final Calculation Sheet'!$O$4:$O$40,$AZ$5:$AZ$41,$BH35))),""))</f>
        <v/>
      </c>
      <c r="Q32" t="str">
        <f>IF($BJ35&gt;0,IF(INDEX('Final Calculation Sheet'!$P$4:$P$40,$BJ35-3)="","",INDEX('Final Calculation Sheet'!$P$4:$P$40,$BJ35-3)),IF(OR($BI35=1,$BL35=1,$BH35&gt;0),IF($BI35=1,SUM('Final Calculation Sheet'!$P$4:$P$40),IF($BL35=1,SUM('Final Calculation Sheet'!$P$4:$P$40)-SUMIFS('Final Calculation Sheet'!$P$4:$P$40,$AZ$5:$AZ$41,10),SUMIFS('Final Calculation Sheet'!$P$4:$P$40,$AZ$5:$AZ$41,$BH35))),""))</f>
        <v/>
      </c>
      <c r="R32" t="str">
        <f>IF($BJ35&gt;0,IF(INDEX('Final Calculation Sheet'!$Q$4:$Q$40,$BJ35-3)="","",INDEX('Final Calculation Sheet'!$Q$4:$Q$40,$BJ35-3)),IF(OR($BI35=1,$BL35=1,$BH35&gt;0),"–",""))</f>
        <v/>
      </c>
      <c r="S32" t="str">
        <f>IF($BJ35&gt;0,IF(INDEX('Final Calculation Sheet'!$R$4:$R$40,$BJ35-3)="","",INDEX('Final Calculation Sheet'!$R$4:$R$40,$BJ35-3)),IF(OR($BI35=1,$BL35=1,$BH35&gt;0),IF($BI35=1,SUM('Final Calculation Sheet'!$R$4:$R$40),IF($BL35=1,SUM('Final Calculation Sheet'!$R$4:$R$40)-SUMIFS('Final Calculation Sheet'!$R$4:$R$40,$AZ$5:$AZ$41,10),SUMIFS('Final Calculation Sheet'!$R$4:$R$40,$AZ$5:$AZ$41,$BH35))),""))</f>
        <v/>
      </c>
      <c r="T32" t="str">
        <f>IF($BJ35&gt;0,IF(INDEX('Final Calculation Sheet'!$S$4:$S$40,$BJ35-3)="","",INDEX('Final Calculation Sheet'!$S$4:$S$40,$BJ35-3)),IF(OR($BI35=1,$BL35=1,$BH35&gt;0),IF($BI35=1,SUM('Final Calculation Sheet'!$S$4:$S$40),IF($BL35=1,SUM('Final Calculation Sheet'!$S$4:$S$40)-SUMIFS('Final Calculation Sheet'!$S$4:$S$40,$AZ$5:$AZ$41,10),SUMIFS('Final Calculation Sheet'!$S$4:$S$40,$AZ$5:$AZ$41,$BH35))),""))</f>
        <v/>
      </c>
      <c r="U32" t="str">
        <f>IF($BJ35&gt;0,IF(INDEX('Final Calculation Sheet'!$T$4:$T$40,$BJ35-3)="","",INDEX('Final Calculation Sheet'!$T$4:$T$40,$BJ35-3)),IF(OR($BI35=1,$BL35=1,$BH35&gt;0),IF($BI35=1,SUM('Final Calculation Sheet'!$T$4:$T$40),IF($BL35=1,SUM('Final Calculation Sheet'!$T$4:$T$40)-SUMIFS('Final Calculation Sheet'!$T$4:$T$40,$AZ$5:$AZ$41,10),SUMIFS('Final Calculation Sheet'!$T$4:$T$40,$AZ$5:$AZ$41,$BH35))),""))</f>
        <v/>
      </c>
      <c r="V32" t="str">
        <f>IF($BJ35&gt;0,IF(INDEX('Final Calculation Sheet'!$U$4:$U$40,$BJ35-3)="","",INDEX('Final Calculation Sheet'!$U$4:$U$40,$BJ35-3)),IF(OR($BI35=1,$BL35=1,$BH35&gt;0),IF($BI35=1,SUM('Final Calculation Sheet'!$U$4:$U$40),IF($BL35=1,SUM('Final Calculation Sheet'!$U$4:$U$40)-SUMIFS('Final Calculation Sheet'!$U$4:$U$40,$AZ$5:$AZ$41,10),SUMIFS('Final Calculation Sheet'!$U$4:$U$40,$AZ$5:$AZ$41,$BH35))),""))</f>
        <v/>
      </c>
      <c r="W32" t="str">
        <f>IF($BJ35&gt;0,IF(INDEX('Final Calculation Sheet'!$V$4:$V$40,$BJ35-3)="","",INDEX('Final Calculation Sheet'!$V$4:$V$40,$BJ35-3)),IF(OR($BI35=1,$BL35=1,$BH35&gt;0),"–",""))</f>
        <v/>
      </c>
      <c r="X32" t="str">
        <f>IF($BJ35&gt;0,IF(INDEX('Final Calculation Sheet'!$W$4:$W$40,$BJ35-3)="","",INDEX('Final Calculation Sheet'!$W$4:$W$40,$BJ35-3)),IF(OR($BI35=1,$BL35=1,$BH35&gt;0),IF($BI35=1,SUM('Final Calculation Sheet'!$W$4:$W$40),IF($BL35=1,SUM('Final Calculation Sheet'!$W$4:$W$40)-SUMIFS('Final Calculation Sheet'!$W$4:$W$40,$AZ$5:$AZ$41,10),SUMIFS('Final Calculation Sheet'!$W$4:$W$40,$AZ$5:$AZ$41,$BH35))),""))</f>
        <v/>
      </c>
      <c r="Y32" t="str">
        <f>IF($BJ35&gt;0,IF(INDEX('Final Calculation Sheet'!$X$4:$X$40,$BJ35-3)="","",INDEX('Final Calculation Sheet'!$X$4:$X$40,$BJ35-3)),IF(OR($BI35=1,$BL35=1,$BH35&gt;0),IF($BI35=1,SUM('Final Calculation Sheet'!$X$4:$X$40),IF($BL35=1,SUM('Final Calculation Sheet'!$X$4:$X$40)-SUMIFS('Final Calculation Sheet'!$X$4:$X$40,$AZ$5:$AZ$41,10),SUMIFS('Final Calculation Sheet'!$X$4:$X$40,$AZ$5:$AZ$41,$BH35))),""))</f>
        <v/>
      </c>
      <c r="Z32" t="str">
        <f>IF($BJ35&gt;0,IF(INDEX('Final Calculation Sheet'!$Y$4:$Y$40,$BJ35-3)="","",INDEX('Final Calculation Sheet'!$Y$4:$Y$40,$BJ35-3)),IF(OR($BI35=1,$BL35=1,$BH35&gt;0),"–",""))</f>
        <v/>
      </c>
      <c r="AA32" t="str">
        <f>IF($BJ35&gt;0,IF(INDEX('Final Calculation Sheet'!$Z$4:$Z$40,$BJ35-3)="","",INDEX('Final Calculation Sheet'!$Z$4:$Z$40,$BJ35-3)),IF(OR($BI35=1,$BL35=1,$BH35&gt;0),IF($BI35=1,SUM('Final Calculation Sheet'!$Z$4:$Z$40),IF($BL35=1,SUM('Final Calculation Sheet'!$Z$4:$Z$40)-SUMIFS('Final Calculation Sheet'!$Z$4:$Z$40,$AZ$5:$AZ$41,10),SUMIFS('Final Calculation Sheet'!$Z$4:$Z$40,$AZ$5:$AZ$41,$BH35))),""))</f>
        <v/>
      </c>
      <c r="AB32" t="str">
        <f>IF($BJ35&gt;0,IF(INDEX('Final Calculation Sheet'!$AA$4:$AA$40,$BJ35-3)="","",INDEX('Final Calculation Sheet'!$AA$4:$AA$40,$BJ35-3)),IF(OR($BI35=1,$BL35=1,$BH35&gt;0),IF($BI35=1,SUM('Final Calculation Sheet'!$AA$4:$AA$40),IF($BL35=1,SUM('Final Calculation Sheet'!$AA$4:$AA$40)-SUMIFS('Final Calculation Sheet'!$AA$4:$AA$40,$AZ$5:$AZ$41,10),SUMIFS('Final Calculation Sheet'!$AA$4:$AA$40,$AZ$5:$AZ$41,$BH35))),""))</f>
        <v/>
      </c>
      <c r="AC32" t="str">
        <f>IF($BJ35&gt;0,IF(INDEX('Final Calculation Sheet'!$AB$4:$AB$40,$BJ35-3)="","",INDEX('Final Calculation Sheet'!$AB$4:$AB$40,$BJ35-3)),IF(OR($BI35=1,$BL35=1,$BH35&gt;0),"–",""))</f>
        <v/>
      </c>
      <c r="AD32" t="str">
        <f>IF($BJ35&gt;0,IF(INDEX('Final Calculation Sheet'!$AC$4:$AC$40,$BJ35-3)="","",INDEX('Final Calculation Sheet'!$AC$4:$AC$40,$BJ35-3)),IF(OR($BI35=1,$BL35=1,$BH35&gt;0),IF($BI35=1,SUM('Final Calculation Sheet'!$AC$4:$AC$40),IF($BL35=1,SUM('Final Calculation Sheet'!$AC$4:$AC$40)-SUMIFS('Final Calculation Sheet'!$AC$4:$AC$40,$AZ$5:$AZ$41,10),SUMIFS('Final Calculation Sheet'!$AC$4:$AC$40,$AZ$5:$AZ$41,$BH35))),""))</f>
        <v/>
      </c>
      <c r="AE32" t="str">
        <f>IF($BJ35&gt;0,IF(INDEX('Final Calculation Sheet'!$AD$4:$AD$40,$BJ35-3)="","",INDEX('Final Calculation Sheet'!$AD$4:$AD$40,$BJ35-3)),IF(OR($BI35=1,$BL35=1,$BH35&gt;0),IF($BI35=1,SUM('Final Calculation Sheet'!$AD$4:$AD$40),IF($BL35=1,SUM('Final Calculation Sheet'!$AD$4:$AD$40)-SUMIFS('Final Calculation Sheet'!$AD$4:$AD$40,$AZ$5:$AZ$41,10),SUMIFS('Final Calculation Sheet'!$AD$4:$AD$40,$AZ$5:$AZ$41,$BH35))),""))</f>
        <v/>
      </c>
      <c r="AF32" t="str">
        <f>IF($BJ35&gt;0,IF(INDEX('Final Calculation Sheet'!$AE$4:$AE$40,$BJ35-3)="","",INDEX('Final Calculation Sheet'!$AE$4:$AE$40,$BJ35-3)),IF(OR($BI35=1,$BL35=1,$BH35&gt;0),"–",""))</f>
        <v/>
      </c>
      <c r="AG32" t="str">
        <f>IF($BJ35&gt;0,IF(INDEX('Final Calculation Sheet'!$AF$4:$AF$40,$BJ35-3)="","",INDEX('Final Calculation Sheet'!$AF$4:$AF$40,$BJ35-3)),IF(OR($BI35=1,$BL35=1,$BH35&gt;0),"–",""))</f>
        <v/>
      </c>
      <c r="AH32" t="str">
        <f>IF($BJ35&gt;0,IF(INDEX('Final Calculation Sheet'!$AG$4:$AG$40,$BJ35-3)="","",INDEX('Final Calculation Sheet'!$AG$4:$AG$40,$BJ35-3)),IF(OR($BI35=1,$BL35=1,$BH35&gt;0),"–",""))</f>
        <v/>
      </c>
      <c r="AI32" t="str">
        <f>IF($BJ35&gt;0,IF(INDEX('Final Calculation Sheet'!$AD$4:$AD$40,$BJ35-3)="","",IF(INDEX('Final Calculation Sheet'!$AD$4:$AD$40,$BJ35-3)&lt;=5,"SETTLED","OUTSTANDING")),IF(OR($BI35=1,$BL35=1,$BH35&gt;0),IF(IF($BI35=1,SUM('Final Calculation Sheet'!$AD$4:$AD$40),IF($BL35=1,SUM('Final Calculation Sheet'!$AD$4:$AD$40)-SUMIFS('Final Calculation Sheet'!$AD$4:$AD$40,$AZ$5:$AZ$41,10),SUMIFS('Final Calculation Sheet'!$AD$4:$AD$40,$AZ$5:$AZ$41,$BH35)))&lt;=5,"ALL SETTLED","OUTSTANDING"),""))</f>
        <v/>
      </c>
    </row>
    <row r="33">
      <c r="A33" t="str">
        <f>IF($BJ36&gt;0,INDEX($BA$5:$BA$41,MATCH(36,$BB$5:$BB$41,0)),IF(OR($BI36=1,$BL36=1,$BH36&gt;0),"∑",""))</f>
        <v/>
      </c>
      <c r="B33" t="str">
        <f>IF($BJ36&gt;0,IF(INDEX('Final Calculation Sheet'!$F$4:$F$40,$BJ36-3)="","",INDEX('Final Calculation Sheet'!$F$4:$F$40,$BJ36-3)),"")</f>
        <v/>
      </c>
      <c r="C33" t="str">
        <f>IF($BJ36&gt;0,IF(INDEX('Final Calculation Sheet'!$G$4:$G$40,$BJ36-3)="","",INDEX('Final Calculation Sheet'!$G$4:$G$40,$BJ36-3)),IF(OR($BI36=1,$BL36=1,$BH36&gt;0),IF($BI36=1,37,IF($BL36=1,37-INDEX($BD$4:$BD$13,10),INDEX($BD$4:$BD$13,$BH36)))&amp;" lot(s)",""))</f>
        <v/>
      </c>
      <c r="D33" t="str">
        <f>IF($BJ36&gt;0,IF(INDEX('Final Calculation Sheet'!$B$4:$B$40,$BJ36-3)="","",INDEX('Final Calculation Sheet'!$B$4:$B$40,$BJ36-3)),IF(OR($BI36=1,$BL36=1,$BH36&gt;0),IF($BI36=1,"GRAND TOTAL  —  matching + remaining",IF($BL36=1,"TOTAL MATCHED  —  every group together",IF($BH36=10,"REMAINING  —  did not match the search",IF($BH36=9,IF(COUNTIF($A$4:$AI$4,"&lt;&gt;")&gt;0,"FILTERED LOTS  —  column fields","ALL LOTS  —  nothing typed in the box"),"GROUP "&amp;$BH36&amp;" TOTAL  —  lots matching  "&amp;INDEX($AR$6:$AY$6,$BH36))))),""))</f>
        <v/>
      </c>
      <c r="E33" t="str">
        <f>IF($BJ36&gt;0,IF(INDEX('Final Calculation Sheet'!$D$4:$D$40,$BJ36-3)="","",INDEX('Final Calculation Sheet'!$D$4:$D$40,$BJ36-3)),IF(OR($BI36=1,$BL36=1,$BH36&gt;0),"–",""))</f>
        <v/>
      </c>
      <c r="F33" t="str">
        <f>IF($BJ36&gt;0,IF(INDEX('Final Calculation Sheet'!$A$4:$A$40,$BJ36-3)="","",INDEX('Final Calculation Sheet'!$A$4:$A$40,$BJ36-3)),IF(OR($BI36=1,$BL36=1,$BH36&gt;0),IF($BI36=1,SUM('Final Calculation Sheet'!$A$4:$A$40),IF($BL36=1,SUM('Final Calculation Sheet'!$A$4:$A$40)-SUMIFS('Final Calculation Sheet'!$A$4:$A$40,$AZ$5:$AZ$41,10),SUMIFS('Final Calculation Sheet'!$A$4:$A$40,$AZ$5:$AZ$41,$BH36))),""))</f>
        <v/>
      </c>
      <c r="G33" t="str">
        <f>IF($BJ36&gt;0,IF(INDEX('Final Calculation Sheet'!$E$4:$E$40,$BJ36-3)="","",INDEX('Final Calculation Sheet'!$E$4:$E$40,$BJ36-3)),IF(OR($BI36=1,$BL36=1,$BH36&gt;0),"–",""))</f>
        <v/>
      </c>
      <c r="H33" t="str">
        <f>IF($BJ36&gt;0,IF(INDEX('Final Calculation Sheet'!$C$4:$C$40,$BJ36-3)="","",INDEX('Final Calculation Sheet'!$C$4:$C$40,$BJ36-3)),IF(OR($BI36=1,$BL36=1,$BH36&gt;0),"–",""))</f>
        <v/>
      </c>
      <c r="I33" t="str">
        <f>IF($BJ36&gt;0,IF(INDEX('Final Calculation Sheet'!$H$4:$H$40,$BJ36-3)="","",INDEX('Final Calculation Sheet'!$H$4:$H$40,$BJ36-3)),IF(OR($BI36=1,$BL36=1,$BH36&gt;0),IF($BI36=1,SUM('Final Calculation Sheet'!$H$4:$H$40),IF($BL36=1,SUM('Final Calculation Sheet'!$H$4:$H$40)-SUMIFS('Final Calculation Sheet'!$H$4:$H$40,$AZ$5:$AZ$41,10),SUMIFS('Final Calculation Sheet'!$H$4:$H$40,$AZ$5:$AZ$41,$BH36))),""))</f>
        <v/>
      </c>
      <c r="J33" t="str">
        <f>IF($BJ36&gt;0,IF(INDEX('Final Calculation Sheet'!$I$4:$I$40,$BJ36-3)="","",INDEX('Final Calculation Sheet'!$I$4:$I$40,$BJ36-3)),IF(OR($BI36=1,$BL36=1,$BH36&gt;0),IF($BI36=1,SUM('Final Calculation Sheet'!$I$4:$I$40),IF($BL36=1,SUM('Final Calculation Sheet'!$I$4:$I$40)-SUMIFS('Final Calculation Sheet'!$I$4:$I$40,$AZ$5:$AZ$41,10),SUMIFS('Final Calculation Sheet'!$I$4:$I$40,$AZ$5:$AZ$41,$BH36))),""))</f>
        <v/>
      </c>
      <c r="K33" t="str">
        <f>IF($BJ36&gt;0,IF(INDEX('Final Calculation Sheet'!$J$4:$J$40,$BJ36-3)="","",INDEX('Final Calculation Sheet'!$J$4:$J$40,$BJ36-3)),IF(OR($BI36=1,$BL36=1,$BH36&gt;0),IF($BI36=1,SUM('Final Calculation Sheet'!$J$4:$J$40),IF($BL36=1,SUM('Final Calculation Sheet'!$J$4:$J$40)-SUMIFS('Final Calculation Sheet'!$J$4:$J$40,$AZ$5:$AZ$41,10),SUMIFS('Final Calculation Sheet'!$J$4:$J$40,$AZ$5:$AZ$41,$BH36))),""))</f>
        <v/>
      </c>
      <c r="L33" t="str">
        <f>IF($BJ36&gt;0,IF(INDEX('Final Calculation Sheet'!$K$4:$K$40,$BJ36-3)="","",INDEX('Final Calculation Sheet'!$K$4:$K$40,$BJ36-3)),IF(OR($BI36=1,$BL36=1,$BH36&gt;0),IF($BI36=1,SUM('Final Calculation Sheet'!$K$4:$K$40),IF($BL36=1,SUM('Final Calculation Sheet'!$K$4:$K$40)-SUMIFS('Final Calculation Sheet'!$K$4:$K$40,$AZ$5:$AZ$41,10),SUMIFS('Final Calculation Sheet'!$K$4:$K$40,$AZ$5:$AZ$41,$BH36))),""))</f>
        <v/>
      </c>
      <c r="M33" t="str">
        <f>IF($BJ36&gt;0,IF(INDEX('Final Calculation Sheet'!$L$4:$L$40,$BJ36-3)="","",INDEX('Final Calculation Sheet'!$L$4:$L$40,$BJ36-3)),IF(OR($BI36=1,$BL36=1,$BH36&gt;0),IF($BI36=1,SUM('Final Calculation Sheet'!$L$4:$L$40),IF($BL36=1,SUM('Final Calculation Sheet'!$L$4:$L$40)-SUMIFS('Final Calculation Sheet'!$L$4:$L$40,$AZ$5:$AZ$41,10),SUMIFS('Final Calculation Sheet'!$L$4:$L$40,$AZ$5:$AZ$41,$BH36))),""))</f>
        <v/>
      </c>
      <c r="N33" t="str">
        <f>IF($BJ36&gt;0,IF(INDEX('Final Calculation Sheet'!$M$4:$M$40,$BJ36-3)="","",INDEX('Final Calculation Sheet'!$M$4:$M$40,$BJ36-3)),IF(OR($BI36=1,$BL36=1,$BH36&gt;0),IF($BI36=1,SUM('Final Calculation Sheet'!$M$4:$M$40),IF($BL36=1,SUM('Final Calculation Sheet'!$M$4:$M$40)-SUMIFS('Final Calculation Sheet'!$M$4:$M$40,$AZ$5:$AZ$41,10),SUMIFS('Final Calculation Sheet'!$M$4:$M$40,$AZ$5:$AZ$41,$BH36))),""))</f>
        <v/>
      </c>
      <c r="O33" t="str">
        <f>IF($BJ36&gt;0,IF(INDEX('Final Calculation Sheet'!$N$4:$N$40,$BJ36-3)="","",INDEX('Final Calculation Sheet'!$N$4:$N$40,$BJ36-3)),IF(OR($BI36=1,$BL36=1,$BH36&gt;0),IF($BI36=1,SUM('Final Calculation Sheet'!$N$4:$N$40),IF($BL36=1,SUM('Final Calculation Sheet'!$N$4:$N$40)-SUMIFS('Final Calculation Sheet'!$N$4:$N$40,$AZ$5:$AZ$41,10),SUMIFS('Final Calculation Sheet'!$N$4:$N$40,$AZ$5:$AZ$41,$BH36))),""))</f>
        <v/>
      </c>
      <c r="P33" t="str">
        <f>IF($BJ36&gt;0,IF(INDEX('Final Calculation Sheet'!$O$4:$O$40,$BJ36-3)="","",INDEX('Final Calculation Sheet'!$O$4:$O$40,$BJ36-3)),IF(OR($BI36=1,$BL36=1,$BH36&gt;0),IF($BI36=1,SUM('Final Calculation Sheet'!$O$4:$O$40),IF($BL36=1,SUM('Final Calculation Sheet'!$O$4:$O$40)-SUMIFS('Final Calculation Sheet'!$O$4:$O$40,$AZ$5:$AZ$41,10),SUMIFS('Final Calculation Sheet'!$O$4:$O$40,$AZ$5:$AZ$41,$BH36))),""))</f>
        <v/>
      </c>
      <c r="Q33" t="str">
        <f>IF($BJ36&gt;0,IF(INDEX('Final Calculation Sheet'!$P$4:$P$40,$BJ36-3)="","",INDEX('Final Calculation Sheet'!$P$4:$P$40,$BJ36-3)),IF(OR($BI36=1,$BL36=1,$BH36&gt;0),IF($BI36=1,SUM('Final Calculation Sheet'!$P$4:$P$40),IF($BL36=1,SUM('Final Calculation Sheet'!$P$4:$P$40)-SUMIFS('Final Calculation Sheet'!$P$4:$P$40,$AZ$5:$AZ$41,10),SUMIFS('Final Calculation Sheet'!$P$4:$P$40,$AZ$5:$AZ$41,$BH36))),""))</f>
        <v/>
      </c>
      <c r="R33" t="str">
        <f>IF($BJ36&gt;0,IF(INDEX('Final Calculation Sheet'!$Q$4:$Q$40,$BJ36-3)="","",INDEX('Final Calculation Sheet'!$Q$4:$Q$40,$BJ36-3)),IF(OR($BI36=1,$BL36=1,$BH36&gt;0),"–",""))</f>
        <v/>
      </c>
      <c r="S33" t="str">
        <f>IF($BJ36&gt;0,IF(INDEX('Final Calculation Sheet'!$R$4:$R$40,$BJ36-3)="","",INDEX('Final Calculation Sheet'!$R$4:$R$40,$BJ36-3)),IF(OR($BI36=1,$BL36=1,$BH36&gt;0),IF($BI36=1,SUM('Final Calculation Sheet'!$R$4:$R$40),IF($BL36=1,SUM('Final Calculation Sheet'!$R$4:$R$40)-SUMIFS('Final Calculation Sheet'!$R$4:$R$40,$AZ$5:$AZ$41,10),SUMIFS('Final Calculation Sheet'!$R$4:$R$40,$AZ$5:$AZ$41,$BH36))),""))</f>
        <v/>
      </c>
      <c r="T33" t="str">
        <f>IF($BJ36&gt;0,IF(INDEX('Final Calculation Sheet'!$S$4:$S$40,$BJ36-3)="","",INDEX('Final Calculation Sheet'!$S$4:$S$40,$BJ36-3)),IF(OR($BI36=1,$BL36=1,$BH36&gt;0),IF($BI36=1,SUM('Final Calculation Sheet'!$S$4:$S$40),IF($BL36=1,SUM('Final Calculation Sheet'!$S$4:$S$40)-SUMIFS('Final Calculation Sheet'!$S$4:$S$40,$AZ$5:$AZ$41,10),SUMIFS('Final Calculation Sheet'!$S$4:$S$40,$AZ$5:$AZ$41,$BH36))),""))</f>
        <v/>
      </c>
      <c r="U33" t="str">
        <f>IF($BJ36&gt;0,IF(INDEX('Final Calculation Sheet'!$T$4:$T$40,$BJ36-3)="","",INDEX('Final Calculation Sheet'!$T$4:$T$40,$BJ36-3)),IF(OR($BI36=1,$BL36=1,$BH36&gt;0),IF($BI36=1,SUM('Final Calculation Sheet'!$T$4:$T$40),IF($BL36=1,SUM('Final Calculation Sheet'!$T$4:$T$40)-SUMIFS('Final Calculation Sheet'!$T$4:$T$40,$AZ$5:$AZ$41,10),SUMIFS('Final Calculation Sheet'!$T$4:$T$40,$AZ$5:$AZ$41,$BH36))),""))</f>
        <v/>
      </c>
      <c r="V33" t="str">
        <f>IF($BJ36&gt;0,IF(INDEX('Final Calculation Sheet'!$U$4:$U$40,$BJ36-3)="","",INDEX('Final Calculation Sheet'!$U$4:$U$40,$BJ36-3)),IF(OR($BI36=1,$BL36=1,$BH36&gt;0),IF($BI36=1,SUM('Final Calculation Sheet'!$U$4:$U$40),IF($BL36=1,SUM('Final Calculation Sheet'!$U$4:$U$40)-SUMIFS('Final Calculation Sheet'!$U$4:$U$40,$AZ$5:$AZ$41,10),SUMIFS('Final Calculation Sheet'!$U$4:$U$40,$AZ$5:$AZ$41,$BH36))),""))</f>
        <v/>
      </c>
      <c r="W33" t="str">
        <f>IF($BJ36&gt;0,IF(INDEX('Final Calculation Sheet'!$V$4:$V$40,$BJ36-3)="","",INDEX('Final Calculation Sheet'!$V$4:$V$40,$BJ36-3)),IF(OR($BI36=1,$BL36=1,$BH36&gt;0),"–",""))</f>
        <v/>
      </c>
      <c r="X33" t="str">
        <f>IF($BJ36&gt;0,IF(INDEX('Final Calculation Sheet'!$W$4:$W$40,$BJ36-3)="","",INDEX('Final Calculation Sheet'!$W$4:$W$40,$BJ36-3)),IF(OR($BI36=1,$BL36=1,$BH36&gt;0),IF($BI36=1,SUM('Final Calculation Sheet'!$W$4:$W$40),IF($BL36=1,SUM('Final Calculation Sheet'!$W$4:$W$40)-SUMIFS('Final Calculation Sheet'!$W$4:$W$40,$AZ$5:$AZ$41,10),SUMIFS('Final Calculation Sheet'!$W$4:$W$40,$AZ$5:$AZ$41,$BH36))),""))</f>
        <v/>
      </c>
      <c r="Y33" t="str">
        <f>IF($BJ36&gt;0,IF(INDEX('Final Calculation Sheet'!$X$4:$X$40,$BJ36-3)="","",INDEX('Final Calculation Sheet'!$X$4:$X$40,$BJ36-3)),IF(OR($BI36=1,$BL36=1,$BH36&gt;0),IF($BI36=1,SUM('Final Calculation Sheet'!$X$4:$X$40),IF($BL36=1,SUM('Final Calculation Sheet'!$X$4:$X$40)-SUMIFS('Final Calculation Sheet'!$X$4:$X$40,$AZ$5:$AZ$41,10),SUMIFS('Final Calculation Sheet'!$X$4:$X$40,$AZ$5:$AZ$41,$BH36))),""))</f>
        <v/>
      </c>
      <c r="Z33" t="str">
        <f>IF($BJ36&gt;0,IF(INDEX('Final Calculation Sheet'!$Y$4:$Y$40,$BJ36-3)="","",INDEX('Final Calculation Sheet'!$Y$4:$Y$40,$BJ36-3)),IF(OR($BI36=1,$BL36=1,$BH36&gt;0),"–",""))</f>
        <v/>
      </c>
      <c r="AA33" t="str">
        <f>IF($BJ36&gt;0,IF(INDEX('Final Calculation Sheet'!$Z$4:$Z$40,$BJ36-3)="","",INDEX('Final Calculation Sheet'!$Z$4:$Z$40,$BJ36-3)),IF(OR($BI36=1,$BL36=1,$BH36&gt;0),IF($BI36=1,SUM('Final Calculation Sheet'!$Z$4:$Z$40),IF($BL36=1,SUM('Final Calculation Sheet'!$Z$4:$Z$40)-SUMIFS('Final Calculation Sheet'!$Z$4:$Z$40,$AZ$5:$AZ$41,10),SUMIFS('Final Calculation Sheet'!$Z$4:$Z$40,$AZ$5:$AZ$41,$BH36))),""))</f>
        <v/>
      </c>
      <c r="AB33" t="str">
        <f>IF($BJ36&gt;0,IF(INDEX('Final Calculation Sheet'!$AA$4:$AA$40,$BJ36-3)="","",INDEX('Final Calculation Sheet'!$AA$4:$AA$40,$BJ36-3)),IF(OR($BI36=1,$BL36=1,$BH36&gt;0),IF($BI36=1,SUM('Final Calculation Sheet'!$AA$4:$AA$40),IF($BL36=1,SUM('Final Calculation Sheet'!$AA$4:$AA$40)-SUMIFS('Final Calculation Sheet'!$AA$4:$AA$40,$AZ$5:$AZ$41,10),SUMIFS('Final Calculation Sheet'!$AA$4:$AA$40,$AZ$5:$AZ$41,$BH36))),""))</f>
        <v/>
      </c>
      <c r="AC33" t="str">
        <f>IF($BJ36&gt;0,IF(INDEX('Final Calculation Sheet'!$AB$4:$AB$40,$BJ36-3)="","",INDEX('Final Calculation Sheet'!$AB$4:$AB$40,$BJ36-3)),IF(OR($BI36=1,$BL36=1,$BH36&gt;0),"–",""))</f>
        <v/>
      </c>
      <c r="AD33" t="str">
        <f>IF($BJ36&gt;0,IF(INDEX('Final Calculation Sheet'!$AC$4:$AC$40,$BJ36-3)="","",INDEX('Final Calculation Sheet'!$AC$4:$AC$40,$BJ36-3)),IF(OR($BI36=1,$BL36=1,$BH36&gt;0),IF($BI36=1,SUM('Final Calculation Sheet'!$AC$4:$AC$40),IF($BL36=1,SUM('Final Calculation Sheet'!$AC$4:$AC$40)-SUMIFS('Final Calculation Sheet'!$AC$4:$AC$40,$AZ$5:$AZ$41,10),SUMIFS('Final Calculation Sheet'!$AC$4:$AC$40,$AZ$5:$AZ$41,$BH36))),""))</f>
        <v/>
      </c>
      <c r="AE33" t="str">
        <f>IF($BJ36&gt;0,IF(INDEX('Final Calculation Sheet'!$AD$4:$AD$40,$BJ36-3)="","",INDEX('Final Calculation Sheet'!$AD$4:$AD$40,$BJ36-3)),IF(OR($BI36=1,$BL36=1,$BH36&gt;0),IF($BI36=1,SUM('Final Calculation Sheet'!$AD$4:$AD$40),IF($BL36=1,SUM('Final Calculation Sheet'!$AD$4:$AD$40)-SUMIFS('Final Calculation Sheet'!$AD$4:$AD$40,$AZ$5:$AZ$41,10),SUMIFS('Final Calculation Sheet'!$AD$4:$AD$40,$AZ$5:$AZ$41,$BH36))),""))</f>
        <v/>
      </c>
      <c r="AF33" t="str">
        <f>IF($BJ36&gt;0,IF(INDEX('Final Calculation Sheet'!$AE$4:$AE$40,$BJ36-3)="","",INDEX('Final Calculation Sheet'!$AE$4:$AE$40,$BJ36-3)),IF(OR($BI36=1,$BL36=1,$BH36&gt;0),"–",""))</f>
        <v/>
      </c>
      <c r="AG33" t="str">
        <f>IF($BJ36&gt;0,IF(INDEX('Final Calculation Sheet'!$AF$4:$AF$40,$BJ36-3)="","",INDEX('Final Calculation Sheet'!$AF$4:$AF$40,$BJ36-3)),IF(OR($BI36=1,$BL36=1,$BH36&gt;0),"–",""))</f>
        <v/>
      </c>
      <c r="AH33" t="str">
        <f>IF($BJ36&gt;0,IF(INDEX('Final Calculation Sheet'!$AG$4:$AG$40,$BJ36-3)="","",INDEX('Final Calculation Sheet'!$AG$4:$AG$40,$BJ36-3)),IF(OR($BI36=1,$BL36=1,$BH36&gt;0),"–",""))</f>
        <v/>
      </c>
      <c r="AI33" t="str">
        <f>IF($BJ36&gt;0,IF(INDEX('Final Calculation Sheet'!$AD$4:$AD$40,$BJ36-3)="","",IF(INDEX('Final Calculation Sheet'!$AD$4:$AD$40,$BJ36-3)&lt;=5,"SETTLED","OUTSTANDING")),IF(OR($BI36=1,$BL36=1,$BH36&gt;0),IF(IF($BI36=1,SUM('Final Calculation Sheet'!$AD$4:$AD$40),IF($BL36=1,SUM('Final Calculation Sheet'!$AD$4:$AD$40)-SUMIFS('Final Calculation Sheet'!$AD$4:$AD$40,$AZ$5:$AZ$41,10),SUMIFS('Final Calculation Sheet'!$AD$4:$AD$40,$AZ$5:$AZ$41,$BH36)))&lt;=5,"ALL SETTLED","OUTSTANDING"),""))</f>
        <v/>
      </c>
    </row>
    <row r="34">
      <c r="A34" t="str">
        <f>IF($BJ37&gt;0,INDEX($BA$5:$BA$41,MATCH(37,$BB$5:$BB$41,0)),IF(OR($BI37=1,$BL37=1,$BH37&gt;0),"∑",""))</f>
        <v/>
      </c>
      <c r="B34" t="str">
        <f>IF($BJ37&gt;0,IF(INDEX('Final Calculation Sheet'!$F$4:$F$40,$BJ37-3)="","",INDEX('Final Calculation Sheet'!$F$4:$F$40,$BJ37-3)),"")</f>
        <v/>
      </c>
      <c r="C34" t="str">
        <f>IF($BJ37&gt;0,IF(INDEX('Final Calculation Sheet'!$G$4:$G$40,$BJ37-3)="","",INDEX('Final Calculation Sheet'!$G$4:$G$40,$BJ37-3)),IF(OR($BI37=1,$BL37=1,$BH37&gt;0),IF($BI37=1,37,IF($BL37=1,37-INDEX($BD$4:$BD$13,10),INDEX($BD$4:$BD$13,$BH37)))&amp;" lot(s)",""))</f>
        <v/>
      </c>
      <c r="D34" t="str">
        <f>IF($BJ37&gt;0,IF(INDEX('Final Calculation Sheet'!$B$4:$B$40,$BJ37-3)="","",INDEX('Final Calculation Sheet'!$B$4:$B$40,$BJ37-3)),IF(OR($BI37=1,$BL37=1,$BH37&gt;0),IF($BI37=1,"GRAND TOTAL  —  matching + remaining",IF($BL37=1,"TOTAL MATCHED  —  every group together",IF($BH37=10,"REMAINING  —  did not match the search",IF($BH37=9,IF(COUNTIF($A$4:$AI$4,"&lt;&gt;")&gt;0,"FILTERED LOTS  —  column fields","ALL LOTS  —  nothing typed in the box"),"GROUP "&amp;$BH37&amp;" TOTAL  —  lots matching  "&amp;INDEX($AR$6:$AY$6,$BH37))))),""))</f>
        <v/>
      </c>
      <c r="E34" t="str">
        <f>IF($BJ37&gt;0,IF(INDEX('Final Calculation Sheet'!$D$4:$D$40,$BJ37-3)="","",INDEX('Final Calculation Sheet'!$D$4:$D$40,$BJ37-3)),IF(OR($BI37=1,$BL37=1,$BH37&gt;0),"–",""))</f>
        <v/>
      </c>
      <c r="F34" t="str">
        <f>IF($BJ37&gt;0,IF(INDEX('Final Calculation Sheet'!$A$4:$A$40,$BJ37-3)="","",INDEX('Final Calculation Sheet'!$A$4:$A$40,$BJ37-3)),IF(OR($BI37=1,$BL37=1,$BH37&gt;0),IF($BI37=1,SUM('Final Calculation Sheet'!$A$4:$A$40),IF($BL37=1,SUM('Final Calculation Sheet'!$A$4:$A$40)-SUMIFS('Final Calculation Sheet'!$A$4:$A$40,$AZ$5:$AZ$41,10),SUMIFS('Final Calculation Sheet'!$A$4:$A$40,$AZ$5:$AZ$41,$BH37))),""))</f>
        <v/>
      </c>
      <c r="G34" t="str">
        <f>IF($BJ37&gt;0,IF(INDEX('Final Calculation Sheet'!$E$4:$E$40,$BJ37-3)="","",INDEX('Final Calculation Sheet'!$E$4:$E$40,$BJ37-3)),IF(OR($BI37=1,$BL37=1,$BH37&gt;0),"–",""))</f>
        <v/>
      </c>
      <c r="H34" t="str">
        <f>IF($BJ37&gt;0,IF(INDEX('Final Calculation Sheet'!$C$4:$C$40,$BJ37-3)="","",INDEX('Final Calculation Sheet'!$C$4:$C$40,$BJ37-3)),IF(OR($BI37=1,$BL37=1,$BH37&gt;0),"–",""))</f>
        <v/>
      </c>
      <c r="I34" t="str">
        <f>IF($BJ37&gt;0,IF(INDEX('Final Calculation Sheet'!$H$4:$H$40,$BJ37-3)="","",INDEX('Final Calculation Sheet'!$H$4:$H$40,$BJ37-3)),IF(OR($BI37=1,$BL37=1,$BH37&gt;0),IF($BI37=1,SUM('Final Calculation Sheet'!$H$4:$H$40),IF($BL37=1,SUM('Final Calculation Sheet'!$H$4:$H$40)-SUMIFS('Final Calculation Sheet'!$H$4:$H$40,$AZ$5:$AZ$41,10),SUMIFS('Final Calculation Sheet'!$H$4:$H$40,$AZ$5:$AZ$41,$BH37))),""))</f>
        <v/>
      </c>
      <c r="J34" t="str">
        <f>IF($BJ37&gt;0,IF(INDEX('Final Calculation Sheet'!$I$4:$I$40,$BJ37-3)="","",INDEX('Final Calculation Sheet'!$I$4:$I$40,$BJ37-3)),IF(OR($BI37=1,$BL37=1,$BH37&gt;0),IF($BI37=1,SUM('Final Calculation Sheet'!$I$4:$I$40),IF($BL37=1,SUM('Final Calculation Sheet'!$I$4:$I$40)-SUMIFS('Final Calculation Sheet'!$I$4:$I$40,$AZ$5:$AZ$41,10),SUMIFS('Final Calculation Sheet'!$I$4:$I$40,$AZ$5:$AZ$41,$BH37))),""))</f>
        <v/>
      </c>
      <c r="K34" t="str">
        <f>IF($BJ37&gt;0,IF(INDEX('Final Calculation Sheet'!$J$4:$J$40,$BJ37-3)="","",INDEX('Final Calculation Sheet'!$J$4:$J$40,$BJ37-3)),IF(OR($BI37=1,$BL37=1,$BH37&gt;0),IF($BI37=1,SUM('Final Calculation Sheet'!$J$4:$J$40),IF($BL37=1,SUM('Final Calculation Sheet'!$J$4:$J$40)-SUMIFS('Final Calculation Sheet'!$J$4:$J$40,$AZ$5:$AZ$41,10),SUMIFS('Final Calculation Sheet'!$J$4:$J$40,$AZ$5:$AZ$41,$BH37))),""))</f>
        <v/>
      </c>
      <c r="L34" t="str">
        <f>IF($BJ37&gt;0,IF(INDEX('Final Calculation Sheet'!$K$4:$K$40,$BJ37-3)="","",INDEX('Final Calculation Sheet'!$K$4:$K$40,$BJ37-3)),IF(OR($BI37=1,$BL37=1,$BH37&gt;0),IF($BI37=1,SUM('Final Calculation Sheet'!$K$4:$K$40),IF($BL37=1,SUM('Final Calculation Sheet'!$K$4:$K$40)-SUMIFS('Final Calculation Sheet'!$K$4:$K$40,$AZ$5:$AZ$41,10),SUMIFS('Final Calculation Sheet'!$K$4:$K$40,$AZ$5:$AZ$41,$BH37))),""))</f>
        <v/>
      </c>
      <c r="M34" t="str">
        <f>IF($BJ37&gt;0,IF(INDEX('Final Calculation Sheet'!$L$4:$L$40,$BJ37-3)="","",INDEX('Final Calculation Sheet'!$L$4:$L$40,$BJ37-3)),IF(OR($BI37=1,$BL37=1,$BH37&gt;0),IF($BI37=1,SUM('Final Calculation Sheet'!$L$4:$L$40),IF($BL37=1,SUM('Final Calculation Sheet'!$L$4:$L$40)-SUMIFS('Final Calculation Sheet'!$L$4:$L$40,$AZ$5:$AZ$41,10),SUMIFS('Final Calculation Sheet'!$L$4:$L$40,$AZ$5:$AZ$41,$BH37))),""))</f>
        <v/>
      </c>
      <c r="N34" t="str">
        <f>IF($BJ37&gt;0,IF(INDEX('Final Calculation Sheet'!$M$4:$M$40,$BJ37-3)="","",INDEX('Final Calculation Sheet'!$M$4:$M$40,$BJ37-3)),IF(OR($BI37=1,$BL37=1,$BH37&gt;0),IF($BI37=1,SUM('Final Calculation Sheet'!$M$4:$M$40),IF($BL37=1,SUM('Final Calculation Sheet'!$M$4:$M$40)-SUMIFS('Final Calculation Sheet'!$M$4:$M$40,$AZ$5:$AZ$41,10),SUMIFS('Final Calculation Sheet'!$M$4:$M$40,$AZ$5:$AZ$41,$BH37))),""))</f>
        <v/>
      </c>
      <c r="O34" t="str">
        <f>IF($BJ37&gt;0,IF(INDEX('Final Calculation Sheet'!$N$4:$N$40,$BJ37-3)="","",INDEX('Final Calculation Sheet'!$N$4:$N$40,$BJ37-3)),IF(OR($BI37=1,$BL37=1,$BH37&gt;0),IF($BI37=1,SUM('Final Calculation Sheet'!$N$4:$N$40),IF($BL37=1,SUM('Final Calculation Sheet'!$N$4:$N$40)-SUMIFS('Final Calculation Sheet'!$N$4:$N$40,$AZ$5:$AZ$41,10),SUMIFS('Final Calculation Sheet'!$N$4:$N$40,$AZ$5:$AZ$41,$BH37))),""))</f>
        <v/>
      </c>
      <c r="P34" t="str">
        <f>IF($BJ37&gt;0,IF(INDEX('Final Calculation Sheet'!$O$4:$O$40,$BJ37-3)="","",INDEX('Final Calculation Sheet'!$O$4:$O$40,$BJ37-3)),IF(OR($BI37=1,$BL37=1,$BH37&gt;0),IF($BI37=1,SUM('Final Calculation Sheet'!$O$4:$O$40),IF($BL37=1,SUM('Final Calculation Sheet'!$O$4:$O$40)-SUMIFS('Final Calculation Sheet'!$O$4:$O$40,$AZ$5:$AZ$41,10),SUMIFS('Final Calculation Sheet'!$O$4:$O$40,$AZ$5:$AZ$41,$BH37))),""))</f>
        <v/>
      </c>
      <c r="Q34" t="str">
        <f>IF($BJ37&gt;0,IF(INDEX('Final Calculation Sheet'!$P$4:$P$40,$BJ37-3)="","",INDEX('Final Calculation Sheet'!$P$4:$P$40,$BJ37-3)),IF(OR($BI37=1,$BL37=1,$BH37&gt;0),IF($BI37=1,SUM('Final Calculation Sheet'!$P$4:$P$40),IF($BL37=1,SUM('Final Calculation Sheet'!$P$4:$P$40)-SUMIFS('Final Calculation Sheet'!$P$4:$P$40,$AZ$5:$AZ$41,10),SUMIFS('Final Calculation Sheet'!$P$4:$P$40,$AZ$5:$AZ$41,$BH37))),""))</f>
        <v/>
      </c>
      <c r="R34" t="str">
        <f>IF($BJ37&gt;0,IF(INDEX('Final Calculation Sheet'!$Q$4:$Q$40,$BJ37-3)="","",INDEX('Final Calculation Sheet'!$Q$4:$Q$40,$BJ37-3)),IF(OR($BI37=1,$BL37=1,$BH37&gt;0),"–",""))</f>
        <v/>
      </c>
      <c r="S34" t="str">
        <f>IF($BJ37&gt;0,IF(INDEX('Final Calculation Sheet'!$R$4:$R$40,$BJ37-3)="","",INDEX('Final Calculation Sheet'!$R$4:$R$40,$BJ37-3)),IF(OR($BI37=1,$BL37=1,$BH37&gt;0),IF($BI37=1,SUM('Final Calculation Sheet'!$R$4:$R$40),IF($BL37=1,SUM('Final Calculation Sheet'!$R$4:$R$40)-SUMIFS('Final Calculation Sheet'!$R$4:$R$40,$AZ$5:$AZ$41,10),SUMIFS('Final Calculation Sheet'!$R$4:$R$40,$AZ$5:$AZ$41,$BH37))),""))</f>
        <v/>
      </c>
      <c r="T34" t="str">
        <f>IF($BJ37&gt;0,IF(INDEX('Final Calculation Sheet'!$S$4:$S$40,$BJ37-3)="","",INDEX('Final Calculation Sheet'!$S$4:$S$40,$BJ37-3)),IF(OR($BI37=1,$BL37=1,$BH37&gt;0),IF($BI37=1,SUM('Final Calculation Sheet'!$S$4:$S$40),IF($BL37=1,SUM('Final Calculation Sheet'!$S$4:$S$40)-SUMIFS('Final Calculation Sheet'!$S$4:$S$40,$AZ$5:$AZ$41,10),SUMIFS('Final Calculation Sheet'!$S$4:$S$40,$AZ$5:$AZ$41,$BH37))),""))</f>
        <v/>
      </c>
      <c r="U34" t="str">
        <f>IF($BJ37&gt;0,IF(INDEX('Final Calculation Sheet'!$T$4:$T$40,$BJ37-3)="","",INDEX('Final Calculation Sheet'!$T$4:$T$40,$BJ37-3)),IF(OR($BI37=1,$BL37=1,$BH37&gt;0),IF($BI37=1,SUM('Final Calculation Sheet'!$T$4:$T$40),IF($BL37=1,SUM('Final Calculation Sheet'!$T$4:$T$40)-SUMIFS('Final Calculation Sheet'!$T$4:$T$40,$AZ$5:$AZ$41,10),SUMIFS('Final Calculation Sheet'!$T$4:$T$40,$AZ$5:$AZ$41,$BH37))),""))</f>
        <v/>
      </c>
      <c r="V34" t="str">
        <f>IF($BJ37&gt;0,IF(INDEX('Final Calculation Sheet'!$U$4:$U$40,$BJ37-3)="","",INDEX('Final Calculation Sheet'!$U$4:$U$40,$BJ37-3)),IF(OR($BI37=1,$BL37=1,$BH37&gt;0),IF($BI37=1,SUM('Final Calculation Sheet'!$U$4:$U$40),IF($BL37=1,SUM('Final Calculation Sheet'!$U$4:$U$40)-SUMIFS('Final Calculation Sheet'!$U$4:$U$40,$AZ$5:$AZ$41,10),SUMIFS('Final Calculation Sheet'!$U$4:$U$40,$AZ$5:$AZ$41,$BH37))),""))</f>
        <v/>
      </c>
      <c r="W34" t="str">
        <f>IF($BJ37&gt;0,IF(INDEX('Final Calculation Sheet'!$V$4:$V$40,$BJ37-3)="","",INDEX('Final Calculation Sheet'!$V$4:$V$40,$BJ37-3)),IF(OR($BI37=1,$BL37=1,$BH37&gt;0),"–",""))</f>
        <v/>
      </c>
      <c r="X34" t="str">
        <f>IF($BJ37&gt;0,IF(INDEX('Final Calculation Sheet'!$W$4:$W$40,$BJ37-3)="","",INDEX('Final Calculation Sheet'!$W$4:$W$40,$BJ37-3)),IF(OR($BI37=1,$BL37=1,$BH37&gt;0),IF($BI37=1,SUM('Final Calculation Sheet'!$W$4:$W$40),IF($BL37=1,SUM('Final Calculation Sheet'!$W$4:$W$40)-SUMIFS('Final Calculation Sheet'!$W$4:$W$40,$AZ$5:$AZ$41,10),SUMIFS('Final Calculation Sheet'!$W$4:$W$40,$AZ$5:$AZ$41,$BH37))),""))</f>
        <v/>
      </c>
      <c r="Y34" t="str">
        <f>IF($BJ37&gt;0,IF(INDEX('Final Calculation Sheet'!$X$4:$X$40,$BJ37-3)="","",INDEX('Final Calculation Sheet'!$X$4:$X$40,$BJ37-3)),IF(OR($BI37=1,$BL37=1,$BH37&gt;0),IF($BI37=1,SUM('Final Calculation Sheet'!$X$4:$X$40),IF($BL37=1,SUM('Final Calculation Sheet'!$X$4:$X$40)-SUMIFS('Final Calculation Sheet'!$X$4:$X$40,$AZ$5:$AZ$41,10),SUMIFS('Final Calculation Sheet'!$X$4:$X$40,$AZ$5:$AZ$41,$BH37))),""))</f>
        <v/>
      </c>
      <c r="Z34" t="str">
        <f>IF($BJ37&gt;0,IF(INDEX('Final Calculation Sheet'!$Y$4:$Y$40,$BJ37-3)="","",INDEX('Final Calculation Sheet'!$Y$4:$Y$40,$BJ37-3)),IF(OR($BI37=1,$BL37=1,$BH37&gt;0),"–",""))</f>
        <v/>
      </c>
      <c r="AA34" t="str">
        <f>IF($BJ37&gt;0,IF(INDEX('Final Calculation Sheet'!$Z$4:$Z$40,$BJ37-3)="","",INDEX('Final Calculation Sheet'!$Z$4:$Z$40,$BJ37-3)),IF(OR($BI37=1,$BL37=1,$BH37&gt;0),IF($BI37=1,SUM('Final Calculation Sheet'!$Z$4:$Z$40),IF($BL37=1,SUM('Final Calculation Sheet'!$Z$4:$Z$40)-SUMIFS('Final Calculation Sheet'!$Z$4:$Z$40,$AZ$5:$AZ$41,10),SUMIFS('Final Calculation Sheet'!$Z$4:$Z$40,$AZ$5:$AZ$41,$BH37))),""))</f>
        <v/>
      </c>
      <c r="AB34" t="str">
        <f>IF($BJ37&gt;0,IF(INDEX('Final Calculation Sheet'!$AA$4:$AA$40,$BJ37-3)="","",INDEX('Final Calculation Sheet'!$AA$4:$AA$40,$BJ37-3)),IF(OR($BI37=1,$BL37=1,$BH37&gt;0),IF($BI37=1,SUM('Final Calculation Sheet'!$AA$4:$AA$40),IF($BL37=1,SUM('Final Calculation Sheet'!$AA$4:$AA$40)-SUMIFS('Final Calculation Sheet'!$AA$4:$AA$40,$AZ$5:$AZ$41,10),SUMIFS('Final Calculation Sheet'!$AA$4:$AA$40,$AZ$5:$AZ$41,$BH37))),""))</f>
        <v/>
      </c>
      <c r="AC34" t="str">
        <f>IF($BJ37&gt;0,IF(INDEX('Final Calculation Sheet'!$AB$4:$AB$40,$BJ37-3)="","",INDEX('Final Calculation Sheet'!$AB$4:$AB$40,$BJ37-3)),IF(OR($BI37=1,$BL37=1,$BH37&gt;0),"–",""))</f>
        <v/>
      </c>
      <c r="AD34" t="str">
        <f>IF($BJ37&gt;0,IF(INDEX('Final Calculation Sheet'!$AC$4:$AC$40,$BJ37-3)="","",INDEX('Final Calculation Sheet'!$AC$4:$AC$40,$BJ37-3)),IF(OR($BI37=1,$BL37=1,$BH37&gt;0),IF($BI37=1,SUM('Final Calculation Sheet'!$AC$4:$AC$40),IF($BL37=1,SUM('Final Calculation Sheet'!$AC$4:$AC$40)-SUMIFS('Final Calculation Sheet'!$AC$4:$AC$40,$AZ$5:$AZ$41,10),SUMIFS('Final Calculation Sheet'!$AC$4:$AC$40,$AZ$5:$AZ$41,$BH37))),""))</f>
        <v/>
      </c>
      <c r="AE34" t="str">
        <f>IF($BJ37&gt;0,IF(INDEX('Final Calculation Sheet'!$AD$4:$AD$40,$BJ37-3)="","",INDEX('Final Calculation Sheet'!$AD$4:$AD$40,$BJ37-3)),IF(OR($BI37=1,$BL37=1,$BH37&gt;0),IF($BI37=1,SUM('Final Calculation Sheet'!$AD$4:$AD$40),IF($BL37=1,SUM('Final Calculation Sheet'!$AD$4:$AD$40)-SUMIFS('Final Calculation Sheet'!$AD$4:$AD$40,$AZ$5:$AZ$41,10),SUMIFS('Final Calculation Sheet'!$AD$4:$AD$40,$AZ$5:$AZ$41,$BH37))),""))</f>
        <v/>
      </c>
      <c r="AF34" t="str">
        <f>IF($BJ37&gt;0,IF(INDEX('Final Calculation Sheet'!$AE$4:$AE$40,$BJ37-3)="","",INDEX('Final Calculation Sheet'!$AE$4:$AE$40,$BJ37-3)),IF(OR($BI37=1,$BL37=1,$BH37&gt;0),"–",""))</f>
        <v/>
      </c>
      <c r="AG34" t="str">
        <f>IF($BJ37&gt;0,IF(INDEX('Final Calculation Sheet'!$AF$4:$AF$40,$BJ37-3)="","",INDEX('Final Calculation Sheet'!$AF$4:$AF$40,$BJ37-3)),IF(OR($BI37=1,$BL37=1,$BH37&gt;0),"–",""))</f>
        <v/>
      </c>
      <c r="AH34" t="str">
        <f>IF($BJ37&gt;0,IF(INDEX('Final Calculation Sheet'!$AG$4:$AG$40,$BJ37-3)="","",INDEX('Final Calculation Sheet'!$AG$4:$AG$40,$BJ37-3)),IF(OR($BI37=1,$BL37=1,$BH37&gt;0),"–",""))</f>
        <v/>
      </c>
      <c r="AI34" t="str">
        <f>IF($BJ37&gt;0,IF(INDEX('Final Calculation Sheet'!$AD$4:$AD$40,$BJ37-3)="","",IF(INDEX('Final Calculation Sheet'!$AD$4:$AD$40,$BJ37-3)&lt;=5,"SETTLED","OUTSTANDING")),IF(OR($BI37=1,$BL37=1,$BH37&gt;0),IF(IF($BI37=1,SUM('Final Calculation Sheet'!$AD$4:$AD$40),IF($BL37=1,SUM('Final Calculation Sheet'!$AD$4:$AD$40)-SUMIFS('Final Calculation Sheet'!$AD$4:$AD$40,$AZ$5:$AZ$41,10),SUMIFS('Final Calculation Sheet'!$AD$4:$AD$40,$AZ$5:$AZ$41,$BH37)))&lt;=5,"ALL SETTLED","OUTSTANDING"),""))</f>
        <v/>
      </c>
    </row>
    <row r="35">
      <c r="A35" t="str">
        <f>IF($BJ38&gt;0,INDEX($BA$5:$BA$41,MATCH(38,$BB$5:$BB$41,0)),IF(OR($BI38=1,$BL38=1,$BH38&gt;0),"∑",""))</f>
        <v/>
      </c>
      <c r="B35" t="str">
        <f>IF($BJ38&gt;0,IF(INDEX('Final Calculation Sheet'!$F$4:$F$40,$BJ38-3)="","",INDEX('Final Calculation Sheet'!$F$4:$F$40,$BJ38-3)),"")</f>
        <v/>
      </c>
      <c r="C35" t="str">
        <f>IF($BJ38&gt;0,IF(INDEX('Final Calculation Sheet'!$G$4:$G$40,$BJ38-3)="","",INDEX('Final Calculation Sheet'!$G$4:$G$40,$BJ38-3)),IF(OR($BI38=1,$BL38=1,$BH38&gt;0),IF($BI38=1,37,IF($BL38=1,37-INDEX($BD$4:$BD$13,10),INDEX($BD$4:$BD$13,$BH38)))&amp;" lot(s)",""))</f>
        <v/>
      </c>
      <c r="D35" t="str">
        <f>IF($BJ38&gt;0,IF(INDEX('Final Calculation Sheet'!$B$4:$B$40,$BJ38-3)="","",INDEX('Final Calculation Sheet'!$B$4:$B$40,$BJ38-3)),IF(OR($BI38=1,$BL38=1,$BH38&gt;0),IF($BI38=1,"GRAND TOTAL  —  matching + remaining",IF($BL38=1,"TOTAL MATCHED  —  every group together",IF($BH38=10,"REMAINING  —  did not match the search",IF($BH38=9,IF(COUNTIF($A$4:$AI$4,"&lt;&gt;")&gt;0,"FILTERED LOTS  —  column fields","ALL LOTS  —  nothing typed in the box"),"GROUP "&amp;$BH38&amp;" TOTAL  —  lots matching  "&amp;INDEX($AR$6:$AY$6,$BH38))))),""))</f>
        <v/>
      </c>
      <c r="E35" t="str">
        <f>IF($BJ38&gt;0,IF(INDEX('Final Calculation Sheet'!$D$4:$D$40,$BJ38-3)="","",INDEX('Final Calculation Sheet'!$D$4:$D$40,$BJ38-3)),IF(OR($BI38=1,$BL38=1,$BH38&gt;0),"–",""))</f>
        <v/>
      </c>
      <c r="F35" t="str">
        <f>IF($BJ38&gt;0,IF(INDEX('Final Calculation Sheet'!$A$4:$A$40,$BJ38-3)="","",INDEX('Final Calculation Sheet'!$A$4:$A$40,$BJ38-3)),IF(OR($BI38=1,$BL38=1,$BH38&gt;0),IF($BI38=1,SUM('Final Calculation Sheet'!$A$4:$A$40),IF($BL38=1,SUM('Final Calculation Sheet'!$A$4:$A$40)-SUMIFS('Final Calculation Sheet'!$A$4:$A$40,$AZ$5:$AZ$41,10),SUMIFS('Final Calculation Sheet'!$A$4:$A$40,$AZ$5:$AZ$41,$BH38))),""))</f>
        <v/>
      </c>
      <c r="G35" t="str">
        <f>IF($BJ38&gt;0,IF(INDEX('Final Calculation Sheet'!$E$4:$E$40,$BJ38-3)="","",INDEX('Final Calculation Sheet'!$E$4:$E$40,$BJ38-3)),IF(OR($BI38=1,$BL38=1,$BH38&gt;0),"–",""))</f>
        <v/>
      </c>
      <c r="H35" t="str">
        <f>IF($BJ38&gt;0,IF(INDEX('Final Calculation Sheet'!$C$4:$C$40,$BJ38-3)="","",INDEX('Final Calculation Sheet'!$C$4:$C$40,$BJ38-3)),IF(OR($BI38=1,$BL38=1,$BH38&gt;0),"–",""))</f>
        <v/>
      </c>
      <c r="I35" t="str">
        <f>IF($BJ38&gt;0,IF(INDEX('Final Calculation Sheet'!$H$4:$H$40,$BJ38-3)="","",INDEX('Final Calculation Sheet'!$H$4:$H$40,$BJ38-3)),IF(OR($BI38=1,$BL38=1,$BH38&gt;0),IF($BI38=1,SUM('Final Calculation Sheet'!$H$4:$H$40),IF($BL38=1,SUM('Final Calculation Sheet'!$H$4:$H$40)-SUMIFS('Final Calculation Sheet'!$H$4:$H$40,$AZ$5:$AZ$41,10),SUMIFS('Final Calculation Sheet'!$H$4:$H$40,$AZ$5:$AZ$41,$BH38))),""))</f>
        <v/>
      </c>
      <c r="J35" t="str">
        <f>IF($BJ38&gt;0,IF(INDEX('Final Calculation Sheet'!$I$4:$I$40,$BJ38-3)="","",INDEX('Final Calculation Sheet'!$I$4:$I$40,$BJ38-3)),IF(OR($BI38=1,$BL38=1,$BH38&gt;0),IF($BI38=1,SUM('Final Calculation Sheet'!$I$4:$I$40),IF($BL38=1,SUM('Final Calculation Sheet'!$I$4:$I$40)-SUMIFS('Final Calculation Sheet'!$I$4:$I$40,$AZ$5:$AZ$41,10),SUMIFS('Final Calculation Sheet'!$I$4:$I$40,$AZ$5:$AZ$41,$BH38))),""))</f>
        <v/>
      </c>
      <c r="K35" t="str">
        <f>IF($BJ38&gt;0,IF(INDEX('Final Calculation Sheet'!$J$4:$J$40,$BJ38-3)="","",INDEX('Final Calculation Sheet'!$J$4:$J$40,$BJ38-3)),IF(OR($BI38=1,$BL38=1,$BH38&gt;0),IF($BI38=1,SUM('Final Calculation Sheet'!$J$4:$J$40),IF($BL38=1,SUM('Final Calculation Sheet'!$J$4:$J$40)-SUMIFS('Final Calculation Sheet'!$J$4:$J$40,$AZ$5:$AZ$41,10),SUMIFS('Final Calculation Sheet'!$J$4:$J$40,$AZ$5:$AZ$41,$BH38))),""))</f>
        <v/>
      </c>
      <c r="L35" t="str">
        <f>IF($BJ38&gt;0,IF(INDEX('Final Calculation Sheet'!$K$4:$K$40,$BJ38-3)="","",INDEX('Final Calculation Sheet'!$K$4:$K$40,$BJ38-3)),IF(OR($BI38=1,$BL38=1,$BH38&gt;0),IF($BI38=1,SUM('Final Calculation Sheet'!$K$4:$K$40),IF($BL38=1,SUM('Final Calculation Sheet'!$K$4:$K$40)-SUMIFS('Final Calculation Sheet'!$K$4:$K$40,$AZ$5:$AZ$41,10),SUMIFS('Final Calculation Sheet'!$K$4:$K$40,$AZ$5:$AZ$41,$BH38))),""))</f>
        <v/>
      </c>
      <c r="M35" t="str">
        <f>IF($BJ38&gt;0,IF(INDEX('Final Calculation Sheet'!$L$4:$L$40,$BJ38-3)="","",INDEX('Final Calculation Sheet'!$L$4:$L$40,$BJ38-3)),IF(OR($BI38=1,$BL38=1,$BH38&gt;0),IF($BI38=1,SUM('Final Calculation Sheet'!$L$4:$L$40),IF($BL38=1,SUM('Final Calculation Sheet'!$L$4:$L$40)-SUMIFS('Final Calculation Sheet'!$L$4:$L$40,$AZ$5:$AZ$41,10),SUMIFS('Final Calculation Sheet'!$L$4:$L$40,$AZ$5:$AZ$41,$BH38))),""))</f>
        <v/>
      </c>
      <c r="N35" t="str">
        <f>IF($BJ38&gt;0,IF(INDEX('Final Calculation Sheet'!$M$4:$M$40,$BJ38-3)="","",INDEX('Final Calculation Sheet'!$M$4:$M$40,$BJ38-3)),IF(OR($BI38=1,$BL38=1,$BH38&gt;0),IF($BI38=1,SUM('Final Calculation Sheet'!$M$4:$M$40),IF($BL38=1,SUM('Final Calculation Sheet'!$M$4:$M$40)-SUMIFS('Final Calculation Sheet'!$M$4:$M$40,$AZ$5:$AZ$41,10),SUMIFS('Final Calculation Sheet'!$M$4:$M$40,$AZ$5:$AZ$41,$BH38))),""))</f>
        <v/>
      </c>
      <c r="O35" t="str">
        <f>IF($BJ38&gt;0,IF(INDEX('Final Calculation Sheet'!$N$4:$N$40,$BJ38-3)="","",INDEX('Final Calculation Sheet'!$N$4:$N$40,$BJ38-3)),IF(OR($BI38=1,$BL38=1,$BH38&gt;0),IF($BI38=1,SUM('Final Calculation Sheet'!$N$4:$N$40),IF($BL38=1,SUM('Final Calculation Sheet'!$N$4:$N$40)-SUMIFS('Final Calculation Sheet'!$N$4:$N$40,$AZ$5:$AZ$41,10),SUMIFS('Final Calculation Sheet'!$N$4:$N$40,$AZ$5:$AZ$41,$BH38))),""))</f>
        <v/>
      </c>
      <c r="P35" t="str">
        <f>IF($BJ38&gt;0,IF(INDEX('Final Calculation Sheet'!$O$4:$O$40,$BJ38-3)="","",INDEX('Final Calculation Sheet'!$O$4:$O$40,$BJ38-3)),IF(OR($BI38=1,$BL38=1,$BH38&gt;0),IF($BI38=1,SUM('Final Calculation Sheet'!$O$4:$O$40),IF($BL38=1,SUM('Final Calculation Sheet'!$O$4:$O$40)-SUMIFS('Final Calculation Sheet'!$O$4:$O$40,$AZ$5:$AZ$41,10),SUMIFS('Final Calculation Sheet'!$O$4:$O$40,$AZ$5:$AZ$41,$BH38))),""))</f>
        <v/>
      </c>
      <c r="Q35" t="str">
        <f>IF($BJ38&gt;0,IF(INDEX('Final Calculation Sheet'!$P$4:$P$40,$BJ38-3)="","",INDEX('Final Calculation Sheet'!$P$4:$P$40,$BJ38-3)),IF(OR($BI38=1,$BL38=1,$BH38&gt;0),IF($BI38=1,SUM('Final Calculation Sheet'!$P$4:$P$40),IF($BL38=1,SUM('Final Calculation Sheet'!$P$4:$P$40)-SUMIFS('Final Calculation Sheet'!$P$4:$P$40,$AZ$5:$AZ$41,10),SUMIFS('Final Calculation Sheet'!$P$4:$P$40,$AZ$5:$AZ$41,$BH38))),""))</f>
        <v/>
      </c>
      <c r="R35" t="str">
        <f>IF($BJ38&gt;0,IF(INDEX('Final Calculation Sheet'!$Q$4:$Q$40,$BJ38-3)="","",INDEX('Final Calculation Sheet'!$Q$4:$Q$40,$BJ38-3)),IF(OR($BI38=1,$BL38=1,$BH38&gt;0),"–",""))</f>
        <v/>
      </c>
      <c r="S35" t="str">
        <f>IF($BJ38&gt;0,IF(INDEX('Final Calculation Sheet'!$R$4:$R$40,$BJ38-3)="","",INDEX('Final Calculation Sheet'!$R$4:$R$40,$BJ38-3)),IF(OR($BI38=1,$BL38=1,$BH38&gt;0),IF($BI38=1,SUM('Final Calculation Sheet'!$R$4:$R$40),IF($BL38=1,SUM('Final Calculation Sheet'!$R$4:$R$40)-SUMIFS('Final Calculation Sheet'!$R$4:$R$40,$AZ$5:$AZ$41,10),SUMIFS('Final Calculation Sheet'!$R$4:$R$40,$AZ$5:$AZ$41,$BH38))),""))</f>
        <v/>
      </c>
      <c r="T35" t="str">
        <f>IF($BJ38&gt;0,IF(INDEX('Final Calculation Sheet'!$S$4:$S$40,$BJ38-3)="","",INDEX('Final Calculation Sheet'!$S$4:$S$40,$BJ38-3)),IF(OR($BI38=1,$BL38=1,$BH38&gt;0),IF($BI38=1,SUM('Final Calculation Sheet'!$S$4:$S$40),IF($BL38=1,SUM('Final Calculation Sheet'!$S$4:$S$40)-SUMIFS('Final Calculation Sheet'!$S$4:$S$40,$AZ$5:$AZ$41,10),SUMIFS('Final Calculation Sheet'!$S$4:$S$40,$AZ$5:$AZ$41,$BH38))),""))</f>
        <v/>
      </c>
      <c r="U35" t="str">
        <f>IF($BJ38&gt;0,IF(INDEX('Final Calculation Sheet'!$T$4:$T$40,$BJ38-3)="","",INDEX('Final Calculation Sheet'!$T$4:$T$40,$BJ38-3)),IF(OR($BI38=1,$BL38=1,$BH38&gt;0),IF($BI38=1,SUM('Final Calculation Sheet'!$T$4:$T$40),IF($BL38=1,SUM('Final Calculation Sheet'!$T$4:$T$40)-SUMIFS('Final Calculation Sheet'!$T$4:$T$40,$AZ$5:$AZ$41,10),SUMIFS('Final Calculation Sheet'!$T$4:$T$40,$AZ$5:$AZ$41,$BH38))),""))</f>
        <v/>
      </c>
      <c r="V35" t="str">
        <f>IF($BJ38&gt;0,IF(INDEX('Final Calculation Sheet'!$U$4:$U$40,$BJ38-3)="","",INDEX('Final Calculation Sheet'!$U$4:$U$40,$BJ38-3)),IF(OR($BI38=1,$BL38=1,$BH38&gt;0),IF($BI38=1,SUM('Final Calculation Sheet'!$U$4:$U$40),IF($BL38=1,SUM('Final Calculation Sheet'!$U$4:$U$40)-SUMIFS('Final Calculation Sheet'!$U$4:$U$40,$AZ$5:$AZ$41,10),SUMIFS('Final Calculation Sheet'!$U$4:$U$40,$AZ$5:$AZ$41,$BH38))),""))</f>
        <v/>
      </c>
      <c r="W35" t="str">
        <f>IF($BJ38&gt;0,IF(INDEX('Final Calculation Sheet'!$V$4:$V$40,$BJ38-3)="","",INDEX('Final Calculation Sheet'!$V$4:$V$40,$BJ38-3)),IF(OR($BI38=1,$BL38=1,$BH38&gt;0),"–",""))</f>
        <v/>
      </c>
      <c r="X35" t="str">
        <f>IF($BJ38&gt;0,IF(INDEX('Final Calculation Sheet'!$W$4:$W$40,$BJ38-3)="","",INDEX('Final Calculation Sheet'!$W$4:$W$40,$BJ38-3)),IF(OR($BI38=1,$BL38=1,$BH38&gt;0),IF($BI38=1,SUM('Final Calculation Sheet'!$W$4:$W$40),IF($BL38=1,SUM('Final Calculation Sheet'!$W$4:$W$40)-SUMIFS('Final Calculation Sheet'!$W$4:$W$40,$AZ$5:$AZ$41,10),SUMIFS('Final Calculation Sheet'!$W$4:$W$40,$AZ$5:$AZ$41,$BH38))),""))</f>
        <v/>
      </c>
      <c r="Y35" t="str">
        <f>IF($BJ38&gt;0,IF(INDEX('Final Calculation Sheet'!$X$4:$X$40,$BJ38-3)="","",INDEX('Final Calculation Sheet'!$X$4:$X$40,$BJ38-3)),IF(OR($BI38=1,$BL38=1,$BH38&gt;0),IF($BI38=1,SUM('Final Calculation Sheet'!$X$4:$X$40),IF($BL38=1,SUM('Final Calculation Sheet'!$X$4:$X$40)-SUMIFS('Final Calculation Sheet'!$X$4:$X$40,$AZ$5:$AZ$41,10),SUMIFS('Final Calculation Sheet'!$X$4:$X$40,$AZ$5:$AZ$41,$BH38))),""))</f>
        <v/>
      </c>
      <c r="Z35" t="str">
        <f>IF($BJ38&gt;0,IF(INDEX('Final Calculation Sheet'!$Y$4:$Y$40,$BJ38-3)="","",INDEX('Final Calculation Sheet'!$Y$4:$Y$40,$BJ38-3)),IF(OR($BI38=1,$BL38=1,$BH38&gt;0),"–",""))</f>
        <v/>
      </c>
      <c r="AA35" t="str">
        <f>IF($BJ38&gt;0,IF(INDEX('Final Calculation Sheet'!$Z$4:$Z$40,$BJ38-3)="","",INDEX('Final Calculation Sheet'!$Z$4:$Z$40,$BJ38-3)),IF(OR($BI38=1,$BL38=1,$BH38&gt;0),IF($BI38=1,SUM('Final Calculation Sheet'!$Z$4:$Z$40),IF($BL38=1,SUM('Final Calculation Sheet'!$Z$4:$Z$40)-SUMIFS('Final Calculation Sheet'!$Z$4:$Z$40,$AZ$5:$AZ$41,10),SUMIFS('Final Calculation Sheet'!$Z$4:$Z$40,$AZ$5:$AZ$41,$BH38))),""))</f>
        <v/>
      </c>
      <c r="AB35" t="str">
        <f>IF($BJ38&gt;0,IF(INDEX('Final Calculation Sheet'!$AA$4:$AA$40,$BJ38-3)="","",INDEX('Final Calculation Sheet'!$AA$4:$AA$40,$BJ38-3)),IF(OR($BI38=1,$BL38=1,$BH38&gt;0),IF($BI38=1,SUM('Final Calculation Sheet'!$AA$4:$AA$40),IF($BL38=1,SUM('Final Calculation Sheet'!$AA$4:$AA$40)-SUMIFS('Final Calculation Sheet'!$AA$4:$AA$40,$AZ$5:$AZ$41,10),SUMIFS('Final Calculation Sheet'!$AA$4:$AA$40,$AZ$5:$AZ$41,$BH38))),""))</f>
        <v/>
      </c>
      <c r="AC35" t="str">
        <f>IF($BJ38&gt;0,IF(INDEX('Final Calculation Sheet'!$AB$4:$AB$40,$BJ38-3)="","",INDEX('Final Calculation Sheet'!$AB$4:$AB$40,$BJ38-3)),IF(OR($BI38=1,$BL38=1,$BH38&gt;0),"–",""))</f>
        <v/>
      </c>
      <c r="AD35" t="str">
        <f>IF($BJ38&gt;0,IF(INDEX('Final Calculation Sheet'!$AC$4:$AC$40,$BJ38-3)="","",INDEX('Final Calculation Sheet'!$AC$4:$AC$40,$BJ38-3)),IF(OR($BI38=1,$BL38=1,$BH38&gt;0),IF($BI38=1,SUM('Final Calculation Sheet'!$AC$4:$AC$40),IF($BL38=1,SUM('Final Calculation Sheet'!$AC$4:$AC$40)-SUMIFS('Final Calculation Sheet'!$AC$4:$AC$40,$AZ$5:$AZ$41,10),SUMIFS('Final Calculation Sheet'!$AC$4:$AC$40,$AZ$5:$AZ$41,$BH38))),""))</f>
        <v/>
      </c>
      <c r="AE35" t="str">
        <f>IF($BJ38&gt;0,IF(INDEX('Final Calculation Sheet'!$AD$4:$AD$40,$BJ38-3)="","",INDEX('Final Calculation Sheet'!$AD$4:$AD$40,$BJ38-3)),IF(OR($BI38=1,$BL38=1,$BH38&gt;0),IF($BI38=1,SUM('Final Calculation Sheet'!$AD$4:$AD$40),IF($BL38=1,SUM('Final Calculation Sheet'!$AD$4:$AD$40)-SUMIFS('Final Calculation Sheet'!$AD$4:$AD$40,$AZ$5:$AZ$41,10),SUMIFS('Final Calculation Sheet'!$AD$4:$AD$40,$AZ$5:$AZ$41,$BH38))),""))</f>
        <v/>
      </c>
      <c r="AF35" t="str">
        <f>IF($BJ38&gt;0,IF(INDEX('Final Calculation Sheet'!$AE$4:$AE$40,$BJ38-3)="","",INDEX('Final Calculation Sheet'!$AE$4:$AE$40,$BJ38-3)),IF(OR($BI38=1,$BL38=1,$BH38&gt;0),"–",""))</f>
        <v/>
      </c>
      <c r="AG35" t="str">
        <f>IF($BJ38&gt;0,IF(INDEX('Final Calculation Sheet'!$AF$4:$AF$40,$BJ38-3)="","",INDEX('Final Calculation Sheet'!$AF$4:$AF$40,$BJ38-3)),IF(OR($BI38=1,$BL38=1,$BH38&gt;0),"–",""))</f>
        <v/>
      </c>
      <c r="AH35" t="str">
        <f>IF($BJ38&gt;0,IF(INDEX('Final Calculation Sheet'!$AG$4:$AG$40,$BJ38-3)="","",INDEX('Final Calculation Sheet'!$AG$4:$AG$40,$BJ38-3)),IF(OR($BI38=1,$BL38=1,$BH38&gt;0),"–",""))</f>
        <v/>
      </c>
      <c r="AI35" t="str">
        <f>IF($BJ38&gt;0,IF(INDEX('Final Calculation Sheet'!$AD$4:$AD$40,$BJ38-3)="","",IF(INDEX('Final Calculation Sheet'!$AD$4:$AD$40,$BJ38-3)&lt;=5,"SETTLED","OUTSTANDING")),IF(OR($BI38=1,$BL38=1,$BH38&gt;0),IF(IF($BI38=1,SUM('Final Calculation Sheet'!$AD$4:$AD$40),IF($BL38=1,SUM('Final Calculation Sheet'!$AD$4:$AD$40)-SUMIFS('Final Calculation Sheet'!$AD$4:$AD$40,$AZ$5:$AZ$41,10),SUMIFS('Final Calculation Sheet'!$AD$4:$AD$40,$AZ$5:$AZ$41,$BH38)))&lt;=5,"ALL SETTLED","OUTSTANDING"),""))</f>
        <v/>
      </c>
    </row>
    <row r="36">
      <c r="A36" t="str">
        <f>IF($BJ39&gt;0,INDEX($BA$5:$BA$41,MATCH(39,$BB$5:$BB$41,0)),IF(OR($BI39=1,$BL39=1,$BH39&gt;0),"∑",""))</f>
        <v/>
      </c>
      <c r="B36" t="str">
        <f>IF($BJ39&gt;0,IF(INDEX('Final Calculation Sheet'!$F$4:$F$40,$BJ39-3)="","",INDEX('Final Calculation Sheet'!$F$4:$F$40,$BJ39-3)),"")</f>
        <v/>
      </c>
      <c r="C36" t="str">
        <f>IF($BJ39&gt;0,IF(INDEX('Final Calculation Sheet'!$G$4:$G$40,$BJ39-3)="","",INDEX('Final Calculation Sheet'!$G$4:$G$40,$BJ39-3)),IF(OR($BI39=1,$BL39=1,$BH39&gt;0),IF($BI39=1,37,IF($BL39=1,37-INDEX($BD$4:$BD$13,10),INDEX($BD$4:$BD$13,$BH39)))&amp;" lot(s)",""))</f>
        <v/>
      </c>
      <c r="D36" t="str">
        <f>IF($BJ39&gt;0,IF(INDEX('Final Calculation Sheet'!$B$4:$B$40,$BJ39-3)="","",INDEX('Final Calculation Sheet'!$B$4:$B$40,$BJ39-3)),IF(OR($BI39=1,$BL39=1,$BH39&gt;0),IF($BI39=1,"GRAND TOTAL  —  matching + remaining",IF($BL39=1,"TOTAL MATCHED  —  every group together",IF($BH39=10,"REMAINING  —  did not match the search",IF($BH39=9,IF(COUNTIF($A$4:$AI$4,"&lt;&gt;")&gt;0,"FILTERED LOTS  —  column fields","ALL LOTS  —  nothing typed in the box"),"GROUP "&amp;$BH39&amp;" TOTAL  —  lots matching  "&amp;INDEX($AR$6:$AY$6,$BH39))))),""))</f>
        <v/>
      </c>
      <c r="E36" t="str">
        <f>IF($BJ39&gt;0,IF(INDEX('Final Calculation Sheet'!$D$4:$D$40,$BJ39-3)="","",INDEX('Final Calculation Sheet'!$D$4:$D$40,$BJ39-3)),IF(OR($BI39=1,$BL39=1,$BH39&gt;0),"–",""))</f>
        <v/>
      </c>
      <c r="F36" t="str">
        <f>IF($BJ39&gt;0,IF(INDEX('Final Calculation Sheet'!$A$4:$A$40,$BJ39-3)="","",INDEX('Final Calculation Sheet'!$A$4:$A$40,$BJ39-3)),IF(OR($BI39=1,$BL39=1,$BH39&gt;0),IF($BI39=1,SUM('Final Calculation Sheet'!$A$4:$A$40),IF($BL39=1,SUM('Final Calculation Sheet'!$A$4:$A$40)-SUMIFS('Final Calculation Sheet'!$A$4:$A$40,$AZ$5:$AZ$41,10),SUMIFS('Final Calculation Sheet'!$A$4:$A$40,$AZ$5:$AZ$41,$BH39))),""))</f>
        <v/>
      </c>
      <c r="G36" t="str">
        <f>IF($BJ39&gt;0,IF(INDEX('Final Calculation Sheet'!$E$4:$E$40,$BJ39-3)="","",INDEX('Final Calculation Sheet'!$E$4:$E$40,$BJ39-3)),IF(OR($BI39=1,$BL39=1,$BH39&gt;0),"–",""))</f>
        <v/>
      </c>
      <c r="H36" t="str">
        <f>IF($BJ39&gt;0,IF(INDEX('Final Calculation Sheet'!$C$4:$C$40,$BJ39-3)="","",INDEX('Final Calculation Sheet'!$C$4:$C$40,$BJ39-3)),IF(OR($BI39=1,$BL39=1,$BH39&gt;0),"–",""))</f>
        <v/>
      </c>
      <c r="I36" t="str">
        <f>IF($BJ39&gt;0,IF(INDEX('Final Calculation Sheet'!$H$4:$H$40,$BJ39-3)="","",INDEX('Final Calculation Sheet'!$H$4:$H$40,$BJ39-3)),IF(OR($BI39=1,$BL39=1,$BH39&gt;0),IF($BI39=1,SUM('Final Calculation Sheet'!$H$4:$H$40),IF($BL39=1,SUM('Final Calculation Sheet'!$H$4:$H$40)-SUMIFS('Final Calculation Sheet'!$H$4:$H$40,$AZ$5:$AZ$41,10),SUMIFS('Final Calculation Sheet'!$H$4:$H$40,$AZ$5:$AZ$41,$BH39))),""))</f>
        <v/>
      </c>
      <c r="J36" t="str">
        <f>IF($BJ39&gt;0,IF(INDEX('Final Calculation Sheet'!$I$4:$I$40,$BJ39-3)="","",INDEX('Final Calculation Sheet'!$I$4:$I$40,$BJ39-3)),IF(OR($BI39=1,$BL39=1,$BH39&gt;0),IF($BI39=1,SUM('Final Calculation Sheet'!$I$4:$I$40),IF($BL39=1,SUM('Final Calculation Sheet'!$I$4:$I$40)-SUMIFS('Final Calculation Sheet'!$I$4:$I$40,$AZ$5:$AZ$41,10),SUMIFS('Final Calculation Sheet'!$I$4:$I$40,$AZ$5:$AZ$41,$BH39))),""))</f>
        <v/>
      </c>
      <c r="K36" t="str">
        <f>IF($BJ39&gt;0,IF(INDEX('Final Calculation Sheet'!$J$4:$J$40,$BJ39-3)="","",INDEX('Final Calculation Sheet'!$J$4:$J$40,$BJ39-3)),IF(OR($BI39=1,$BL39=1,$BH39&gt;0),IF($BI39=1,SUM('Final Calculation Sheet'!$J$4:$J$40),IF($BL39=1,SUM('Final Calculation Sheet'!$J$4:$J$40)-SUMIFS('Final Calculation Sheet'!$J$4:$J$40,$AZ$5:$AZ$41,10),SUMIFS('Final Calculation Sheet'!$J$4:$J$40,$AZ$5:$AZ$41,$BH39))),""))</f>
        <v/>
      </c>
      <c r="L36" t="str">
        <f>IF($BJ39&gt;0,IF(INDEX('Final Calculation Sheet'!$K$4:$K$40,$BJ39-3)="","",INDEX('Final Calculation Sheet'!$K$4:$K$40,$BJ39-3)),IF(OR($BI39=1,$BL39=1,$BH39&gt;0),IF($BI39=1,SUM('Final Calculation Sheet'!$K$4:$K$40),IF($BL39=1,SUM('Final Calculation Sheet'!$K$4:$K$40)-SUMIFS('Final Calculation Sheet'!$K$4:$K$40,$AZ$5:$AZ$41,10),SUMIFS('Final Calculation Sheet'!$K$4:$K$40,$AZ$5:$AZ$41,$BH39))),""))</f>
        <v/>
      </c>
      <c r="M36" t="str">
        <f>IF($BJ39&gt;0,IF(INDEX('Final Calculation Sheet'!$L$4:$L$40,$BJ39-3)="","",INDEX('Final Calculation Sheet'!$L$4:$L$40,$BJ39-3)),IF(OR($BI39=1,$BL39=1,$BH39&gt;0),IF($BI39=1,SUM('Final Calculation Sheet'!$L$4:$L$40),IF($BL39=1,SUM('Final Calculation Sheet'!$L$4:$L$40)-SUMIFS('Final Calculation Sheet'!$L$4:$L$40,$AZ$5:$AZ$41,10),SUMIFS('Final Calculation Sheet'!$L$4:$L$40,$AZ$5:$AZ$41,$BH39))),""))</f>
        <v/>
      </c>
      <c r="N36" t="str">
        <f>IF($BJ39&gt;0,IF(INDEX('Final Calculation Sheet'!$M$4:$M$40,$BJ39-3)="","",INDEX('Final Calculation Sheet'!$M$4:$M$40,$BJ39-3)),IF(OR($BI39=1,$BL39=1,$BH39&gt;0),IF($BI39=1,SUM('Final Calculation Sheet'!$M$4:$M$40),IF($BL39=1,SUM('Final Calculation Sheet'!$M$4:$M$40)-SUMIFS('Final Calculation Sheet'!$M$4:$M$40,$AZ$5:$AZ$41,10),SUMIFS('Final Calculation Sheet'!$M$4:$M$40,$AZ$5:$AZ$41,$BH39))),""))</f>
        <v/>
      </c>
      <c r="O36" t="str">
        <f>IF($BJ39&gt;0,IF(INDEX('Final Calculation Sheet'!$N$4:$N$40,$BJ39-3)="","",INDEX('Final Calculation Sheet'!$N$4:$N$40,$BJ39-3)),IF(OR($BI39=1,$BL39=1,$BH39&gt;0),IF($BI39=1,SUM('Final Calculation Sheet'!$N$4:$N$40),IF($BL39=1,SUM('Final Calculation Sheet'!$N$4:$N$40)-SUMIFS('Final Calculation Sheet'!$N$4:$N$40,$AZ$5:$AZ$41,10),SUMIFS('Final Calculation Sheet'!$N$4:$N$40,$AZ$5:$AZ$41,$BH39))),""))</f>
        <v/>
      </c>
      <c r="P36" t="str">
        <f>IF($BJ39&gt;0,IF(INDEX('Final Calculation Sheet'!$O$4:$O$40,$BJ39-3)="","",INDEX('Final Calculation Sheet'!$O$4:$O$40,$BJ39-3)),IF(OR($BI39=1,$BL39=1,$BH39&gt;0),IF($BI39=1,SUM('Final Calculation Sheet'!$O$4:$O$40),IF($BL39=1,SUM('Final Calculation Sheet'!$O$4:$O$40)-SUMIFS('Final Calculation Sheet'!$O$4:$O$40,$AZ$5:$AZ$41,10),SUMIFS('Final Calculation Sheet'!$O$4:$O$40,$AZ$5:$AZ$41,$BH39))),""))</f>
        <v/>
      </c>
      <c r="Q36" t="str">
        <f>IF($BJ39&gt;0,IF(INDEX('Final Calculation Sheet'!$P$4:$P$40,$BJ39-3)="","",INDEX('Final Calculation Sheet'!$P$4:$P$40,$BJ39-3)),IF(OR($BI39=1,$BL39=1,$BH39&gt;0),IF($BI39=1,SUM('Final Calculation Sheet'!$P$4:$P$40),IF($BL39=1,SUM('Final Calculation Sheet'!$P$4:$P$40)-SUMIFS('Final Calculation Sheet'!$P$4:$P$40,$AZ$5:$AZ$41,10),SUMIFS('Final Calculation Sheet'!$P$4:$P$40,$AZ$5:$AZ$41,$BH39))),""))</f>
        <v/>
      </c>
      <c r="R36" t="str">
        <f>IF($BJ39&gt;0,IF(INDEX('Final Calculation Sheet'!$Q$4:$Q$40,$BJ39-3)="","",INDEX('Final Calculation Sheet'!$Q$4:$Q$40,$BJ39-3)),IF(OR($BI39=1,$BL39=1,$BH39&gt;0),"–",""))</f>
        <v/>
      </c>
      <c r="S36" t="str">
        <f>IF($BJ39&gt;0,IF(INDEX('Final Calculation Sheet'!$R$4:$R$40,$BJ39-3)="","",INDEX('Final Calculation Sheet'!$R$4:$R$40,$BJ39-3)),IF(OR($BI39=1,$BL39=1,$BH39&gt;0),IF($BI39=1,SUM('Final Calculation Sheet'!$R$4:$R$40),IF($BL39=1,SUM('Final Calculation Sheet'!$R$4:$R$40)-SUMIFS('Final Calculation Sheet'!$R$4:$R$40,$AZ$5:$AZ$41,10),SUMIFS('Final Calculation Sheet'!$R$4:$R$40,$AZ$5:$AZ$41,$BH39))),""))</f>
        <v/>
      </c>
      <c r="T36" t="str">
        <f>IF($BJ39&gt;0,IF(INDEX('Final Calculation Sheet'!$S$4:$S$40,$BJ39-3)="","",INDEX('Final Calculation Sheet'!$S$4:$S$40,$BJ39-3)),IF(OR($BI39=1,$BL39=1,$BH39&gt;0),IF($BI39=1,SUM('Final Calculation Sheet'!$S$4:$S$40),IF($BL39=1,SUM('Final Calculation Sheet'!$S$4:$S$40)-SUMIFS('Final Calculation Sheet'!$S$4:$S$40,$AZ$5:$AZ$41,10),SUMIFS('Final Calculation Sheet'!$S$4:$S$40,$AZ$5:$AZ$41,$BH39))),""))</f>
        <v/>
      </c>
      <c r="U36" t="str">
        <f>IF($BJ39&gt;0,IF(INDEX('Final Calculation Sheet'!$T$4:$T$40,$BJ39-3)="","",INDEX('Final Calculation Sheet'!$T$4:$T$40,$BJ39-3)),IF(OR($BI39=1,$BL39=1,$BH39&gt;0),IF($BI39=1,SUM('Final Calculation Sheet'!$T$4:$T$40),IF($BL39=1,SUM('Final Calculation Sheet'!$T$4:$T$40)-SUMIFS('Final Calculation Sheet'!$T$4:$T$40,$AZ$5:$AZ$41,10),SUMIFS('Final Calculation Sheet'!$T$4:$T$40,$AZ$5:$AZ$41,$BH39))),""))</f>
        <v/>
      </c>
      <c r="V36" t="str">
        <f>IF($BJ39&gt;0,IF(INDEX('Final Calculation Sheet'!$U$4:$U$40,$BJ39-3)="","",INDEX('Final Calculation Sheet'!$U$4:$U$40,$BJ39-3)),IF(OR($BI39=1,$BL39=1,$BH39&gt;0),IF($BI39=1,SUM('Final Calculation Sheet'!$U$4:$U$40),IF($BL39=1,SUM('Final Calculation Sheet'!$U$4:$U$40)-SUMIFS('Final Calculation Sheet'!$U$4:$U$40,$AZ$5:$AZ$41,10),SUMIFS('Final Calculation Sheet'!$U$4:$U$40,$AZ$5:$AZ$41,$BH39))),""))</f>
        <v/>
      </c>
      <c r="W36" t="str">
        <f>IF($BJ39&gt;0,IF(INDEX('Final Calculation Sheet'!$V$4:$V$40,$BJ39-3)="","",INDEX('Final Calculation Sheet'!$V$4:$V$40,$BJ39-3)),IF(OR($BI39=1,$BL39=1,$BH39&gt;0),"–",""))</f>
        <v/>
      </c>
      <c r="X36" t="str">
        <f>IF($BJ39&gt;0,IF(INDEX('Final Calculation Sheet'!$W$4:$W$40,$BJ39-3)="","",INDEX('Final Calculation Sheet'!$W$4:$W$40,$BJ39-3)),IF(OR($BI39=1,$BL39=1,$BH39&gt;0),IF($BI39=1,SUM('Final Calculation Sheet'!$W$4:$W$40),IF($BL39=1,SUM('Final Calculation Sheet'!$W$4:$W$40)-SUMIFS('Final Calculation Sheet'!$W$4:$W$40,$AZ$5:$AZ$41,10),SUMIFS('Final Calculation Sheet'!$W$4:$W$40,$AZ$5:$AZ$41,$BH39))),""))</f>
        <v/>
      </c>
      <c r="Y36" t="str">
        <f>IF($BJ39&gt;0,IF(INDEX('Final Calculation Sheet'!$X$4:$X$40,$BJ39-3)="","",INDEX('Final Calculation Sheet'!$X$4:$X$40,$BJ39-3)),IF(OR($BI39=1,$BL39=1,$BH39&gt;0),IF($BI39=1,SUM('Final Calculation Sheet'!$X$4:$X$40),IF($BL39=1,SUM('Final Calculation Sheet'!$X$4:$X$40)-SUMIFS('Final Calculation Sheet'!$X$4:$X$40,$AZ$5:$AZ$41,10),SUMIFS('Final Calculation Sheet'!$X$4:$X$40,$AZ$5:$AZ$41,$BH39))),""))</f>
        <v/>
      </c>
      <c r="Z36" t="str">
        <f>IF($BJ39&gt;0,IF(INDEX('Final Calculation Sheet'!$Y$4:$Y$40,$BJ39-3)="","",INDEX('Final Calculation Sheet'!$Y$4:$Y$40,$BJ39-3)),IF(OR($BI39=1,$BL39=1,$BH39&gt;0),"–",""))</f>
        <v/>
      </c>
      <c r="AA36" t="str">
        <f>IF($BJ39&gt;0,IF(INDEX('Final Calculation Sheet'!$Z$4:$Z$40,$BJ39-3)="","",INDEX('Final Calculation Sheet'!$Z$4:$Z$40,$BJ39-3)),IF(OR($BI39=1,$BL39=1,$BH39&gt;0),IF($BI39=1,SUM('Final Calculation Sheet'!$Z$4:$Z$40),IF($BL39=1,SUM('Final Calculation Sheet'!$Z$4:$Z$40)-SUMIFS('Final Calculation Sheet'!$Z$4:$Z$40,$AZ$5:$AZ$41,10),SUMIFS('Final Calculation Sheet'!$Z$4:$Z$40,$AZ$5:$AZ$41,$BH39))),""))</f>
        <v/>
      </c>
      <c r="AB36" t="str">
        <f>IF($BJ39&gt;0,IF(INDEX('Final Calculation Sheet'!$AA$4:$AA$40,$BJ39-3)="","",INDEX('Final Calculation Sheet'!$AA$4:$AA$40,$BJ39-3)),IF(OR($BI39=1,$BL39=1,$BH39&gt;0),IF($BI39=1,SUM('Final Calculation Sheet'!$AA$4:$AA$40),IF($BL39=1,SUM('Final Calculation Sheet'!$AA$4:$AA$40)-SUMIFS('Final Calculation Sheet'!$AA$4:$AA$40,$AZ$5:$AZ$41,10),SUMIFS('Final Calculation Sheet'!$AA$4:$AA$40,$AZ$5:$AZ$41,$BH39))),""))</f>
        <v/>
      </c>
      <c r="AC36" t="str">
        <f>IF($BJ39&gt;0,IF(INDEX('Final Calculation Sheet'!$AB$4:$AB$40,$BJ39-3)="","",INDEX('Final Calculation Sheet'!$AB$4:$AB$40,$BJ39-3)),IF(OR($BI39=1,$BL39=1,$BH39&gt;0),"–",""))</f>
        <v/>
      </c>
      <c r="AD36" t="str">
        <f>IF($BJ39&gt;0,IF(INDEX('Final Calculation Sheet'!$AC$4:$AC$40,$BJ39-3)="","",INDEX('Final Calculation Sheet'!$AC$4:$AC$40,$BJ39-3)),IF(OR($BI39=1,$BL39=1,$BH39&gt;0),IF($BI39=1,SUM('Final Calculation Sheet'!$AC$4:$AC$40),IF($BL39=1,SUM('Final Calculation Sheet'!$AC$4:$AC$40)-SUMIFS('Final Calculation Sheet'!$AC$4:$AC$40,$AZ$5:$AZ$41,10),SUMIFS('Final Calculation Sheet'!$AC$4:$AC$40,$AZ$5:$AZ$41,$BH39))),""))</f>
        <v/>
      </c>
      <c r="AE36" t="str">
        <f>IF($BJ39&gt;0,IF(INDEX('Final Calculation Sheet'!$AD$4:$AD$40,$BJ39-3)="","",INDEX('Final Calculation Sheet'!$AD$4:$AD$40,$BJ39-3)),IF(OR($BI39=1,$BL39=1,$BH39&gt;0),IF($BI39=1,SUM('Final Calculation Sheet'!$AD$4:$AD$40),IF($BL39=1,SUM('Final Calculation Sheet'!$AD$4:$AD$40)-SUMIFS('Final Calculation Sheet'!$AD$4:$AD$40,$AZ$5:$AZ$41,10),SUMIFS('Final Calculation Sheet'!$AD$4:$AD$40,$AZ$5:$AZ$41,$BH39))),""))</f>
        <v/>
      </c>
      <c r="AF36" t="str">
        <f>IF($BJ39&gt;0,IF(INDEX('Final Calculation Sheet'!$AE$4:$AE$40,$BJ39-3)="","",INDEX('Final Calculation Sheet'!$AE$4:$AE$40,$BJ39-3)),IF(OR($BI39=1,$BL39=1,$BH39&gt;0),"–",""))</f>
        <v/>
      </c>
      <c r="AG36" t="str">
        <f>IF($BJ39&gt;0,IF(INDEX('Final Calculation Sheet'!$AF$4:$AF$40,$BJ39-3)="","",INDEX('Final Calculation Sheet'!$AF$4:$AF$40,$BJ39-3)),IF(OR($BI39=1,$BL39=1,$BH39&gt;0),"–",""))</f>
        <v/>
      </c>
      <c r="AH36" t="str">
        <f>IF($BJ39&gt;0,IF(INDEX('Final Calculation Sheet'!$AG$4:$AG$40,$BJ39-3)="","",INDEX('Final Calculation Sheet'!$AG$4:$AG$40,$BJ39-3)),IF(OR($BI39=1,$BL39=1,$BH39&gt;0),"–",""))</f>
        <v/>
      </c>
      <c r="AI36" t="str">
        <f>IF($BJ39&gt;0,IF(INDEX('Final Calculation Sheet'!$AD$4:$AD$40,$BJ39-3)="","",IF(INDEX('Final Calculation Sheet'!$AD$4:$AD$40,$BJ39-3)&lt;=5,"SETTLED","OUTSTANDING")),IF(OR($BI39=1,$BL39=1,$BH39&gt;0),IF(IF($BI39=1,SUM('Final Calculation Sheet'!$AD$4:$AD$40),IF($BL39=1,SUM('Final Calculation Sheet'!$AD$4:$AD$40)-SUMIFS('Final Calculation Sheet'!$AD$4:$AD$40,$AZ$5:$AZ$41,10),SUMIFS('Final Calculation Sheet'!$AD$4:$AD$40,$AZ$5:$AZ$41,$BH39)))&lt;=5,"ALL SETTLED","OUTSTANDING"),""))</f>
        <v/>
      </c>
    </row>
    <row r="37">
      <c r="A37" t="str">
        <f>IF($BJ40&gt;0,INDEX($BA$5:$BA$41,MATCH(40,$BB$5:$BB$41,0)),IF(OR($BI40=1,$BL40=1,$BH40&gt;0),"∑",""))</f>
        <v/>
      </c>
      <c r="B37" t="str">
        <f>IF($BJ40&gt;0,IF(INDEX('Final Calculation Sheet'!$F$4:$F$40,$BJ40-3)="","",INDEX('Final Calculation Sheet'!$F$4:$F$40,$BJ40-3)),"")</f>
        <v/>
      </c>
      <c r="C37" t="str">
        <f>IF($BJ40&gt;0,IF(INDEX('Final Calculation Sheet'!$G$4:$G$40,$BJ40-3)="","",INDEX('Final Calculation Sheet'!$G$4:$G$40,$BJ40-3)),IF(OR($BI40=1,$BL40=1,$BH40&gt;0),IF($BI40=1,37,IF($BL40=1,37-INDEX($BD$4:$BD$13,10),INDEX($BD$4:$BD$13,$BH40)))&amp;" lot(s)",""))</f>
        <v/>
      </c>
      <c r="D37" t="str">
        <f>IF($BJ40&gt;0,IF(INDEX('Final Calculation Sheet'!$B$4:$B$40,$BJ40-3)="","",INDEX('Final Calculation Sheet'!$B$4:$B$40,$BJ40-3)),IF(OR($BI40=1,$BL40=1,$BH40&gt;0),IF($BI40=1,"GRAND TOTAL  —  matching + remaining",IF($BL40=1,"TOTAL MATCHED  —  every group together",IF($BH40=10,"REMAINING  —  did not match the search",IF($BH40=9,IF(COUNTIF($A$4:$AI$4,"&lt;&gt;")&gt;0,"FILTERED LOTS  —  column fields","ALL LOTS  —  nothing typed in the box"),"GROUP "&amp;$BH40&amp;" TOTAL  —  lots matching  "&amp;INDEX($AR$6:$AY$6,$BH40))))),""))</f>
        <v/>
      </c>
      <c r="E37" t="str">
        <f>IF($BJ40&gt;0,IF(INDEX('Final Calculation Sheet'!$D$4:$D$40,$BJ40-3)="","",INDEX('Final Calculation Sheet'!$D$4:$D$40,$BJ40-3)),IF(OR($BI40=1,$BL40=1,$BH40&gt;0),"–",""))</f>
        <v/>
      </c>
      <c r="F37" t="str">
        <f>IF($BJ40&gt;0,IF(INDEX('Final Calculation Sheet'!$A$4:$A$40,$BJ40-3)="","",INDEX('Final Calculation Sheet'!$A$4:$A$40,$BJ40-3)),IF(OR($BI40=1,$BL40=1,$BH40&gt;0),IF($BI40=1,SUM('Final Calculation Sheet'!$A$4:$A$40),IF($BL40=1,SUM('Final Calculation Sheet'!$A$4:$A$40)-SUMIFS('Final Calculation Sheet'!$A$4:$A$40,$AZ$5:$AZ$41,10),SUMIFS('Final Calculation Sheet'!$A$4:$A$40,$AZ$5:$AZ$41,$BH40))),""))</f>
        <v/>
      </c>
      <c r="G37" t="str">
        <f>IF($BJ40&gt;0,IF(INDEX('Final Calculation Sheet'!$E$4:$E$40,$BJ40-3)="","",INDEX('Final Calculation Sheet'!$E$4:$E$40,$BJ40-3)),IF(OR($BI40=1,$BL40=1,$BH40&gt;0),"–",""))</f>
        <v/>
      </c>
      <c r="H37" t="str">
        <f>IF($BJ40&gt;0,IF(INDEX('Final Calculation Sheet'!$C$4:$C$40,$BJ40-3)="","",INDEX('Final Calculation Sheet'!$C$4:$C$40,$BJ40-3)),IF(OR($BI40=1,$BL40=1,$BH40&gt;0),"–",""))</f>
        <v/>
      </c>
      <c r="I37" t="str">
        <f>IF($BJ40&gt;0,IF(INDEX('Final Calculation Sheet'!$H$4:$H$40,$BJ40-3)="","",INDEX('Final Calculation Sheet'!$H$4:$H$40,$BJ40-3)),IF(OR($BI40=1,$BL40=1,$BH40&gt;0),IF($BI40=1,SUM('Final Calculation Sheet'!$H$4:$H$40),IF($BL40=1,SUM('Final Calculation Sheet'!$H$4:$H$40)-SUMIFS('Final Calculation Sheet'!$H$4:$H$40,$AZ$5:$AZ$41,10),SUMIFS('Final Calculation Sheet'!$H$4:$H$40,$AZ$5:$AZ$41,$BH40))),""))</f>
        <v/>
      </c>
      <c r="J37" t="str">
        <f>IF($BJ40&gt;0,IF(INDEX('Final Calculation Sheet'!$I$4:$I$40,$BJ40-3)="","",INDEX('Final Calculation Sheet'!$I$4:$I$40,$BJ40-3)),IF(OR($BI40=1,$BL40=1,$BH40&gt;0),IF($BI40=1,SUM('Final Calculation Sheet'!$I$4:$I$40),IF($BL40=1,SUM('Final Calculation Sheet'!$I$4:$I$40)-SUMIFS('Final Calculation Sheet'!$I$4:$I$40,$AZ$5:$AZ$41,10),SUMIFS('Final Calculation Sheet'!$I$4:$I$40,$AZ$5:$AZ$41,$BH40))),""))</f>
        <v/>
      </c>
      <c r="K37" t="str">
        <f>IF($BJ40&gt;0,IF(INDEX('Final Calculation Sheet'!$J$4:$J$40,$BJ40-3)="","",INDEX('Final Calculation Sheet'!$J$4:$J$40,$BJ40-3)),IF(OR($BI40=1,$BL40=1,$BH40&gt;0),IF($BI40=1,SUM('Final Calculation Sheet'!$J$4:$J$40),IF($BL40=1,SUM('Final Calculation Sheet'!$J$4:$J$40)-SUMIFS('Final Calculation Sheet'!$J$4:$J$40,$AZ$5:$AZ$41,10),SUMIFS('Final Calculation Sheet'!$J$4:$J$40,$AZ$5:$AZ$41,$BH40))),""))</f>
        <v/>
      </c>
      <c r="L37" t="str">
        <f>IF($BJ40&gt;0,IF(INDEX('Final Calculation Sheet'!$K$4:$K$40,$BJ40-3)="","",INDEX('Final Calculation Sheet'!$K$4:$K$40,$BJ40-3)),IF(OR($BI40=1,$BL40=1,$BH40&gt;0),IF($BI40=1,SUM('Final Calculation Sheet'!$K$4:$K$40),IF($BL40=1,SUM('Final Calculation Sheet'!$K$4:$K$40)-SUMIFS('Final Calculation Sheet'!$K$4:$K$40,$AZ$5:$AZ$41,10),SUMIFS('Final Calculation Sheet'!$K$4:$K$40,$AZ$5:$AZ$41,$BH40))),""))</f>
        <v/>
      </c>
      <c r="M37" t="str">
        <f>IF($BJ40&gt;0,IF(INDEX('Final Calculation Sheet'!$L$4:$L$40,$BJ40-3)="","",INDEX('Final Calculation Sheet'!$L$4:$L$40,$BJ40-3)),IF(OR($BI40=1,$BL40=1,$BH40&gt;0),IF($BI40=1,SUM('Final Calculation Sheet'!$L$4:$L$40),IF($BL40=1,SUM('Final Calculation Sheet'!$L$4:$L$40)-SUMIFS('Final Calculation Sheet'!$L$4:$L$40,$AZ$5:$AZ$41,10),SUMIFS('Final Calculation Sheet'!$L$4:$L$40,$AZ$5:$AZ$41,$BH40))),""))</f>
        <v/>
      </c>
      <c r="N37" t="str">
        <f>IF($BJ40&gt;0,IF(INDEX('Final Calculation Sheet'!$M$4:$M$40,$BJ40-3)="","",INDEX('Final Calculation Sheet'!$M$4:$M$40,$BJ40-3)),IF(OR($BI40=1,$BL40=1,$BH40&gt;0),IF($BI40=1,SUM('Final Calculation Sheet'!$M$4:$M$40),IF($BL40=1,SUM('Final Calculation Sheet'!$M$4:$M$40)-SUMIFS('Final Calculation Sheet'!$M$4:$M$40,$AZ$5:$AZ$41,10),SUMIFS('Final Calculation Sheet'!$M$4:$M$40,$AZ$5:$AZ$41,$BH40))),""))</f>
        <v/>
      </c>
      <c r="O37" t="str">
        <f>IF($BJ40&gt;0,IF(INDEX('Final Calculation Sheet'!$N$4:$N$40,$BJ40-3)="","",INDEX('Final Calculation Sheet'!$N$4:$N$40,$BJ40-3)),IF(OR($BI40=1,$BL40=1,$BH40&gt;0),IF($BI40=1,SUM('Final Calculation Sheet'!$N$4:$N$40),IF($BL40=1,SUM('Final Calculation Sheet'!$N$4:$N$40)-SUMIFS('Final Calculation Sheet'!$N$4:$N$40,$AZ$5:$AZ$41,10),SUMIFS('Final Calculation Sheet'!$N$4:$N$40,$AZ$5:$AZ$41,$BH40))),""))</f>
        <v/>
      </c>
      <c r="P37" t="str">
        <f>IF($BJ40&gt;0,IF(INDEX('Final Calculation Sheet'!$O$4:$O$40,$BJ40-3)="","",INDEX('Final Calculation Sheet'!$O$4:$O$40,$BJ40-3)),IF(OR($BI40=1,$BL40=1,$BH40&gt;0),IF($BI40=1,SUM('Final Calculation Sheet'!$O$4:$O$40),IF($BL40=1,SUM('Final Calculation Sheet'!$O$4:$O$40)-SUMIFS('Final Calculation Sheet'!$O$4:$O$40,$AZ$5:$AZ$41,10),SUMIFS('Final Calculation Sheet'!$O$4:$O$40,$AZ$5:$AZ$41,$BH40))),""))</f>
        <v/>
      </c>
      <c r="Q37" t="str">
        <f>IF($BJ40&gt;0,IF(INDEX('Final Calculation Sheet'!$P$4:$P$40,$BJ40-3)="","",INDEX('Final Calculation Sheet'!$P$4:$P$40,$BJ40-3)),IF(OR($BI40=1,$BL40=1,$BH40&gt;0),IF($BI40=1,SUM('Final Calculation Sheet'!$P$4:$P$40),IF($BL40=1,SUM('Final Calculation Sheet'!$P$4:$P$40)-SUMIFS('Final Calculation Sheet'!$P$4:$P$40,$AZ$5:$AZ$41,10),SUMIFS('Final Calculation Sheet'!$P$4:$P$40,$AZ$5:$AZ$41,$BH40))),""))</f>
        <v/>
      </c>
      <c r="R37" t="str">
        <f>IF($BJ40&gt;0,IF(INDEX('Final Calculation Sheet'!$Q$4:$Q$40,$BJ40-3)="","",INDEX('Final Calculation Sheet'!$Q$4:$Q$40,$BJ40-3)),IF(OR($BI40=1,$BL40=1,$BH40&gt;0),"–",""))</f>
        <v/>
      </c>
      <c r="S37" t="str">
        <f>IF($BJ40&gt;0,IF(INDEX('Final Calculation Sheet'!$R$4:$R$40,$BJ40-3)="","",INDEX('Final Calculation Sheet'!$R$4:$R$40,$BJ40-3)),IF(OR($BI40=1,$BL40=1,$BH40&gt;0),IF($BI40=1,SUM('Final Calculation Sheet'!$R$4:$R$40),IF($BL40=1,SUM('Final Calculation Sheet'!$R$4:$R$40)-SUMIFS('Final Calculation Sheet'!$R$4:$R$40,$AZ$5:$AZ$41,10),SUMIFS('Final Calculation Sheet'!$R$4:$R$40,$AZ$5:$AZ$41,$BH40))),""))</f>
        <v/>
      </c>
      <c r="T37" t="str">
        <f>IF($BJ40&gt;0,IF(INDEX('Final Calculation Sheet'!$S$4:$S$40,$BJ40-3)="","",INDEX('Final Calculation Sheet'!$S$4:$S$40,$BJ40-3)),IF(OR($BI40=1,$BL40=1,$BH40&gt;0),IF($BI40=1,SUM('Final Calculation Sheet'!$S$4:$S$40),IF($BL40=1,SUM('Final Calculation Sheet'!$S$4:$S$40)-SUMIFS('Final Calculation Sheet'!$S$4:$S$40,$AZ$5:$AZ$41,10),SUMIFS('Final Calculation Sheet'!$S$4:$S$40,$AZ$5:$AZ$41,$BH40))),""))</f>
        <v/>
      </c>
      <c r="U37" t="str">
        <f>IF($BJ40&gt;0,IF(INDEX('Final Calculation Sheet'!$T$4:$T$40,$BJ40-3)="","",INDEX('Final Calculation Sheet'!$T$4:$T$40,$BJ40-3)),IF(OR($BI40=1,$BL40=1,$BH40&gt;0),IF($BI40=1,SUM('Final Calculation Sheet'!$T$4:$T$40),IF($BL40=1,SUM('Final Calculation Sheet'!$T$4:$T$40)-SUMIFS('Final Calculation Sheet'!$T$4:$T$40,$AZ$5:$AZ$41,10),SUMIFS('Final Calculation Sheet'!$T$4:$T$40,$AZ$5:$AZ$41,$BH40))),""))</f>
        <v/>
      </c>
      <c r="V37" t="str">
        <f>IF($BJ40&gt;0,IF(INDEX('Final Calculation Sheet'!$U$4:$U$40,$BJ40-3)="","",INDEX('Final Calculation Sheet'!$U$4:$U$40,$BJ40-3)),IF(OR($BI40=1,$BL40=1,$BH40&gt;0),IF($BI40=1,SUM('Final Calculation Sheet'!$U$4:$U$40),IF($BL40=1,SUM('Final Calculation Sheet'!$U$4:$U$40)-SUMIFS('Final Calculation Sheet'!$U$4:$U$40,$AZ$5:$AZ$41,10),SUMIFS('Final Calculation Sheet'!$U$4:$U$40,$AZ$5:$AZ$41,$BH40))),""))</f>
        <v/>
      </c>
      <c r="W37" t="str">
        <f>IF($BJ40&gt;0,IF(INDEX('Final Calculation Sheet'!$V$4:$V$40,$BJ40-3)="","",INDEX('Final Calculation Sheet'!$V$4:$V$40,$BJ40-3)),IF(OR($BI40=1,$BL40=1,$BH40&gt;0),"–",""))</f>
        <v/>
      </c>
      <c r="X37" t="str">
        <f>IF($BJ40&gt;0,IF(INDEX('Final Calculation Sheet'!$W$4:$W$40,$BJ40-3)="","",INDEX('Final Calculation Sheet'!$W$4:$W$40,$BJ40-3)),IF(OR($BI40=1,$BL40=1,$BH40&gt;0),IF($BI40=1,SUM('Final Calculation Sheet'!$W$4:$W$40),IF($BL40=1,SUM('Final Calculation Sheet'!$W$4:$W$40)-SUMIFS('Final Calculation Sheet'!$W$4:$W$40,$AZ$5:$AZ$41,10),SUMIFS('Final Calculation Sheet'!$W$4:$W$40,$AZ$5:$AZ$41,$BH40))),""))</f>
        <v/>
      </c>
      <c r="Y37" t="str">
        <f>IF($BJ40&gt;0,IF(INDEX('Final Calculation Sheet'!$X$4:$X$40,$BJ40-3)="","",INDEX('Final Calculation Sheet'!$X$4:$X$40,$BJ40-3)),IF(OR($BI40=1,$BL40=1,$BH40&gt;0),IF($BI40=1,SUM('Final Calculation Sheet'!$X$4:$X$40),IF($BL40=1,SUM('Final Calculation Sheet'!$X$4:$X$40)-SUMIFS('Final Calculation Sheet'!$X$4:$X$40,$AZ$5:$AZ$41,10),SUMIFS('Final Calculation Sheet'!$X$4:$X$40,$AZ$5:$AZ$41,$BH40))),""))</f>
        <v/>
      </c>
      <c r="Z37" t="str">
        <f>IF($BJ40&gt;0,IF(INDEX('Final Calculation Sheet'!$Y$4:$Y$40,$BJ40-3)="","",INDEX('Final Calculation Sheet'!$Y$4:$Y$40,$BJ40-3)),IF(OR($BI40=1,$BL40=1,$BH40&gt;0),"–",""))</f>
        <v/>
      </c>
      <c r="AA37" t="str">
        <f>IF($BJ40&gt;0,IF(INDEX('Final Calculation Sheet'!$Z$4:$Z$40,$BJ40-3)="","",INDEX('Final Calculation Sheet'!$Z$4:$Z$40,$BJ40-3)),IF(OR($BI40=1,$BL40=1,$BH40&gt;0),IF($BI40=1,SUM('Final Calculation Sheet'!$Z$4:$Z$40),IF($BL40=1,SUM('Final Calculation Sheet'!$Z$4:$Z$40)-SUMIFS('Final Calculation Sheet'!$Z$4:$Z$40,$AZ$5:$AZ$41,10),SUMIFS('Final Calculation Sheet'!$Z$4:$Z$40,$AZ$5:$AZ$41,$BH40))),""))</f>
        <v/>
      </c>
      <c r="AB37" t="str">
        <f>IF($BJ40&gt;0,IF(INDEX('Final Calculation Sheet'!$AA$4:$AA$40,$BJ40-3)="","",INDEX('Final Calculation Sheet'!$AA$4:$AA$40,$BJ40-3)),IF(OR($BI40=1,$BL40=1,$BH40&gt;0),IF($BI40=1,SUM('Final Calculation Sheet'!$AA$4:$AA$40),IF($BL40=1,SUM('Final Calculation Sheet'!$AA$4:$AA$40)-SUMIFS('Final Calculation Sheet'!$AA$4:$AA$40,$AZ$5:$AZ$41,10),SUMIFS('Final Calculation Sheet'!$AA$4:$AA$40,$AZ$5:$AZ$41,$BH40))),""))</f>
        <v/>
      </c>
      <c r="AC37" t="str">
        <f>IF($BJ40&gt;0,IF(INDEX('Final Calculation Sheet'!$AB$4:$AB$40,$BJ40-3)="","",INDEX('Final Calculation Sheet'!$AB$4:$AB$40,$BJ40-3)),IF(OR($BI40=1,$BL40=1,$BH40&gt;0),"–",""))</f>
        <v/>
      </c>
      <c r="AD37" t="str">
        <f>IF($BJ40&gt;0,IF(INDEX('Final Calculation Sheet'!$AC$4:$AC$40,$BJ40-3)="","",INDEX('Final Calculation Sheet'!$AC$4:$AC$40,$BJ40-3)),IF(OR($BI40=1,$BL40=1,$BH40&gt;0),IF($BI40=1,SUM('Final Calculation Sheet'!$AC$4:$AC$40),IF($BL40=1,SUM('Final Calculation Sheet'!$AC$4:$AC$40)-SUMIFS('Final Calculation Sheet'!$AC$4:$AC$40,$AZ$5:$AZ$41,10),SUMIFS('Final Calculation Sheet'!$AC$4:$AC$40,$AZ$5:$AZ$41,$BH40))),""))</f>
        <v/>
      </c>
      <c r="AE37" t="str">
        <f>IF($BJ40&gt;0,IF(INDEX('Final Calculation Sheet'!$AD$4:$AD$40,$BJ40-3)="","",INDEX('Final Calculation Sheet'!$AD$4:$AD$40,$BJ40-3)),IF(OR($BI40=1,$BL40=1,$BH40&gt;0),IF($BI40=1,SUM('Final Calculation Sheet'!$AD$4:$AD$40),IF($BL40=1,SUM('Final Calculation Sheet'!$AD$4:$AD$40)-SUMIFS('Final Calculation Sheet'!$AD$4:$AD$40,$AZ$5:$AZ$41,10),SUMIFS('Final Calculation Sheet'!$AD$4:$AD$40,$AZ$5:$AZ$41,$BH40))),""))</f>
        <v/>
      </c>
      <c r="AF37" t="str">
        <f>IF($BJ40&gt;0,IF(INDEX('Final Calculation Sheet'!$AE$4:$AE$40,$BJ40-3)="","",INDEX('Final Calculation Sheet'!$AE$4:$AE$40,$BJ40-3)),IF(OR($BI40=1,$BL40=1,$BH40&gt;0),"–",""))</f>
        <v/>
      </c>
      <c r="AG37" t="str">
        <f>IF($BJ40&gt;0,IF(INDEX('Final Calculation Sheet'!$AF$4:$AF$40,$BJ40-3)="","",INDEX('Final Calculation Sheet'!$AF$4:$AF$40,$BJ40-3)),IF(OR($BI40=1,$BL40=1,$BH40&gt;0),"–",""))</f>
        <v/>
      </c>
      <c r="AH37" t="str">
        <f>IF($BJ40&gt;0,IF(INDEX('Final Calculation Sheet'!$AG$4:$AG$40,$BJ40-3)="","",INDEX('Final Calculation Sheet'!$AG$4:$AG$40,$BJ40-3)),IF(OR($BI40=1,$BL40=1,$BH40&gt;0),"–",""))</f>
        <v/>
      </c>
      <c r="AI37" t="str">
        <f>IF($BJ40&gt;0,IF(INDEX('Final Calculation Sheet'!$AD$4:$AD$40,$BJ40-3)="","",IF(INDEX('Final Calculation Sheet'!$AD$4:$AD$40,$BJ40-3)&lt;=5,"SETTLED","OUTSTANDING")),IF(OR($BI40=1,$BL40=1,$BH40&gt;0),IF(IF($BI40=1,SUM('Final Calculation Sheet'!$AD$4:$AD$40),IF($BL40=1,SUM('Final Calculation Sheet'!$AD$4:$AD$40)-SUMIFS('Final Calculation Sheet'!$AD$4:$AD$40,$AZ$5:$AZ$41,10),SUMIFS('Final Calculation Sheet'!$AD$4:$AD$40,$AZ$5:$AZ$41,$BH40)))&lt;=5,"ALL SETTLED","OUTSTANDING"),""))</f>
        <v/>
      </c>
    </row>
    <row r="38">
      <c r="A38" t="str">
        <f>IF($BJ41&gt;0,INDEX($BA$5:$BA$41,MATCH(41,$BB$5:$BB$41,0)),IF(OR($BI41=1,$BL41=1,$BH41&gt;0),"∑",""))</f>
        <v/>
      </c>
      <c r="B38" t="str">
        <f>IF($BJ41&gt;0,IF(INDEX('Final Calculation Sheet'!$F$4:$F$40,$BJ41-3)="","",INDEX('Final Calculation Sheet'!$F$4:$F$40,$BJ41-3)),"")</f>
        <v/>
      </c>
      <c r="C38" t="str">
        <f>IF($BJ41&gt;0,IF(INDEX('Final Calculation Sheet'!$G$4:$G$40,$BJ41-3)="","",INDEX('Final Calculation Sheet'!$G$4:$G$40,$BJ41-3)),IF(OR($BI41=1,$BL41=1,$BH41&gt;0),IF($BI41=1,37,IF($BL41=1,37-INDEX($BD$4:$BD$13,10),INDEX($BD$4:$BD$13,$BH41)))&amp;" lot(s)",""))</f>
        <v/>
      </c>
      <c r="D38" t="str">
        <f>IF($BJ41&gt;0,IF(INDEX('Final Calculation Sheet'!$B$4:$B$40,$BJ41-3)="","",INDEX('Final Calculation Sheet'!$B$4:$B$40,$BJ41-3)),IF(OR($BI41=1,$BL41=1,$BH41&gt;0),IF($BI41=1,"GRAND TOTAL  —  matching + remaining",IF($BL41=1,"TOTAL MATCHED  —  every group together",IF($BH41=10,"REMAINING  —  did not match the search",IF($BH41=9,IF(COUNTIF($A$4:$AI$4,"&lt;&gt;")&gt;0,"FILTERED LOTS  —  column fields","ALL LOTS  —  nothing typed in the box"),"GROUP "&amp;$BH41&amp;" TOTAL  —  lots matching  "&amp;INDEX($AR$6:$AY$6,$BH41))))),""))</f>
        <v/>
      </c>
      <c r="E38" t="str">
        <f>IF($BJ41&gt;0,IF(INDEX('Final Calculation Sheet'!$D$4:$D$40,$BJ41-3)="","",INDEX('Final Calculation Sheet'!$D$4:$D$40,$BJ41-3)),IF(OR($BI41=1,$BL41=1,$BH41&gt;0),"–",""))</f>
        <v/>
      </c>
      <c r="F38" t="str">
        <f>IF($BJ41&gt;0,IF(INDEX('Final Calculation Sheet'!$A$4:$A$40,$BJ41-3)="","",INDEX('Final Calculation Sheet'!$A$4:$A$40,$BJ41-3)),IF(OR($BI41=1,$BL41=1,$BH41&gt;0),IF($BI41=1,SUM('Final Calculation Sheet'!$A$4:$A$40),IF($BL41=1,SUM('Final Calculation Sheet'!$A$4:$A$40)-SUMIFS('Final Calculation Sheet'!$A$4:$A$40,$AZ$5:$AZ$41,10),SUMIFS('Final Calculation Sheet'!$A$4:$A$40,$AZ$5:$AZ$41,$BH41))),""))</f>
        <v/>
      </c>
      <c r="G38" t="str">
        <f>IF($BJ41&gt;0,IF(INDEX('Final Calculation Sheet'!$E$4:$E$40,$BJ41-3)="","",INDEX('Final Calculation Sheet'!$E$4:$E$40,$BJ41-3)),IF(OR($BI41=1,$BL41=1,$BH41&gt;0),"–",""))</f>
        <v/>
      </c>
      <c r="H38" t="str">
        <f>IF($BJ41&gt;0,IF(INDEX('Final Calculation Sheet'!$C$4:$C$40,$BJ41-3)="","",INDEX('Final Calculation Sheet'!$C$4:$C$40,$BJ41-3)),IF(OR($BI41=1,$BL41=1,$BH41&gt;0),"–",""))</f>
        <v/>
      </c>
      <c r="I38" t="str">
        <f>IF($BJ41&gt;0,IF(INDEX('Final Calculation Sheet'!$H$4:$H$40,$BJ41-3)="","",INDEX('Final Calculation Sheet'!$H$4:$H$40,$BJ41-3)),IF(OR($BI41=1,$BL41=1,$BH41&gt;0),IF($BI41=1,SUM('Final Calculation Sheet'!$H$4:$H$40),IF($BL41=1,SUM('Final Calculation Sheet'!$H$4:$H$40)-SUMIFS('Final Calculation Sheet'!$H$4:$H$40,$AZ$5:$AZ$41,10),SUMIFS('Final Calculation Sheet'!$H$4:$H$40,$AZ$5:$AZ$41,$BH41))),""))</f>
        <v/>
      </c>
      <c r="J38" t="str">
        <f>IF($BJ41&gt;0,IF(INDEX('Final Calculation Sheet'!$I$4:$I$40,$BJ41-3)="","",INDEX('Final Calculation Sheet'!$I$4:$I$40,$BJ41-3)),IF(OR($BI41=1,$BL41=1,$BH41&gt;0),IF($BI41=1,SUM('Final Calculation Sheet'!$I$4:$I$40),IF($BL41=1,SUM('Final Calculation Sheet'!$I$4:$I$40)-SUMIFS('Final Calculation Sheet'!$I$4:$I$40,$AZ$5:$AZ$41,10),SUMIFS('Final Calculation Sheet'!$I$4:$I$40,$AZ$5:$AZ$41,$BH41))),""))</f>
        <v/>
      </c>
      <c r="K38" t="str">
        <f>IF($BJ41&gt;0,IF(INDEX('Final Calculation Sheet'!$J$4:$J$40,$BJ41-3)="","",INDEX('Final Calculation Sheet'!$J$4:$J$40,$BJ41-3)),IF(OR($BI41=1,$BL41=1,$BH41&gt;0),IF($BI41=1,SUM('Final Calculation Sheet'!$J$4:$J$40),IF($BL41=1,SUM('Final Calculation Sheet'!$J$4:$J$40)-SUMIFS('Final Calculation Sheet'!$J$4:$J$40,$AZ$5:$AZ$41,10),SUMIFS('Final Calculation Sheet'!$J$4:$J$40,$AZ$5:$AZ$41,$BH41))),""))</f>
        <v/>
      </c>
      <c r="L38" t="str">
        <f>IF($BJ41&gt;0,IF(INDEX('Final Calculation Sheet'!$K$4:$K$40,$BJ41-3)="","",INDEX('Final Calculation Sheet'!$K$4:$K$40,$BJ41-3)),IF(OR($BI41=1,$BL41=1,$BH41&gt;0),IF($BI41=1,SUM('Final Calculation Sheet'!$K$4:$K$40),IF($BL41=1,SUM('Final Calculation Sheet'!$K$4:$K$40)-SUMIFS('Final Calculation Sheet'!$K$4:$K$40,$AZ$5:$AZ$41,10),SUMIFS('Final Calculation Sheet'!$K$4:$K$40,$AZ$5:$AZ$41,$BH41))),""))</f>
        <v/>
      </c>
      <c r="M38" t="str">
        <f>IF($BJ41&gt;0,IF(INDEX('Final Calculation Sheet'!$L$4:$L$40,$BJ41-3)="","",INDEX('Final Calculation Sheet'!$L$4:$L$40,$BJ41-3)),IF(OR($BI41=1,$BL41=1,$BH41&gt;0),IF($BI41=1,SUM('Final Calculation Sheet'!$L$4:$L$40),IF($BL41=1,SUM('Final Calculation Sheet'!$L$4:$L$40)-SUMIFS('Final Calculation Sheet'!$L$4:$L$40,$AZ$5:$AZ$41,10),SUMIFS('Final Calculation Sheet'!$L$4:$L$40,$AZ$5:$AZ$41,$BH41))),""))</f>
        <v/>
      </c>
      <c r="N38" t="str">
        <f>IF($BJ41&gt;0,IF(INDEX('Final Calculation Sheet'!$M$4:$M$40,$BJ41-3)="","",INDEX('Final Calculation Sheet'!$M$4:$M$40,$BJ41-3)),IF(OR($BI41=1,$BL41=1,$BH41&gt;0),IF($BI41=1,SUM('Final Calculation Sheet'!$M$4:$M$40),IF($BL41=1,SUM('Final Calculation Sheet'!$M$4:$M$40)-SUMIFS('Final Calculation Sheet'!$M$4:$M$40,$AZ$5:$AZ$41,10),SUMIFS('Final Calculation Sheet'!$M$4:$M$40,$AZ$5:$AZ$41,$BH41))),""))</f>
        <v/>
      </c>
      <c r="O38" t="str">
        <f>IF($BJ41&gt;0,IF(INDEX('Final Calculation Sheet'!$N$4:$N$40,$BJ41-3)="","",INDEX('Final Calculation Sheet'!$N$4:$N$40,$BJ41-3)),IF(OR($BI41=1,$BL41=1,$BH41&gt;0),IF($BI41=1,SUM('Final Calculation Sheet'!$N$4:$N$40),IF($BL41=1,SUM('Final Calculation Sheet'!$N$4:$N$40)-SUMIFS('Final Calculation Sheet'!$N$4:$N$40,$AZ$5:$AZ$41,10),SUMIFS('Final Calculation Sheet'!$N$4:$N$40,$AZ$5:$AZ$41,$BH41))),""))</f>
        <v/>
      </c>
      <c r="P38" t="str">
        <f>IF($BJ41&gt;0,IF(INDEX('Final Calculation Sheet'!$O$4:$O$40,$BJ41-3)="","",INDEX('Final Calculation Sheet'!$O$4:$O$40,$BJ41-3)),IF(OR($BI41=1,$BL41=1,$BH41&gt;0),IF($BI41=1,SUM('Final Calculation Sheet'!$O$4:$O$40),IF($BL41=1,SUM('Final Calculation Sheet'!$O$4:$O$40)-SUMIFS('Final Calculation Sheet'!$O$4:$O$40,$AZ$5:$AZ$41,10),SUMIFS('Final Calculation Sheet'!$O$4:$O$40,$AZ$5:$AZ$41,$BH41))),""))</f>
        <v/>
      </c>
      <c r="Q38" t="str">
        <f>IF($BJ41&gt;0,IF(INDEX('Final Calculation Sheet'!$P$4:$P$40,$BJ41-3)="","",INDEX('Final Calculation Sheet'!$P$4:$P$40,$BJ41-3)),IF(OR($BI41=1,$BL41=1,$BH41&gt;0),IF($BI41=1,SUM('Final Calculation Sheet'!$P$4:$P$40),IF($BL41=1,SUM('Final Calculation Sheet'!$P$4:$P$40)-SUMIFS('Final Calculation Sheet'!$P$4:$P$40,$AZ$5:$AZ$41,10),SUMIFS('Final Calculation Sheet'!$P$4:$P$40,$AZ$5:$AZ$41,$BH41))),""))</f>
        <v/>
      </c>
      <c r="R38" t="str">
        <f>IF($BJ41&gt;0,IF(INDEX('Final Calculation Sheet'!$Q$4:$Q$40,$BJ41-3)="","",INDEX('Final Calculation Sheet'!$Q$4:$Q$40,$BJ41-3)),IF(OR($BI41=1,$BL41=1,$BH41&gt;0),"–",""))</f>
        <v/>
      </c>
      <c r="S38" t="str">
        <f>IF($BJ41&gt;0,IF(INDEX('Final Calculation Sheet'!$R$4:$R$40,$BJ41-3)="","",INDEX('Final Calculation Sheet'!$R$4:$R$40,$BJ41-3)),IF(OR($BI41=1,$BL41=1,$BH41&gt;0),IF($BI41=1,SUM('Final Calculation Sheet'!$R$4:$R$40),IF($BL41=1,SUM('Final Calculation Sheet'!$R$4:$R$40)-SUMIFS('Final Calculation Sheet'!$R$4:$R$40,$AZ$5:$AZ$41,10),SUMIFS('Final Calculation Sheet'!$R$4:$R$40,$AZ$5:$AZ$41,$BH41))),""))</f>
        <v/>
      </c>
      <c r="T38" t="str">
        <f>IF($BJ41&gt;0,IF(INDEX('Final Calculation Sheet'!$S$4:$S$40,$BJ41-3)="","",INDEX('Final Calculation Sheet'!$S$4:$S$40,$BJ41-3)),IF(OR($BI41=1,$BL41=1,$BH41&gt;0),IF($BI41=1,SUM('Final Calculation Sheet'!$S$4:$S$40),IF($BL41=1,SUM('Final Calculation Sheet'!$S$4:$S$40)-SUMIFS('Final Calculation Sheet'!$S$4:$S$40,$AZ$5:$AZ$41,10),SUMIFS('Final Calculation Sheet'!$S$4:$S$40,$AZ$5:$AZ$41,$BH41))),""))</f>
        <v/>
      </c>
      <c r="U38" t="str">
        <f>IF($BJ41&gt;0,IF(INDEX('Final Calculation Sheet'!$T$4:$T$40,$BJ41-3)="","",INDEX('Final Calculation Sheet'!$T$4:$T$40,$BJ41-3)),IF(OR($BI41=1,$BL41=1,$BH41&gt;0),IF($BI41=1,SUM('Final Calculation Sheet'!$T$4:$T$40),IF($BL41=1,SUM('Final Calculation Sheet'!$T$4:$T$40)-SUMIFS('Final Calculation Sheet'!$T$4:$T$40,$AZ$5:$AZ$41,10),SUMIFS('Final Calculation Sheet'!$T$4:$T$40,$AZ$5:$AZ$41,$BH41))),""))</f>
        <v/>
      </c>
      <c r="V38" t="str">
        <f>IF($BJ41&gt;0,IF(INDEX('Final Calculation Sheet'!$U$4:$U$40,$BJ41-3)="","",INDEX('Final Calculation Sheet'!$U$4:$U$40,$BJ41-3)),IF(OR($BI41=1,$BL41=1,$BH41&gt;0),IF($BI41=1,SUM('Final Calculation Sheet'!$U$4:$U$40),IF($BL41=1,SUM('Final Calculation Sheet'!$U$4:$U$40)-SUMIFS('Final Calculation Sheet'!$U$4:$U$40,$AZ$5:$AZ$41,10),SUMIFS('Final Calculation Sheet'!$U$4:$U$40,$AZ$5:$AZ$41,$BH41))),""))</f>
        <v/>
      </c>
      <c r="W38" t="str">
        <f>IF($BJ41&gt;0,IF(INDEX('Final Calculation Sheet'!$V$4:$V$40,$BJ41-3)="","",INDEX('Final Calculation Sheet'!$V$4:$V$40,$BJ41-3)),IF(OR($BI41=1,$BL41=1,$BH41&gt;0),"–",""))</f>
        <v/>
      </c>
      <c r="X38" t="str">
        <f>IF($BJ41&gt;0,IF(INDEX('Final Calculation Sheet'!$W$4:$W$40,$BJ41-3)="","",INDEX('Final Calculation Sheet'!$W$4:$W$40,$BJ41-3)),IF(OR($BI41=1,$BL41=1,$BH41&gt;0),IF($BI41=1,SUM('Final Calculation Sheet'!$W$4:$W$40),IF($BL41=1,SUM('Final Calculation Sheet'!$W$4:$W$40)-SUMIFS('Final Calculation Sheet'!$W$4:$W$40,$AZ$5:$AZ$41,10),SUMIFS('Final Calculation Sheet'!$W$4:$W$40,$AZ$5:$AZ$41,$BH41))),""))</f>
        <v/>
      </c>
      <c r="Y38" t="str">
        <f>IF($BJ41&gt;0,IF(INDEX('Final Calculation Sheet'!$X$4:$X$40,$BJ41-3)="","",INDEX('Final Calculation Sheet'!$X$4:$X$40,$BJ41-3)),IF(OR($BI41=1,$BL41=1,$BH41&gt;0),IF($BI41=1,SUM('Final Calculation Sheet'!$X$4:$X$40),IF($BL41=1,SUM('Final Calculation Sheet'!$X$4:$X$40)-SUMIFS('Final Calculation Sheet'!$X$4:$X$40,$AZ$5:$AZ$41,10),SUMIFS('Final Calculation Sheet'!$X$4:$X$40,$AZ$5:$AZ$41,$BH41))),""))</f>
        <v/>
      </c>
      <c r="Z38" t="str">
        <f>IF($BJ41&gt;0,IF(INDEX('Final Calculation Sheet'!$Y$4:$Y$40,$BJ41-3)="","",INDEX('Final Calculation Sheet'!$Y$4:$Y$40,$BJ41-3)),IF(OR($BI41=1,$BL41=1,$BH41&gt;0),"–",""))</f>
        <v/>
      </c>
      <c r="AA38" t="str">
        <f>IF($BJ41&gt;0,IF(INDEX('Final Calculation Sheet'!$Z$4:$Z$40,$BJ41-3)="","",INDEX('Final Calculation Sheet'!$Z$4:$Z$40,$BJ41-3)),IF(OR($BI41=1,$BL41=1,$BH41&gt;0),IF($BI41=1,SUM('Final Calculation Sheet'!$Z$4:$Z$40),IF($BL41=1,SUM('Final Calculation Sheet'!$Z$4:$Z$40)-SUMIFS('Final Calculation Sheet'!$Z$4:$Z$40,$AZ$5:$AZ$41,10),SUMIFS('Final Calculation Sheet'!$Z$4:$Z$40,$AZ$5:$AZ$41,$BH41))),""))</f>
        <v/>
      </c>
      <c r="AB38" t="str">
        <f>IF($BJ41&gt;0,IF(INDEX('Final Calculation Sheet'!$AA$4:$AA$40,$BJ41-3)="","",INDEX('Final Calculation Sheet'!$AA$4:$AA$40,$BJ41-3)),IF(OR($BI41=1,$BL41=1,$BH41&gt;0),IF($BI41=1,SUM('Final Calculation Sheet'!$AA$4:$AA$40),IF($BL41=1,SUM('Final Calculation Sheet'!$AA$4:$AA$40)-SUMIFS('Final Calculation Sheet'!$AA$4:$AA$40,$AZ$5:$AZ$41,10),SUMIFS('Final Calculation Sheet'!$AA$4:$AA$40,$AZ$5:$AZ$41,$BH41))),""))</f>
        <v/>
      </c>
      <c r="AC38" t="str">
        <f>IF($BJ41&gt;0,IF(INDEX('Final Calculation Sheet'!$AB$4:$AB$40,$BJ41-3)="","",INDEX('Final Calculation Sheet'!$AB$4:$AB$40,$BJ41-3)),IF(OR($BI41=1,$BL41=1,$BH41&gt;0),"–",""))</f>
        <v/>
      </c>
      <c r="AD38" t="str">
        <f>IF($BJ41&gt;0,IF(INDEX('Final Calculation Sheet'!$AC$4:$AC$40,$BJ41-3)="","",INDEX('Final Calculation Sheet'!$AC$4:$AC$40,$BJ41-3)),IF(OR($BI41=1,$BL41=1,$BH41&gt;0),IF($BI41=1,SUM('Final Calculation Sheet'!$AC$4:$AC$40),IF($BL41=1,SUM('Final Calculation Sheet'!$AC$4:$AC$40)-SUMIFS('Final Calculation Sheet'!$AC$4:$AC$40,$AZ$5:$AZ$41,10),SUMIFS('Final Calculation Sheet'!$AC$4:$AC$40,$AZ$5:$AZ$41,$BH41))),""))</f>
        <v/>
      </c>
      <c r="AE38" t="str">
        <f>IF($BJ41&gt;0,IF(INDEX('Final Calculation Sheet'!$AD$4:$AD$40,$BJ41-3)="","",INDEX('Final Calculation Sheet'!$AD$4:$AD$40,$BJ41-3)),IF(OR($BI41=1,$BL41=1,$BH41&gt;0),IF($BI41=1,SUM('Final Calculation Sheet'!$AD$4:$AD$40),IF($BL41=1,SUM('Final Calculation Sheet'!$AD$4:$AD$40)-SUMIFS('Final Calculation Sheet'!$AD$4:$AD$40,$AZ$5:$AZ$41,10),SUMIFS('Final Calculation Sheet'!$AD$4:$AD$40,$AZ$5:$AZ$41,$BH41))),""))</f>
        <v/>
      </c>
      <c r="AF38" t="str">
        <f>IF($BJ41&gt;0,IF(INDEX('Final Calculation Sheet'!$AE$4:$AE$40,$BJ41-3)="","",INDEX('Final Calculation Sheet'!$AE$4:$AE$40,$BJ41-3)),IF(OR($BI41=1,$BL41=1,$BH41&gt;0),"–",""))</f>
        <v/>
      </c>
      <c r="AG38" t="str">
        <f>IF($BJ41&gt;0,IF(INDEX('Final Calculation Sheet'!$AF$4:$AF$40,$BJ41-3)="","",INDEX('Final Calculation Sheet'!$AF$4:$AF$40,$BJ41-3)),IF(OR($BI41=1,$BL41=1,$BH41&gt;0),"–",""))</f>
        <v/>
      </c>
      <c r="AH38" t="str">
        <f>IF($BJ41&gt;0,IF(INDEX('Final Calculation Sheet'!$AG$4:$AG$40,$BJ41-3)="","",INDEX('Final Calculation Sheet'!$AG$4:$AG$40,$BJ41-3)),IF(OR($BI41=1,$BL41=1,$BH41&gt;0),"–",""))</f>
        <v/>
      </c>
      <c r="AI38" t="str">
        <f>IF($BJ41&gt;0,IF(INDEX('Final Calculation Sheet'!$AD$4:$AD$40,$BJ41-3)="","",IF(INDEX('Final Calculation Sheet'!$AD$4:$AD$40,$BJ41-3)&lt;=5,"SETTLED","OUTSTANDING")),IF(OR($BI41=1,$BL41=1,$BH41&gt;0),IF(IF($BI41=1,SUM('Final Calculation Sheet'!$AD$4:$AD$40),IF($BL41=1,SUM('Final Calculation Sheet'!$AD$4:$AD$40)-SUMIFS('Final Calculation Sheet'!$AD$4:$AD$40,$AZ$5:$AZ$41,10),SUMIFS('Final Calculation Sheet'!$AD$4:$AD$40,$AZ$5:$AZ$41,$BH41)))&lt;=5,"ALL SETTLED","OUTSTANDING"),""))</f>
        <v/>
      </c>
    </row>
  </sheetData>
  <pageMargins left="0.75" right="0.75" top="1" bottom="1" header="0.511811023622047" footer="0.511811023622047"/>
  <pageSetup orientation="portrait" paperSize="9" horizontalDpi="300" verticalDpi="300"/>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S.M.C</dc:creator>
  <dc:language>en-US</dc:language>
  <dcterms:created xsi:type="dcterms:W3CDTF">2026-09-02T06:08:07Z</dcterms:created>
  <dcterms:modified xsi:type="dcterms:W3CDTF">2026-09-10T13:05:40Z</dcterms:modified>
  <cp:lastModifiedBy>S.M.C</cp:lastModifiedBy>
  <cp:revision>0</cp:revision>
</cp:coreProperties>
</file>