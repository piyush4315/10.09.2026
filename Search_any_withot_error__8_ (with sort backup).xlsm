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Lists!$Y$4:INDEX(Lists!$Y$4:$Y$42,MAX(Lists!$X$4:$X$40)+2)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none</definedName>
    <definedName name="SUGN_AB">none</definedName>
    <definedName name="SUGN_AC">none</definedName>
    <definedName name="SUGN_AD">none</definedName>
    <definedName name="SUGN_AE">none</definedName>
    <definedName name="SUGN_AF">none</definedName>
    <definedName name="SUGN_AG">none</definedName>
    <definedName name="SUGN_AH">none</definedName>
    <definedName name="SUGN_AI">none</definedName>
    <definedName name="SUGN_B">none</definedName>
    <definedName name="SUGN_C">none</definedName>
    <definedName name="SUGN_D">none</definedName>
    <definedName name="SUGN_E">none</definedName>
    <definedName name="SUGN_F">none</definedName>
    <definedName name="SUGN_G">none</definedName>
    <definedName name="SUGN_H">none</definedName>
    <definedName name="SUGN_I">none</definedName>
    <definedName name="SUGN_J">none</definedName>
    <definedName name="SUGN_K">none</definedName>
    <definedName name="SUGN_L">none</definedName>
    <definedName name="SUGN_M">none</definedName>
    <definedName name="SUGN_N">none</definedName>
    <definedName name="SUGN_O">none</definedName>
    <definedName name="SUGN_P">none</definedName>
    <definedName name="SUGN_Q">none</definedName>
    <definedName name="SUGN_R">none</definedName>
    <definedName name="SUGN_S">none</definedName>
    <definedName name="SUGN_T">none</definedName>
    <definedName name="SUGN_U">none</definedName>
    <definedName name="SUGN_V">none</definedName>
    <definedName name="SUGN_W">none</definedName>
    <definedName name="SUGN_X">none</definedName>
    <definedName name="SUGN_Y">none</definedName>
    <definedName name="SUGN_Z">none</definedName>
    <definedName name="_xlnm._FilterDatabase" localSheetId="0" hidden="1">'Final Calculation Sheet'!$A$3:$AG$43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7109375" customWidth="1" style="137" min="31" max="31"/>
    <col width="14.140625" customWidth="1" style="137" min="32" max="32"/>
    <col width="10.140625" customWidth="1" style="137" min="33" max="33"/>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 xml:space="preserve">Invoice No. </t>
        </is>
      </c>
      <c r="AF3" s="6" t="inlineStr">
        <is>
          <t>SAP Document</t>
        </is>
      </c>
      <c r="AG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913738</v>
      </c>
      <c r="AD4" s="19">
        <f>S4-AC4</f>
        <v>0</v>
      </c>
      <c r="AE4" s="20" t="inlineStr">
        <is>
          <t>DR2640100029</t>
        </is>
      </c>
      <c r="AF4" s="21" t="n">
        <v>1800003271</v>
      </c>
      <c r="AG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28188</v>
      </c>
      <c r="J5" s="27">
        <f>+H5+I5</f>
        <v>184788</v>
      </c>
      <c r="K5" s="27">
        <f>ROUND((H5+I5)*2%,0)</f>
        <v>3696</v>
      </c>
      <c r="L5" s="28">
        <f>H5*0.1%</f>
        <v>156.6</v>
      </c>
      <c r="M5" s="28">
        <f>H5*2.25%*118%</f>
        <v>4157.7299999999996</v>
      </c>
      <c r="N5" s="29">
        <f>H5*2.25%*2%</f>
        <v>70.47</v>
      </c>
      <c r="O5" s="28">
        <f>M5-N5</f>
        <v>4087.2599999999998</v>
      </c>
      <c r="P5" s="28">
        <f>ROUND(O5+L5,0)</f>
        <v>4244</v>
      </c>
      <c r="Q5" s="30" t="n">
        <v>0</v>
      </c>
      <c r="R5" s="28">
        <f>ROUND(H5*Q5,0)</f>
        <v>0</v>
      </c>
      <c r="S5" s="27">
        <f>ROUND(H5*117.65%-R5,0)</f>
        <v>184240</v>
      </c>
      <c r="T5" s="28">
        <f>ROUND(H5*25%,0)</f>
        <v>39150</v>
      </c>
      <c r="U5" s="31">
        <f>+T5</f>
        <v>39150</v>
      </c>
      <c r="V5" s="28" t="inlineStr">
        <is>
          <t>13.08.2026</t>
        </is>
      </c>
      <c r="W5" s="28">
        <f>ROUND(H5*92.65%-R5,0)</f>
        <v>145090</v>
      </c>
      <c r="X5" s="28" t="n">
        <v>145090</v>
      </c>
      <c r="Y5" s="28" t="inlineStr">
        <is>
          <t>24.08.2026</t>
        </is>
      </c>
      <c r="Z5" s="28">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28" t="n"/>
      <c r="AB5" s="28" t="n"/>
      <c r="AC5" s="15">
        <f>U5+X5+AA5</f>
        <v>184240</v>
      </c>
      <c r="AD5" s="19">
        <f>S5-AC5</f>
        <v>0</v>
      </c>
      <c r="AE5" s="20" t="inlineStr">
        <is>
          <t>DR2640100030</t>
        </is>
      </c>
      <c r="AF5" s="21" t="n">
        <v>1800003302</v>
      </c>
      <c r="AG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47964</v>
      </c>
      <c r="AD6" s="19">
        <f>S6-AC6</f>
        <v>0</v>
      </c>
      <c r="AE6" s="20" t="inlineStr">
        <is>
          <t>DR2640100047</t>
        </is>
      </c>
      <c r="AF6" s="21" t="n">
        <v>1800003346</v>
      </c>
      <c r="AG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35640</v>
      </c>
      <c r="J7" s="27">
        <f>+H7+I7</f>
        <v>233640</v>
      </c>
      <c r="K7" s="27">
        <f>ROUND((H7+I7)*2%,0)</f>
        <v>4673</v>
      </c>
      <c r="L7" s="28">
        <f>H7*0.1%</f>
        <v>198</v>
      </c>
      <c r="M7" s="28">
        <f>H7*2.25%*118%</f>
        <v>5256.9</v>
      </c>
      <c r="N7" s="29">
        <f>H7*2.25%*2%</f>
        <v>89.100000000000009</v>
      </c>
      <c r="O7" s="28">
        <f>M7-N7</f>
        <v>5167.7999999999993</v>
      </c>
      <c r="P7" s="28">
        <f>ROUND(O7+L7,0)</f>
        <v>5366</v>
      </c>
      <c r="Q7" s="30" t="n">
        <v>0</v>
      </c>
      <c r="R7" s="28">
        <f>ROUND(H7*Q7,0)</f>
        <v>0</v>
      </c>
      <c r="S7" s="27">
        <f>ROUND(H7*117.65%-R7,0)</f>
        <v>232947</v>
      </c>
      <c r="T7" s="28">
        <f>ROUND(H7*25%,0)</f>
        <v>49500</v>
      </c>
      <c r="U7" s="31" t="n">
        <v>49500</v>
      </c>
      <c r="V7" s="28" t="inlineStr">
        <is>
          <t>11.08.2026</t>
        </is>
      </c>
      <c r="W7" s="28">
        <f>ROUND(H7*92.65%-R7,0)</f>
        <v>183447</v>
      </c>
      <c r="X7" s="28">
        <f>+W7+R7-1</f>
        <v>183446</v>
      </c>
      <c r="Y7" s="28" t="inlineStr">
        <is>
          <t>20.08.2026</t>
        </is>
      </c>
      <c r="Z7" s="28">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28" t="n"/>
      <c r="AB7" s="28" t="n"/>
      <c r="AC7" s="15">
        <f>U7+X7+AA7</f>
        <v>232946</v>
      </c>
      <c r="AD7" s="19">
        <f>S7-AC7</f>
        <v>1</v>
      </c>
      <c r="AE7" s="20" t="inlineStr">
        <is>
          <t>DR2640100048</t>
        </is>
      </c>
      <c r="AF7" s="21" t="n">
        <v>1800003347</v>
      </c>
      <c r="AG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1904098</v>
      </c>
      <c r="AD8" s="19">
        <f>S8-AC8</f>
        <v>-1</v>
      </c>
      <c r="AE8" s="20" t="inlineStr">
        <is>
          <t>DR2640100045</t>
        </is>
      </c>
      <c r="AF8" s="21" t="n">
        <v>1800003315</v>
      </c>
      <c r="AG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501717</v>
      </c>
      <c r="J9" s="27">
        <f>+H9+I9</f>
        <v>3289031</v>
      </c>
      <c r="K9" s="27">
        <f>ROUND((H9+I9)*2%,0)</f>
        <v>65781</v>
      </c>
      <c r="L9" s="28">
        <f>H9*0.1%</f>
        <v>2787.3139999999999</v>
      </c>
      <c r="M9" s="28">
        <f>H9*2.25%*118%</f>
        <v>74003.186699999991</v>
      </c>
      <c r="N9" s="29">
        <f>H9*2.25%*2%</f>
        <v>1254.2912999999999</v>
      </c>
      <c r="O9" s="28">
        <f>M9-N9</f>
        <v>72748.895399999994</v>
      </c>
      <c r="P9" s="28">
        <f>ROUND(O9+L9,0)</f>
        <v>75536</v>
      </c>
      <c r="Q9" s="30" t="n">
        <v>0</v>
      </c>
      <c r="R9" s="28">
        <f>ROUND(H9*Q9,0)</f>
        <v>0</v>
      </c>
      <c r="S9" s="27">
        <f>ROUND(H9*117.65%-R9,0)</f>
        <v>3279275</v>
      </c>
      <c r="T9" s="28">
        <f>ROUND(H9*25%,0)</f>
        <v>696829</v>
      </c>
      <c r="U9" s="31">
        <f>+T9</f>
        <v>696829</v>
      </c>
      <c r="V9" s="28" t="inlineStr">
        <is>
          <t>13.08.2026</t>
        </is>
      </c>
      <c r="W9" s="28">
        <f>ROUND(H9*92.65%-R9,0)</f>
        <v>2582446</v>
      </c>
      <c r="X9" s="28" t="n">
        <v>2582447.09429161</v>
      </c>
      <c r="Y9" s="28" t="inlineStr">
        <is>
          <t>13.08.2026</t>
        </is>
      </c>
      <c r="Z9" s="28">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28" t="n"/>
      <c r="AB9" s="28" t="n"/>
      <c r="AC9" s="15">
        <f>U9+X9+AA9</f>
        <v>3279276.0942916102</v>
      </c>
      <c r="AD9" s="19">
        <f>S9-AC9</f>
        <v>-1.0942916101776063</v>
      </c>
      <c r="AE9" s="20" t="inlineStr">
        <is>
          <t>DR2640100023</t>
        </is>
      </c>
      <c r="AF9" s="21" t="n">
        <v>1800003194</v>
      </c>
      <c r="AG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242411</v>
      </c>
      <c r="AD10" s="19">
        <f>S10-AC10</f>
        <v>0</v>
      </c>
      <c r="AE10" s="20" t="inlineStr">
        <is>
          <t>DR2640100031</t>
        </is>
      </c>
      <c r="AF10" s="21" t="n">
        <v>1800003303</v>
      </c>
      <c r="AG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11701</v>
      </c>
      <c r="J11" s="27">
        <f>+H11+I11</f>
        <v>76708</v>
      </c>
      <c r="K11" s="27">
        <f>ROUND((H11+I11)*2%,0)</f>
        <v>1534</v>
      </c>
      <c r="L11" s="28">
        <f>H11*0.1%</f>
        <v>65.007000000000005</v>
      </c>
      <c r="M11" s="28">
        <f>H11*2.25%*118%</f>
        <v>1725.9358499999998</v>
      </c>
      <c r="N11" s="29">
        <f>H11*2.25%*2%</f>
        <v>29.253150000000002</v>
      </c>
      <c r="O11" s="28">
        <f>M11-N11</f>
        <v>1696.6826999999998</v>
      </c>
      <c r="P11" s="28">
        <f>ROUND(O11+L11,0)</f>
        <v>1762</v>
      </c>
      <c r="Q11" s="30" t="n">
        <v>0</v>
      </c>
      <c r="R11" s="28">
        <f>ROUND(H11*Q11,0)</f>
        <v>0</v>
      </c>
      <c r="S11" s="27">
        <f>ROUND(H11*117.65%-R11,0)</f>
        <v>76481</v>
      </c>
      <c r="T11" s="28">
        <f>ROUND(H11*25%,0)</f>
        <v>16252</v>
      </c>
      <c r="U11" s="31">
        <f>+T11</f>
        <v>16252</v>
      </c>
      <c r="V11" s="28" t="inlineStr">
        <is>
          <t>13.08.2026</t>
        </is>
      </c>
      <c r="W11" s="28">
        <f>ROUND(H11*92.65%-R11,0)</f>
        <v>60229</v>
      </c>
      <c r="X11" s="28" t="n">
        <v>60229</v>
      </c>
      <c r="Y11" s="28" t="inlineStr">
        <is>
          <t>24.08.2026</t>
        </is>
      </c>
      <c r="Z11" s="28">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28" t="n"/>
      <c r="AB11" s="28" t="n"/>
      <c r="AC11" s="15">
        <f>U11+X11+AA11</f>
        <v>76481</v>
      </c>
      <c r="AD11" s="19">
        <f>S11-AC11</f>
        <v>0</v>
      </c>
      <c r="AE11" s="20" t="inlineStr">
        <is>
          <t>DR2640100032</t>
        </is>
      </c>
      <c r="AF11" s="21" t="n">
        <v>1800003304</v>
      </c>
      <c r="AG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82361</v>
      </c>
      <c r="AD12" s="19">
        <f>S12-AC12</f>
        <v>1</v>
      </c>
      <c r="AE12" s="20" t="inlineStr">
        <is>
          <t>DR2640100033</t>
        </is>
      </c>
      <c r="AF12" s="21" t="n">
        <v>1800003305</v>
      </c>
      <c r="AG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3150</v>
      </c>
      <c r="J13" s="27">
        <f>+H13+I13</f>
        <v>20650</v>
      </c>
      <c r="K13" s="27">
        <f>ROUND((H13+I13)*2%,0)</f>
        <v>413</v>
      </c>
      <c r="L13" s="28">
        <f>H13*0.1%</f>
        <v>17.5</v>
      </c>
      <c r="M13" s="28">
        <f>H13*2.25%*118%</f>
        <v>464.625</v>
      </c>
      <c r="N13" s="29">
        <f>H13*2.25%*2%</f>
        <v>7.875</v>
      </c>
      <c r="O13" s="28">
        <f>M13-N13</f>
        <v>456.75</v>
      </c>
      <c r="P13" s="28">
        <f>ROUND(O13+L13,0)</f>
        <v>474</v>
      </c>
      <c r="Q13" s="30" t="n">
        <v>0</v>
      </c>
      <c r="R13" s="28">
        <f>ROUND(H13*Q13,0)</f>
        <v>0</v>
      </c>
      <c r="S13" s="27">
        <f>ROUND(H13*117.65%-R13,0)</f>
        <v>20589</v>
      </c>
      <c r="T13" s="28">
        <f>ROUND(H13*25%,0)</f>
        <v>4375</v>
      </c>
      <c r="U13" s="31" t="n">
        <v>4375</v>
      </c>
      <c r="V13" s="28" t="inlineStr">
        <is>
          <t>11.08.2026</t>
        </is>
      </c>
      <c r="W13" s="28">
        <f>ROUND(H13*92.65%-R13,0)</f>
        <v>16214</v>
      </c>
      <c r="X13" s="28" t="n">
        <v>16214</v>
      </c>
      <c r="Y13" s="28" t="inlineStr">
        <is>
          <t>11.08.2026</t>
        </is>
      </c>
      <c r="Z13" s="28">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28" t="n"/>
      <c r="AB13" s="28" t="n"/>
      <c r="AC13" s="15">
        <f>U13+X13+AA13</f>
        <v>20589</v>
      </c>
      <c r="AD13" s="19">
        <f>S13-AC13</f>
        <v>0</v>
      </c>
      <c r="AE13" s="20" t="inlineStr">
        <is>
          <t>DR2640100018</t>
        </is>
      </c>
      <c r="AF13" s="21" t="n">
        <v>1800003156</v>
      </c>
      <c r="AG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4537897.9057083894</v>
      </c>
      <c r="AD14" s="19">
        <f>S14-AC14</f>
        <v>-0.90570838935673237</v>
      </c>
      <c r="AE14" s="20" t="inlineStr">
        <is>
          <t>DR2640100024</t>
        </is>
      </c>
      <c r="AF14" s="21" t="n">
        <v>1800003196</v>
      </c>
      <c r="AG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24435</v>
      </c>
      <c r="J15" s="27">
        <f>+H15+I15</f>
        <v>160185</v>
      </c>
      <c r="K15" s="27">
        <f>ROUND((H15+I15)*2%,0)</f>
        <v>3204</v>
      </c>
      <c r="L15" s="28">
        <f>H15*0.1%</f>
        <v>135.75</v>
      </c>
      <c r="M15" s="28">
        <f>H15*2.25%*118%</f>
        <v>3604.1624999999999</v>
      </c>
      <c r="N15" s="29">
        <f>H15*2.25%*2%</f>
        <v>61.087499999999999</v>
      </c>
      <c r="O15" s="28">
        <f>M15-N15</f>
        <v>3543.0749999999998</v>
      </c>
      <c r="P15" s="28">
        <f>ROUND(O15+L15,0)</f>
        <v>3679</v>
      </c>
      <c r="Q15" s="30" t="n">
        <v>0</v>
      </c>
      <c r="R15" s="28">
        <f>ROUND(H15*Q15,0)</f>
        <v>0</v>
      </c>
      <c r="S15" s="27">
        <f>ROUND(H15*117.65%-R15,0)</f>
        <v>159710</v>
      </c>
      <c r="T15" s="28">
        <f>ROUND(H15*25%,0)</f>
        <v>33938</v>
      </c>
      <c r="U15" s="31" t="n">
        <v>33938</v>
      </c>
      <c r="V15" s="28" t="inlineStr">
        <is>
          <t>14.08.2026</t>
        </is>
      </c>
      <c r="W15" s="28">
        <f>ROUND(H15*92.65%-R15,0)</f>
        <v>125772</v>
      </c>
      <c r="X15" s="28" t="n">
        <v>125772</v>
      </c>
      <c r="Y15" s="28" t="inlineStr">
        <is>
          <t>18.08.2026</t>
        </is>
      </c>
      <c r="Z15" s="28">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28" t="n"/>
      <c r="AB15" s="28" t="n"/>
      <c r="AC15" s="15">
        <f>U15+X15+AA15</f>
        <v>159710</v>
      </c>
      <c r="AD15" s="19">
        <f>S15-AC15</f>
        <v>0</v>
      </c>
      <c r="AE15" s="20" t="inlineStr">
        <is>
          <t>DR2640100026</t>
        </is>
      </c>
      <c r="AF15" s="21" t="n">
        <v>1800003247</v>
      </c>
      <c r="AG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18117</v>
      </c>
      <c r="AD16" s="19">
        <f>S16-AC16</f>
        <v>1</v>
      </c>
      <c r="AE16" s="20" t="inlineStr">
        <is>
          <t>DR2640100019</t>
        </is>
      </c>
      <c r="AF16" s="21" t="n">
        <v>1800003157</v>
      </c>
      <c r="AG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12780</v>
      </c>
      <c r="J17" s="27">
        <f>+H17+I17</f>
        <v>83780</v>
      </c>
      <c r="K17" s="27">
        <f>ROUND((H17+I17)*2%,0)</f>
        <v>1676</v>
      </c>
      <c r="L17" s="28">
        <f>H17*0.1%</f>
        <v>71</v>
      </c>
      <c r="M17" s="28">
        <f>H17*2.25%*118%</f>
        <v>1885.05</v>
      </c>
      <c r="N17" s="29">
        <f>H17*2.25%*2%</f>
        <v>31.95</v>
      </c>
      <c r="O17" s="28">
        <f>M17-N17</f>
        <v>1853.1</v>
      </c>
      <c r="P17" s="28">
        <f>ROUND(O17+L17,0)</f>
        <v>1924</v>
      </c>
      <c r="Q17" s="30" t="n">
        <v>0</v>
      </c>
      <c r="R17" s="28">
        <f>ROUND(H17*Q17,0)</f>
        <v>0</v>
      </c>
      <c r="S17" s="27">
        <f>ROUND(H17*117.65%-R17,0)</f>
        <v>83532</v>
      </c>
      <c r="T17" s="28">
        <f>ROUND(H17*25%,0)</f>
        <v>17750</v>
      </c>
      <c r="U17" s="31" t="n">
        <v>17750</v>
      </c>
      <c r="V17" s="28" t="inlineStr">
        <is>
          <t>11.08.2026</t>
        </is>
      </c>
      <c r="W17" s="28">
        <f>ROUND(H17*92.65%-R17,0)</f>
        <v>65782</v>
      </c>
      <c r="X17" s="28">
        <f>+W17</f>
        <v>65782</v>
      </c>
      <c r="Y17" s="28" t="inlineStr">
        <is>
          <t>11.08.2026</t>
        </is>
      </c>
      <c r="Z17" s="28">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28" t="n"/>
      <c r="AB17" s="28" t="n"/>
      <c r="AC17" s="15">
        <f>U17+X17+AA17</f>
        <v>83532</v>
      </c>
      <c r="AD17" s="19">
        <f>S17-AC17</f>
        <v>0</v>
      </c>
      <c r="AE17" s="20" t="inlineStr">
        <is>
          <t>DR2640100020</t>
        </is>
      </c>
      <c r="AF17" s="21" t="n">
        <v>1800003158</v>
      </c>
      <c r="AG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258831</v>
      </c>
      <c r="AD18" s="19">
        <f>S18-AC18</f>
        <v>0</v>
      </c>
      <c r="AE18" s="20" t="inlineStr">
        <is>
          <t>DR2640100034</t>
        </is>
      </c>
      <c r="AF18" s="21" t="n">
        <v>1800003306</v>
      </c>
      <c r="AG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37800</v>
      </c>
      <c r="J19" s="27">
        <f>+H19+I19</f>
        <v>247801</v>
      </c>
      <c r="K19" s="27">
        <f>ROUND((H19+I19)*2%,0)</f>
        <v>4956</v>
      </c>
      <c r="L19" s="28">
        <f>H19*0.1%</f>
        <v>210.001</v>
      </c>
      <c r="M19" s="28">
        <f>H19*2.25%*118%</f>
        <v>5575.5265499999996</v>
      </c>
      <c r="N19" s="29">
        <f>H19*2.25%*2%</f>
        <v>94.500450000000001</v>
      </c>
      <c r="O19" s="28">
        <f>M19-N19</f>
        <v>5481.0260999999991</v>
      </c>
      <c r="P19" s="28">
        <f>ROUND(O19+L19,0)</f>
        <v>5691</v>
      </c>
      <c r="Q19" s="30" t="n">
        <v>0</v>
      </c>
      <c r="R19" s="28">
        <f>ROUND(H19*Q19,0)</f>
        <v>0</v>
      </c>
      <c r="S19" s="27">
        <f>ROUND(H19*117.65%-R19,0)</f>
        <v>247066</v>
      </c>
      <c r="T19" s="28">
        <f>ROUND(H19*25%,0)</f>
        <v>52500</v>
      </c>
      <c r="U19" s="31">
        <f>+T19</f>
        <v>52500</v>
      </c>
      <c r="V19" s="28" t="inlineStr">
        <is>
          <t>13.08.2026</t>
        </is>
      </c>
      <c r="W19" s="28">
        <f>ROUND(H19*92.65%-R19,0)</f>
        <v>194566</v>
      </c>
      <c r="X19" s="28" t="n">
        <v>194566</v>
      </c>
      <c r="Y19" s="28" t="inlineStr">
        <is>
          <t>24.08.2026</t>
        </is>
      </c>
      <c r="Z19" s="28">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28" t="n"/>
      <c r="AB19" s="28" t="n"/>
      <c r="AC19" s="15">
        <f>U19+X19+AA19</f>
        <v>247066</v>
      </c>
      <c r="AD19" s="19">
        <f>S19-AC19</f>
        <v>0</v>
      </c>
      <c r="AE19" s="20" t="inlineStr">
        <is>
          <t>DR2640100035</t>
        </is>
      </c>
      <c r="AF19" s="21" t="n">
        <v>1800003307</v>
      </c>
      <c r="AG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1347900</v>
      </c>
      <c r="AD20" s="19">
        <f>S20-AC20</f>
        <v>1</v>
      </c>
      <c r="AE20" s="20" t="inlineStr">
        <is>
          <t>DR2640100017</t>
        </is>
      </c>
      <c r="AF20" s="21" t="n">
        <v>1800003065</v>
      </c>
      <c r="AG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59508</v>
      </c>
      <c r="J21" s="27">
        <f>+H21+I21</f>
        <v>390108</v>
      </c>
      <c r="K21" s="27">
        <f>ROUND((H21+I21)*2%,0)</f>
        <v>7802</v>
      </c>
      <c r="L21" s="28">
        <f>H21*0.1%</f>
        <v>330.6</v>
      </c>
      <c r="M21" s="28">
        <f>H21*2.25%*118%</f>
        <v>8777.43</v>
      </c>
      <c r="N21" s="29">
        <f>H21*2.25%*2%</f>
        <v>148.77000000000001</v>
      </c>
      <c r="O21" s="28">
        <f>M21-N21</f>
        <v>8628.66</v>
      </c>
      <c r="P21" s="28">
        <f>ROUND(O21+L21,0)</f>
        <v>8959</v>
      </c>
      <c r="Q21" s="30" t="n">
        <v>0</v>
      </c>
      <c r="R21" s="28">
        <f>ROUND(H21*Q21,0)</f>
        <v>0</v>
      </c>
      <c r="S21" s="27">
        <f>ROUND(H21*117.65%-R21,0)</f>
        <v>388951</v>
      </c>
      <c r="T21" s="28">
        <f>ROUND(H21*25%,0)</f>
        <v>82650</v>
      </c>
      <c r="U21" s="31">
        <f>+T21</f>
        <v>82650</v>
      </c>
      <c r="V21" s="28" t="inlineStr">
        <is>
          <t>14.08.2026</t>
        </is>
      </c>
      <c r="W21" s="28">
        <f>ROUND(H21*92.65%-R21,0)</f>
        <v>306301</v>
      </c>
      <c r="X21" s="28" t="n">
        <v>306301</v>
      </c>
      <c r="Y21" s="28" t="inlineStr">
        <is>
          <t>21.08.2026</t>
        </is>
      </c>
      <c r="Z21" s="28">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28" t="n"/>
      <c r="AB21" s="28" t="n"/>
      <c r="AC21" s="15">
        <f>U21+X21+AA21</f>
        <v>388951</v>
      </c>
      <c r="AD21" s="19">
        <f>S21-AC21</f>
        <v>0</v>
      </c>
      <c r="AE21" s="20" t="inlineStr">
        <is>
          <t>DR2640100028</t>
        </is>
      </c>
      <c r="AF21" s="21" t="n">
        <v>1800003269</v>
      </c>
      <c r="AG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295571</v>
      </c>
      <c r="AD22" s="19">
        <f>S22-AC22</f>
        <v>0</v>
      </c>
      <c r="AE22" s="20" t="inlineStr">
        <is>
          <t>DR2640100044</t>
        </is>
      </c>
      <c r="AF22" s="21" t="n">
        <v>1800003308</v>
      </c>
      <c r="AG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11340</v>
      </c>
      <c r="J23" s="27">
        <f>+H23+I23</f>
        <v>74340</v>
      </c>
      <c r="K23" s="27">
        <f>ROUND((H23+I23)*2%,0)</f>
        <v>1487</v>
      </c>
      <c r="L23" s="28">
        <f>H23*0.1%</f>
        <v>63</v>
      </c>
      <c r="M23" s="28">
        <f>H23*2.25%*118%</f>
        <v>1672.6499999999999</v>
      </c>
      <c r="N23" s="29">
        <f>H23*2.25%*2%</f>
        <v>28.35</v>
      </c>
      <c r="O23" s="28">
        <f>M23-N23</f>
        <v>1644.3</v>
      </c>
      <c r="P23" s="28">
        <f>ROUND(O23+L23,0)</f>
        <v>1707</v>
      </c>
      <c r="Q23" s="30" t="n">
        <v>0</v>
      </c>
      <c r="R23" s="28">
        <f>ROUND(H23*Q23,0)</f>
        <v>0</v>
      </c>
      <c r="S23" s="27">
        <f>ROUND(H23*117.65%-R23,0)</f>
        <v>74120</v>
      </c>
      <c r="T23" s="28">
        <f>ROUND(H23*25%,0)</f>
        <v>15750</v>
      </c>
      <c r="U23" s="31" t="n">
        <v>15750</v>
      </c>
      <c r="V23" s="28" t="inlineStr">
        <is>
          <t>11.08.2026</t>
        </is>
      </c>
      <c r="W23" s="28">
        <f>ROUND(H23*92.65%-R23,0)</f>
        <v>58370</v>
      </c>
      <c r="X23" s="28" t="n">
        <v>58418</v>
      </c>
      <c r="Y23" s="28" t="inlineStr">
        <is>
          <t>11.08.2026</t>
        </is>
      </c>
      <c r="Z23" s="28">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28" t="n"/>
      <c r="AB23" s="28" t="n"/>
      <c r="AC23" s="15">
        <f>U23+X23+AA23</f>
        <v>74168</v>
      </c>
      <c r="AD23" s="19">
        <f>S23-AC23</f>
        <v>-48</v>
      </c>
      <c r="AE23" s="20" t="inlineStr">
        <is>
          <t>DR2640100021</t>
        </is>
      </c>
      <c r="AF23" s="21" t="n">
        <v>1800003160</v>
      </c>
      <c r="AG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58829</v>
      </c>
      <c r="AD24" s="19">
        <f>S24-AC24</f>
        <v>0</v>
      </c>
      <c r="AE24" s="20" t="inlineStr">
        <is>
          <t>DR2640100036</t>
        </is>
      </c>
      <c r="AF24" s="21" t="n">
        <v>1800003309</v>
      </c>
      <c r="AG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93060</v>
      </c>
      <c r="J25" s="27">
        <f>+H25+I25</f>
        <v>610060</v>
      </c>
      <c r="K25" s="27">
        <f>ROUND((H25+I25)*2%,0)</f>
        <v>12201</v>
      </c>
      <c r="L25" s="28">
        <f>H25*0.1%</f>
        <v>517</v>
      </c>
      <c r="M25" s="28">
        <f>H25*2.25%*118%</f>
        <v>13726.349999999999</v>
      </c>
      <c r="N25" s="29">
        <f>H25*2.25%*2%</f>
        <v>232.65</v>
      </c>
      <c r="O25" s="28">
        <f>M25-N25</f>
        <v>13493.699999999999</v>
      </c>
      <c r="P25" s="28">
        <f>ROUND(O25+L25,0)</f>
        <v>14011</v>
      </c>
      <c r="Q25" s="30" t="n">
        <v>0</v>
      </c>
      <c r="R25" s="28">
        <f>ROUND(H25*Q25,0)</f>
        <v>0</v>
      </c>
      <c r="S25" s="27">
        <f>ROUND(H25*117.65%-R25,0)</f>
        <v>608251</v>
      </c>
      <c r="T25" s="28">
        <f>ROUND(H25*25%,0)</f>
        <v>129250</v>
      </c>
      <c r="U25" s="31" t="n">
        <v>129250</v>
      </c>
      <c r="V25" s="28" t="inlineStr">
        <is>
          <t>14.08.2026</t>
        </is>
      </c>
      <c r="W25" s="28">
        <f>ROUND(H25*92.65%-R25,0)</f>
        <v>479001</v>
      </c>
      <c r="X25" s="28" t="n">
        <v>479001</v>
      </c>
      <c r="Y25" s="28" t="inlineStr">
        <is>
          <t>21.08.2026</t>
        </is>
      </c>
      <c r="Z25" s="28">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28" t="n"/>
      <c r="AB25" s="28" t="n"/>
      <c r="AC25" s="15">
        <f>U25+X25+AA25</f>
        <v>608251</v>
      </c>
      <c r="AD25" s="19">
        <f>S25-AC25</f>
        <v>0</v>
      </c>
      <c r="AE25" s="20" t="inlineStr">
        <is>
          <t>DR2640100042</t>
        </is>
      </c>
      <c r="AF25" s="21" t="n">
        <v>1800003317</v>
      </c>
      <c r="AG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32944</v>
      </c>
      <c r="AD26" s="19">
        <f>S26-AC26</f>
        <v>0</v>
      </c>
      <c r="AE26" s="20" t="inlineStr">
        <is>
          <t>DR2640100037</t>
        </is>
      </c>
      <c r="AF26" s="21" t="n">
        <v>1800003310</v>
      </c>
      <c r="AG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98892</v>
      </c>
      <c r="J27" s="27">
        <f>+H27+I27</f>
        <v>648292</v>
      </c>
      <c r="K27" s="27">
        <f>ROUND((H27+I27)*2%,0)</f>
        <v>12966</v>
      </c>
      <c r="L27" s="28">
        <f>H27*0.1%</f>
        <v>549.4</v>
      </c>
      <c r="M27" s="28">
        <f>H27*2.25%*118%</f>
        <v>14586.57</v>
      </c>
      <c r="N27" s="29">
        <f>H27*2.25%*2%</f>
        <v>247.23000000000002</v>
      </c>
      <c r="O27" s="28">
        <f>M27-N27</f>
        <v>14339.34</v>
      </c>
      <c r="P27" s="28">
        <f>ROUND(O27+L27,0)</f>
        <v>14889</v>
      </c>
      <c r="Q27" s="30" t="n">
        <v>0.02</v>
      </c>
      <c r="R27" s="28">
        <f>ROUND(H27*Q27,0)</f>
        <v>10988</v>
      </c>
      <c r="S27" s="27">
        <f>ROUND(H27*117.65%-R27,0)</f>
        <v>635381</v>
      </c>
      <c r="T27" s="28">
        <f>ROUND(H27*25%,0)</f>
        <v>137350</v>
      </c>
      <c r="U27" s="31" t="n">
        <v>137350</v>
      </c>
      <c r="V27" s="28" t="inlineStr">
        <is>
          <t>14.08.2026</t>
        </is>
      </c>
      <c r="W27" s="28">
        <f>ROUND(H27*92.65%-R27,0)</f>
        <v>498031</v>
      </c>
      <c r="X27" s="28" t="n"/>
      <c r="Y27" s="28" t="n">
        <v>0</v>
      </c>
      <c r="Z27" s="28">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28" t="n"/>
      <c r="AB27" s="28" t="n"/>
      <c r="AC27" s="15">
        <f>U27+X27+AA27</f>
        <v>137350</v>
      </c>
      <c r="AD27" s="19">
        <f>S27-AC27</f>
        <v>498031</v>
      </c>
      <c r="AE27" s="20" t="n"/>
      <c r="AF27" s="21" t="n"/>
      <c r="AG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31236</v>
      </c>
      <c r="AD28" s="19">
        <f>S28-AC28</f>
        <v>0</v>
      </c>
      <c r="AE28" s="20" t="inlineStr">
        <is>
          <t>DR2640100043</t>
        </is>
      </c>
      <c r="AF28" s="21" t="n">
        <v>1800003318</v>
      </c>
      <c r="AG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48601</v>
      </c>
      <c r="J29" s="27">
        <f>+H29+I29</f>
        <v>318607</v>
      </c>
      <c r="K29" s="27">
        <f>ROUND((H29+I29)*2%,0)</f>
        <v>6372</v>
      </c>
      <c r="L29" s="28">
        <f>H29*0.1%</f>
        <v>270.00600000000003</v>
      </c>
      <c r="M29" s="28">
        <f>H29*2.25%*118%</f>
        <v>7168.6593000000003</v>
      </c>
      <c r="N29" s="29">
        <f>H29*2.25%*2%</f>
        <v>121.5027</v>
      </c>
      <c r="O29" s="28">
        <f>M29-N29</f>
        <v>7047.1566000000003</v>
      </c>
      <c r="P29" s="28">
        <f>ROUND(O29+L29,0)</f>
        <v>7317</v>
      </c>
      <c r="Q29" s="30" t="n">
        <v>0</v>
      </c>
      <c r="R29" s="28">
        <f>ROUND(H29*Q29,0)</f>
        <v>0</v>
      </c>
      <c r="S29" s="27">
        <f>ROUND(H29*117.65%-R29,0)</f>
        <v>317662</v>
      </c>
      <c r="T29" s="28">
        <f>ROUND(H29*25%,0)</f>
        <v>67502</v>
      </c>
      <c r="U29" s="31" t="n">
        <v>67502</v>
      </c>
      <c r="V29" s="28" t="inlineStr">
        <is>
          <t>11.08.2026</t>
        </is>
      </c>
      <c r="W29" s="28">
        <f>ROUND(H29*92.65%-R29,0)</f>
        <v>250161</v>
      </c>
      <c r="X29" s="28" t="n"/>
      <c r="Y29" s="28" t="n">
        <v>0</v>
      </c>
      <c r="Z29" s="28">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28" t="n"/>
      <c r="AB29" s="28" t="n"/>
      <c r="AC29" s="15">
        <f>U29+X29+AA29</f>
        <v>67502</v>
      </c>
      <c r="AD29" s="19">
        <f>S29-AC29</f>
        <v>250160</v>
      </c>
      <c r="AE29" s="20" t="n"/>
      <c r="AF29" s="21" t="n"/>
      <c r="AG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470600</v>
      </c>
      <c r="AD30" s="19">
        <f>S30-AC30</f>
        <v>0</v>
      </c>
      <c r="AE30" s="20" t="inlineStr">
        <is>
          <t>DR2640100038</t>
        </is>
      </c>
      <c r="AF30" s="21" t="n">
        <v>1800003311</v>
      </c>
      <c r="AG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37265</v>
      </c>
      <c r="J31" s="27">
        <f>+H31+I31</f>
        <v>244295</v>
      </c>
      <c r="K31" s="27">
        <f>ROUND((H31+I31)*2%,0)</f>
        <v>4886</v>
      </c>
      <c r="L31" s="28">
        <f>H31*0.1%</f>
        <v>207.03</v>
      </c>
      <c r="M31" s="28">
        <f>H31*2.25%*118%</f>
        <v>5496.6464999999998</v>
      </c>
      <c r="N31" s="29">
        <f>H31*2.25%*2%</f>
        <v>93.163499999999999</v>
      </c>
      <c r="O31" s="28">
        <f>M31-N31</f>
        <v>5403.4830000000002</v>
      </c>
      <c r="P31" s="28">
        <f>ROUND(O31+L31,0)</f>
        <v>5611</v>
      </c>
      <c r="Q31" s="30" t="n">
        <v>0</v>
      </c>
      <c r="R31" s="28">
        <f>ROUND(H31*Q31,0)</f>
        <v>0</v>
      </c>
      <c r="S31" s="27">
        <f>ROUND(H31*117.65%-R31,0)</f>
        <v>243571</v>
      </c>
      <c r="T31" s="28">
        <f>ROUND(H31*25%,0)</f>
        <v>51758</v>
      </c>
      <c r="U31" s="31" t="n">
        <v>51758</v>
      </c>
      <c r="V31" s="28" t="inlineStr">
        <is>
          <t>11.08.2026</t>
        </is>
      </c>
      <c r="W31" s="28">
        <f>ROUND(H31*92.65%-R31,0)</f>
        <v>191813</v>
      </c>
      <c r="X31" s="28" t="n">
        <v>191812</v>
      </c>
      <c r="Y31" s="28" t="inlineStr">
        <is>
          <t>21.08.2026</t>
        </is>
      </c>
      <c r="Z31" s="28">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28" t="n"/>
      <c r="AB31" s="28" t="n"/>
      <c r="AC31" s="15">
        <f>U31+X31+AA31</f>
        <v>243570</v>
      </c>
      <c r="AD31" s="19">
        <f>S31-AC31</f>
        <v>1</v>
      </c>
      <c r="AE31" s="20" t="inlineStr">
        <is>
          <t>DR2640100041</t>
        </is>
      </c>
      <c r="AF31" s="21" t="n">
        <v>1800003316</v>
      </c>
      <c r="AG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188254</v>
      </c>
      <c r="AD32" s="19">
        <f>S32-AC32</f>
        <v>0</v>
      </c>
      <c r="AE32" s="20" t="inlineStr">
        <is>
          <t>DR2640100039</t>
        </is>
      </c>
      <c r="AF32" s="21" t="n">
        <v>1800003312</v>
      </c>
      <c r="AG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5310</v>
      </c>
      <c r="J33" s="27">
        <f>+H33+I33</f>
        <v>34812</v>
      </c>
      <c r="K33" s="27">
        <f>ROUND((H33+I33)*2%,0)</f>
        <v>696</v>
      </c>
      <c r="L33" s="28">
        <f>H33*0.1%</f>
        <v>29.501999999999999</v>
      </c>
      <c r="M33" s="28">
        <f>H33*2.25%*118%</f>
        <v>783.27809999999988</v>
      </c>
      <c r="N33" s="29">
        <f>H33*2.25%*2%</f>
        <v>13.2759</v>
      </c>
      <c r="O33" s="28">
        <f>M33-N33</f>
        <v>770.0021999999999</v>
      </c>
      <c r="P33" s="28">
        <f>ROUND(O33+L33,0)</f>
        <v>800</v>
      </c>
      <c r="Q33" s="30" t="n">
        <v>0</v>
      </c>
      <c r="R33" s="28">
        <f>ROUND(H33*Q33,0)</f>
        <v>0</v>
      </c>
      <c r="S33" s="27">
        <f>ROUND(H33*117.65%-R33,0)</f>
        <v>34709</v>
      </c>
      <c r="T33" s="28">
        <f>ROUND(H33*25%,0)</f>
        <v>7376</v>
      </c>
      <c r="U33" s="31">
        <f>+T33</f>
        <v>7376</v>
      </c>
      <c r="V33" s="28" t="inlineStr">
        <is>
          <t>13.08.2026</t>
        </is>
      </c>
      <c r="W33" s="28">
        <f>ROUND(H33*92.65%-R33,0)</f>
        <v>27334</v>
      </c>
      <c r="X33" s="28" t="n">
        <v>27332</v>
      </c>
      <c r="Y33" s="28" t="inlineStr">
        <is>
          <t>24.08.2026</t>
        </is>
      </c>
      <c r="Z33" s="28">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28" t="n"/>
      <c r="AB33" s="28" t="n"/>
      <c r="AC33" s="15">
        <f>U33+X33+AA33</f>
        <v>34708</v>
      </c>
      <c r="AD33" s="19">
        <f>S33-AC33</f>
        <v>1</v>
      </c>
      <c r="AE33" s="20" t="inlineStr">
        <is>
          <t>DR2640100046</t>
        </is>
      </c>
      <c r="AF33" s="21" t="n">
        <v>1800003313</v>
      </c>
      <c r="AG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24777</v>
      </c>
      <c r="AD34" s="19">
        <f>S34-AC34</f>
        <v>0</v>
      </c>
      <c r="AE34" s="20" t="inlineStr">
        <is>
          <t>DR2640100022</t>
        </is>
      </c>
      <c r="AF34" s="21" t="n">
        <v>1800003161</v>
      </c>
      <c r="AG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15417</v>
      </c>
      <c r="J35" s="27">
        <f>+H35+I35</f>
        <v>101067</v>
      </c>
      <c r="K35" s="27">
        <f>ROUND((H35+I35)*2%,0)</f>
        <v>2021</v>
      </c>
      <c r="L35" s="28">
        <f>H35*0.1%</f>
        <v>85.65</v>
      </c>
      <c r="M35" s="28">
        <f>H35*2.25%*118%</f>
        <v>2274.0074999999997</v>
      </c>
      <c r="N35" s="29">
        <f>H35*2.25%*2%</f>
        <v>38.542500000000004</v>
      </c>
      <c r="O35" s="28">
        <f>M35-N35</f>
        <v>2235.4649999999997</v>
      </c>
      <c r="P35" s="28">
        <f>ROUND(O35+L35,0)</f>
        <v>2321</v>
      </c>
      <c r="Q35" s="30" t="n">
        <v>0</v>
      </c>
      <c r="R35" s="28">
        <f>ROUND(H35*Q35,0)</f>
        <v>0</v>
      </c>
      <c r="S35" s="27">
        <f>ROUND(H35*117.65%-R35,0)</f>
        <v>100767</v>
      </c>
      <c r="T35" s="28">
        <f>ROUND(H35*25%,0)</f>
        <v>21413</v>
      </c>
      <c r="U35" s="31" t="n">
        <v>21413</v>
      </c>
      <c r="V35" s="28" t="inlineStr">
        <is>
          <t>14.08.2026</t>
        </is>
      </c>
      <c r="W35" s="28">
        <f>ROUND(H35*92.65%-R35,0)</f>
        <v>79355</v>
      </c>
      <c r="X35" s="28" t="n">
        <v>79354</v>
      </c>
      <c r="Y35" s="28" t="inlineStr">
        <is>
          <t>20.08.2026</t>
        </is>
      </c>
      <c r="Z35" s="28">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28" t="n"/>
      <c r="AB35" s="28" t="n"/>
      <c r="AC35" s="15">
        <f>U35+X35+AA35</f>
        <v>100767</v>
      </c>
      <c r="AD35" s="19">
        <f>S35-AC35</f>
        <v>0</v>
      </c>
      <c r="AE35" s="20" t="inlineStr">
        <is>
          <t>DR2640100027</t>
        </is>
      </c>
      <c r="AF35" s="21" t="n">
        <v>1800003248</v>
      </c>
      <c r="AG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13500</v>
      </c>
      <c r="AD36" s="19">
        <f>S36-AC36</f>
        <v>50031</v>
      </c>
      <c r="AE36" s="20" t="n"/>
      <c r="AF36" s="21" t="n"/>
      <c r="AG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13501</v>
      </c>
      <c r="J37" s="27">
        <f>+H37+I37</f>
        <v>88504</v>
      </c>
      <c r="K37" s="27">
        <f>ROUND((H37+I37)*2%,0)</f>
        <v>1770</v>
      </c>
      <c r="L37" s="28">
        <f>H37*0.1%</f>
        <v>75.003</v>
      </c>
      <c r="M37" s="28">
        <f>H37*2.25%*118%</f>
        <v>1991.3296499999997</v>
      </c>
      <c r="N37" s="29">
        <f>H37*2.25%*2%</f>
        <v>33.751349999999995</v>
      </c>
      <c r="O37" s="28">
        <f>M37-N37</f>
        <v>1957.5782999999997</v>
      </c>
      <c r="P37" s="28">
        <f>ROUND(O37+L37,0)</f>
        <v>2033</v>
      </c>
      <c r="Q37" s="30" t="n">
        <v>0</v>
      </c>
      <c r="R37" s="28">
        <f>ROUND(H37*Q37,0)</f>
        <v>0</v>
      </c>
      <c r="S37" s="27">
        <f>ROUND(H37*117.65%-R37,0)</f>
        <v>88241</v>
      </c>
      <c r="T37" s="28">
        <f>ROUND(H37*25%,0)</f>
        <v>18751</v>
      </c>
      <c r="U37" s="31">
        <f>+T37</f>
        <v>18751</v>
      </c>
      <c r="V37" s="28" t="inlineStr">
        <is>
          <t>13.08.2026</t>
        </is>
      </c>
      <c r="W37" s="28">
        <f>ROUND(H37*92.65%-R37,0)</f>
        <v>69490</v>
      </c>
      <c r="X37" s="28" t="n">
        <v>69491</v>
      </c>
      <c r="Y37" s="28" t="inlineStr">
        <is>
          <t>24.08.2026</t>
        </is>
      </c>
      <c r="Z37" s="28">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28" t="n"/>
      <c r="AB37" s="28" t="n"/>
      <c r="AC37" s="15">
        <f>U37+X37+AA37</f>
        <v>88242</v>
      </c>
      <c r="AD37" s="19">
        <f>S37-AC37</f>
        <v>-1</v>
      </c>
      <c r="AE37" s="20" t="inlineStr">
        <is>
          <t>DR2640100040</t>
        </is>
      </c>
      <c r="AF37" s="21" t="n">
        <v>1800003314</v>
      </c>
      <c r="AG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247069</v>
      </c>
      <c r="AD38" s="19">
        <f>S38-AC38</f>
        <v>0</v>
      </c>
      <c r="AE38" s="20" t="inlineStr">
        <is>
          <t>DR2640100025</t>
        </is>
      </c>
      <c r="AF38" s="21" t="n">
        <v>1800003226</v>
      </c>
      <c r="AG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5402</v>
      </c>
      <c r="J39" s="27">
        <f>+H39+I39</f>
        <v>35414</v>
      </c>
      <c r="K39" s="27">
        <f>ROUND((H39+I39)*2%,0)</f>
        <v>708</v>
      </c>
      <c r="L39" s="28">
        <f>H39*0.1%</f>
        <v>30.012</v>
      </c>
      <c r="M39" s="28">
        <f>H39*2.25%*118%</f>
        <v>796.81859999999995</v>
      </c>
      <c r="N39" s="29">
        <f>H39*2.25%*2%</f>
        <v>13.5054</v>
      </c>
      <c r="O39" s="28">
        <f>M39-N39</f>
        <v>783.31319999999994</v>
      </c>
      <c r="P39" s="28">
        <f>ROUND(O39+L39,0)</f>
        <v>813</v>
      </c>
      <c r="Q39" s="30" t="n">
        <v>0</v>
      </c>
      <c r="R39" s="28">
        <f>ROUND(H39*Q39,0)</f>
        <v>0</v>
      </c>
      <c r="S39" s="27">
        <f>ROUND(H39*117.65%-R39,0)</f>
        <v>35309</v>
      </c>
      <c r="T39" s="28">
        <f>ROUND(H39*25%,0)</f>
        <v>7503</v>
      </c>
      <c r="U39" s="31" t="n">
        <v>7503</v>
      </c>
      <c r="V39" s="28" t="inlineStr">
        <is>
          <t>14.08.2026</t>
        </is>
      </c>
      <c r="W39" s="28">
        <f>ROUND(H39*92.65%-R39,0)</f>
        <v>27806</v>
      </c>
      <c r="X39" s="28" t="n">
        <v>27806</v>
      </c>
      <c r="Y39" s="28" t="inlineStr">
        <is>
          <t>01.09.2026</t>
        </is>
      </c>
      <c r="Z39" s="28">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28" t="n">
        <v>708</v>
      </c>
      <c r="AB39" s="28" t="inlineStr">
        <is>
          <t>01.09.2026</t>
        </is>
      </c>
      <c r="AC39" s="15">
        <f>U39+X39+AA39</f>
        <v>36017</v>
      </c>
      <c r="AD39" s="19">
        <f>S39-AC39</f>
        <v>-708</v>
      </c>
      <c r="AE39" s="20" t="n"/>
      <c r="AF39" s="21" t="n"/>
      <c r="AG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144023</v>
      </c>
      <c r="AD40" s="19">
        <f>S40-AC40</f>
        <v>-2832</v>
      </c>
      <c r="AE40" s="20" t="n"/>
      <c r="AF40" s="21" t="n"/>
      <c r="AG40" s="22" t="n"/>
    </row>
    <row r="41" ht="14.25" customHeight="1" s="137">
      <c r="A41" s="41" t="n"/>
      <c r="B41" s="42" t="n"/>
      <c r="C41" s="42" t="n"/>
      <c r="D41" s="42" t="n"/>
      <c r="E41" s="42" t="n"/>
      <c r="F41" s="42" t="n"/>
      <c r="G41" s="42" t="n"/>
      <c r="H41" s="43">
        <f>SUM(H4:H40)</f>
        <v>15130598</v>
      </c>
      <c r="I41" s="43">
        <f>SUM(I4:I40)</f>
        <v>2723508</v>
      </c>
      <c r="J41" s="43">
        <f>SUM(J4:J40)</f>
        <v>17854106</v>
      </c>
      <c r="K41" s="43">
        <f>SUM(K4:K40)</f>
        <v>357082</v>
      </c>
      <c r="L41" s="43">
        <f>SUM(L4:L40)</f>
        <v>15130.598000000002</v>
      </c>
      <c r="M41" s="43">
        <f>SUM(M4:M40)</f>
        <v>401717.37689999992</v>
      </c>
      <c r="N41" s="43">
        <f>SUM(N4:N40)</f>
        <v>6808.7690999999977</v>
      </c>
      <c r="O41" s="43">
        <f>SUM(O4:O40)</f>
        <v>394908.6078</v>
      </c>
      <c r="P41" s="43">
        <f>SUM(P4:P40)</f>
        <v>410039</v>
      </c>
      <c r="Q41" s="44" t="n"/>
      <c r="R41" s="44">
        <f>SUM(R4:R40)</f>
        <v>83029</v>
      </c>
      <c r="S41" s="43">
        <f>SUM(S4:S40)</f>
        <v>17718123</v>
      </c>
      <c r="T41" s="43">
        <f>SUM(T4:T40)</f>
        <v>3782654</v>
      </c>
      <c r="U41" s="43">
        <f>SUM(U4:U40)</f>
        <v>3782654</v>
      </c>
      <c r="V41" s="44" t="n"/>
      <c r="W41" s="43">
        <f>SUM(W4:W40)</f>
        <v>13935473</v>
      </c>
      <c r="X41" s="43">
        <f>SUM(X4:X40)</f>
        <v>13137293</v>
      </c>
      <c r="Y41" s="44" t="n"/>
      <c r="Z41" s="44">
        <f>SUM(Z4:Z40)</f>
        <v>34459.067999999999</v>
      </c>
      <c r="AA41" s="44">
        <f>SUM(AA4:AA40)</f>
        <v>3540</v>
      </c>
      <c r="AB41" s="44" t="n"/>
      <c r="AC41" s="44">
        <f>SUM(AC4:AC40)</f>
        <v>16923487</v>
      </c>
      <c r="AD41" s="43">
        <f>SUM(AD4:AD40)</f>
        <v>794636.00000000047</v>
      </c>
      <c r="AE41" s="42" t="n"/>
      <c r="AF41" s="42" t="n"/>
      <c r="AG41" s="45"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G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1</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0" t="str">
        <f>IF($BJ5&gt;0,IF(INDEX('Final Calculation Sheet'!$AE$4:$AE$40,$BJ5-3)="","",INDEX('Final Calculation Sheet'!$AE$4:$AE$40,$BJ5-3)),IF(OR($BI5=1,$BL5=1,$BH5&gt;0),"–",""))</f>
        <v>DR2640100029</v>
      </c>
      <c r="AG6" s="74">
        <f>IF($BJ5&gt;0,IF(INDEX('Final Calculation Sheet'!$AF$4:$AF$40,$BJ5-3)="","",INDEX('Final Calculation Sheet'!$AF$4:$AF$40,$BJ5-3)),IF(OR($BI5=1,$BL5=1,$BH5&gt;0),"–",""))</f>
        <v>1800003271</v>
      </c>
      <c r="AH6" s="70" t="str">
        <f>IF($BJ5&gt;0,IF(INDEX('Final Calculation Sheet'!$AG$4:$AG$40,$BJ5-3)="","",INDEX('Final Calculation Sheet'!$AG$4:$AG$40,$BJ5-3)),IF(OR($BI5=1,$BL5=1,$BH5&gt;0),"–",""))</f>
        <v>24.08.2026</v>
      </c>
      <c r="AI6" s="75"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SETTLED</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1</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0" t="str">
        <f>IF($BJ6&gt;0,IF(INDEX('Final Calculation Sheet'!$AE$4:$AE$40,$BJ6-3)="","",INDEX('Final Calculation Sheet'!$AE$4:$AE$40,$BJ6-3)),IF(OR($BI6=1,$BL6=1,$BH6&gt;0),"–",""))</f>
        <v>DR2640100030</v>
      </c>
      <c r="AG7" s="74">
        <f>IF($BJ6&gt;0,IF(INDEX('Final Calculation Sheet'!$AF$4:$AF$40,$BJ6-3)="","",INDEX('Final Calculation Sheet'!$AF$4:$AF$40,$BJ6-3)),IF(OR($BI6=1,$BL6=1,$BH6&gt;0),"–",""))</f>
        <v>1800003302</v>
      </c>
      <c r="AH7" s="70" t="str">
        <f>IF($BJ6&gt;0,IF(INDEX('Final Calculation Sheet'!$AG$4:$AG$40,$BJ6-3)="","",INDEX('Final Calculation Sheet'!$AG$4:$AG$40,$BJ6-3)),IF(OR($BI6=1,$BL6=1,$BH6&gt;0),"–",""))</f>
        <v>27.08.2026</v>
      </c>
      <c r="AI7" s="75"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SETTLED</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1</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0" t="str">
        <f>IF($BJ7&gt;0,IF(INDEX('Final Calculation Sheet'!$AE$4:$AE$40,$BJ7-3)="","",INDEX('Final Calculation Sheet'!$AE$4:$AE$40,$BJ7-3)),IF(OR($BI7=1,$BL7=1,$BH7&gt;0),"–",""))</f>
        <v>DR2640100047</v>
      </c>
      <c r="AG8" s="74">
        <f>IF($BJ7&gt;0,IF(INDEX('Final Calculation Sheet'!$AF$4:$AF$40,$BJ7-3)="","",INDEX('Final Calculation Sheet'!$AF$4:$AF$40,$BJ7-3)),IF(OR($BI7=1,$BL7=1,$BH7&gt;0),"–",""))</f>
        <v>1800003346</v>
      </c>
      <c r="AH8" s="70" t="str">
        <f>IF($BJ7&gt;0,IF(INDEX('Final Calculation Sheet'!$AG$4:$AG$40,$BJ7-3)="","",INDEX('Final Calculation Sheet'!$AG$4:$AG$40,$BJ7-3)),IF(OR($BI7=1,$BL7=1,$BH7&gt;0),"–",""))</f>
        <v>27.08.2026</v>
      </c>
      <c r="AI8" s="75"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SETTLED</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1</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0" t="str">
        <f>IF($BJ8&gt;0,IF(INDEX('Final Calculation Sheet'!$AE$4:$AE$40,$BJ8-3)="","",INDEX('Final Calculation Sheet'!$AE$4:$AE$40,$BJ8-3)),IF(OR($BI8=1,$BL8=1,$BH8&gt;0),"–",""))</f>
        <v>DR2640100048</v>
      </c>
      <c r="AG9" s="74">
        <f>IF($BJ8&gt;0,IF(INDEX('Final Calculation Sheet'!$AF$4:$AF$40,$BJ8-3)="","",INDEX('Final Calculation Sheet'!$AF$4:$AF$40,$BJ8-3)),IF(OR($BI8=1,$BL8=1,$BH8&gt;0),"–",""))</f>
        <v>1800003347</v>
      </c>
      <c r="AH9" s="70" t="str">
        <f>IF($BJ8&gt;0,IF(INDEX('Final Calculation Sheet'!$AG$4:$AG$40,$BJ8-3)="","",INDEX('Final Calculation Sheet'!$AG$4:$AG$40,$BJ8-3)),IF(OR($BI8=1,$BL8=1,$BH8&gt;0),"–",""))</f>
        <v>27.08.2026</v>
      </c>
      <c r="AI9" s="7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SETTLED</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1</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0" t="str">
        <f>IF($BJ9&gt;0,IF(INDEX('Final Calculation Sheet'!$AE$4:$AE$40,$BJ9-3)="","",INDEX('Final Calculation Sheet'!$AE$4:$AE$40,$BJ9-3)),IF(OR($BI9=1,$BL9=1,$BH9&gt;0),"–",""))</f>
        <v>DR2640100045</v>
      </c>
      <c r="AG10" s="74">
        <f>IF($BJ9&gt;0,IF(INDEX('Final Calculation Sheet'!$AF$4:$AF$40,$BJ9-3)="","",INDEX('Final Calculation Sheet'!$AF$4:$AF$40,$BJ9-3)),IF(OR($BI9=1,$BL9=1,$BH9&gt;0),"–",""))</f>
        <v>1800003315</v>
      </c>
      <c r="AH10" s="70" t="str">
        <f>IF($BJ9&gt;0,IF(INDEX('Final Calculation Sheet'!$AG$4:$AG$40,$BJ9-3)="","",INDEX('Final Calculation Sheet'!$AG$4:$AG$40,$BJ9-3)),IF(OR($BI9=1,$BL9=1,$BH9&gt;0),"–",""))</f>
        <v>27.08.2026</v>
      </c>
      <c r="AI10" s="75"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SETTLED</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1</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0" t="str">
        <f>IF($BJ10&gt;0,IF(INDEX('Final Calculation Sheet'!$AE$4:$AE$40,$BJ10-3)="","",INDEX('Final Calculation Sheet'!$AE$4:$AE$40,$BJ10-3)),IF(OR($BI10=1,$BL10=1,$BH10&gt;0),"–",""))</f>
        <v>DR2640100023</v>
      </c>
      <c r="AG11" s="74">
        <f>IF($BJ10&gt;0,IF(INDEX('Final Calculation Sheet'!$AF$4:$AF$40,$BJ10-3)="","",INDEX('Final Calculation Sheet'!$AF$4:$AF$40,$BJ10-3)),IF(OR($BI10=1,$BL10=1,$BH10&gt;0),"–",""))</f>
        <v>1800003194</v>
      </c>
      <c r="AH11" s="70" t="str">
        <f>IF($BJ10&gt;0,IF(INDEX('Final Calculation Sheet'!$AG$4:$AG$40,$BJ10-3)="","",INDEX('Final Calculation Sheet'!$AG$4:$AG$40,$BJ10-3)),IF(OR($BI10=1,$BL10=1,$BH10&gt;0),"–",""))</f>
        <v>17.08.2026</v>
      </c>
      <c r="AI11" s="75"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SETTLED</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1</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0" t="str">
        <f>IF($BJ11&gt;0,IF(INDEX('Final Calculation Sheet'!$AE$4:$AE$40,$BJ11-3)="","",INDEX('Final Calculation Sheet'!$AE$4:$AE$40,$BJ11-3)),IF(OR($BI11=1,$BL11=1,$BH11&gt;0),"–",""))</f>
        <v>DR2640100031</v>
      </c>
      <c r="AG12" s="74">
        <f>IF($BJ11&gt;0,IF(INDEX('Final Calculation Sheet'!$AF$4:$AF$40,$BJ11-3)="","",INDEX('Final Calculation Sheet'!$AF$4:$AF$40,$BJ11-3)),IF(OR($BI11=1,$BL11=1,$BH11&gt;0),"–",""))</f>
        <v>1800003303</v>
      </c>
      <c r="AH12" s="70" t="str">
        <f>IF($BJ11&gt;0,IF(INDEX('Final Calculation Sheet'!$AG$4:$AG$40,$BJ11-3)="","",INDEX('Final Calculation Sheet'!$AG$4:$AG$40,$BJ11-3)),IF(OR($BI11=1,$BL11=1,$BH11&gt;0),"–",""))</f>
        <v>27.08.2026</v>
      </c>
      <c r="AI12" s="75"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SETTLED</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1</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0" t="str">
        <f>IF($BJ12&gt;0,IF(INDEX('Final Calculation Sheet'!$AE$4:$AE$40,$BJ12-3)="","",INDEX('Final Calculation Sheet'!$AE$4:$AE$40,$BJ12-3)),IF(OR($BI12=1,$BL12=1,$BH12&gt;0),"–",""))</f>
        <v>DR2640100032</v>
      </c>
      <c r="AG13" s="74">
        <f>IF($BJ12&gt;0,IF(INDEX('Final Calculation Sheet'!$AF$4:$AF$40,$BJ12-3)="","",INDEX('Final Calculation Sheet'!$AF$4:$AF$40,$BJ12-3)),IF(OR($BI12=1,$BL12=1,$BH12&gt;0),"–",""))</f>
        <v>1800003304</v>
      </c>
      <c r="AH13" s="70" t="str">
        <f>IF($BJ12&gt;0,IF(INDEX('Final Calculation Sheet'!$AG$4:$AG$40,$BJ12-3)="","",INDEX('Final Calculation Sheet'!$AG$4:$AG$40,$BJ12-3)),IF(OR($BI12=1,$BL12=1,$BH12&gt;0),"–",""))</f>
        <v>27.08.2026</v>
      </c>
      <c r="AI13" s="75"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SETTLED</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1</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0" t="str">
        <f>IF($BJ13&gt;0,IF(INDEX('Final Calculation Sheet'!$AE$4:$AE$40,$BJ13-3)="","",INDEX('Final Calculation Sheet'!$AE$4:$AE$40,$BJ13-3)),IF(OR($BI13=1,$BL13=1,$BH13&gt;0),"–",""))</f>
        <v>DR2640100033</v>
      </c>
      <c r="AG14" s="74">
        <f>IF($BJ13&gt;0,IF(INDEX('Final Calculation Sheet'!$AF$4:$AF$40,$BJ13-3)="","",INDEX('Final Calculation Sheet'!$AF$4:$AF$40,$BJ13-3)),IF(OR($BI13=1,$BL13=1,$BH13&gt;0),"–",""))</f>
        <v>1800003305</v>
      </c>
      <c r="AH14" s="70" t="str">
        <f>IF($BJ13&gt;0,IF(INDEX('Final Calculation Sheet'!$AG$4:$AG$40,$BJ13-3)="","",INDEX('Final Calculation Sheet'!$AG$4:$AG$40,$BJ13-3)),IF(OR($BI13=1,$BL13=1,$BH13&gt;0),"–",""))</f>
        <v>27.08.2026</v>
      </c>
      <c r="AI14" s="75"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SETTLED</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1</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0" t="str">
        <f>IF($BJ14&gt;0,IF(INDEX('Final Calculation Sheet'!$AE$4:$AE$40,$BJ14-3)="","",INDEX('Final Calculation Sheet'!$AE$4:$AE$40,$BJ14-3)),IF(OR($BI14=1,$BL14=1,$BH14&gt;0),"–",""))</f>
        <v>DR2640100018</v>
      </c>
      <c r="AG15" s="74">
        <f>IF($BJ14&gt;0,IF(INDEX('Final Calculation Sheet'!$AF$4:$AF$40,$BJ14-3)="","",INDEX('Final Calculation Sheet'!$AF$4:$AF$40,$BJ14-3)),IF(OR($BI14=1,$BL14=1,$BH14&gt;0),"–",""))</f>
        <v>1800003156</v>
      </c>
      <c r="AH15" s="70" t="str">
        <f>IF($BJ14&gt;0,IF(INDEX('Final Calculation Sheet'!$AG$4:$AG$40,$BJ14-3)="","",INDEX('Final Calculation Sheet'!$AG$4:$AG$40,$BJ14-3)),IF(OR($BI14=1,$BL14=1,$BH14&gt;0),"–",""))</f>
        <v>14.08.2026</v>
      </c>
      <c r="AI15" s="75"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SETTLED</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1</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0" t="str">
        <f>IF($BJ15&gt;0,IF(INDEX('Final Calculation Sheet'!$AE$4:$AE$40,$BJ15-3)="","",INDEX('Final Calculation Sheet'!$AE$4:$AE$40,$BJ15-3)),IF(OR($BI15=1,$BL15=1,$BH15&gt;0),"–",""))</f>
        <v>DR2640100024</v>
      </c>
      <c r="AG16" s="74">
        <f>IF($BJ15&gt;0,IF(INDEX('Final Calculation Sheet'!$AF$4:$AF$40,$BJ15-3)="","",INDEX('Final Calculation Sheet'!$AF$4:$AF$40,$BJ15-3)),IF(OR($BI15=1,$BL15=1,$BH15&gt;0),"–",""))</f>
        <v>1800003196</v>
      </c>
      <c r="AH16" s="70" t="str">
        <f>IF($BJ15&gt;0,IF(INDEX('Final Calculation Sheet'!$AG$4:$AG$40,$BJ15-3)="","",INDEX('Final Calculation Sheet'!$AG$4:$AG$40,$BJ15-3)),IF(OR($BI15=1,$BL15=1,$BH15&gt;0),"–",""))</f>
        <v>17.08.2026</v>
      </c>
      <c r="AI16" s="75"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SETTLED</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1</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0" t="str">
        <f>IF($BJ16&gt;0,IF(INDEX('Final Calculation Sheet'!$AE$4:$AE$40,$BJ16-3)="","",INDEX('Final Calculation Sheet'!$AE$4:$AE$40,$BJ16-3)),IF(OR($BI16=1,$BL16=1,$BH16&gt;0),"–",""))</f>
        <v>DR2640100026</v>
      </c>
      <c r="AG17" s="74">
        <f>IF($BJ16&gt;0,IF(INDEX('Final Calculation Sheet'!$AF$4:$AF$40,$BJ16-3)="","",INDEX('Final Calculation Sheet'!$AF$4:$AF$40,$BJ16-3)),IF(OR($BI16=1,$BL16=1,$BH16&gt;0),"–",""))</f>
        <v>1800003247</v>
      </c>
      <c r="AH17" s="70" t="str">
        <f>IF($BJ16&gt;0,IF(INDEX('Final Calculation Sheet'!$AG$4:$AG$40,$BJ16-3)="","",INDEX('Final Calculation Sheet'!$AG$4:$AG$40,$BJ16-3)),IF(OR($BI16=1,$BL16=1,$BH16&gt;0),"–",""))</f>
        <v>20.08.2026</v>
      </c>
      <c r="AI17" s="75"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SETTLED</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1</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0" t="str">
        <f>IF($BJ17&gt;0,IF(INDEX('Final Calculation Sheet'!$AE$4:$AE$40,$BJ17-3)="","",INDEX('Final Calculation Sheet'!$AE$4:$AE$40,$BJ17-3)),IF(OR($BI17=1,$BL17=1,$BH17&gt;0),"–",""))</f>
        <v>DR2640100019</v>
      </c>
      <c r="AG18" s="74">
        <f>IF($BJ17&gt;0,IF(INDEX('Final Calculation Sheet'!$AF$4:$AF$40,$BJ17-3)="","",INDEX('Final Calculation Sheet'!$AF$4:$AF$40,$BJ17-3)),IF(OR($BI17=1,$BL17=1,$BH17&gt;0),"–",""))</f>
        <v>1800003157</v>
      </c>
      <c r="AH18" s="70" t="str">
        <f>IF($BJ17&gt;0,IF(INDEX('Final Calculation Sheet'!$AG$4:$AG$40,$BJ17-3)="","",INDEX('Final Calculation Sheet'!$AG$4:$AG$40,$BJ17-3)),IF(OR($BI17=1,$BL17=1,$BH17&gt;0),"–",""))</f>
        <v>14.08.2026</v>
      </c>
      <c r="AI18" s="75"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SETTLED</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1</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0" t="str">
        <f>IF($BJ18&gt;0,IF(INDEX('Final Calculation Sheet'!$AE$4:$AE$40,$BJ18-3)="","",INDEX('Final Calculation Sheet'!$AE$4:$AE$40,$BJ18-3)),IF(OR($BI18=1,$BL18=1,$BH18&gt;0),"–",""))</f>
        <v>DR2640100020</v>
      </c>
      <c r="AG19" s="74">
        <f>IF($BJ18&gt;0,IF(INDEX('Final Calculation Sheet'!$AF$4:$AF$40,$BJ18-3)="","",INDEX('Final Calculation Sheet'!$AF$4:$AF$40,$BJ18-3)),IF(OR($BI18=1,$BL18=1,$BH18&gt;0),"–",""))</f>
        <v>1800003158</v>
      </c>
      <c r="AH19" s="70" t="str">
        <f>IF($BJ18&gt;0,IF(INDEX('Final Calculation Sheet'!$AG$4:$AG$40,$BJ18-3)="","",INDEX('Final Calculation Sheet'!$AG$4:$AG$40,$BJ18-3)),IF(OR($BI18=1,$BL18=1,$BH18&gt;0),"–",""))</f>
        <v>14.08.2026</v>
      </c>
      <c r="AI19" s="7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SETTLED</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1</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0" t="str">
        <f>IF($BJ19&gt;0,IF(INDEX('Final Calculation Sheet'!$AE$4:$AE$40,$BJ19-3)="","",INDEX('Final Calculation Sheet'!$AE$4:$AE$40,$BJ19-3)),IF(OR($BI19=1,$BL19=1,$BH19&gt;0),"–",""))</f>
        <v>DR2640100034</v>
      </c>
      <c r="AG20" s="74">
        <f>IF($BJ19&gt;0,IF(INDEX('Final Calculation Sheet'!$AF$4:$AF$40,$BJ19-3)="","",INDEX('Final Calculation Sheet'!$AF$4:$AF$40,$BJ19-3)),IF(OR($BI19=1,$BL19=1,$BH19&gt;0),"–",""))</f>
        <v>1800003306</v>
      </c>
      <c r="AH20" s="70" t="str">
        <f>IF($BJ19&gt;0,IF(INDEX('Final Calculation Sheet'!$AG$4:$AG$40,$BJ19-3)="","",INDEX('Final Calculation Sheet'!$AG$4:$AG$40,$BJ19-3)),IF(OR($BI19=1,$BL19=1,$BH19&gt;0),"–",""))</f>
        <v>27.08.2026</v>
      </c>
      <c r="AI20" s="75"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SETTLED</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1</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0" t="str">
        <f>IF($BJ20&gt;0,IF(INDEX('Final Calculation Sheet'!$AE$4:$AE$40,$BJ20-3)="","",INDEX('Final Calculation Sheet'!$AE$4:$AE$40,$BJ20-3)),IF(OR($BI20=1,$BL20=1,$BH20&gt;0),"–",""))</f>
        <v>DR2640100035</v>
      </c>
      <c r="AG21" s="74">
        <f>IF($BJ20&gt;0,IF(INDEX('Final Calculation Sheet'!$AF$4:$AF$40,$BJ20-3)="","",INDEX('Final Calculation Sheet'!$AF$4:$AF$40,$BJ20-3)),IF(OR($BI20=1,$BL20=1,$BH20&gt;0),"–",""))</f>
        <v>1800003307</v>
      </c>
      <c r="AH21" s="70" t="str">
        <f>IF($BJ20&gt;0,IF(INDEX('Final Calculation Sheet'!$AG$4:$AG$40,$BJ20-3)="","",INDEX('Final Calculation Sheet'!$AG$4:$AG$40,$BJ20-3)),IF(OR($BI20=1,$BL20=1,$BH20&gt;0),"–",""))</f>
        <v>27.08.2026</v>
      </c>
      <c r="AI21" s="75"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SETTLED</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1</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0" t="str">
        <f>IF($BJ21&gt;0,IF(INDEX('Final Calculation Sheet'!$AE$4:$AE$40,$BJ21-3)="","",INDEX('Final Calculation Sheet'!$AE$4:$AE$40,$BJ21-3)),IF(OR($BI21=1,$BL21=1,$BH21&gt;0),"–",""))</f>
        <v>DR2640100017</v>
      </c>
      <c r="AG22" s="74">
        <f>IF($BJ21&gt;0,IF(INDEX('Final Calculation Sheet'!$AF$4:$AF$40,$BJ21-3)="","",INDEX('Final Calculation Sheet'!$AF$4:$AF$40,$BJ21-3)),IF(OR($BI21=1,$BL21=1,$BH21&gt;0),"–",""))</f>
        <v>1800003065</v>
      </c>
      <c r="AH22" s="70" t="str">
        <f>IF($BJ21&gt;0,IF(INDEX('Final Calculation Sheet'!$AG$4:$AG$40,$BJ21-3)="","",INDEX('Final Calculation Sheet'!$AG$4:$AG$40,$BJ21-3)),IF(OR($BI21=1,$BL21=1,$BH21&gt;0),"–",""))</f>
        <v>12.08.2026</v>
      </c>
      <c r="AI22" s="75"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SETTLED</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1</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0" t="str">
        <f>IF($BJ22&gt;0,IF(INDEX('Final Calculation Sheet'!$AE$4:$AE$40,$BJ22-3)="","",INDEX('Final Calculation Sheet'!$AE$4:$AE$40,$BJ22-3)),IF(OR($BI22=1,$BL22=1,$BH22&gt;0),"–",""))</f>
        <v>DR2640100028</v>
      </c>
      <c r="AG23" s="74">
        <f>IF($BJ22&gt;0,IF(INDEX('Final Calculation Sheet'!$AF$4:$AF$40,$BJ22-3)="","",INDEX('Final Calculation Sheet'!$AF$4:$AF$40,$BJ22-3)),IF(OR($BI22=1,$BL22=1,$BH22&gt;0),"–",""))</f>
        <v>1800003269</v>
      </c>
      <c r="AH23" s="70" t="str">
        <f>IF($BJ22&gt;0,IF(INDEX('Final Calculation Sheet'!$AG$4:$AG$40,$BJ22-3)="","",INDEX('Final Calculation Sheet'!$AG$4:$AG$40,$BJ22-3)),IF(OR($BI22=1,$BL22=1,$BH22&gt;0),"–",""))</f>
        <v>24.08.2026</v>
      </c>
      <c r="AI23" s="75"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SETTLED</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1</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0" t="str">
        <f>IF($BJ23&gt;0,IF(INDEX('Final Calculation Sheet'!$AE$4:$AE$40,$BJ23-3)="","",INDEX('Final Calculation Sheet'!$AE$4:$AE$40,$BJ23-3)),IF(OR($BI23=1,$BL23=1,$BH23&gt;0),"–",""))</f>
        <v>DR2640100044</v>
      </c>
      <c r="AG24" s="74">
        <f>IF($BJ23&gt;0,IF(INDEX('Final Calculation Sheet'!$AF$4:$AF$40,$BJ23-3)="","",INDEX('Final Calculation Sheet'!$AF$4:$AF$40,$BJ23-3)),IF(OR($BI23=1,$BL23=1,$BH23&gt;0),"–",""))</f>
        <v>1800003308</v>
      </c>
      <c r="AH24" s="70" t="str">
        <f>IF($BJ23&gt;0,IF(INDEX('Final Calculation Sheet'!$AG$4:$AG$40,$BJ23-3)="","",INDEX('Final Calculation Sheet'!$AG$4:$AG$40,$BJ23-3)),IF(OR($BI23=1,$BL23=1,$BH23&gt;0),"–",""))</f>
        <v>27.08.2026</v>
      </c>
      <c r="AI24" s="75"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SETTLED</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1</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0" t="str">
        <f>IF($BJ24&gt;0,IF(INDEX('Final Calculation Sheet'!$AE$4:$AE$40,$BJ24-3)="","",INDEX('Final Calculation Sheet'!$AE$4:$AE$40,$BJ24-3)),IF(OR($BI24=1,$BL24=1,$BH24&gt;0),"–",""))</f>
        <v>DR2640100021</v>
      </c>
      <c r="AG25" s="74">
        <f>IF($BJ24&gt;0,IF(INDEX('Final Calculation Sheet'!$AF$4:$AF$40,$BJ24-3)="","",INDEX('Final Calculation Sheet'!$AF$4:$AF$40,$BJ24-3)),IF(OR($BI24=1,$BL24=1,$BH24&gt;0),"–",""))</f>
        <v>1800003160</v>
      </c>
      <c r="AH25" s="70" t="str">
        <f>IF($BJ24&gt;0,IF(INDEX('Final Calculation Sheet'!$AG$4:$AG$40,$BJ24-3)="","",INDEX('Final Calculation Sheet'!$AG$4:$AG$40,$BJ24-3)),IF(OR($BI24=1,$BL24=1,$BH24&gt;0),"–",""))</f>
        <v>14.08.2026</v>
      </c>
      <c r="AI25" s="75"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SETTLED</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1</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0" t="str">
        <f>IF($BJ25&gt;0,IF(INDEX('Final Calculation Sheet'!$AE$4:$AE$40,$BJ25-3)="","",INDEX('Final Calculation Sheet'!$AE$4:$AE$40,$BJ25-3)),IF(OR($BI25=1,$BL25=1,$BH25&gt;0),"–",""))</f>
        <v>DR2640100036</v>
      </c>
      <c r="AG26" s="74">
        <f>IF($BJ25&gt;0,IF(INDEX('Final Calculation Sheet'!$AF$4:$AF$40,$BJ25-3)="","",INDEX('Final Calculation Sheet'!$AF$4:$AF$40,$BJ25-3)),IF(OR($BI25=1,$BL25=1,$BH25&gt;0),"–",""))</f>
        <v>1800003309</v>
      </c>
      <c r="AH26" s="70" t="str">
        <f>IF($BJ25&gt;0,IF(INDEX('Final Calculation Sheet'!$AG$4:$AG$40,$BJ25-3)="","",INDEX('Final Calculation Sheet'!$AG$4:$AG$40,$BJ25-3)),IF(OR($BI25=1,$BL25=1,$BH25&gt;0),"–",""))</f>
        <v>27.08.2026</v>
      </c>
      <c r="AI26" s="75"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SETTLED</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1</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0" t="str">
        <f>IF($BJ26&gt;0,IF(INDEX('Final Calculation Sheet'!$AE$4:$AE$40,$BJ26-3)="","",INDEX('Final Calculation Sheet'!$AE$4:$AE$40,$BJ26-3)),IF(OR($BI26=1,$BL26=1,$BH26&gt;0),"–",""))</f>
        <v>DR2640100042</v>
      </c>
      <c r="AG27" s="74">
        <f>IF($BJ26&gt;0,IF(INDEX('Final Calculation Sheet'!$AF$4:$AF$40,$BJ26-3)="","",INDEX('Final Calculation Sheet'!$AF$4:$AF$40,$BJ26-3)),IF(OR($BI26=1,$BL26=1,$BH26&gt;0),"–",""))</f>
        <v>1800003317</v>
      </c>
      <c r="AH27" s="70" t="str">
        <f>IF($BJ26&gt;0,IF(INDEX('Final Calculation Sheet'!$AG$4:$AG$40,$BJ26-3)="","",INDEX('Final Calculation Sheet'!$AG$4:$AG$40,$BJ26-3)),IF(OR($BI26=1,$BL26=1,$BH26&gt;0),"–",""))</f>
        <v>27.08.2026</v>
      </c>
      <c r="AI27" s="75"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SETTLED</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1</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0" t="str">
        <f>IF($BJ27&gt;0,IF(INDEX('Final Calculation Sheet'!$AE$4:$AE$40,$BJ27-3)="","",INDEX('Final Calculation Sheet'!$AE$4:$AE$40,$BJ27-3)),IF(OR($BI27=1,$BL27=1,$BH27&gt;0),"–",""))</f>
        <v>DR2640100037</v>
      </c>
      <c r="AG28" s="74">
        <f>IF($BJ27&gt;0,IF(INDEX('Final Calculation Sheet'!$AF$4:$AF$40,$BJ27-3)="","",INDEX('Final Calculation Sheet'!$AF$4:$AF$40,$BJ27-3)),IF(OR($BI27=1,$BL27=1,$BH27&gt;0),"–",""))</f>
        <v>1800003310</v>
      </c>
      <c r="AH28" s="70" t="str">
        <f>IF($BJ27&gt;0,IF(INDEX('Final Calculation Sheet'!$AG$4:$AG$40,$BJ27-3)="","",INDEX('Final Calculation Sheet'!$AG$4:$AG$40,$BJ27-3)),IF(OR($BI27=1,$BL27=1,$BH27&gt;0),"–",""))</f>
        <v>27.08.2026</v>
      </c>
      <c r="AI28" s="75"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SETTLED</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1</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0" t="str">
        <f>IF($BJ28&gt;0,IF(INDEX('Final Calculation Sheet'!$AE$4:$AE$40,$BJ28-3)="","",INDEX('Final Calculation Sheet'!$AE$4:$AE$40,$BJ28-3)),IF(OR($BI28=1,$BL28=1,$BH28&gt;0),"–",""))</f>
        <v/>
      </c>
      <c r="AG29" s="74" t="str">
        <f>IF($BJ28&gt;0,IF(INDEX('Final Calculation Sheet'!$AF$4:$AF$40,$BJ28-3)="","",INDEX('Final Calculation Sheet'!$AF$4:$AF$40,$BJ28-3)),IF(OR($BI28=1,$BL28=1,$BH28&gt;0),"–",""))</f>
        <v/>
      </c>
      <c r="AH29" s="70" t="str">
        <f>IF($BJ28&gt;0,IF(INDEX('Final Calculation Sheet'!$AG$4:$AG$40,$BJ28-3)="","",INDEX('Final Calculation Sheet'!$AG$4:$AG$40,$BJ28-3)),IF(OR($BI28=1,$BL28=1,$BH28&gt;0),"–",""))</f>
        <v/>
      </c>
      <c r="AI29" s="7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OUTSTANDING</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1</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0" t="str">
        <f>IF($BJ29&gt;0,IF(INDEX('Final Calculation Sheet'!$AE$4:$AE$40,$BJ29-3)="","",INDEX('Final Calculation Sheet'!$AE$4:$AE$40,$BJ29-3)),IF(OR($BI29=1,$BL29=1,$BH29&gt;0),"–",""))</f>
        <v>DR2640100043</v>
      </c>
      <c r="AG30" s="74">
        <f>IF($BJ29&gt;0,IF(INDEX('Final Calculation Sheet'!$AF$4:$AF$40,$BJ29-3)="","",INDEX('Final Calculation Sheet'!$AF$4:$AF$40,$BJ29-3)),IF(OR($BI29=1,$BL29=1,$BH29&gt;0),"–",""))</f>
        <v>1800003318</v>
      </c>
      <c r="AH30" s="70" t="str">
        <f>IF($BJ29&gt;0,IF(INDEX('Final Calculation Sheet'!$AG$4:$AG$40,$BJ29-3)="","",INDEX('Final Calculation Sheet'!$AG$4:$AG$40,$BJ29-3)),IF(OR($BI29=1,$BL29=1,$BH29&gt;0),"–",""))</f>
        <v>27.08.2026</v>
      </c>
      <c r="AI30" s="75"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SETTLED</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1</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0" t="str">
        <f>IF($BJ30&gt;0,IF(INDEX('Final Calculation Sheet'!$AE$4:$AE$40,$BJ30-3)="","",INDEX('Final Calculation Sheet'!$AE$4:$AE$40,$BJ30-3)),IF(OR($BI30=1,$BL30=1,$BH30&gt;0),"–",""))</f>
        <v/>
      </c>
      <c r="AG31" s="74" t="str">
        <f>IF($BJ30&gt;0,IF(INDEX('Final Calculation Sheet'!$AF$4:$AF$40,$BJ30-3)="","",INDEX('Final Calculation Sheet'!$AF$4:$AF$40,$BJ30-3)),IF(OR($BI30=1,$BL30=1,$BH30&gt;0),"–",""))</f>
        <v/>
      </c>
      <c r="AH31" s="70" t="str">
        <f>IF($BJ30&gt;0,IF(INDEX('Final Calculation Sheet'!$AG$4:$AG$40,$BJ30-3)="","",INDEX('Final Calculation Sheet'!$AG$4:$AG$40,$BJ30-3)),IF(OR($BI30=1,$BL30=1,$BH30&gt;0),"–",""))</f>
        <v/>
      </c>
      <c r="AI31" s="75"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OUTSTANDING</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1</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0" t="str">
        <f>IF($BJ31&gt;0,IF(INDEX('Final Calculation Sheet'!$AE$4:$AE$40,$BJ31-3)="","",INDEX('Final Calculation Sheet'!$AE$4:$AE$40,$BJ31-3)),IF(OR($BI31=1,$BL31=1,$BH31&gt;0),"–",""))</f>
        <v>DR2640100038</v>
      </c>
      <c r="AG32" s="74">
        <f>IF($BJ31&gt;0,IF(INDEX('Final Calculation Sheet'!$AF$4:$AF$40,$BJ31-3)="","",INDEX('Final Calculation Sheet'!$AF$4:$AF$40,$BJ31-3)),IF(OR($BI31=1,$BL31=1,$BH31&gt;0),"–",""))</f>
        <v>1800003311</v>
      </c>
      <c r="AH32" s="70" t="str">
        <f>IF($BJ31&gt;0,IF(INDEX('Final Calculation Sheet'!$AG$4:$AG$40,$BJ31-3)="","",INDEX('Final Calculation Sheet'!$AG$4:$AG$40,$BJ31-3)),IF(OR($BI31=1,$BL31=1,$BH31&gt;0),"–",""))</f>
        <v>27.08.2026</v>
      </c>
      <c r="AI32" s="75"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SETTLED</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1</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0" t="str">
        <f>IF($BJ32&gt;0,IF(INDEX('Final Calculation Sheet'!$AE$4:$AE$40,$BJ32-3)="","",INDEX('Final Calculation Sheet'!$AE$4:$AE$40,$BJ32-3)),IF(OR($BI32=1,$BL32=1,$BH32&gt;0),"–",""))</f>
        <v>DR2640100041</v>
      </c>
      <c r="AG33" s="74">
        <f>IF($BJ32&gt;0,IF(INDEX('Final Calculation Sheet'!$AF$4:$AF$40,$BJ32-3)="","",INDEX('Final Calculation Sheet'!$AF$4:$AF$40,$BJ32-3)),IF(OR($BI32=1,$BL32=1,$BH32&gt;0),"–",""))</f>
        <v>1800003316</v>
      </c>
      <c r="AH33" s="70" t="str">
        <f>IF($BJ32&gt;0,IF(INDEX('Final Calculation Sheet'!$AG$4:$AG$40,$BJ32-3)="","",INDEX('Final Calculation Sheet'!$AG$4:$AG$40,$BJ32-3)),IF(OR($BI32=1,$BL32=1,$BH32&gt;0),"–",""))</f>
        <v>27.08.2026</v>
      </c>
      <c r="AI33" s="75"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SETTLED</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1</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0" t="str">
        <f>IF($BJ33&gt;0,IF(INDEX('Final Calculation Sheet'!$AE$4:$AE$40,$BJ33-3)="","",INDEX('Final Calculation Sheet'!$AE$4:$AE$40,$BJ33-3)),IF(OR($BI33=1,$BL33=1,$BH33&gt;0),"–",""))</f>
        <v>DR2640100039</v>
      </c>
      <c r="AG34" s="74">
        <f>IF($BJ33&gt;0,IF(INDEX('Final Calculation Sheet'!$AF$4:$AF$40,$BJ33-3)="","",INDEX('Final Calculation Sheet'!$AF$4:$AF$40,$BJ33-3)),IF(OR($BI33=1,$BL33=1,$BH33&gt;0),"–",""))</f>
        <v>1800003312</v>
      </c>
      <c r="AH34" s="70" t="str">
        <f>IF($BJ33&gt;0,IF(INDEX('Final Calculation Sheet'!$AG$4:$AG$40,$BJ33-3)="","",INDEX('Final Calculation Sheet'!$AG$4:$AG$40,$BJ33-3)),IF(OR($BI33=1,$BL33=1,$BH33&gt;0),"–",""))</f>
        <v>27.08.2026</v>
      </c>
      <c r="AI34" s="75"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SETTLED</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1</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0" t="str">
        <f>IF($BJ34&gt;0,IF(INDEX('Final Calculation Sheet'!$AE$4:$AE$40,$BJ34-3)="","",INDEX('Final Calculation Sheet'!$AE$4:$AE$40,$BJ34-3)),IF(OR($BI34=1,$BL34=1,$BH34&gt;0),"–",""))</f>
        <v>DR2640100046</v>
      </c>
      <c r="AG35" s="74">
        <f>IF($BJ34&gt;0,IF(INDEX('Final Calculation Sheet'!$AF$4:$AF$40,$BJ34-3)="","",INDEX('Final Calculation Sheet'!$AF$4:$AF$40,$BJ34-3)),IF(OR($BI34=1,$BL34=1,$BH34&gt;0),"–",""))</f>
        <v>1800003313</v>
      </c>
      <c r="AH35" s="70" t="str">
        <f>IF($BJ34&gt;0,IF(INDEX('Final Calculation Sheet'!$AG$4:$AG$40,$BJ34-3)="","",INDEX('Final Calculation Sheet'!$AG$4:$AG$40,$BJ34-3)),IF(OR($BI34=1,$BL34=1,$BH34&gt;0),"–",""))</f>
        <v>27.08.2026</v>
      </c>
      <c r="AI35" s="75"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SETTLED</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1</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0" t="str">
        <f>IF($BJ35&gt;0,IF(INDEX('Final Calculation Sheet'!$AE$4:$AE$40,$BJ35-3)="","",INDEX('Final Calculation Sheet'!$AE$4:$AE$40,$BJ35-3)),IF(OR($BI35=1,$BL35=1,$BH35&gt;0),"–",""))</f>
        <v>DR2640100022</v>
      </c>
      <c r="AG36" s="74">
        <f>IF($BJ35&gt;0,IF(INDEX('Final Calculation Sheet'!$AF$4:$AF$40,$BJ35-3)="","",INDEX('Final Calculation Sheet'!$AF$4:$AF$40,$BJ35-3)),IF(OR($BI35=1,$BL35=1,$BH35&gt;0),"–",""))</f>
        <v>1800003161</v>
      </c>
      <c r="AH36" s="70" t="str">
        <f>IF($BJ35&gt;0,IF(INDEX('Final Calculation Sheet'!$AG$4:$AG$40,$BJ35-3)="","",INDEX('Final Calculation Sheet'!$AG$4:$AG$40,$BJ35-3)),IF(OR($BI35=1,$BL35=1,$BH35&gt;0),"–",""))</f>
        <v>14.08.2026</v>
      </c>
      <c r="AI36" s="75"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SETTLED</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1</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0" t="str">
        <f>IF($BJ36&gt;0,IF(INDEX('Final Calculation Sheet'!$AE$4:$AE$40,$BJ36-3)="","",INDEX('Final Calculation Sheet'!$AE$4:$AE$40,$BJ36-3)),IF(OR($BI36=1,$BL36=1,$BH36&gt;0),"–",""))</f>
        <v>DR2640100027</v>
      </c>
      <c r="AG37" s="74">
        <f>IF($BJ36&gt;0,IF(INDEX('Final Calculation Sheet'!$AF$4:$AF$40,$BJ36-3)="","",INDEX('Final Calculation Sheet'!$AF$4:$AF$40,$BJ36-3)),IF(OR($BI36=1,$BL36=1,$BH36&gt;0),"–",""))</f>
        <v>1800003248</v>
      </c>
      <c r="AH37" s="70" t="str">
        <f>IF($BJ36&gt;0,IF(INDEX('Final Calculation Sheet'!$AG$4:$AG$40,$BJ36-3)="","",INDEX('Final Calculation Sheet'!$AG$4:$AG$40,$BJ36-3)),IF(OR($BI36=1,$BL36=1,$BH36&gt;0),"–",""))</f>
        <v>20.08.2026</v>
      </c>
      <c r="AI37" s="75"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SETTLED</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1</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0" t="str">
        <f>IF($BJ37&gt;0,IF(INDEX('Final Calculation Sheet'!$AE$4:$AE$40,$BJ37-3)="","",INDEX('Final Calculation Sheet'!$AE$4:$AE$40,$BJ37-3)),IF(OR($BI37=1,$BL37=1,$BH37&gt;0),"–",""))</f>
        <v/>
      </c>
      <c r="AG38" s="74" t="str">
        <f>IF($BJ37&gt;0,IF(INDEX('Final Calculation Sheet'!$AF$4:$AF$40,$BJ37-3)="","",INDEX('Final Calculation Sheet'!$AF$4:$AF$40,$BJ37-3)),IF(OR($BI37=1,$BL37=1,$BH37&gt;0),"–",""))</f>
        <v/>
      </c>
      <c r="AH38" s="70" t="str">
        <f>IF($BJ37&gt;0,IF(INDEX('Final Calculation Sheet'!$AG$4:$AG$40,$BJ37-3)="","",INDEX('Final Calculation Sheet'!$AG$4:$AG$40,$BJ37-3)),IF(OR($BI37=1,$BL37=1,$BH37&gt;0),"–",""))</f>
        <v/>
      </c>
      <c r="AI38" s="75"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OUTSTANDING</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1</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0" t="str">
        <f>IF($BJ38&gt;0,IF(INDEX('Final Calculation Sheet'!$AE$4:$AE$40,$BJ38-3)="","",INDEX('Final Calculation Sheet'!$AE$4:$AE$40,$BJ38-3)),IF(OR($BI38=1,$BL38=1,$BH38&gt;0),"–",""))</f>
        <v>DR2640100040</v>
      </c>
      <c r="AG39" s="74">
        <f>IF($BJ38&gt;0,IF(INDEX('Final Calculation Sheet'!$AF$4:$AF$40,$BJ38-3)="","",INDEX('Final Calculation Sheet'!$AF$4:$AF$40,$BJ38-3)),IF(OR($BI38=1,$BL38=1,$BH38&gt;0),"–",""))</f>
        <v>1800003314</v>
      </c>
      <c r="AH39" s="70" t="str">
        <f>IF($BJ38&gt;0,IF(INDEX('Final Calculation Sheet'!$AG$4:$AG$40,$BJ38-3)="","",INDEX('Final Calculation Sheet'!$AG$4:$AG$40,$BJ38-3)),IF(OR($BI38=1,$BL38=1,$BH38&gt;0),"–",""))</f>
        <v>27.08.2026</v>
      </c>
      <c r="AI39" s="7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SETTLED</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1</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0" t="str">
        <f>IF($BJ39&gt;0,IF(INDEX('Final Calculation Sheet'!$AE$4:$AE$40,$BJ39-3)="","",INDEX('Final Calculation Sheet'!$AE$4:$AE$40,$BJ39-3)),IF(OR($BI39=1,$BL39=1,$BH39&gt;0),"–",""))</f>
        <v>DR2640100025</v>
      </c>
      <c r="AG40" s="74">
        <f>IF($BJ39&gt;0,IF(INDEX('Final Calculation Sheet'!$AF$4:$AF$40,$BJ39-3)="","",INDEX('Final Calculation Sheet'!$AF$4:$AF$40,$BJ39-3)),IF(OR($BI39=1,$BL39=1,$BH39&gt;0),"–",""))</f>
        <v>1800003226</v>
      </c>
      <c r="AH40" s="70" t="str">
        <f>IF($BJ39&gt;0,IF(INDEX('Final Calculation Sheet'!$AG$4:$AG$40,$BJ39-3)="","",INDEX('Final Calculation Sheet'!$AG$4:$AG$40,$BJ39-3)),IF(OR($BI39=1,$BL39=1,$BH39&gt;0),"–",""))</f>
        <v>19.08.2026</v>
      </c>
      <c r="AI40" s="75"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SETTLED</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1</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0" t="str">
        <f>IF($BJ40&gt;0,IF(INDEX('Final Calculation Sheet'!$AE$4:$AE$40,$BJ40-3)="","",INDEX('Final Calculation Sheet'!$AE$4:$AE$40,$BJ40-3)),IF(OR($BI40=1,$BL40=1,$BH40&gt;0),"–",""))</f>
        <v/>
      </c>
      <c r="AG41" s="74" t="str">
        <f>IF($BJ40&gt;0,IF(INDEX('Final Calculation Sheet'!$AF$4:$AF$40,$BJ40-3)="","",INDEX('Final Calculation Sheet'!$AF$4:$AF$40,$BJ40-3)),IF(OR($BI40=1,$BL40=1,$BH40&gt;0),"–",""))</f>
        <v/>
      </c>
      <c r="AH41" s="70" t="str">
        <f>IF($BJ40&gt;0,IF(INDEX('Final Calculation Sheet'!$AG$4:$AG$40,$BJ40-3)="","",INDEX('Final Calculation Sheet'!$AG$4:$AG$40,$BJ40-3)),IF(OR($BI40=1,$BL40=1,$BH40&gt;0),"–",""))</f>
        <v/>
      </c>
      <c r="AI41" s="75"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SETTLED</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1</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0" t="str">
        <f>IF($BJ41&gt;0,IF(INDEX('Final Calculation Sheet'!$AE$4:$AE$40,$BJ41-3)="","",INDEX('Final Calculation Sheet'!$AE$4:$AE$40,$BJ41-3)),IF(OR($BI41=1,$BL41=1,$BH41&gt;0),"–",""))</f>
        <v/>
      </c>
      <c r="AG42" s="74" t="str">
        <f>IF($BJ41&gt;0,IF(INDEX('Final Calculation Sheet'!$AF$4:$AF$40,$BJ41-3)="","",INDEX('Final Calculation Sheet'!$AF$4:$AF$40,$BJ41-3)),IF(OR($BI41=1,$BL41=1,$BH41&gt;0),"–",""))</f>
        <v/>
      </c>
      <c r="AH42" s="70" t="str">
        <f>IF($BJ41&gt;0,IF(INDEX('Final Calculation Sheet'!$AG$4:$AG$40,$BJ41-3)="","",INDEX('Final Calculation Sheet'!$AG$4:$AG$40,$BJ41-3)),IF(OR($BI41=1,$BL41=1,$BH41&gt;0),"–",""))</f>
        <v/>
      </c>
      <c r="AI42" s="75"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SETTLED</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0" t="str">
        <f>IF($BJ42&gt;0,IF(INDEX('Final Calculation Sheet'!$AE$4:$AE$40,$BJ42-3)="","",INDEX('Final Calculation Sheet'!$AE$4:$AE$40,$BJ42-3)),IF(OR($BI42=1,$BL42=1,$BH42&gt;0),"–",""))</f>
        <v>–</v>
      </c>
      <c r="AG43" s="74" t="str">
        <f>IF($BJ42&gt;0,IF(INDEX('Final Calculation Sheet'!$AF$4:$AF$40,$BJ42-3)="","",INDEX('Final Calculation Sheet'!$AF$4:$AF$40,$BJ42-3)),IF(OR($BI42=1,$BL42=1,$BH42&gt;0),"–",""))</f>
        <v>–</v>
      </c>
      <c r="AH43" s="70" t="str">
        <f>IF($BJ42&gt;0,IF(INDEX('Final Calculation Sheet'!$AG$4:$AG$40,$BJ42-3)="","",INDEX('Final Calculation Sheet'!$AG$4:$AG$40,$BJ42-3)),IF(OR($BI42=1,$BL42=1,$BH42&gt;0),"–",""))</f>
        <v>–</v>
      </c>
      <c r="AI43" s="75" t="str">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OUTSTANDING</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0" t="str">
        <f>IF($BJ43&gt;0,IF(INDEX('Final Calculation Sheet'!$AE$4:$AE$40,$BJ43-3)="","",INDEX('Final Calculation Sheet'!$AE$4:$AE$40,$BJ43-3)),IF(OR($BI43=1,$BL43=1,$BH43&gt;0),"–",""))</f>
        <v>–</v>
      </c>
      <c r="AG44" s="74" t="str">
        <f>IF($BJ43&gt;0,IF(INDEX('Final Calculation Sheet'!$AF$4:$AF$40,$BJ43-3)="","",INDEX('Final Calculation Sheet'!$AF$4:$AF$40,$BJ43-3)),IF(OR($BI43=1,$BL43=1,$BH43&gt;0),"–",""))</f>
        <v>–</v>
      </c>
      <c r="AH44" s="70" t="str">
        <f>IF($BJ43&gt;0,IF(INDEX('Final Calculation Sheet'!$AG$4:$AG$40,$BJ43-3)="","",INDEX('Final Calculation Sheet'!$AG$4:$AG$40,$BJ43-3)),IF(OR($BI43=1,$BL43=1,$BH43&gt;0),"–",""))</f>
        <v>–</v>
      </c>
      <c r="AI44" s="75" t="str">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OUTSTANDING</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0" t="str">
        <f>IF($BJ44&gt;0,IF(INDEX('Final Calculation Sheet'!$AE$4:$AE$40,$BJ44-3)="","",INDEX('Final Calculation Sheet'!$AE$4:$AE$40,$BJ44-3)),IF(OR($BI44=1,$BL44=1,$BH44&gt;0),"–",""))</f>
        <v>–</v>
      </c>
      <c r="AG45" s="74" t="str">
        <f>IF($BJ44&gt;0,IF(INDEX('Final Calculation Sheet'!$AF$4:$AF$40,$BJ44-3)="","",INDEX('Final Calculation Sheet'!$AF$4:$AF$40,$BJ44-3)),IF(OR($BI44=1,$BL44=1,$BH44&gt;0),"–",""))</f>
        <v>–</v>
      </c>
      <c r="AH45" s="70" t="str">
        <f>IF($BJ44&gt;0,IF(INDEX('Final Calculation Sheet'!$AG$4:$AG$40,$BJ44-3)="","",INDEX('Final Calculation Sheet'!$AG$4:$AG$40,$BJ44-3)),IF(OR($BI44=1,$BL44=1,$BH44&gt;0),"–",""))</f>
        <v>–</v>
      </c>
      <c r="AI45" s="75" t="str">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OUTSTANDING</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t="str">
        <f>IF($BJ45&gt;0,IF(INDEX('Final Calculation Sheet'!$AE$4:$AE$40,$BJ45-3)="","",INDEX('Final Calculation Sheet'!$AE$4:$AE$40,$BJ45-3)),IF(OR($BI45=1,$BL45=1,$BH45&gt;0),"–",""))</f>
        <v/>
      </c>
      <c r="AG46" s="74" t="str">
        <f>IF($BJ45&gt;0,IF(INDEX('Final Calculation Sheet'!$AF$4:$AF$40,$BJ45-3)="","",INDEX('Final Calculation Sheet'!$AF$4:$AF$40,$BJ45-3)),IF(OR($BI45=1,$BL45=1,$BH45&gt;0),"–",""))</f>
        <v/>
      </c>
      <c r="AH46" s="70" t="str">
        <f>IF($BJ45&gt;0,IF(INDEX('Final Calculation Sheet'!$AG$4:$AG$40,$BJ45-3)="","",INDEX('Final Calculation Sheet'!$AG$4:$AG$40,$BJ45-3)),IF(OR($BI45=1,$BL45=1,$BH45&gt;0),"–",""))</f>
        <v/>
      </c>
      <c r="AI46" s="75" t="str">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t="str">
        <f>IF($BJ46&gt;0,IF(INDEX('Final Calculation Sheet'!$AE$4:$AE$40,$BJ46-3)="","",INDEX('Final Calculation Sheet'!$AE$4:$AE$40,$BJ46-3)),IF(OR($BI46=1,$BL46=1,$BH46&gt;0),"–",""))</f>
        <v/>
      </c>
      <c r="AG47" s="74" t="str">
        <f>IF($BJ46&gt;0,IF(INDEX('Final Calculation Sheet'!$AF$4:$AF$40,$BJ46-3)="","",INDEX('Final Calculation Sheet'!$AF$4:$AF$40,$BJ46-3)),IF(OR($BI46=1,$BL46=1,$BH46&gt;0),"–",""))</f>
        <v/>
      </c>
      <c r="AH47" s="70" t="str">
        <f>IF($BJ46&gt;0,IF(INDEX('Final Calculation Sheet'!$AG$4:$AG$40,$BJ46-3)="","",INDEX('Final Calculation Sheet'!$AG$4:$AG$40,$BJ46-3)),IF(OR($BI46=1,$BL46=1,$BH46&gt;0),"–",""))</f>
        <v/>
      </c>
      <c r="AI47" s="75" t="str">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t="str">
        <f>IF($BJ47&gt;0,IF(INDEX('Final Calculation Sheet'!$AE$4:$AE$40,$BJ47-3)="","",INDEX('Final Calculation Sheet'!$AE$4:$AE$40,$BJ47-3)),IF(OR($BI47=1,$BL47=1,$BH47&gt;0),"–",""))</f>
        <v/>
      </c>
      <c r="AG48" s="74" t="str">
        <f>IF($BJ47&gt;0,IF(INDEX('Final Calculation Sheet'!$AF$4:$AF$40,$BJ47-3)="","",INDEX('Final Calculation Sheet'!$AF$4:$AF$40,$BJ47-3)),IF(OR($BI47=1,$BL47=1,$BH47&gt;0),"–",""))</f>
        <v/>
      </c>
      <c r="AH48" s="70" t="str">
        <f>IF($BJ47&gt;0,IF(INDEX('Final Calculation Sheet'!$AG$4:$AG$40,$BJ47-3)="","",INDEX('Final Calculation Sheet'!$AG$4:$AG$40,$BJ47-3)),IF(OR($BI47=1,$BL47=1,$BH47&gt;0),"–",""))</f>
        <v/>
      </c>
      <c r="AI48" s="75" t="str">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t="str">
        <f>IF($BJ48&gt;0,IF(INDEX('Final Calculation Sheet'!$AE$4:$AE$40,$BJ48-3)="","",INDEX('Final Calculation Sheet'!$AE$4:$AE$40,$BJ48-3)),IF(OR($BI48=1,$BL48=1,$BH48&gt;0),"–",""))</f>
        <v/>
      </c>
      <c r="AG49" s="74" t="str">
        <f>IF($BJ48&gt;0,IF(INDEX('Final Calculation Sheet'!$AF$4:$AF$40,$BJ48-3)="","",INDEX('Final Calculation Sheet'!$AF$4:$AF$40,$BJ48-3)),IF(OR($BI48=1,$BL48=1,$BH48&gt;0),"–",""))</f>
        <v/>
      </c>
      <c r="AH49" s="70" t="str">
        <f>IF($BJ48&gt;0,IF(INDEX('Final Calculation Sheet'!$AG$4:$AG$40,$BJ48-3)="","",INDEX('Final Calculation Sheet'!$AG$4:$AG$40,$BJ48-3)),IF(OR($BI48=1,$BL48=1,$BH48&gt;0),"–",""))</f>
        <v/>
      </c>
      <c r="AI49" s="75" t="str">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t="str">
        <f>IF($BJ49&gt;0,IF(INDEX('Final Calculation Sheet'!$AE$4:$AE$40,$BJ49-3)="","",INDEX('Final Calculation Sheet'!$AE$4:$AE$40,$BJ49-3)),IF(OR($BI49=1,$BL49=1,$BH49&gt;0),"–",""))</f>
        <v/>
      </c>
      <c r="AG50" s="74" t="str">
        <f>IF($BJ49&gt;0,IF(INDEX('Final Calculation Sheet'!$AF$4:$AF$40,$BJ49-3)="","",INDEX('Final Calculation Sheet'!$AF$4:$AF$40,$BJ49-3)),IF(OR($BI49=1,$BL49=1,$BH49&gt;0),"–",""))</f>
        <v/>
      </c>
      <c r="AH50" s="70" t="str">
        <f>IF($BJ49&gt;0,IF(INDEX('Final Calculation Sheet'!$AG$4:$AG$40,$BJ49-3)="","",INDEX('Final Calculation Sheet'!$AG$4:$AG$40,$BJ49-3)),IF(OR($BI49=1,$BL49=1,$BH49&gt;0),"–",""))</f>
        <v/>
      </c>
      <c r="AI50" s="75" t="str">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t="str">
        <f>IF($BJ50&gt;0,IF(INDEX('Final Calculation Sheet'!$AE$4:$AE$40,$BJ50-3)="","",INDEX('Final Calculation Sheet'!$AE$4:$AE$40,$BJ50-3)),IF(OR($BI50=1,$BL50=1,$BH50&gt;0),"–",""))</f>
        <v/>
      </c>
      <c r="AG51" s="74" t="str">
        <f>IF($BJ50&gt;0,IF(INDEX('Final Calculation Sheet'!$AF$4:$AF$40,$BJ50-3)="","",INDEX('Final Calculation Sheet'!$AF$4:$AF$40,$BJ50-3)),IF(OR($BI50=1,$BL50=1,$BH50&gt;0),"–",""))</f>
        <v/>
      </c>
      <c r="AH51" s="70" t="str">
        <f>IF($BJ50&gt;0,IF(INDEX('Final Calculation Sheet'!$AG$4:$AG$40,$BJ50-3)="","",INDEX('Final Calculation Sheet'!$AG$4:$AG$40,$BJ50-3)),IF(OR($BI50=1,$BL50=1,$BH50&gt;0),"–",""))</f>
        <v/>
      </c>
      <c r="AI51" s="75" t="str">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t="str">
        <f>IF($BJ51&gt;0,IF(INDEX('Final Calculation Sheet'!$AE$4:$AE$40,$BJ51-3)="","",INDEX('Final Calculation Sheet'!$AE$4:$AE$40,$BJ51-3)),IF(OR($BI51=1,$BL51=1,$BH51&gt;0),"–",""))</f>
        <v/>
      </c>
      <c r="AG52" s="74" t="str">
        <f>IF($BJ51&gt;0,IF(INDEX('Final Calculation Sheet'!$AF$4:$AF$40,$BJ51-3)="","",INDEX('Final Calculation Sheet'!$AF$4:$AF$40,$BJ51-3)),IF(OR($BI51=1,$BL51=1,$BH51&gt;0),"–",""))</f>
        <v/>
      </c>
      <c r="AH52" s="70" t="str">
        <f>IF($BJ51&gt;0,IF(INDEX('Final Calculation Sheet'!$AG$4:$AG$40,$BJ51-3)="","",INDEX('Final Calculation Sheet'!$AG$4:$AG$40,$BJ51-3)),IF(OR($BI51=1,$BL51=1,$BH51&gt;0),"–",""))</f>
        <v/>
      </c>
      <c r="AI52" s="75" t="str">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t="str">
        <f>IF($BJ52&gt;0,IF(INDEX('Final Calculation Sheet'!$AE$4:$AE$40,$BJ52-3)="","",INDEX('Final Calculation Sheet'!$AE$4:$AE$40,$BJ52-3)),IF(OR($BI52=1,$BL52=1,$BH52&gt;0),"–",""))</f>
        <v/>
      </c>
      <c r="AG53" s="74" t="str">
        <f>IF($BJ52&gt;0,IF(INDEX('Final Calculation Sheet'!$AF$4:$AF$40,$BJ52-3)="","",INDEX('Final Calculation Sheet'!$AF$4:$AF$40,$BJ52-3)),IF(OR($BI52=1,$BL52=1,$BH52&gt;0),"–",""))</f>
        <v/>
      </c>
      <c r="AH53" s="70" t="str">
        <f>IF($BJ52&gt;0,IF(INDEX('Final Calculation Sheet'!$AG$4:$AG$40,$BJ52-3)="","",INDEX('Final Calculation Sheet'!$AG$4:$AG$40,$BJ52-3)),IF(OR($BI52=1,$BL52=1,$BH52&gt;0),"–",""))</f>
        <v/>
      </c>
      <c r="AI53" s="75" t="str">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t="str">
        <f>IF($BJ53&gt;0,IF(INDEX('Final Calculation Sheet'!$AE$4:$AE$40,$BJ53-3)="","",INDEX('Final Calculation Sheet'!$AE$4:$AE$40,$BJ53-3)),IF(OR($BI53=1,$BL53=1,$BH53&gt;0),"–",""))</f>
        <v/>
      </c>
      <c r="AG54" s="74" t="str">
        <f>IF($BJ53&gt;0,IF(INDEX('Final Calculation Sheet'!$AF$4:$AF$40,$BJ53-3)="","",INDEX('Final Calculation Sheet'!$AF$4:$AF$40,$BJ53-3)),IF(OR($BI53=1,$BL53=1,$BH53&gt;0),"–",""))</f>
        <v/>
      </c>
      <c r="AH54" s="70" t="str">
        <f>IF($BJ53&gt;0,IF(INDEX('Final Calculation Sheet'!$AG$4:$AG$40,$BJ53-3)="","",INDEX('Final Calculation Sheet'!$AG$4:$AG$40,$BJ53-3)),IF(OR($BI53=1,$BL53=1,$BH53&gt;0),"–",""))</f>
        <v/>
      </c>
      <c r="AI54" s="75" t="str">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2:AI2"/>
    <mergeCell ref="B3:D3"/>
    <mergeCell ref="I3:AI3"/>
    <mergeCell ref="A1:AI1"/>
  </mergeCells>
  <conditionalFormatting sqref="A6:AH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onditionalFormatting>
  <conditionalFormatting sqref="AE6:AE54">
    <cfRule type="cellIs" priority="9" operator="greaterThan" dxfId="0">
      <formula>5</formula>
    </cfRule>
  </conditionalFormatting>
  <conditionalFormatting sqref="AI6:AI54">
    <cfRule type="cellIs" priority="10" operator="equal" dxfId="2">
      <formula>"SETTLED"</formula>
    </cfRule>
    <cfRule type="cellIs" priority="11" operator="equal" dxfId="0">
      <formula>"OUTSTANDING"</formula>
    </cfRule>
  </conditionalFormatting>
  <conditionalFormatting sqref="A6:AI54">
    <cfRule type="expression" priority="12" dxfId="40">
      <formula>OR($BJ5&gt;0,$BH5&gt;0,$BI5=1,$BL5=1)</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F4" showDropDown="0" showInputMessage="0" showErrorMessage="0" allowBlank="0" type="list">
      <formula1>SUG_AF</formula1>
      <formula2>0</formula2>
    </dataValidation>
    <dataValidation sqref="AG4" showDropDown="0" showInputMessage="0" showErrorMessage="0" allowBlank="0" type="list">
      <formula1>SUG_AG</formula1>
      <formula2>0</formula2>
    </dataValidation>
    <dataValidation sqref="AH4" showDropDown="0" showInputMessage="0" showErrorMessage="0" allowBlank="0" type="list">
      <formula1>SUG_AH</formula1>
      <formula2>0</formula2>
    </dataValidation>
    <dataValidation sqref="AI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type a few letters in any yellow search cell, then press Alt+↓: the dropdown lists only values containing what you typed (same contains rule as the highlight).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IF(AND(Lists!$FI$4&lt;&gt;"",ISNUMBER(SEARCH($AF$4,Lists!$FI$4))),1,0)</f>
        <v>#N/A</v>
      </c>
      <c r="CV4" t="e">
        <f>IF(ROW()-3&gt;MAX($CU$4:$CU$42),"",INDEX(Lists!$FI$4:$FI$42,MATCH(ROW()-3,$CU$4:$CU$42,0)))</f>
        <v>#N/A</v>
      </c>
      <c r="CW4" t="e">
        <f>IF(AND(Lists!$FN$4&lt;&gt;"",ISNUMBER(SEARCH($AG$4,Lists!$FN$4))),1,0)</f>
        <v>#N/A</v>
      </c>
      <c r="CX4" t="e">
        <f>IF(ROW()-3&gt;MAX($CW$4:$CW$42),"",INDEX(Lists!$FN$4:$FN$42,MATCH(ROW()-3,$CW$4:$CW$42,0)))</f>
        <v>#N/A</v>
      </c>
      <c r="CY4" t="e">
        <f>IF(AND(Lists!$FS$4&lt;&gt;"",ISNUMBER(SEARCH($AH$4,Lists!$FS$4))),1,0)</f>
        <v>#N/A</v>
      </c>
      <c r="CZ4" t="e">
        <f>IF(ROW()-3&gt;MAX($CY$4:$CY$42),"",INDEX(Lists!$FS$4:$FS$42,MATCH(ROW()-3,$CY$4:$CY$42,0)))</f>
        <v>#N/A</v>
      </c>
      <c r="DA4">
        <f>IF(AND(Lists!$FX$4&lt;&gt;"",ISNUMBER(SEARCH($AI$4,Lists!$FX$4))),1,0)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CU4+IF(AND(Lists!$FI$5&lt;&gt;"",ISNUMBER(SEARCH($AF$4,Lists!$FI$5))),1,0)</f>
        <v>#N/A</v>
      </c>
      <c r="CV5" t="e">
        <f>IF(ROW()-3&gt;MAX($CU$4:$CU$42),"",INDEX(Lists!$FI$4:$FI$42,MATCH(ROW()-3,$CU$4:$CU$42,0)))</f>
        <v>#N/A</v>
      </c>
      <c r="CW5" t="e">
        <f>CW4+IF(AND(Lists!$FN$5&lt;&gt;"",ISNUMBER(SEARCH($AG$4,Lists!$FN$5))),1,0)</f>
        <v>#N/A</v>
      </c>
      <c r="CX5" t="e">
        <f>IF(ROW()-3&gt;MAX($CW$4:$CW$42),"",INDEX(Lists!$FN$4:$FN$42,MATCH(ROW()-3,$CW$4:$CW$42,0)))</f>
        <v>#N/A</v>
      </c>
      <c r="CY5" t="e">
        <f>CY4+IF(AND(Lists!$FS$5&lt;&gt;"",ISNUMBER(SEARCH($AH$4,Lists!$FS$5))),1,0)</f>
        <v>#N/A</v>
      </c>
      <c r="CZ5" t="e">
        <f>IF(ROW()-3&gt;MAX($CY$4:$CY$42),"",INDEX(Lists!$FS$4:$FS$42,MATCH(ROW()-3,$CY$4:$CY$42,0)))</f>
        <v>#N/A</v>
      </c>
      <c r="DA5">
        <f>DA4+IF(AND(Lists!$FX$5&lt;&gt;"",ISNUMBER(SEARCH($AI$4,Lists!$FX$5))),1,0)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0" t="str">
        <f>IF('Final Calculation Sheet'!$AE$4="","",'Final Calculation Sheet'!$AE$4)</f>
        <v>DR2640100029</v>
      </c>
      <c r="AG6" s="74">
        <f>IF('Final Calculation Sheet'!$AF$4="","",'Final Calculation Sheet'!$AF$4)</f>
        <v>1800003271</v>
      </c>
      <c r="AH6" s="70" t="str">
        <f>IF('Final Calculation Sheet'!$AG$4="","",'Final Calculation Sheet'!$AG$4)</f>
        <v>24.08.2026</v>
      </c>
      <c r="AI6" s="75" t="str">
        <f>IF('Final Calculation Sheet'!$AD$4="","",IF('Final Calculation Sheet'!$AD$4&lt;=5,"SETTLED","OUTSTANDING"))</f>
        <v>SETTLED</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CU5+IF(AND(Lists!$FI$6&lt;&gt;"",ISNUMBER(SEARCH($AF$4,Lists!$FI$6))),1,0)</f>
        <v>#N/A</v>
      </c>
      <c r="CV6" t="e">
        <f>IF(ROW()-3&gt;MAX($CU$4:$CU$42),"",INDEX(Lists!$FI$4:$FI$42,MATCH(ROW()-3,$CU$4:$CU$42,0)))</f>
        <v>#N/A</v>
      </c>
      <c r="CW6" t="e">
        <f>CW5+IF(AND(Lists!$FN$6&lt;&gt;"",ISNUMBER(SEARCH($AG$4,Lists!$FN$6))),1,0)</f>
        <v>#N/A</v>
      </c>
      <c r="CX6" t="e">
        <f>IF(ROW()-3&gt;MAX($CW$4:$CW$42),"",INDEX(Lists!$FN$4:$FN$42,MATCH(ROW()-3,$CW$4:$CW$42,0)))</f>
        <v>#N/A</v>
      </c>
      <c r="CY6" t="e">
        <f>CY5+IF(AND(Lists!$FS$6&lt;&gt;"",ISNUMBER(SEARCH($AH$4,Lists!$FS$6))),1,0)</f>
        <v>#N/A</v>
      </c>
      <c r="CZ6" t="e">
        <f>IF(ROW()-3&gt;MAX($CY$4:$CY$42),"",INDEX(Lists!$FS$4:$FS$42,MATCH(ROW()-3,$CY$4:$CY$42,0)))</f>
        <v>#N/A</v>
      </c>
      <c r="DA6">
        <f>DA5+IF(AND(Lists!$FX$6&lt;&gt;"",ISNUMBER(SEARCH($AI$4,Lists!$FX$6))),1,0)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4" t="inlineStr">
        <is>
          <t>–</t>
        </is>
      </c>
      <c r="AG7" s="88" t="inlineStr">
        <is>
          <t>–</t>
        </is>
      </c>
      <c r="AH7" s="84" t="inlineStr">
        <is>
          <t>–</t>
        </is>
      </c>
      <c r="AI7" s="89" t="str">
        <f>IF(AE7&lt;=5,"SETTLED","OUTSTANDING")</f>
        <v>SETTLED</v>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CU6+IF(AND(Lists!$FI$7&lt;&gt;"",ISNUMBER(SEARCH($AF$4,Lists!$FI$7))),1,0)</f>
        <v>#N/A</v>
      </c>
      <c r="CV7" t="e">
        <f>IF(ROW()-3&gt;MAX($CU$4:$CU$42),"",INDEX(Lists!$FI$4:$FI$42,MATCH(ROW()-3,$CU$4:$CU$42,0)))</f>
        <v>#N/A</v>
      </c>
      <c r="CW7" t="e">
        <f>CW6+IF(AND(Lists!$FN$7&lt;&gt;"",ISNUMBER(SEARCH($AG$4,Lists!$FN$7))),1,0)</f>
        <v>#N/A</v>
      </c>
      <c r="CX7" t="e">
        <f>IF(ROW()-3&gt;MAX($CW$4:$CW$42),"",INDEX(Lists!$FN$4:$FN$42,MATCH(ROW()-3,$CW$4:$CW$42,0)))</f>
        <v>#N/A</v>
      </c>
      <c r="CY7" t="e">
        <f>CY6+IF(AND(Lists!$FS$7&lt;&gt;"",ISNUMBER(SEARCH($AH$4,Lists!$FS$7))),1,0)</f>
        <v>#N/A</v>
      </c>
      <c r="CZ7" t="e">
        <f>IF(ROW()-3&gt;MAX($CY$4:$CY$42),"",INDEX(Lists!$FS$4:$FS$42,MATCH(ROW()-3,$CY$4:$CY$42,0)))</f>
        <v>#N/A</v>
      </c>
      <c r="DA7">
        <f>DA6+IF(AND(Lists!$FX$7&lt;&gt;"",ISNUMBER(SEARCH($AI$4,Lists!$FX$7))),1,0)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0" t="str">
        <f>IF('Final Calculation Sheet'!$AE$6="","",'Final Calculation Sheet'!$AE$6)</f>
        <v>DR2640100047</v>
      </c>
      <c r="AG8" s="74">
        <f>IF('Final Calculation Sheet'!$AF$6="","",'Final Calculation Sheet'!$AF$6)</f>
        <v>1800003346</v>
      </c>
      <c r="AH8" s="70" t="str">
        <f>IF('Final Calculation Sheet'!$AG$6="","",'Final Calculation Sheet'!$AG$6)</f>
        <v>27.08.2026</v>
      </c>
      <c r="AI8" s="75" t="str">
        <f>IF('Final Calculation Sheet'!$AD$6="","",IF('Final Calculation Sheet'!$AD$6&lt;=5,"SETTLED","OUTSTANDING"))</f>
        <v>SETTLED</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CU7+IF(AND(Lists!$FI$8&lt;&gt;"",ISNUMBER(SEARCH($AF$4,Lists!$FI$8))),1,0)</f>
        <v>#N/A</v>
      </c>
      <c r="CV8" t="e">
        <f>IF(ROW()-3&gt;MAX($CU$4:$CU$42),"",INDEX(Lists!$FI$4:$FI$42,MATCH(ROW()-3,$CU$4:$CU$42,0)))</f>
        <v>#N/A</v>
      </c>
      <c r="CW8" t="e">
        <f>CW7+IF(AND(Lists!$FN$8&lt;&gt;"",ISNUMBER(SEARCH($AG$4,Lists!$FN$8))),1,0)</f>
        <v>#N/A</v>
      </c>
      <c r="CX8" t="e">
        <f>IF(ROW()-3&gt;MAX($CW$4:$CW$42),"",INDEX(Lists!$FN$4:$FN$42,MATCH(ROW()-3,$CW$4:$CW$42,0)))</f>
        <v>#N/A</v>
      </c>
      <c r="CY8" t="e">
        <f>CY7+IF(AND(Lists!$FS$8&lt;&gt;"",ISNUMBER(SEARCH($AH$4,Lists!$FS$8))),1,0)</f>
        <v>#N/A</v>
      </c>
      <c r="CZ8" t="e">
        <f>IF(ROW()-3&gt;MAX($CY$4:$CY$42),"",INDEX(Lists!$FS$4:$FS$42,MATCH(ROW()-3,$CY$4:$CY$42,0)))</f>
        <v>#N/A</v>
      </c>
      <c r="DA8">
        <f>DA7+IF(AND(Lists!$FX$8&lt;&gt;"",ISNUMBER(SEARCH($AI$4,Lists!$FX$8))),1,0)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95" t="str">
        <f>IF('Final Calculation Sheet'!$AE$7="","",'Final Calculation Sheet'!$AE$7)</f>
        <v>DR2640100048</v>
      </c>
      <c r="AG9" s="99">
        <f>IF('Final Calculation Sheet'!$AF$7="","",'Final Calculation Sheet'!$AF$7)</f>
        <v>1800003347</v>
      </c>
      <c r="AH9" s="95" t="str">
        <f>IF('Final Calculation Sheet'!$AG$7="","",'Final Calculation Sheet'!$AG$7)</f>
        <v>27.08.2026</v>
      </c>
      <c r="AI9" s="100" t="str">
        <f>IF('Final Calculation Sheet'!$AD$7="","",IF('Final Calculation Sheet'!$AD$7&lt;=5,"SETTLED","OUTSTANDING"))</f>
        <v>SETTLED</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CU8+IF(AND(Lists!$FI$9&lt;&gt;"",ISNUMBER(SEARCH($AF$4,Lists!$FI$9))),1,0)</f>
        <v>#N/A</v>
      </c>
      <c r="CV9" t="e">
        <f>IF(ROW()-3&gt;MAX($CU$4:$CU$42),"",INDEX(Lists!$FI$4:$FI$42,MATCH(ROW()-3,$CU$4:$CU$42,0)))</f>
        <v>#N/A</v>
      </c>
      <c r="CW9" t="e">
        <f>CW8+IF(AND(Lists!$FN$9&lt;&gt;"",ISNUMBER(SEARCH($AG$4,Lists!$FN$9))),1,0)</f>
        <v>#N/A</v>
      </c>
      <c r="CX9" t="e">
        <f>IF(ROW()-3&gt;MAX($CW$4:$CW$42),"",INDEX(Lists!$FN$4:$FN$42,MATCH(ROW()-3,$CW$4:$CW$42,0)))</f>
        <v>#N/A</v>
      </c>
      <c r="CY9" t="e">
        <f>CY8+IF(AND(Lists!$FS$9&lt;&gt;"",ISNUMBER(SEARCH($AH$4,Lists!$FS$9))),1,0)</f>
        <v>#N/A</v>
      </c>
      <c r="CZ9" t="e">
        <f>IF(ROW()-3&gt;MAX($CY$4:$CY$42),"",INDEX(Lists!$FS$4:$FS$42,MATCH(ROW()-3,$CY$4:$CY$42,0)))</f>
        <v>#N/A</v>
      </c>
      <c r="DA9">
        <f>DA8+IF(AND(Lists!$FX$9&lt;&gt;"",ISNUMBER(SEARCH($AI$4,Lists!$FX$9))),1,0)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4" t="inlineStr">
        <is>
          <t>–</t>
        </is>
      </c>
      <c r="AG10" s="88" t="inlineStr">
        <is>
          <t>–</t>
        </is>
      </c>
      <c r="AH10" s="84" t="inlineStr">
        <is>
          <t>–</t>
        </is>
      </c>
      <c r="AI10" s="89" t="str">
        <f>IF(AE10&lt;=5,"SETTLED","OUTSTANDING")</f>
        <v>SETTLED</v>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CU9+IF(AND(Lists!$FI$10&lt;&gt;"",ISNUMBER(SEARCH($AF$4,Lists!$FI$10))),1,0)</f>
        <v>#N/A</v>
      </c>
      <c r="CV10" t="e">
        <f>IF(ROW()-3&gt;MAX($CU$4:$CU$42),"",INDEX(Lists!$FI$4:$FI$42,MATCH(ROW()-3,$CU$4:$CU$42,0)))</f>
        <v>#N/A</v>
      </c>
      <c r="CW10" t="e">
        <f>CW9+IF(AND(Lists!$FN$10&lt;&gt;"",ISNUMBER(SEARCH($AG$4,Lists!$FN$10))),1,0)</f>
        <v>#N/A</v>
      </c>
      <c r="CX10" t="e">
        <f>IF(ROW()-3&gt;MAX($CW$4:$CW$42),"",INDEX(Lists!$FN$4:$FN$42,MATCH(ROW()-3,$CW$4:$CW$42,0)))</f>
        <v>#N/A</v>
      </c>
      <c r="CY10" t="e">
        <f>CY9+IF(AND(Lists!$FS$10&lt;&gt;"",ISNUMBER(SEARCH($AH$4,Lists!$FS$10))),1,0)</f>
        <v>#N/A</v>
      </c>
      <c r="CZ10" t="e">
        <f>IF(ROW()-3&gt;MAX($CY$4:$CY$42),"",INDEX(Lists!$FS$4:$FS$42,MATCH(ROW()-3,$CY$4:$CY$42,0)))</f>
        <v>#N/A</v>
      </c>
      <c r="DA10">
        <f>DA9+IF(AND(Lists!$FX$10&lt;&gt;"",ISNUMBER(SEARCH($AI$4,Lists!$FX$10))),1,0)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0" t="str">
        <f>IF('Final Calculation Sheet'!$AE$15="","",'Final Calculation Sheet'!$AE$15)</f>
        <v>DR2640100026</v>
      </c>
      <c r="AG11" s="74">
        <f>IF('Final Calculation Sheet'!$AF$15="","",'Final Calculation Sheet'!$AF$15)</f>
        <v>1800003247</v>
      </c>
      <c r="AH11" s="70" t="str">
        <f>IF('Final Calculation Sheet'!$AG$15="","",'Final Calculation Sheet'!$AG$15)</f>
        <v>20.08.2026</v>
      </c>
      <c r="AI11" s="75" t="str">
        <f>IF('Final Calculation Sheet'!$AD$15="","",IF('Final Calculation Sheet'!$AD$15&lt;=5,"SETTLED","OUTSTANDING"))</f>
        <v>SETTLED</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CU10+IF(AND(Lists!$FI$11&lt;&gt;"",ISNUMBER(SEARCH($AF$4,Lists!$FI$11))),1,0)</f>
        <v>#N/A</v>
      </c>
      <c r="CV11" t="e">
        <f>IF(ROW()-3&gt;MAX($CU$4:$CU$42),"",INDEX(Lists!$FI$4:$FI$42,MATCH(ROW()-3,$CU$4:$CU$42,0)))</f>
        <v>#N/A</v>
      </c>
      <c r="CW11" t="e">
        <f>CW10+IF(AND(Lists!$FN$11&lt;&gt;"",ISNUMBER(SEARCH($AG$4,Lists!$FN$11))),1,0)</f>
        <v>#N/A</v>
      </c>
      <c r="CX11" t="e">
        <f>IF(ROW()-3&gt;MAX($CW$4:$CW$42),"",INDEX(Lists!$FN$4:$FN$42,MATCH(ROW()-3,$CW$4:$CW$42,0)))</f>
        <v>#N/A</v>
      </c>
      <c r="CY11" t="e">
        <f>CY10+IF(AND(Lists!$FS$11&lt;&gt;"",ISNUMBER(SEARCH($AH$4,Lists!$FS$11))),1,0)</f>
        <v>#N/A</v>
      </c>
      <c r="CZ11" t="e">
        <f>IF(ROW()-3&gt;MAX($CY$4:$CY$42),"",INDEX(Lists!$FS$4:$FS$42,MATCH(ROW()-3,$CY$4:$CY$42,0)))</f>
        <v>#N/A</v>
      </c>
      <c r="DA11">
        <f>DA10+IF(AND(Lists!$FX$11&lt;&gt;"",ISNUMBER(SEARCH($AI$4,Lists!$FX$11))),1,0)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4" t="inlineStr">
        <is>
          <t>–</t>
        </is>
      </c>
      <c r="AG12" s="88" t="inlineStr">
        <is>
          <t>–</t>
        </is>
      </c>
      <c r="AH12" s="84" t="inlineStr">
        <is>
          <t>–</t>
        </is>
      </c>
      <c r="AI12" s="89" t="str">
        <f>IF(AE12&lt;=5,"SETTLED","OUTSTANDING")</f>
        <v>SETTLED</v>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CU11+IF(AND(Lists!$FI$12&lt;&gt;"",ISNUMBER(SEARCH($AF$4,Lists!$FI$12))),1,0)</f>
        <v>#N/A</v>
      </c>
      <c r="CV12" t="e">
        <f>IF(ROW()-3&gt;MAX($CU$4:$CU$42),"",INDEX(Lists!$FI$4:$FI$42,MATCH(ROW()-3,$CU$4:$CU$42,0)))</f>
        <v>#N/A</v>
      </c>
      <c r="CW12" t="e">
        <f>CW11+IF(AND(Lists!$FN$12&lt;&gt;"",ISNUMBER(SEARCH($AG$4,Lists!$FN$12))),1,0)</f>
        <v>#N/A</v>
      </c>
      <c r="CX12" t="e">
        <f>IF(ROW()-3&gt;MAX($CW$4:$CW$42),"",INDEX(Lists!$FN$4:$FN$42,MATCH(ROW()-3,$CW$4:$CW$42,0)))</f>
        <v>#N/A</v>
      </c>
      <c r="CY12" t="e">
        <f>CY11+IF(AND(Lists!$FS$12&lt;&gt;"",ISNUMBER(SEARCH($AH$4,Lists!$FS$12))),1,0)</f>
        <v>#N/A</v>
      </c>
      <c r="CZ12" t="e">
        <f>IF(ROW()-3&gt;MAX($CY$4:$CY$42),"",INDEX(Lists!$FS$4:$FS$42,MATCH(ROW()-3,$CY$4:$CY$42,0)))</f>
        <v>#N/A</v>
      </c>
      <c r="DA12">
        <f>DA11+IF(AND(Lists!$FX$12&lt;&gt;"",ISNUMBER(SEARCH($AI$4,Lists!$FX$12))),1,0)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0" t="str">
        <f>IF('Final Calculation Sheet'!$AE$38="","",'Final Calculation Sheet'!$AE$38)</f>
        <v>DR2640100025</v>
      </c>
      <c r="AG13" s="74">
        <f>IF('Final Calculation Sheet'!$AF$38="","",'Final Calculation Sheet'!$AF$38)</f>
        <v>1800003226</v>
      </c>
      <c r="AH13" s="70" t="str">
        <f>IF('Final Calculation Sheet'!$AG$38="","",'Final Calculation Sheet'!$AG$38)</f>
        <v>19.08.2026</v>
      </c>
      <c r="AI13" s="75" t="str">
        <f>IF('Final Calculation Sheet'!$AD$38="","",IF('Final Calculation Sheet'!$AD$38&lt;=5,"SETTLED","OUTSTANDING"))</f>
        <v>SETTLED</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CU12+IF(AND(Lists!$FI$13&lt;&gt;"",ISNUMBER(SEARCH($AF$4,Lists!$FI$13))),1,0)</f>
        <v>#N/A</v>
      </c>
      <c r="CV13" t="e">
        <f>IF(ROW()-3&gt;MAX($CU$4:$CU$42),"",INDEX(Lists!$FI$4:$FI$42,MATCH(ROW()-3,$CU$4:$CU$42,0)))</f>
        <v>#N/A</v>
      </c>
      <c r="CW13" t="e">
        <f>CW12+IF(AND(Lists!$FN$13&lt;&gt;"",ISNUMBER(SEARCH($AG$4,Lists!$FN$13))),1,0)</f>
        <v>#N/A</v>
      </c>
      <c r="CX13" t="e">
        <f>IF(ROW()-3&gt;MAX($CW$4:$CW$42),"",INDEX(Lists!$FN$4:$FN$42,MATCH(ROW()-3,$CW$4:$CW$42,0)))</f>
        <v>#N/A</v>
      </c>
      <c r="CY13" t="e">
        <f>CY12+IF(AND(Lists!$FS$13&lt;&gt;"",ISNUMBER(SEARCH($AH$4,Lists!$FS$13))),1,0)</f>
        <v>#N/A</v>
      </c>
      <c r="CZ13" t="e">
        <f>IF(ROW()-3&gt;MAX($CY$4:$CY$42),"",INDEX(Lists!$FS$4:$FS$42,MATCH(ROW()-3,$CY$4:$CY$42,0)))</f>
        <v>#N/A</v>
      </c>
      <c r="DA13">
        <f>DA12+IF(AND(Lists!$FX$13&lt;&gt;"",ISNUMBER(SEARCH($AI$4,Lists!$FX$13))),1,0)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4" t="inlineStr">
        <is>
          <t>–</t>
        </is>
      </c>
      <c r="AG14" s="88" t="inlineStr">
        <is>
          <t>–</t>
        </is>
      </c>
      <c r="AH14" s="84" t="inlineStr">
        <is>
          <t>–</t>
        </is>
      </c>
      <c r="AI14" s="89" t="str">
        <f>IF(AE14&lt;=5,"SETTLED","OUTSTANDING")</f>
        <v>SETTLED</v>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CU13+IF(AND(Lists!$FI$14&lt;&gt;"",ISNUMBER(SEARCH($AF$4,Lists!$FI$14))),1,0)</f>
        <v>#N/A</v>
      </c>
      <c r="CV14" t="e">
        <f>IF(ROW()-3&gt;MAX($CU$4:$CU$42),"",INDEX(Lists!$FI$4:$FI$42,MATCH(ROW()-3,$CU$4:$CU$42,0)))</f>
        <v>#N/A</v>
      </c>
      <c r="CW14" t="e">
        <f>CW13+IF(AND(Lists!$FN$14&lt;&gt;"",ISNUMBER(SEARCH($AG$4,Lists!$FN$14))),1,0)</f>
        <v>#N/A</v>
      </c>
      <c r="CX14" t="e">
        <f>IF(ROW()-3&gt;MAX($CW$4:$CW$42),"",INDEX(Lists!$FN$4:$FN$42,MATCH(ROW()-3,$CW$4:$CW$42,0)))</f>
        <v>#N/A</v>
      </c>
      <c r="CY14" t="e">
        <f>CY13+IF(AND(Lists!$FS$14&lt;&gt;"",ISNUMBER(SEARCH($AH$4,Lists!$FS$14))),1,0)</f>
        <v>#N/A</v>
      </c>
      <c r="CZ14" t="e">
        <f>IF(ROW()-3&gt;MAX($CY$4:$CY$42),"",INDEX(Lists!$FS$4:$FS$42,MATCH(ROW()-3,$CY$4:$CY$42,0)))</f>
        <v>#N/A</v>
      </c>
      <c r="DA14">
        <f>DA13+IF(AND(Lists!$FX$14&lt;&gt;"",ISNUMBER(SEARCH($AI$4,Lists!$FX$14))),1,0)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0" t="str">
        <f>IF('Final Calculation Sheet'!$AE$27="","",'Final Calculation Sheet'!$AE$27)</f>
        <v/>
      </c>
      <c r="AG15" s="74" t="str">
        <f>IF('Final Calculation Sheet'!$AF$27="","",'Final Calculation Sheet'!$AF$27)</f>
        <v/>
      </c>
      <c r="AH15" s="70" t="str">
        <f>IF('Final Calculation Sheet'!$AG$27="","",'Final Calculation Sheet'!$AG$27)</f>
        <v/>
      </c>
      <c r="AI15" s="75" t="str">
        <f>IF('Final Calculation Sheet'!$AD$27="","",IF('Final Calculation Sheet'!$AD$27&lt;=5,"SETTLED","OUTSTANDING"))</f>
        <v>OUTSTANDING</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CU14+IF(AND(Lists!$FI$15&lt;&gt;"",ISNUMBER(SEARCH($AF$4,Lists!$FI$15))),1,0)</f>
        <v>#N/A</v>
      </c>
      <c r="CV15" t="e">
        <f>IF(ROW()-3&gt;MAX($CU$4:$CU$42),"",INDEX(Lists!$FI$4:$FI$42,MATCH(ROW()-3,$CU$4:$CU$42,0)))</f>
        <v>#N/A</v>
      </c>
      <c r="CW15" t="e">
        <f>CW14+IF(AND(Lists!$FN$15&lt;&gt;"",ISNUMBER(SEARCH($AG$4,Lists!$FN$15))),1,0)</f>
        <v>#N/A</v>
      </c>
      <c r="CX15" t="e">
        <f>IF(ROW()-3&gt;MAX($CW$4:$CW$42),"",INDEX(Lists!$FN$4:$FN$42,MATCH(ROW()-3,$CW$4:$CW$42,0)))</f>
        <v>#N/A</v>
      </c>
      <c r="CY15" t="e">
        <f>CY14+IF(AND(Lists!$FS$15&lt;&gt;"",ISNUMBER(SEARCH($AH$4,Lists!$FS$15))),1,0)</f>
        <v>#N/A</v>
      </c>
      <c r="CZ15" t="e">
        <f>IF(ROW()-3&gt;MAX($CY$4:$CY$42),"",INDEX(Lists!$FS$4:$FS$42,MATCH(ROW()-3,$CY$4:$CY$42,0)))</f>
        <v>#N/A</v>
      </c>
      <c r="DA15">
        <f>DA14+IF(AND(Lists!$FX$15&lt;&gt;"",ISNUMBER(SEARCH($AI$4,Lists!$FX$15))),1,0)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4" t="inlineStr">
        <is>
          <t>–</t>
        </is>
      </c>
      <c r="AG16" s="88" t="inlineStr">
        <is>
          <t>–</t>
        </is>
      </c>
      <c r="AH16" s="84" t="inlineStr">
        <is>
          <t>–</t>
        </is>
      </c>
      <c r="AI16" s="89" t="str">
        <f>IF(AE16&lt;=5,"SETTLED","OUTSTANDING")</f>
        <v>OUTSTANDING</v>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CU15+IF(AND(Lists!$FI$16&lt;&gt;"",ISNUMBER(SEARCH($AF$4,Lists!$FI$16))),1,0)</f>
        <v>#N/A</v>
      </c>
      <c r="CV16" t="e">
        <f>IF(ROW()-3&gt;MAX($CU$4:$CU$42),"",INDEX(Lists!$FI$4:$FI$42,MATCH(ROW()-3,$CU$4:$CU$42,0)))</f>
        <v>#N/A</v>
      </c>
      <c r="CW16" t="e">
        <f>CW15+IF(AND(Lists!$FN$16&lt;&gt;"",ISNUMBER(SEARCH($AG$4,Lists!$FN$16))),1,0)</f>
        <v>#N/A</v>
      </c>
      <c r="CX16" t="e">
        <f>IF(ROW()-3&gt;MAX($CW$4:$CW$42),"",INDEX(Lists!$FN$4:$FN$42,MATCH(ROW()-3,$CW$4:$CW$42,0)))</f>
        <v>#N/A</v>
      </c>
      <c r="CY16" t="e">
        <f>CY15+IF(AND(Lists!$FS$16&lt;&gt;"",ISNUMBER(SEARCH($AH$4,Lists!$FS$16))),1,0)</f>
        <v>#N/A</v>
      </c>
      <c r="CZ16" t="e">
        <f>IF(ROW()-3&gt;MAX($CY$4:$CY$42),"",INDEX(Lists!$FS$4:$FS$42,MATCH(ROW()-3,$CY$4:$CY$42,0)))</f>
        <v>#N/A</v>
      </c>
      <c r="DA16">
        <f>DA15+IF(AND(Lists!$FX$16&lt;&gt;"",ISNUMBER(SEARCH($AI$4,Lists!$FX$16))),1,0)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0" t="str">
        <f>IF('Final Calculation Sheet'!$AE$5="","",'Final Calculation Sheet'!$AE$5)</f>
        <v>DR2640100030</v>
      </c>
      <c r="AG17" s="74">
        <f>IF('Final Calculation Sheet'!$AF$5="","",'Final Calculation Sheet'!$AF$5)</f>
        <v>1800003302</v>
      </c>
      <c r="AH17" s="70" t="str">
        <f>IF('Final Calculation Sheet'!$AG$5="","",'Final Calculation Sheet'!$AG$5)</f>
        <v>27.08.2026</v>
      </c>
      <c r="AI17" s="75" t="str">
        <f>IF('Final Calculation Sheet'!$AD$5="","",IF('Final Calculation Sheet'!$AD$5&lt;=5,"SETTLED","OUTSTANDING"))</f>
        <v>SETTLED</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CU16+IF(AND(Lists!$FI$17&lt;&gt;"",ISNUMBER(SEARCH($AF$4,Lists!$FI$17))),1,0)</f>
        <v>#N/A</v>
      </c>
      <c r="CV17" t="e">
        <f>IF(ROW()-3&gt;MAX($CU$4:$CU$42),"",INDEX(Lists!$FI$4:$FI$42,MATCH(ROW()-3,$CU$4:$CU$42,0)))</f>
        <v>#N/A</v>
      </c>
      <c r="CW17" t="e">
        <f>CW16+IF(AND(Lists!$FN$17&lt;&gt;"",ISNUMBER(SEARCH($AG$4,Lists!$FN$17))),1,0)</f>
        <v>#N/A</v>
      </c>
      <c r="CX17" t="e">
        <f>IF(ROW()-3&gt;MAX($CW$4:$CW$42),"",INDEX(Lists!$FN$4:$FN$42,MATCH(ROW()-3,$CW$4:$CW$42,0)))</f>
        <v>#N/A</v>
      </c>
      <c r="CY17" t="e">
        <f>CY16+IF(AND(Lists!$FS$17&lt;&gt;"",ISNUMBER(SEARCH($AH$4,Lists!$FS$17))),1,0)</f>
        <v>#N/A</v>
      </c>
      <c r="CZ17" t="e">
        <f>IF(ROW()-3&gt;MAX($CY$4:$CY$42),"",INDEX(Lists!$FS$4:$FS$42,MATCH(ROW()-3,$CY$4:$CY$42,0)))</f>
        <v>#N/A</v>
      </c>
      <c r="DA17">
        <f>DA16+IF(AND(Lists!$FX$17&lt;&gt;"",ISNUMBER(SEARCH($AI$4,Lists!$FX$17))),1,0)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95" t="str">
        <f>IF('Final Calculation Sheet'!$AE$10="","",'Final Calculation Sheet'!$AE$10)</f>
        <v>DR2640100031</v>
      </c>
      <c r="AG18" s="99">
        <f>IF('Final Calculation Sheet'!$AF$10="","",'Final Calculation Sheet'!$AF$10)</f>
        <v>1800003303</v>
      </c>
      <c r="AH18" s="95" t="str">
        <f>IF('Final Calculation Sheet'!$AG$10="","",'Final Calculation Sheet'!$AG$10)</f>
        <v>27.08.2026</v>
      </c>
      <c r="AI18" s="100" t="str">
        <f>IF('Final Calculation Sheet'!$AD$10="","",IF('Final Calculation Sheet'!$AD$10&lt;=5,"SETTLED","OUTSTANDING"))</f>
        <v>SETTLED</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CU17+IF(AND(Lists!$FI$18&lt;&gt;"",ISNUMBER(SEARCH($AF$4,Lists!$FI$18))),1,0)</f>
        <v>#N/A</v>
      </c>
      <c r="CV18" t="e">
        <f>IF(ROW()-3&gt;MAX($CU$4:$CU$42),"",INDEX(Lists!$FI$4:$FI$42,MATCH(ROW()-3,$CU$4:$CU$42,0)))</f>
        <v>#N/A</v>
      </c>
      <c r="CW18" t="e">
        <f>CW17+IF(AND(Lists!$FN$18&lt;&gt;"",ISNUMBER(SEARCH($AG$4,Lists!$FN$18))),1,0)</f>
        <v>#N/A</v>
      </c>
      <c r="CX18" t="e">
        <f>IF(ROW()-3&gt;MAX($CW$4:$CW$42),"",INDEX(Lists!$FN$4:$FN$42,MATCH(ROW()-3,$CW$4:$CW$42,0)))</f>
        <v>#N/A</v>
      </c>
      <c r="CY18" t="e">
        <f>CY17+IF(AND(Lists!$FS$18&lt;&gt;"",ISNUMBER(SEARCH($AH$4,Lists!$FS$18))),1,0)</f>
        <v>#N/A</v>
      </c>
      <c r="CZ18" t="e">
        <f>IF(ROW()-3&gt;MAX($CY$4:$CY$42),"",INDEX(Lists!$FS$4:$FS$42,MATCH(ROW()-3,$CY$4:$CY$42,0)))</f>
        <v>#N/A</v>
      </c>
      <c r="DA18">
        <f>DA17+IF(AND(Lists!$FX$18&lt;&gt;"",ISNUMBER(SEARCH($AI$4,Lists!$FX$18))),1,0)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0" t="str">
        <f>IF('Final Calculation Sheet'!$AE$11="","",'Final Calculation Sheet'!$AE$11)</f>
        <v>DR2640100032</v>
      </c>
      <c r="AG19" s="74">
        <f>IF('Final Calculation Sheet'!$AF$11="","",'Final Calculation Sheet'!$AF$11)</f>
        <v>1800003304</v>
      </c>
      <c r="AH19" s="70" t="str">
        <f>IF('Final Calculation Sheet'!$AG$11="","",'Final Calculation Sheet'!$AG$11)</f>
        <v>27.08.2026</v>
      </c>
      <c r="AI19" s="75" t="str">
        <f>IF('Final Calculation Sheet'!$AD$11="","",IF('Final Calculation Sheet'!$AD$11&lt;=5,"SETTLED","OUTSTANDING"))</f>
        <v>SETTLED</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CU18+IF(AND(Lists!$FI$19&lt;&gt;"",ISNUMBER(SEARCH($AF$4,Lists!$FI$19))),1,0)</f>
        <v>#N/A</v>
      </c>
      <c r="CV19" t="e">
        <f>IF(ROW()-3&gt;MAX($CU$4:$CU$42),"",INDEX(Lists!$FI$4:$FI$42,MATCH(ROW()-3,$CU$4:$CU$42,0)))</f>
        <v>#N/A</v>
      </c>
      <c r="CW19" t="e">
        <f>CW18+IF(AND(Lists!$FN$19&lt;&gt;"",ISNUMBER(SEARCH($AG$4,Lists!$FN$19))),1,0)</f>
        <v>#N/A</v>
      </c>
      <c r="CX19" t="e">
        <f>IF(ROW()-3&gt;MAX($CW$4:$CW$42),"",INDEX(Lists!$FN$4:$FN$42,MATCH(ROW()-3,$CW$4:$CW$42,0)))</f>
        <v>#N/A</v>
      </c>
      <c r="CY19" t="e">
        <f>CY18+IF(AND(Lists!$FS$19&lt;&gt;"",ISNUMBER(SEARCH($AH$4,Lists!$FS$19))),1,0)</f>
        <v>#N/A</v>
      </c>
      <c r="CZ19" t="e">
        <f>IF(ROW()-3&gt;MAX($CY$4:$CY$42),"",INDEX(Lists!$FS$4:$FS$42,MATCH(ROW()-3,$CY$4:$CY$42,0)))</f>
        <v>#N/A</v>
      </c>
      <c r="DA19">
        <f>DA18+IF(AND(Lists!$FX$19&lt;&gt;"",ISNUMBER(SEARCH($AI$4,Lists!$FX$19))),1,0)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95" t="str">
        <f>IF('Final Calculation Sheet'!$AE$12="","",'Final Calculation Sheet'!$AE$12)</f>
        <v>DR2640100033</v>
      </c>
      <c r="AG20" s="99">
        <f>IF('Final Calculation Sheet'!$AF$12="","",'Final Calculation Sheet'!$AF$12)</f>
        <v>1800003305</v>
      </c>
      <c r="AH20" s="95" t="str">
        <f>IF('Final Calculation Sheet'!$AG$12="","",'Final Calculation Sheet'!$AG$12)</f>
        <v>27.08.2026</v>
      </c>
      <c r="AI20" s="100" t="str">
        <f>IF('Final Calculation Sheet'!$AD$12="","",IF('Final Calculation Sheet'!$AD$12&lt;=5,"SETTLED","OUTSTANDING"))</f>
        <v>SETTLED</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CU19+IF(AND(Lists!$FI$20&lt;&gt;"",ISNUMBER(SEARCH($AF$4,Lists!$FI$20))),1,0)</f>
        <v>#N/A</v>
      </c>
      <c r="CV20" t="e">
        <f>IF(ROW()-3&gt;MAX($CU$4:$CU$42),"",INDEX(Lists!$FI$4:$FI$42,MATCH(ROW()-3,$CU$4:$CU$42,0)))</f>
        <v>#N/A</v>
      </c>
      <c r="CW20" t="e">
        <f>CW19+IF(AND(Lists!$FN$20&lt;&gt;"",ISNUMBER(SEARCH($AG$4,Lists!$FN$20))),1,0)</f>
        <v>#N/A</v>
      </c>
      <c r="CX20" t="e">
        <f>IF(ROW()-3&gt;MAX($CW$4:$CW$42),"",INDEX(Lists!$FN$4:$FN$42,MATCH(ROW()-3,$CW$4:$CW$42,0)))</f>
        <v>#N/A</v>
      </c>
      <c r="CY20" t="e">
        <f>CY19+IF(AND(Lists!$FS$20&lt;&gt;"",ISNUMBER(SEARCH($AH$4,Lists!$FS$20))),1,0)</f>
        <v>#N/A</v>
      </c>
      <c r="CZ20" t="e">
        <f>IF(ROW()-3&gt;MAX($CY$4:$CY$42),"",INDEX(Lists!$FS$4:$FS$42,MATCH(ROW()-3,$CY$4:$CY$42,0)))</f>
        <v>#N/A</v>
      </c>
      <c r="DA20">
        <f>DA19+IF(AND(Lists!$FX$20&lt;&gt;"",ISNUMBER(SEARCH($AI$4,Lists!$FX$20))),1,0)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0" t="str">
        <f>IF('Final Calculation Sheet'!$AE$18="","",'Final Calculation Sheet'!$AE$18)</f>
        <v>DR2640100034</v>
      </c>
      <c r="AG21" s="74">
        <f>IF('Final Calculation Sheet'!$AF$18="","",'Final Calculation Sheet'!$AF$18)</f>
        <v>1800003306</v>
      </c>
      <c r="AH21" s="70" t="str">
        <f>IF('Final Calculation Sheet'!$AG$18="","",'Final Calculation Sheet'!$AG$18)</f>
        <v>27.08.2026</v>
      </c>
      <c r="AI21" s="75" t="str">
        <f>IF('Final Calculation Sheet'!$AD$18="","",IF('Final Calculation Sheet'!$AD$18&lt;=5,"SETTLED","OUTSTANDING"))</f>
        <v>SETTLED</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CU20+IF(AND(Lists!$FI$21&lt;&gt;"",ISNUMBER(SEARCH($AF$4,Lists!$FI$21))),1,0)</f>
        <v>#N/A</v>
      </c>
      <c r="CV21" t="e">
        <f>IF(ROW()-3&gt;MAX($CU$4:$CU$42),"",INDEX(Lists!$FI$4:$FI$42,MATCH(ROW()-3,$CU$4:$CU$42,0)))</f>
        <v>#N/A</v>
      </c>
      <c r="CW21" t="e">
        <f>CW20+IF(AND(Lists!$FN$21&lt;&gt;"",ISNUMBER(SEARCH($AG$4,Lists!$FN$21))),1,0)</f>
        <v>#N/A</v>
      </c>
      <c r="CX21" t="e">
        <f>IF(ROW()-3&gt;MAX($CW$4:$CW$42),"",INDEX(Lists!$FN$4:$FN$42,MATCH(ROW()-3,$CW$4:$CW$42,0)))</f>
        <v>#N/A</v>
      </c>
      <c r="CY21" t="e">
        <f>CY20+IF(AND(Lists!$FS$21&lt;&gt;"",ISNUMBER(SEARCH($AH$4,Lists!$FS$21))),1,0)</f>
        <v>#N/A</v>
      </c>
      <c r="CZ21" t="e">
        <f>IF(ROW()-3&gt;MAX($CY$4:$CY$42),"",INDEX(Lists!$FS$4:$FS$42,MATCH(ROW()-3,$CY$4:$CY$42,0)))</f>
        <v>#N/A</v>
      </c>
      <c r="DA21">
        <f>DA20+IF(AND(Lists!$FX$21&lt;&gt;"",ISNUMBER(SEARCH($AI$4,Lists!$FX$21))),1,0)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95" t="str">
        <f>IF('Final Calculation Sheet'!$AE$19="","",'Final Calculation Sheet'!$AE$19)</f>
        <v>DR2640100035</v>
      </c>
      <c r="AG22" s="99">
        <f>IF('Final Calculation Sheet'!$AF$19="","",'Final Calculation Sheet'!$AF$19)</f>
        <v>1800003307</v>
      </c>
      <c r="AH22" s="95" t="str">
        <f>IF('Final Calculation Sheet'!$AG$19="","",'Final Calculation Sheet'!$AG$19)</f>
        <v>27.08.2026</v>
      </c>
      <c r="AI22" s="100" t="str">
        <f>IF('Final Calculation Sheet'!$AD$19="","",IF('Final Calculation Sheet'!$AD$19&lt;=5,"SETTLED","OUTSTANDING"))</f>
        <v>SETTLED</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CU21+IF(AND(Lists!$FI$22&lt;&gt;"",ISNUMBER(SEARCH($AF$4,Lists!$FI$22))),1,0)</f>
        <v>#N/A</v>
      </c>
      <c r="CV22" t="e">
        <f>IF(ROW()-3&gt;MAX($CU$4:$CU$42),"",INDEX(Lists!$FI$4:$FI$42,MATCH(ROW()-3,$CU$4:$CU$42,0)))</f>
        <v>#N/A</v>
      </c>
      <c r="CW22" t="e">
        <f>CW21+IF(AND(Lists!$FN$22&lt;&gt;"",ISNUMBER(SEARCH($AG$4,Lists!$FN$22))),1,0)</f>
        <v>#N/A</v>
      </c>
      <c r="CX22" t="e">
        <f>IF(ROW()-3&gt;MAX($CW$4:$CW$42),"",INDEX(Lists!$FN$4:$FN$42,MATCH(ROW()-3,$CW$4:$CW$42,0)))</f>
        <v>#N/A</v>
      </c>
      <c r="CY22" t="e">
        <f>CY21+IF(AND(Lists!$FS$22&lt;&gt;"",ISNUMBER(SEARCH($AH$4,Lists!$FS$22))),1,0)</f>
        <v>#N/A</v>
      </c>
      <c r="CZ22" t="e">
        <f>IF(ROW()-3&gt;MAX($CY$4:$CY$42),"",INDEX(Lists!$FS$4:$FS$42,MATCH(ROW()-3,$CY$4:$CY$42,0)))</f>
        <v>#N/A</v>
      </c>
      <c r="DA22">
        <f>DA21+IF(AND(Lists!$FX$22&lt;&gt;"",ISNUMBER(SEARCH($AI$4,Lists!$FX$22))),1,0)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0" t="str">
        <f>IF('Final Calculation Sheet'!$AE$22="","",'Final Calculation Sheet'!$AE$22)</f>
        <v>DR2640100044</v>
      </c>
      <c r="AG23" s="74">
        <f>IF('Final Calculation Sheet'!$AF$22="","",'Final Calculation Sheet'!$AF$22)</f>
        <v>1800003308</v>
      </c>
      <c r="AH23" s="70" t="str">
        <f>IF('Final Calculation Sheet'!$AG$22="","",'Final Calculation Sheet'!$AG$22)</f>
        <v>27.08.2026</v>
      </c>
      <c r="AI23" s="75" t="str">
        <f>IF('Final Calculation Sheet'!$AD$22="","",IF('Final Calculation Sheet'!$AD$22&lt;=5,"SETTLED","OUTSTANDING"))</f>
        <v>SETTLED</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CU22+IF(AND(Lists!$FI$23&lt;&gt;"",ISNUMBER(SEARCH($AF$4,Lists!$FI$23))),1,0)</f>
        <v>#N/A</v>
      </c>
      <c r="CV23" t="e">
        <f>IF(ROW()-3&gt;MAX($CU$4:$CU$42),"",INDEX(Lists!$FI$4:$FI$42,MATCH(ROW()-3,$CU$4:$CU$42,0)))</f>
        <v>#N/A</v>
      </c>
      <c r="CW23" t="e">
        <f>CW22+IF(AND(Lists!$FN$23&lt;&gt;"",ISNUMBER(SEARCH($AG$4,Lists!$FN$23))),1,0)</f>
        <v>#N/A</v>
      </c>
      <c r="CX23" t="e">
        <f>IF(ROW()-3&gt;MAX($CW$4:$CW$42),"",INDEX(Lists!$FN$4:$FN$42,MATCH(ROW()-3,$CW$4:$CW$42,0)))</f>
        <v>#N/A</v>
      </c>
      <c r="CY23" t="e">
        <f>CY22+IF(AND(Lists!$FS$23&lt;&gt;"",ISNUMBER(SEARCH($AH$4,Lists!$FS$23))),1,0)</f>
        <v>#N/A</v>
      </c>
      <c r="CZ23" t="e">
        <f>IF(ROW()-3&gt;MAX($CY$4:$CY$42),"",INDEX(Lists!$FS$4:$FS$42,MATCH(ROW()-3,$CY$4:$CY$42,0)))</f>
        <v>#N/A</v>
      </c>
      <c r="DA23">
        <f>DA22+IF(AND(Lists!$FX$23&lt;&gt;"",ISNUMBER(SEARCH($AI$4,Lists!$FX$23))),1,0)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95" t="str">
        <f>IF('Final Calculation Sheet'!$AE$24="","",'Final Calculation Sheet'!$AE$24)</f>
        <v>DR2640100036</v>
      </c>
      <c r="AG24" s="99">
        <f>IF('Final Calculation Sheet'!$AF$24="","",'Final Calculation Sheet'!$AF$24)</f>
        <v>1800003309</v>
      </c>
      <c r="AH24" s="95" t="str">
        <f>IF('Final Calculation Sheet'!$AG$24="","",'Final Calculation Sheet'!$AG$24)</f>
        <v>27.08.2026</v>
      </c>
      <c r="AI24" s="100" t="str">
        <f>IF('Final Calculation Sheet'!$AD$24="","",IF('Final Calculation Sheet'!$AD$24&lt;=5,"SETTLED","OUTSTANDING"))</f>
        <v>SETTLED</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CU23+IF(AND(Lists!$FI$24&lt;&gt;"",ISNUMBER(SEARCH($AF$4,Lists!$FI$24))),1,0)</f>
        <v>#N/A</v>
      </c>
      <c r="CV24" t="e">
        <f>IF(ROW()-3&gt;MAX($CU$4:$CU$42),"",INDEX(Lists!$FI$4:$FI$42,MATCH(ROW()-3,$CU$4:$CU$42,0)))</f>
        <v>#N/A</v>
      </c>
      <c r="CW24" t="e">
        <f>CW23+IF(AND(Lists!$FN$24&lt;&gt;"",ISNUMBER(SEARCH($AG$4,Lists!$FN$24))),1,0)</f>
        <v>#N/A</v>
      </c>
      <c r="CX24" t="e">
        <f>IF(ROW()-3&gt;MAX($CW$4:$CW$42),"",INDEX(Lists!$FN$4:$FN$42,MATCH(ROW()-3,$CW$4:$CW$42,0)))</f>
        <v>#N/A</v>
      </c>
      <c r="CY24" t="e">
        <f>CY23+IF(AND(Lists!$FS$24&lt;&gt;"",ISNUMBER(SEARCH($AH$4,Lists!$FS$24))),1,0)</f>
        <v>#N/A</v>
      </c>
      <c r="CZ24" t="e">
        <f>IF(ROW()-3&gt;MAX($CY$4:$CY$42),"",INDEX(Lists!$FS$4:$FS$42,MATCH(ROW()-3,$CY$4:$CY$42,0)))</f>
        <v>#N/A</v>
      </c>
      <c r="DA24">
        <f>DA23+IF(AND(Lists!$FX$24&lt;&gt;"",ISNUMBER(SEARCH($AI$4,Lists!$FX$24))),1,0)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0" t="str">
        <f>IF('Final Calculation Sheet'!$AE$26="","",'Final Calculation Sheet'!$AE$26)</f>
        <v>DR2640100037</v>
      </c>
      <c r="AG25" s="74">
        <f>IF('Final Calculation Sheet'!$AF$26="","",'Final Calculation Sheet'!$AF$26)</f>
        <v>1800003310</v>
      </c>
      <c r="AH25" s="70" t="str">
        <f>IF('Final Calculation Sheet'!$AG$26="","",'Final Calculation Sheet'!$AG$26)</f>
        <v>27.08.2026</v>
      </c>
      <c r="AI25" s="75" t="str">
        <f>IF('Final Calculation Sheet'!$AD$26="","",IF('Final Calculation Sheet'!$AD$26&lt;=5,"SETTLED","OUTSTANDING"))</f>
        <v>SETTLED</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CU24+IF(AND(Lists!$FI$25&lt;&gt;"",ISNUMBER(SEARCH($AF$4,Lists!$FI$25))),1,0)</f>
        <v>#N/A</v>
      </c>
      <c r="CV25" t="e">
        <f>IF(ROW()-3&gt;MAX($CU$4:$CU$42),"",INDEX(Lists!$FI$4:$FI$42,MATCH(ROW()-3,$CU$4:$CU$42,0)))</f>
        <v>#N/A</v>
      </c>
      <c r="CW25" t="e">
        <f>CW24+IF(AND(Lists!$FN$25&lt;&gt;"",ISNUMBER(SEARCH($AG$4,Lists!$FN$25))),1,0)</f>
        <v>#N/A</v>
      </c>
      <c r="CX25" t="e">
        <f>IF(ROW()-3&gt;MAX($CW$4:$CW$42),"",INDEX(Lists!$FN$4:$FN$42,MATCH(ROW()-3,$CW$4:$CW$42,0)))</f>
        <v>#N/A</v>
      </c>
      <c r="CY25" t="e">
        <f>CY24+IF(AND(Lists!$FS$25&lt;&gt;"",ISNUMBER(SEARCH($AH$4,Lists!$FS$25))),1,0)</f>
        <v>#N/A</v>
      </c>
      <c r="CZ25" t="e">
        <f>IF(ROW()-3&gt;MAX($CY$4:$CY$42),"",INDEX(Lists!$FS$4:$FS$42,MATCH(ROW()-3,$CY$4:$CY$42,0)))</f>
        <v>#N/A</v>
      </c>
      <c r="DA25">
        <f>DA24+IF(AND(Lists!$FX$25&lt;&gt;"",ISNUMBER(SEARCH($AI$4,Lists!$FX$25))),1,0)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95" t="str">
        <f>IF('Final Calculation Sheet'!$AE$30="","",'Final Calculation Sheet'!$AE$30)</f>
        <v>DR2640100038</v>
      </c>
      <c r="AG26" s="99">
        <f>IF('Final Calculation Sheet'!$AF$30="","",'Final Calculation Sheet'!$AF$30)</f>
        <v>1800003311</v>
      </c>
      <c r="AH26" s="95" t="str">
        <f>IF('Final Calculation Sheet'!$AG$30="","",'Final Calculation Sheet'!$AG$30)</f>
        <v>27.08.2026</v>
      </c>
      <c r="AI26" s="100" t="str">
        <f>IF('Final Calculation Sheet'!$AD$30="","",IF('Final Calculation Sheet'!$AD$30&lt;=5,"SETTLED","OUTSTANDING"))</f>
        <v>SETTLED</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CU25+IF(AND(Lists!$FI$26&lt;&gt;"",ISNUMBER(SEARCH($AF$4,Lists!$FI$26))),1,0)</f>
        <v>#N/A</v>
      </c>
      <c r="CV26" t="e">
        <f>IF(ROW()-3&gt;MAX($CU$4:$CU$42),"",INDEX(Lists!$FI$4:$FI$42,MATCH(ROW()-3,$CU$4:$CU$42,0)))</f>
        <v>#N/A</v>
      </c>
      <c r="CW26" t="e">
        <f>CW25+IF(AND(Lists!$FN$26&lt;&gt;"",ISNUMBER(SEARCH($AG$4,Lists!$FN$26))),1,0)</f>
        <v>#N/A</v>
      </c>
      <c r="CX26" t="e">
        <f>IF(ROW()-3&gt;MAX($CW$4:$CW$42),"",INDEX(Lists!$FN$4:$FN$42,MATCH(ROW()-3,$CW$4:$CW$42,0)))</f>
        <v>#N/A</v>
      </c>
      <c r="CY26" t="e">
        <f>CY25+IF(AND(Lists!$FS$26&lt;&gt;"",ISNUMBER(SEARCH($AH$4,Lists!$FS$26))),1,0)</f>
        <v>#N/A</v>
      </c>
      <c r="CZ26" t="e">
        <f>IF(ROW()-3&gt;MAX($CY$4:$CY$42),"",INDEX(Lists!$FS$4:$FS$42,MATCH(ROW()-3,$CY$4:$CY$42,0)))</f>
        <v>#N/A</v>
      </c>
      <c r="DA26">
        <f>DA25+IF(AND(Lists!$FX$26&lt;&gt;"",ISNUMBER(SEARCH($AI$4,Lists!$FX$26))),1,0)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0" t="str">
        <f>IF('Final Calculation Sheet'!$AE$32="","",'Final Calculation Sheet'!$AE$32)</f>
        <v>DR2640100039</v>
      </c>
      <c r="AG27" s="74">
        <f>IF('Final Calculation Sheet'!$AF$32="","",'Final Calculation Sheet'!$AF$32)</f>
        <v>1800003312</v>
      </c>
      <c r="AH27" s="70" t="str">
        <f>IF('Final Calculation Sheet'!$AG$32="","",'Final Calculation Sheet'!$AG$32)</f>
        <v>27.08.2026</v>
      </c>
      <c r="AI27" s="75" t="str">
        <f>IF('Final Calculation Sheet'!$AD$32="","",IF('Final Calculation Sheet'!$AD$32&lt;=5,"SETTLED","OUTSTANDING"))</f>
        <v>SETTLED</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CU26+IF(AND(Lists!$FI$27&lt;&gt;"",ISNUMBER(SEARCH($AF$4,Lists!$FI$27))),1,0)</f>
        <v>#N/A</v>
      </c>
      <c r="CV27" t="e">
        <f>IF(ROW()-3&gt;MAX($CU$4:$CU$42),"",INDEX(Lists!$FI$4:$FI$42,MATCH(ROW()-3,$CU$4:$CU$42,0)))</f>
        <v>#N/A</v>
      </c>
      <c r="CW27" t="e">
        <f>CW26+IF(AND(Lists!$FN$27&lt;&gt;"",ISNUMBER(SEARCH($AG$4,Lists!$FN$27))),1,0)</f>
        <v>#N/A</v>
      </c>
      <c r="CX27" t="e">
        <f>IF(ROW()-3&gt;MAX($CW$4:$CW$42),"",INDEX(Lists!$FN$4:$FN$42,MATCH(ROW()-3,$CW$4:$CW$42,0)))</f>
        <v>#N/A</v>
      </c>
      <c r="CY27" t="e">
        <f>CY26+IF(AND(Lists!$FS$27&lt;&gt;"",ISNUMBER(SEARCH($AH$4,Lists!$FS$27))),1,0)</f>
        <v>#N/A</v>
      </c>
      <c r="CZ27" t="e">
        <f>IF(ROW()-3&gt;MAX($CY$4:$CY$42),"",INDEX(Lists!$FS$4:$FS$42,MATCH(ROW()-3,$CY$4:$CY$42,0)))</f>
        <v>#N/A</v>
      </c>
      <c r="DA27">
        <f>DA26+IF(AND(Lists!$FX$27&lt;&gt;"",ISNUMBER(SEARCH($AI$4,Lists!$FX$27))),1,0)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95" t="str">
        <f>IF('Final Calculation Sheet'!$AE$33="","",'Final Calculation Sheet'!$AE$33)</f>
        <v>DR2640100046</v>
      </c>
      <c r="AG28" s="99">
        <f>IF('Final Calculation Sheet'!$AF$33="","",'Final Calculation Sheet'!$AF$33)</f>
        <v>1800003313</v>
      </c>
      <c r="AH28" s="95" t="str">
        <f>IF('Final Calculation Sheet'!$AG$33="","",'Final Calculation Sheet'!$AG$33)</f>
        <v>27.08.2026</v>
      </c>
      <c r="AI28" s="100" t="str">
        <f>IF('Final Calculation Sheet'!$AD$33="","",IF('Final Calculation Sheet'!$AD$33&lt;=5,"SETTLED","OUTSTANDING"))</f>
        <v>SETTLED</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CU27+IF(AND(Lists!$FI$28&lt;&gt;"",ISNUMBER(SEARCH($AF$4,Lists!$FI$28))),1,0)</f>
        <v>#N/A</v>
      </c>
      <c r="CV28" t="e">
        <f>IF(ROW()-3&gt;MAX($CU$4:$CU$42),"",INDEX(Lists!$FI$4:$FI$42,MATCH(ROW()-3,$CU$4:$CU$42,0)))</f>
        <v>#N/A</v>
      </c>
      <c r="CW28" t="e">
        <f>CW27+IF(AND(Lists!$FN$28&lt;&gt;"",ISNUMBER(SEARCH($AG$4,Lists!$FN$28))),1,0)</f>
        <v>#N/A</v>
      </c>
      <c r="CX28" t="e">
        <f>IF(ROW()-3&gt;MAX($CW$4:$CW$42),"",INDEX(Lists!$FN$4:$FN$42,MATCH(ROW()-3,$CW$4:$CW$42,0)))</f>
        <v>#N/A</v>
      </c>
      <c r="CY28" t="e">
        <f>CY27+IF(AND(Lists!$FS$28&lt;&gt;"",ISNUMBER(SEARCH($AH$4,Lists!$FS$28))),1,0)</f>
        <v>#N/A</v>
      </c>
      <c r="CZ28" t="e">
        <f>IF(ROW()-3&gt;MAX($CY$4:$CY$42),"",INDEX(Lists!$FS$4:$FS$42,MATCH(ROW()-3,$CY$4:$CY$42,0)))</f>
        <v>#N/A</v>
      </c>
      <c r="DA28">
        <f>DA27+IF(AND(Lists!$FX$28&lt;&gt;"",ISNUMBER(SEARCH($AI$4,Lists!$FX$28))),1,0)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0" t="str">
        <f>IF('Final Calculation Sheet'!$AE$37="","",'Final Calculation Sheet'!$AE$37)</f>
        <v>DR2640100040</v>
      </c>
      <c r="AG29" s="74">
        <f>IF('Final Calculation Sheet'!$AF$37="","",'Final Calculation Sheet'!$AF$37)</f>
        <v>1800003314</v>
      </c>
      <c r="AH29" s="70" t="str">
        <f>IF('Final Calculation Sheet'!$AG$37="","",'Final Calculation Sheet'!$AG$37)</f>
        <v>27.08.2026</v>
      </c>
      <c r="AI29" s="75" t="str">
        <f>IF('Final Calculation Sheet'!$AD$37="","",IF('Final Calculation Sheet'!$AD$37&lt;=5,"SETTLED","OUTSTANDING"))</f>
        <v>SETTLED</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CU28+IF(AND(Lists!$FI$29&lt;&gt;"",ISNUMBER(SEARCH($AF$4,Lists!$FI$29))),1,0)</f>
        <v>#N/A</v>
      </c>
      <c r="CV29" t="e">
        <f>IF(ROW()-3&gt;MAX($CU$4:$CU$42),"",INDEX(Lists!$FI$4:$FI$42,MATCH(ROW()-3,$CU$4:$CU$42,0)))</f>
        <v>#N/A</v>
      </c>
      <c r="CW29" t="e">
        <f>CW28+IF(AND(Lists!$FN$29&lt;&gt;"",ISNUMBER(SEARCH($AG$4,Lists!$FN$29))),1,0)</f>
        <v>#N/A</v>
      </c>
      <c r="CX29" t="e">
        <f>IF(ROW()-3&gt;MAX($CW$4:$CW$42),"",INDEX(Lists!$FN$4:$FN$42,MATCH(ROW()-3,$CW$4:$CW$42,0)))</f>
        <v>#N/A</v>
      </c>
      <c r="CY29" t="e">
        <f>CY28+IF(AND(Lists!$FS$29&lt;&gt;"",ISNUMBER(SEARCH($AH$4,Lists!$FS$29))),1,0)</f>
        <v>#N/A</v>
      </c>
      <c r="CZ29" t="e">
        <f>IF(ROW()-3&gt;MAX($CY$4:$CY$42),"",INDEX(Lists!$FS$4:$FS$42,MATCH(ROW()-3,$CY$4:$CY$42,0)))</f>
        <v>#N/A</v>
      </c>
      <c r="DA29">
        <f>DA28+IF(AND(Lists!$FX$29&lt;&gt;"",ISNUMBER(SEARCH($AI$4,Lists!$FX$29))),1,0)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4" t="inlineStr">
        <is>
          <t>–</t>
        </is>
      </c>
      <c r="AG30" s="88" t="inlineStr">
        <is>
          <t>–</t>
        </is>
      </c>
      <c r="AH30" s="84" t="inlineStr">
        <is>
          <t>–</t>
        </is>
      </c>
      <c r="AI30" s="89" t="str">
        <f>IF(AE30&lt;=5,"SETTLED","OUTSTANDING")</f>
        <v>SETTLED</v>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CU29+IF(AND(Lists!$FI$30&lt;&gt;"",ISNUMBER(SEARCH($AF$4,Lists!$FI$30))),1,0)</f>
        <v>#N/A</v>
      </c>
      <c r="CV30" t="e">
        <f>IF(ROW()-3&gt;MAX($CU$4:$CU$42),"",INDEX(Lists!$FI$4:$FI$42,MATCH(ROW()-3,$CU$4:$CU$42,0)))</f>
        <v>#N/A</v>
      </c>
      <c r="CW30" t="e">
        <f>CW29+IF(AND(Lists!$FN$30&lt;&gt;"",ISNUMBER(SEARCH($AG$4,Lists!$FN$30))),1,0)</f>
        <v>#N/A</v>
      </c>
      <c r="CX30" t="e">
        <f>IF(ROW()-3&gt;MAX($CW$4:$CW$42),"",INDEX(Lists!$FN$4:$FN$42,MATCH(ROW()-3,$CW$4:$CW$42,0)))</f>
        <v>#N/A</v>
      </c>
      <c r="CY30" t="e">
        <f>CY29+IF(AND(Lists!$FS$30&lt;&gt;"",ISNUMBER(SEARCH($AH$4,Lists!$FS$30))),1,0)</f>
        <v>#N/A</v>
      </c>
      <c r="CZ30" t="e">
        <f>IF(ROW()-3&gt;MAX($CY$4:$CY$42),"",INDEX(Lists!$FS$4:$FS$42,MATCH(ROW()-3,$CY$4:$CY$42,0)))</f>
        <v>#N/A</v>
      </c>
      <c r="DA30">
        <f>DA29+IF(AND(Lists!$FX$30&lt;&gt;"",ISNUMBER(SEARCH($AI$4,Lists!$FX$30))),1,0)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0" t="str">
        <f>IF('Final Calculation Sheet'!$AE$21="","",'Final Calculation Sheet'!$AE$21)</f>
        <v>DR2640100028</v>
      </c>
      <c r="AG31" s="74">
        <f>IF('Final Calculation Sheet'!$AF$21="","",'Final Calculation Sheet'!$AF$21)</f>
        <v>1800003269</v>
      </c>
      <c r="AH31" s="70" t="str">
        <f>IF('Final Calculation Sheet'!$AG$21="","",'Final Calculation Sheet'!$AG$21)</f>
        <v>24.08.2026</v>
      </c>
      <c r="AI31" s="75" t="str">
        <f>IF('Final Calculation Sheet'!$AD$21="","",IF('Final Calculation Sheet'!$AD$21&lt;=5,"SETTLED","OUTSTANDING"))</f>
        <v>SETTLED</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CU30+IF(AND(Lists!$FI$31&lt;&gt;"",ISNUMBER(SEARCH($AF$4,Lists!$FI$31))),1,0)</f>
        <v>#N/A</v>
      </c>
      <c r="CV31" t="e">
        <f>IF(ROW()-3&gt;MAX($CU$4:$CU$42),"",INDEX(Lists!$FI$4:$FI$42,MATCH(ROW()-3,$CU$4:$CU$42,0)))</f>
        <v>#N/A</v>
      </c>
      <c r="CW31" t="e">
        <f>CW30+IF(AND(Lists!$FN$31&lt;&gt;"",ISNUMBER(SEARCH($AG$4,Lists!$FN$31))),1,0)</f>
        <v>#N/A</v>
      </c>
      <c r="CX31" t="e">
        <f>IF(ROW()-3&gt;MAX($CW$4:$CW$42),"",INDEX(Lists!$FN$4:$FN$42,MATCH(ROW()-3,$CW$4:$CW$42,0)))</f>
        <v>#N/A</v>
      </c>
      <c r="CY31" t="e">
        <f>CY30+IF(AND(Lists!$FS$31&lt;&gt;"",ISNUMBER(SEARCH($AH$4,Lists!$FS$31))),1,0)</f>
        <v>#N/A</v>
      </c>
      <c r="CZ31" t="e">
        <f>IF(ROW()-3&gt;MAX($CY$4:$CY$42),"",INDEX(Lists!$FS$4:$FS$42,MATCH(ROW()-3,$CY$4:$CY$42,0)))</f>
        <v>#N/A</v>
      </c>
      <c r="DA31">
        <f>DA30+IF(AND(Lists!$FX$31&lt;&gt;"",ISNUMBER(SEARCH($AI$4,Lists!$FX$31))),1,0)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4" t="inlineStr">
        <is>
          <t>–</t>
        </is>
      </c>
      <c r="AG32" s="88" t="inlineStr">
        <is>
          <t>–</t>
        </is>
      </c>
      <c r="AH32" s="84" t="inlineStr">
        <is>
          <t>–</t>
        </is>
      </c>
      <c r="AI32" s="89" t="str">
        <f>IF(AE32&lt;=5,"SETTLED","OUTSTANDING")</f>
        <v>SETTLED</v>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CU31+IF(AND(Lists!$FI$32&lt;&gt;"",ISNUMBER(SEARCH($AF$4,Lists!$FI$32))),1,0)</f>
        <v>#N/A</v>
      </c>
      <c r="CV32" t="e">
        <f>IF(ROW()-3&gt;MAX($CU$4:$CU$42),"",INDEX(Lists!$FI$4:$FI$42,MATCH(ROW()-3,$CU$4:$CU$42,0)))</f>
        <v>#N/A</v>
      </c>
      <c r="CW32" t="e">
        <f>CW31+IF(AND(Lists!$FN$32&lt;&gt;"",ISNUMBER(SEARCH($AG$4,Lists!$FN$32))),1,0)</f>
        <v>#N/A</v>
      </c>
      <c r="CX32" t="e">
        <f>IF(ROW()-3&gt;MAX($CW$4:$CW$42),"",INDEX(Lists!$FN$4:$FN$42,MATCH(ROW()-3,$CW$4:$CW$42,0)))</f>
        <v>#N/A</v>
      </c>
      <c r="CY32" t="e">
        <f>CY31+IF(AND(Lists!$FS$32&lt;&gt;"",ISNUMBER(SEARCH($AH$4,Lists!$FS$32))),1,0)</f>
        <v>#N/A</v>
      </c>
      <c r="CZ32" t="e">
        <f>IF(ROW()-3&gt;MAX($CY$4:$CY$42),"",INDEX(Lists!$FS$4:$FS$42,MATCH(ROW()-3,$CY$4:$CY$42,0)))</f>
        <v>#N/A</v>
      </c>
      <c r="DA32">
        <f>DA31+IF(AND(Lists!$FX$32&lt;&gt;"",ISNUMBER(SEARCH($AI$4,Lists!$FX$32))),1,0)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0" t="str">
        <f>IF('Final Calculation Sheet'!$AE$8="","",'Final Calculation Sheet'!$AE$8)</f>
        <v>DR2640100045</v>
      </c>
      <c r="AG33" s="74">
        <f>IF('Final Calculation Sheet'!$AF$8="","",'Final Calculation Sheet'!$AF$8)</f>
        <v>1800003315</v>
      </c>
      <c r="AH33" s="70" t="str">
        <f>IF('Final Calculation Sheet'!$AG$8="","",'Final Calculation Sheet'!$AG$8)</f>
        <v>27.08.2026</v>
      </c>
      <c r="AI33" s="75" t="str">
        <f>IF('Final Calculation Sheet'!$AD$8="","",IF('Final Calculation Sheet'!$AD$8&lt;=5,"SETTLED","OUTSTANDING"))</f>
        <v>SETTLED</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CU32+IF(AND(Lists!$FI$33&lt;&gt;"",ISNUMBER(SEARCH($AF$4,Lists!$FI$33))),1,0)</f>
        <v>#N/A</v>
      </c>
      <c r="CV33" t="e">
        <f>IF(ROW()-3&gt;MAX($CU$4:$CU$42),"",INDEX(Lists!$FI$4:$FI$42,MATCH(ROW()-3,$CU$4:$CU$42,0)))</f>
        <v>#N/A</v>
      </c>
      <c r="CW33" t="e">
        <f>CW32+IF(AND(Lists!$FN$33&lt;&gt;"",ISNUMBER(SEARCH($AG$4,Lists!$FN$33))),1,0)</f>
        <v>#N/A</v>
      </c>
      <c r="CX33" t="e">
        <f>IF(ROW()-3&gt;MAX($CW$4:$CW$42),"",INDEX(Lists!$FN$4:$FN$42,MATCH(ROW()-3,$CW$4:$CW$42,0)))</f>
        <v>#N/A</v>
      </c>
      <c r="CY33" t="e">
        <f>CY32+IF(AND(Lists!$FS$33&lt;&gt;"",ISNUMBER(SEARCH($AH$4,Lists!$FS$33))),1,0)</f>
        <v>#N/A</v>
      </c>
      <c r="CZ33" t="e">
        <f>IF(ROW()-3&gt;MAX($CY$4:$CY$42),"",INDEX(Lists!$FS$4:$FS$42,MATCH(ROW()-3,$CY$4:$CY$42,0)))</f>
        <v>#N/A</v>
      </c>
      <c r="DA33">
        <f>DA32+IF(AND(Lists!$FX$33&lt;&gt;"",ISNUMBER(SEARCH($AI$4,Lists!$FX$33))),1,0)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95" t="str">
        <f>IF('Final Calculation Sheet'!$AE$20="","",'Final Calculation Sheet'!$AE$20)</f>
        <v>DR2640100017</v>
      </c>
      <c r="AG34" s="99">
        <f>IF('Final Calculation Sheet'!$AF$20="","",'Final Calculation Sheet'!$AF$20)</f>
        <v>1800003065</v>
      </c>
      <c r="AH34" s="95" t="str">
        <f>IF('Final Calculation Sheet'!$AG$20="","",'Final Calculation Sheet'!$AG$20)</f>
        <v>12.08.2026</v>
      </c>
      <c r="AI34" s="100" t="str">
        <f>IF('Final Calculation Sheet'!$AD$20="","",IF('Final Calculation Sheet'!$AD$20&lt;=5,"SETTLED","OUTSTANDING"))</f>
        <v>SETTLED</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CU33+IF(AND(Lists!$FI$34&lt;&gt;"",ISNUMBER(SEARCH($AF$4,Lists!$FI$34))),1,0)</f>
        <v>#N/A</v>
      </c>
      <c r="CV34" t="e">
        <f>IF(ROW()-3&gt;MAX($CU$4:$CU$42),"",INDEX(Lists!$FI$4:$FI$42,MATCH(ROW()-3,$CU$4:$CU$42,0)))</f>
        <v>#N/A</v>
      </c>
      <c r="CW34" t="e">
        <f>CW33+IF(AND(Lists!$FN$34&lt;&gt;"",ISNUMBER(SEARCH($AG$4,Lists!$FN$34))),1,0)</f>
        <v>#N/A</v>
      </c>
      <c r="CX34" t="e">
        <f>IF(ROW()-3&gt;MAX($CW$4:$CW$42),"",INDEX(Lists!$FN$4:$FN$42,MATCH(ROW()-3,$CW$4:$CW$42,0)))</f>
        <v>#N/A</v>
      </c>
      <c r="CY34" t="e">
        <f>CY33+IF(AND(Lists!$FS$34&lt;&gt;"",ISNUMBER(SEARCH($AH$4,Lists!$FS$34))),1,0)</f>
        <v>#N/A</v>
      </c>
      <c r="CZ34" t="e">
        <f>IF(ROW()-3&gt;MAX($CY$4:$CY$42),"",INDEX(Lists!$FS$4:$FS$42,MATCH(ROW()-3,$CY$4:$CY$42,0)))</f>
        <v>#N/A</v>
      </c>
      <c r="DA34">
        <f>DA33+IF(AND(Lists!$FX$34&lt;&gt;"",ISNUMBER(SEARCH($AI$4,Lists!$FX$34))),1,0)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4" t="inlineStr">
        <is>
          <t>–</t>
        </is>
      </c>
      <c r="AG35" s="88" t="inlineStr">
        <is>
          <t>–</t>
        </is>
      </c>
      <c r="AH35" s="84" t="inlineStr">
        <is>
          <t>–</t>
        </is>
      </c>
      <c r="AI35" s="89" t="str">
        <f>IF(AE35&lt;=5,"SETTLED","OUTSTANDING")</f>
        <v>SETTLED</v>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CU34+IF(AND(Lists!$FI$35&lt;&gt;"",ISNUMBER(SEARCH($AF$4,Lists!$FI$35))),1,0)</f>
        <v>#N/A</v>
      </c>
      <c r="CV35" t="e">
        <f>IF(ROW()-3&gt;MAX($CU$4:$CU$42),"",INDEX(Lists!$FI$4:$FI$42,MATCH(ROW()-3,$CU$4:$CU$42,0)))</f>
        <v>#N/A</v>
      </c>
      <c r="CW35" t="e">
        <f>CW34+IF(AND(Lists!$FN$35&lt;&gt;"",ISNUMBER(SEARCH($AG$4,Lists!$FN$35))),1,0)</f>
        <v>#N/A</v>
      </c>
      <c r="CX35" t="e">
        <f>IF(ROW()-3&gt;MAX($CW$4:$CW$42),"",INDEX(Lists!$FN$4:$FN$42,MATCH(ROW()-3,$CW$4:$CW$42,0)))</f>
        <v>#N/A</v>
      </c>
      <c r="CY35" t="e">
        <f>CY34+IF(AND(Lists!$FS$35&lt;&gt;"",ISNUMBER(SEARCH($AH$4,Lists!$FS$35))),1,0)</f>
        <v>#N/A</v>
      </c>
      <c r="CZ35" t="e">
        <f>IF(ROW()-3&gt;MAX($CY$4:$CY$42),"",INDEX(Lists!$FS$4:$FS$42,MATCH(ROW()-3,$CY$4:$CY$42,0)))</f>
        <v>#N/A</v>
      </c>
      <c r="DA35">
        <f>DA34+IF(AND(Lists!$FX$35&lt;&gt;"",ISNUMBER(SEARCH($AI$4,Lists!$FX$35))),1,0)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0" t="str">
        <f>IF('Final Calculation Sheet'!$AE$39="","",'Final Calculation Sheet'!$AE$39)</f>
        <v/>
      </c>
      <c r="AG36" s="74" t="str">
        <f>IF('Final Calculation Sheet'!$AF$39="","",'Final Calculation Sheet'!$AF$39)</f>
        <v/>
      </c>
      <c r="AH36" s="70" t="str">
        <f>IF('Final Calculation Sheet'!$AG$39="","",'Final Calculation Sheet'!$AG$39)</f>
        <v/>
      </c>
      <c r="AI36" s="75" t="str">
        <f>IF('Final Calculation Sheet'!$AD$39="","",IF('Final Calculation Sheet'!$AD$39&lt;=5,"SETTLED","OUTSTANDING"))</f>
        <v>SETTLED</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CU35+IF(AND(Lists!$FI$36&lt;&gt;"",ISNUMBER(SEARCH($AF$4,Lists!$FI$36))),1,0)</f>
        <v>#N/A</v>
      </c>
      <c r="CV36" t="e">
        <f>IF(ROW()-3&gt;MAX($CU$4:$CU$42),"",INDEX(Lists!$FI$4:$FI$42,MATCH(ROW()-3,$CU$4:$CU$42,0)))</f>
        <v>#N/A</v>
      </c>
      <c r="CW36" t="e">
        <f>CW35+IF(AND(Lists!$FN$36&lt;&gt;"",ISNUMBER(SEARCH($AG$4,Lists!$FN$36))),1,0)</f>
        <v>#N/A</v>
      </c>
      <c r="CX36" t="e">
        <f>IF(ROW()-3&gt;MAX($CW$4:$CW$42),"",INDEX(Lists!$FN$4:$FN$42,MATCH(ROW()-3,$CW$4:$CW$42,0)))</f>
        <v>#N/A</v>
      </c>
      <c r="CY36" t="e">
        <f>CY35+IF(AND(Lists!$FS$36&lt;&gt;"",ISNUMBER(SEARCH($AH$4,Lists!$FS$36))),1,0)</f>
        <v>#N/A</v>
      </c>
      <c r="CZ36" t="e">
        <f>IF(ROW()-3&gt;MAX($CY$4:$CY$42),"",INDEX(Lists!$FS$4:$FS$42,MATCH(ROW()-3,$CY$4:$CY$42,0)))</f>
        <v>#N/A</v>
      </c>
      <c r="DA36">
        <f>DA35+IF(AND(Lists!$FX$36&lt;&gt;"",ISNUMBER(SEARCH($AI$4,Lists!$FX$36))),1,0)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95" t="str">
        <f>IF('Final Calculation Sheet'!$AE$40="","",'Final Calculation Sheet'!$AE$40)</f>
        <v/>
      </c>
      <c r="AG37" s="99" t="str">
        <f>IF('Final Calculation Sheet'!$AF$40="","",'Final Calculation Sheet'!$AF$40)</f>
        <v/>
      </c>
      <c r="AH37" s="95" t="str">
        <f>IF('Final Calculation Sheet'!$AG$40="","",'Final Calculation Sheet'!$AG$40)</f>
        <v/>
      </c>
      <c r="AI37" s="100" t="str">
        <f>IF('Final Calculation Sheet'!$AD$40="","",IF('Final Calculation Sheet'!$AD$40&lt;=5,"SETTLED","OUTSTANDING"))</f>
        <v>SETTLED</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CU36+IF(AND(Lists!$FI$37&lt;&gt;"",ISNUMBER(SEARCH($AF$4,Lists!$FI$37))),1,0)</f>
        <v>#N/A</v>
      </c>
      <c r="CV37" t="e">
        <f>IF(ROW()-3&gt;MAX($CU$4:$CU$42),"",INDEX(Lists!$FI$4:$FI$42,MATCH(ROW()-3,$CU$4:$CU$42,0)))</f>
        <v>#N/A</v>
      </c>
      <c r="CW37" t="e">
        <f>CW36+IF(AND(Lists!$FN$37&lt;&gt;"",ISNUMBER(SEARCH($AG$4,Lists!$FN$37))),1,0)</f>
        <v>#N/A</v>
      </c>
      <c r="CX37" t="e">
        <f>IF(ROW()-3&gt;MAX($CW$4:$CW$42),"",INDEX(Lists!$FN$4:$FN$42,MATCH(ROW()-3,$CW$4:$CW$42,0)))</f>
        <v>#N/A</v>
      </c>
      <c r="CY37" t="e">
        <f>CY36+IF(AND(Lists!$FS$37&lt;&gt;"",ISNUMBER(SEARCH($AH$4,Lists!$FS$37))),1,0)</f>
        <v>#N/A</v>
      </c>
      <c r="CZ37" t="e">
        <f>IF(ROW()-3&gt;MAX($CY$4:$CY$42),"",INDEX(Lists!$FS$4:$FS$42,MATCH(ROW()-3,$CY$4:$CY$42,0)))</f>
        <v>#N/A</v>
      </c>
      <c r="DA37">
        <f>DA36+IF(AND(Lists!$FX$37&lt;&gt;"",ISNUMBER(SEARCH($AI$4,Lists!$FX$37))),1,0)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4" t="inlineStr">
        <is>
          <t>–</t>
        </is>
      </c>
      <c r="AG38" s="88" t="inlineStr">
        <is>
          <t>–</t>
        </is>
      </c>
      <c r="AH38" s="84" t="inlineStr">
        <is>
          <t>–</t>
        </is>
      </c>
      <c r="AI38" s="89" t="str">
        <f>IF(AE38&lt;=5,"SETTLED","OUTSTANDING")</f>
        <v>SETTLED</v>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CU37+IF(AND(Lists!$FI$38&lt;&gt;"",ISNUMBER(SEARCH($AF$4,Lists!$FI$38))),1,0)</f>
        <v>#N/A</v>
      </c>
      <c r="CV38" t="e">
        <f>IF(ROW()-3&gt;MAX($CU$4:$CU$42),"",INDEX(Lists!$FI$4:$FI$42,MATCH(ROW()-3,$CU$4:$CU$42,0)))</f>
        <v>#N/A</v>
      </c>
      <c r="CW38" t="e">
        <f>CW37+IF(AND(Lists!$FN$38&lt;&gt;"",ISNUMBER(SEARCH($AG$4,Lists!$FN$38))),1,0)</f>
        <v>#N/A</v>
      </c>
      <c r="CX38" t="e">
        <f>IF(ROW()-3&gt;MAX($CW$4:$CW$42),"",INDEX(Lists!$FN$4:$FN$42,MATCH(ROW()-3,$CW$4:$CW$42,0)))</f>
        <v>#N/A</v>
      </c>
      <c r="CY38" t="e">
        <f>CY37+IF(AND(Lists!$FS$38&lt;&gt;"",ISNUMBER(SEARCH($AH$4,Lists!$FS$38))),1,0)</f>
        <v>#N/A</v>
      </c>
      <c r="CZ38" t="e">
        <f>IF(ROW()-3&gt;MAX($CY$4:$CY$42),"",INDEX(Lists!$FS$4:$FS$42,MATCH(ROW()-3,$CY$4:$CY$42,0)))</f>
        <v>#N/A</v>
      </c>
      <c r="DA38">
        <f>DA37+IF(AND(Lists!$FX$38&lt;&gt;"",ISNUMBER(SEARCH($AI$4,Lists!$FX$38))),1,0)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0" t="str">
        <f>IF('Final Calculation Sheet'!$AE$31="","",'Final Calculation Sheet'!$AE$31)</f>
        <v>DR2640100041</v>
      </c>
      <c r="AG39" s="74">
        <f>IF('Final Calculation Sheet'!$AF$31="","",'Final Calculation Sheet'!$AF$31)</f>
        <v>1800003316</v>
      </c>
      <c r="AH39" s="70" t="str">
        <f>IF('Final Calculation Sheet'!$AG$31="","",'Final Calculation Sheet'!$AG$31)</f>
        <v>27.08.2026</v>
      </c>
      <c r="AI39" s="75" t="str">
        <f>IF('Final Calculation Sheet'!$AD$31="","",IF('Final Calculation Sheet'!$AD$31&lt;=5,"SETTLED","OUTSTANDING"))</f>
        <v>SETTLED</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CU38+IF(AND(Lists!$FI$39&lt;&gt;"",ISNUMBER(SEARCH($AF$4,Lists!$FI$39))),1,0)</f>
        <v>#N/A</v>
      </c>
      <c r="CV39" t="e">
        <f>IF(ROW()-3&gt;MAX($CU$4:$CU$42),"",INDEX(Lists!$FI$4:$FI$42,MATCH(ROW()-3,$CU$4:$CU$42,0)))</f>
        <v>#N/A</v>
      </c>
      <c r="CW39" t="e">
        <f>CW38+IF(AND(Lists!$FN$39&lt;&gt;"",ISNUMBER(SEARCH($AG$4,Lists!$FN$39))),1,0)</f>
        <v>#N/A</v>
      </c>
      <c r="CX39" t="e">
        <f>IF(ROW()-3&gt;MAX($CW$4:$CW$42),"",INDEX(Lists!$FN$4:$FN$42,MATCH(ROW()-3,$CW$4:$CW$42,0)))</f>
        <v>#N/A</v>
      </c>
      <c r="CY39" t="e">
        <f>CY38+IF(AND(Lists!$FS$39&lt;&gt;"",ISNUMBER(SEARCH($AH$4,Lists!$FS$39))),1,0)</f>
        <v>#N/A</v>
      </c>
      <c r="CZ39" t="e">
        <f>IF(ROW()-3&gt;MAX($CY$4:$CY$42),"",INDEX(Lists!$FS$4:$FS$42,MATCH(ROW()-3,$CY$4:$CY$42,0)))</f>
        <v>#N/A</v>
      </c>
      <c r="DA39">
        <f>DA38+IF(AND(Lists!$FX$39&lt;&gt;"",ISNUMBER(SEARCH($AI$4,Lists!$FX$39))),1,0)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4" t="inlineStr">
        <is>
          <t>–</t>
        </is>
      </c>
      <c r="AG40" s="88" t="inlineStr">
        <is>
          <t>–</t>
        </is>
      </c>
      <c r="AH40" s="84" t="inlineStr">
        <is>
          <t>–</t>
        </is>
      </c>
      <c r="AI40" s="89" t="str">
        <f>IF(AE40&lt;=5,"SETTLED","OUTSTANDING")</f>
        <v>SETTLED</v>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CU39+IF(AND(Lists!$FI$40&lt;&gt;"",ISNUMBER(SEARCH($AF$4,Lists!$FI$40))),1,0)</f>
        <v>#N/A</v>
      </c>
      <c r="CV40" t="e">
        <f>IF(ROW()-3&gt;MAX($CU$4:$CU$42),"",INDEX(Lists!$FI$4:$FI$42,MATCH(ROW()-3,$CU$4:$CU$42,0)))</f>
        <v>#N/A</v>
      </c>
      <c r="CW40" t="e">
        <f>CW39+IF(AND(Lists!$FN$40&lt;&gt;"",ISNUMBER(SEARCH($AG$4,Lists!$FN$40))),1,0)</f>
        <v>#N/A</v>
      </c>
      <c r="CX40" t="e">
        <f>IF(ROW()-3&gt;MAX($CW$4:$CW$42),"",INDEX(Lists!$FN$4:$FN$42,MATCH(ROW()-3,$CW$4:$CW$42,0)))</f>
        <v>#N/A</v>
      </c>
      <c r="CY40" t="e">
        <f>CY39+IF(AND(Lists!$FS$40&lt;&gt;"",ISNUMBER(SEARCH($AH$4,Lists!$FS$40))),1,0)</f>
        <v>#N/A</v>
      </c>
      <c r="CZ40" t="e">
        <f>IF(ROW()-3&gt;MAX($CY$4:$CY$42),"",INDEX(Lists!$FS$4:$FS$42,MATCH(ROW()-3,$CY$4:$CY$42,0)))</f>
        <v>#N/A</v>
      </c>
      <c r="DA40">
        <f>DA39+IF(AND(Lists!$FX$40&lt;&gt;"",ISNUMBER(SEARCH($AI$4,Lists!$FX$40))),1,0)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0" t="str">
        <f>IF('Final Calculation Sheet'!$AE$9="","",'Final Calculation Sheet'!$AE$9)</f>
        <v>DR2640100023</v>
      </c>
      <c r="AG41" s="74">
        <f>IF('Final Calculation Sheet'!$AF$9="","",'Final Calculation Sheet'!$AF$9)</f>
        <v>1800003194</v>
      </c>
      <c r="AH41" s="70" t="str">
        <f>IF('Final Calculation Sheet'!$AG$9="","",'Final Calculation Sheet'!$AG$9)</f>
        <v>17.08.2026</v>
      </c>
      <c r="AI41" s="75" t="str">
        <f>IF('Final Calculation Sheet'!$AD$9="","",IF('Final Calculation Sheet'!$AD$9&lt;=5,"SETTLED","OUTSTANDING"))</f>
        <v>SETTLED</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CU40+IF(AND(Lists!$FI$41&lt;&gt;"",ISNUMBER(SEARCH($AF$4,Lists!$FI$41))),1,0)</f>
        <v>#N/A</v>
      </c>
      <c r="CV41" t="e">
        <f>IF(ROW()-3&gt;MAX($CU$4:$CU$42),"",INDEX(Lists!$FI$4:$FI$42,MATCH(ROW()-3,$CU$4:$CU$42,0)))</f>
        <v>#N/A</v>
      </c>
      <c r="CW41" t="e">
        <f>CW40+IF(AND(Lists!$FN$41&lt;&gt;"",ISNUMBER(SEARCH($AG$4,Lists!$FN$41))),1,0)</f>
        <v>#N/A</v>
      </c>
      <c r="CX41" t="e">
        <f>IF(ROW()-3&gt;MAX($CW$4:$CW$42),"",INDEX(Lists!$FN$4:$FN$42,MATCH(ROW()-3,$CW$4:$CW$42,0)))</f>
        <v>#N/A</v>
      </c>
      <c r="CY41" t="e">
        <f>CY40+IF(AND(Lists!$FS$41&lt;&gt;"",ISNUMBER(SEARCH($AH$4,Lists!$FS$41))),1,0)</f>
        <v>#N/A</v>
      </c>
      <c r="CZ41" t="e">
        <f>IF(ROW()-3&gt;MAX($CY$4:$CY$42),"",INDEX(Lists!$FS$4:$FS$42,MATCH(ROW()-3,$CY$4:$CY$42,0)))</f>
        <v>#N/A</v>
      </c>
      <c r="DA41">
        <f>DA40+IF(AND(Lists!$FX$41&lt;&gt;"",ISNUMBER(SEARCH($AI$4,Lists!$FX$41))),1,0)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95" t="str">
        <f>IF('Final Calculation Sheet'!$AE$14="","",'Final Calculation Sheet'!$AE$14)</f>
        <v>DR2640100024</v>
      </c>
      <c r="AG42" s="99">
        <f>IF('Final Calculation Sheet'!$AF$14="","",'Final Calculation Sheet'!$AF$14)</f>
        <v>1800003196</v>
      </c>
      <c r="AH42" s="95" t="str">
        <f>IF('Final Calculation Sheet'!$AG$14="","",'Final Calculation Sheet'!$AG$14)</f>
        <v>17.08.2026</v>
      </c>
      <c r="AI42" s="100" t="str">
        <f>IF('Final Calculation Sheet'!$AD$14="","",IF('Final Calculation Sheet'!$AD$14&lt;=5,"SETTLED","OUTSTANDING"))</f>
        <v>SETTLED</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CU41+IF(AND(Lists!$FI$42&lt;&gt;"",ISNUMBER(SEARCH($AF$4,Lists!$FI$42))),1,0)</f>
        <v>#N/A</v>
      </c>
      <c r="CV42" t="e">
        <f>IF(ROW()-3&gt;MAX($CU$4:$CU$42),"",INDEX(Lists!$FI$4:$FI$42,MATCH(ROW()-3,$CU$4:$CU$42,0)))</f>
        <v>#N/A</v>
      </c>
      <c r="CW42" t="e">
        <f>CW41+IF(AND(Lists!$FN$42&lt;&gt;"",ISNUMBER(SEARCH($AG$4,Lists!$FN$42))),1,0)</f>
        <v>#N/A</v>
      </c>
      <c r="CX42" t="e">
        <f>IF(ROW()-3&gt;MAX($CW$4:$CW$42),"",INDEX(Lists!$FN$4:$FN$42,MATCH(ROW()-3,$CW$4:$CW$42,0)))</f>
        <v>#N/A</v>
      </c>
      <c r="CY42" t="e">
        <f>CY41+IF(AND(Lists!$FS$42&lt;&gt;"",ISNUMBER(SEARCH($AH$4,Lists!$FS$42))),1,0)</f>
        <v>#N/A</v>
      </c>
      <c r="CZ42" t="e">
        <f>IF(ROW()-3&gt;MAX($CY$4:$CY$42),"",INDEX(Lists!$FS$4:$FS$42,MATCH(ROW()-3,$CY$4:$CY$42,0)))</f>
        <v>#N/A</v>
      </c>
      <c r="DA42">
        <f>DA41+IF(AND(Lists!$FX$42&lt;&gt;"",ISNUMBER(SEARCH($AI$4,Lists!$FX$42))),1,0)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4" t="inlineStr">
        <is>
          <t>–</t>
        </is>
      </c>
      <c r="AG43" s="88" t="inlineStr">
        <is>
          <t>–</t>
        </is>
      </c>
      <c r="AH43" s="84" t="inlineStr">
        <is>
          <t>–</t>
        </is>
      </c>
      <c r="AI43" s="89" t="str">
        <f>IF(AE43&lt;=5,"SETTLED","OUTSTANDING")</f>
        <v>SETTLED</v>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0" t="str">
        <f>IF('Final Calculation Sheet'!$AE$13="","",'Final Calculation Sheet'!$AE$13)</f>
        <v>DR2640100018</v>
      </c>
      <c r="AG44" s="74">
        <f>IF('Final Calculation Sheet'!$AF$13="","",'Final Calculation Sheet'!$AF$13)</f>
        <v>1800003156</v>
      </c>
      <c r="AH44" s="70" t="str">
        <f>IF('Final Calculation Sheet'!$AG$13="","",'Final Calculation Sheet'!$AG$13)</f>
        <v>14.08.2026</v>
      </c>
      <c r="AI44" s="75" t="str">
        <f>IF('Final Calculation Sheet'!$AD$13="","",IF('Final Calculation Sheet'!$AD$13&lt;=5,"SETTLED","OUTSTANDING"))</f>
        <v>SETTLED</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95" t="str">
        <f>IF('Final Calculation Sheet'!$AE$16="","",'Final Calculation Sheet'!$AE$16)</f>
        <v>DR2640100019</v>
      </c>
      <c r="AG45" s="99">
        <f>IF('Final Calculation Sheet'!$AF$16="","",'Final Calculation Sheet'!$AF$16)</f>
        <v>1800003157</v>
      </c>
      <c r="AH45" s="95" t="str">
        <f>IF('Final Calculation Sheet'!$AG$16="","",'Final Calculation Sheet'!$AG$16)</f>
        <v>14.08.2026</v>
      </c>
      <c r="AI45" s="100" t="str">
        <f>IF('Final Calculation Sheet'!$AD$16="","",IF('Final Calculation Sheet'!$AD$16&lt;=5,"SETTLED","OUTSTANDING"))</f>
        <v>SETTLED</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0" t="str">
        <f>IF('Final Calculation Sheet'!$AE$17="","",'Final Calculation Sheet'!$AE$17)</f>
        <v>DR2640100020</v>
      </c>
      <c r="AG46" s="74">
        <f>IF('Final Calculation Sheet'!$AF$17="","",'Final Calculation Sheet'!$AF$17)</f>
        <v>1800003158</v>
      </c>
      <c r="AH46" s="70" t="str">
        <f>IF('Final Calculation Sheet'!$AG$17="","",'Final Calculation Sheet'!$AG$17)</f>
        <v>14.08.2026</v>
      </c>
      <c r="AI46" s="75" t="str">
        <f>IF('Final Calculation Sheet'!$AD$17="","",IF('Final Calculation Sheet'!$AD$17&lt;=5,"SETTLED","OUTSTANDING"))</f>
        <v>SETTLED</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95" t="str">
        <f>IF('Final Calculation Sheet'!$AE$23="","",'Final Calculation Sheet'!$AE$23)</f>
        <v>DR2640100021</v>
      </c>
      <c r="AG47" s="99">
        <f>IF('Final Calculation Sheet'!$AF$23="","",'Final Calculation Sheet'!$AF$23)</f>
        <v>1800003160</v>
      </c>
      <c r="AH47" s="95" t="str">
        <f>IF('Final Calculation Sheet'!$AG$23="","",'Final Calculation Sheet'!$AG$23)</f>
        <v>14.08.2026</v>
      </c>
      <c r="AI47" s="100" t="str">
        <f>IF('Final Calculation Sheet'!$AD$23="","",IF('Final Calculation Sheet'!$AD$23&lt;=5,"SETTLED","OUTSTANDING"))</f>
        <v>SETTLED</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0" t="str">
        <f>IF('Final Calculation Sheet'!$AE$29="","",'Final Calculation Sheet'!$AE$29)</f>
        <v/>
      </c>
      <c r="AG48" s="74" t="str">
        <f>IF('Final Calculation Sheet'!$AF$29="","",'Final Calculation Sheet'!$AF$29)</f>
        <v/>
      </c>
      <c r="AH48" s="70" t="str">
        <f>IF('Final Calculation Sheet'!$AG$29="","",'Final Calculation Sheet'!$AG$29)</f>
        <v/>
      </c>
      <c r="AI48" s="75" t="str">
        <f>IF('Final Calculation Sheet'!$AD$29="","",IF('Final Calculation Sheet'!$AD$29&lt;=5,"SETTLED","OUTSTANDING"))</f>
        <v>OUTSTANDING</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95" t="str">
        <f>IF('Final Calculation Sheet'!$AE$34="","",'Final Calculation Sheet'!$AE$34)</f>
        <v>DR2640100022</v>
      </c>
      <c r="AG49" s="99">
        <f>IF('Final Calculation Sheet'!$AF$34="","",'Final Calculation Sheet'!$AF$34)</f>
        <v>1800003161</v>
      </c>
      <c r="AH49" s="95" t="str">
        <f>IF('Final Calculation Sheet'!$AG$34="","",'Final Calculation Sheet'!$AG$34)</f>
        <v>14.08.2026</v>
      </c>
      <c r="AI49" s="100" t="str">
        <f>IF('Final Calculation Sheet'!$AD$34="","",IF('Final Calculation Sheet'!$AD$34&lt;=5,"SETTLED","OUTSTANDING"))</f>
        <v>SETTLED</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0" t="str">
        <f>IF('Final Calculation Sheet'!$AE$36="","",'Final Calculation Sheet'!$AE$36)</f>
        <v/>
      </c>
      <c r="AG50" s="74" t="str">
        <f>IF('Final Calculation Sheet'!$AF$36="","",'Final Calculation Sheet'!$AF$36)</f>
        <v/>
      </c>
      <c r="AH50" s="70" t="str">
        <f>IF('Final Calculation Sheet'!$AG$36="","",'Final Calculation Sheet'!$AG$36)</f>
        <v/>
      </c>
      <c r="AI50" s="75" t="str">
        <f>IF('Final Calculation Sheet'!$AD$36="","",IF('Final Calculation Sheet'!$AD$36&lt;=5,"SETTLED","OUTSTANDING"))</f>
        <v>OUTSTANDING</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4" t="inlineStr">
        <is>
          <t>–</t>
        </is>
      </c>
      <c r="AG51" s="88" t="inlineStr">
        <is>
          <t>–</t>
        </is>
      </c>
      <c r="AH51" s="84" t="inlineStr">
        <is>
          <t>–</t>
        </is>
      </c>
      <c r="AI51" s="89" t="str">
        <f>IF(AE51&lt;=5,"SETTLED","OUTSTANDING")</f>
        <v>OUTSTANDING</v>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0" t="str">
        <f>IF('Final Calculation Sheet'!$AE$25="","",'Final Calculation Sheet'!$AE$25)</f>
        <v>DR2640100042</v>
      </c>
      <c r="AG52" s="74">
        <f>IF('Final Calculation Sheet'!$AF$25="","",'Final Calculation Sheet'!$AF$25)</f>
        <v>1800003317</v>
      </c>
      <c r="AH52" s="70" t="str">
        <f>IF('Final Calculation Sheet'!$AG$25="","",'Final Calculation Sheet'!$AG$25)</f>
        <v>27.08.2026</v>
      </c>
      <c r="AI52" s="75" t="str">
        <f>IF('Final Calculation Sheet'!$AD$25="","",IF('Final Calculation Sheet'!$AD$25&lt;=5,"SETTLED","OUTSTANDING"))</f>
        <v>SETTLED</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95" t="str">
        <f>IF('Final Calculation Sheet'!$AE$28="","",'Final Calculation Sheet'!$AE$28)</f>
        <v>DR2640100043</v>
      </c>
      <c r="AG53" s="99">
        <f>IF('Final Calculation Sheet'!$AF$28="","",'Final Calculation Sheet'!$AF$28)</f>
        <v>1800003318</v>
      </c>
      <c r="AH53" s="95" t="str">
        <f>IF('Final Calculation Sheet'!$AG$28="","",'Final Calculation Sheet'!$AG$28)</f>
        <v>27.08.2026</v>
      </c>
      <c r="AI53" s="100" t="str">
        <f>IF('Final Calculation Sheet'!$AD$28="","",IF('Final Calculation Sheet'!$AD$28&lt;=5,"SETTLED","OUTSTANDING"))</f>
        <v>SETTLED</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0" t="str">
        <f>IF('Final Calculation Sheet'!$AE$35="","",'Final Calculation Sheet'!$AE$35)</f>
        <v>DR2640100027</v>
      </c>
      <c r="AG54" s="74">
        <f>IF('Final Calculation Sheet'!$AF$35="","",'Final Calculation Sheet'!$AF$35)</f>
        <v>1800003248</v>
      </c>
      <c r="AH54" s="70" t="str">
        <f>IF('Final Calculation Sheet'!$AG$35="","",'Final Calculation Sheet'!$AG$35)</f>
        <v>20.08.2026</v>
      </c>
      <c r="AI54" s="75" t="str">
        <f>IF('Final Calculation Sheet'!$AD$35="","",IF('Final Calculation Sheet'!$AD$35&lt;=5,"SETTLED","OUTSTANDING"))</f>
        <v>SETTLED</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4" t="inlineStr">
        <is>
          <t>–</t>
        </is>
      </c>
      <c r="AG55" s="88" t="inlineStr">
        <is>
          <t>–</t>
        </is>
      </c>
      <c r="AH55" s="84" t="inlineStr">
        <is>
          <t>–</t>
        </is>
      </c>
      <c r="AI55" s="89" t="str">
        <f>IF(AE55&lt;=5,"SETTLED","OUTSTANDING")</f>
        <v>SETTLED</v>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3" t="inlineStr">
        <is>
          <t>–</t>
        </is>
      </c>
      <c r="AG56" s="107" t="inlineStr">
        <is>
          <t>–</t>
        </is>
      </c>
      <c r="AH56" s="103" t="inlineStr">
        <is>
          <t>–</t>
        </is>
      </c>
      <c r="AI56" s="108" t="str">
        <f>IF(AE56&lt;=5,"SETTLED","OUTSTANDING")</f>
        <v>OUTSTANDING</v>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1" t="inlineStr">
        <is>
          <t>–</t>
        </is>
      </c>
      <c r="AG57" s="115" t="inlineStr">
        <is>
          <t>–</t>
        </is>
      </c>
      <c r="AH57" s="111" t="inlineStr">
        <is>
          <t>–</t>
        </is>
      </c>
      <c r="AI57" s="116" t="str">
        <f>IF(AE57&lt;=5,"SETTLED","OUTSTANDING")</f>
        <v>OUTSTANDING</v>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2" t="str">
        <f>IF($AL$60="","",IF(INDEX('Final Calculation Sheet'!$AE$4:$AE$40,$AL$60)="","",INDEX('Final Calculation Sheet'!$AE$4:$AE$40,$AL$60)))</f>
        <v/>
      </c>
      <c r="AG60" s="126" t="str">
        <f>IF($AL$60="","",IF(INDEX('Final Calculation Sheet'!$AF$4:$AF$40,$AL$60)="","",INDEX('Final Calculation Sheet'!$AF$4:$AF$40,$AL$60)))</f>
        <v/>
      </c>
      <c r="AH60" s="122" t="str">
        <f>IF($AL$60="","",IF(INDEX('Final Calculation Sheet'!$AG$4:$AG$40,$AL$60)="","",INDEX('Final Calculation Sheet'!$AG$4:$AG$40,$AL$60)))</f>
        <v/>
      </c>
      <c r="AI60" s="127" t="str">
        <f>IF($AL$60="","",IF(INDEX('Final Calculation Sheet'!$AD$4:$AD$40,$AL$60)&lt;=5,"SETTLED","OUTSTANDING"))</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1" t="str">
        <f>IF($AL$61="","",IF(INDEX('Final Calculation Sheet'!$AE$4:$AE$40,$AL$61)="","",INDEX('Final Calculation Sheet'!$AE$4:$AE$40,$AL$61)))</f>
        <v/>
      </c>
      <c r="AG61" s="135" t="str">
        <f>IF($AL$61="","",IF(INDEX('Final Calculation Sheet'!$AF$4:$AF$40,$AL$61)="","",INDEX('Final Calculation Sheet'!$AF$4:$AF$40,$AL$61)))</f>
        <v/>
      </c>
      <c r="AH61" s="131" t="str">
        <f>IF($AL$61="","",IF(INDEX('Final Calculation Sheet'!$AG$4:$AG$40,$AL$61)="","",INDEX('Final Calculation Sheet'!$AG$4:$AG$40,$AL$61)))</f>
        <v/>
      </c>
      <c r="AI61" s="136" t="str">
        <f>IF($AL$61="","",IF(INDEX('Final Calculation Sheet'!$AD$4:$AD$40,$AL$61)&lt;=5,"SETTLED","OUTSTANDING"))</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2" t="str">
        <f>IF($AL$62="","",IF(INDEX('Final Calculation Sheet'!$AE$4:$AE$40,$AL$62)="","",INDEX('Final Calculation Sheet'!$AE$4:$AE$40,$AL$62)))</f>
        <v/>
      </c>
      <c r="AG62" s="126" t="str">
        <f>IF($AL$62="","",IF(INDEX('Final Calculation Sheet'!$AF$4:$AF$40,$AL$62)="","",INDEX('Final Calculation Sheet'!$AF$4:$AF$40,$AL$62)))</f>
        <v/>
      </c>
      <c r="AH62" s="122" t="str">
        <f>IF($AL$62="","",IF(INDEX('Final Calculation Sheet'!$AG$4:$AG$40,$AL$62)="","",INDEX('Final Calculation Sheet'!$AG$4:$AG$40,$AL$62)))</f>
        <v/>
      </c>
      <c r="AI62" s="127" t="str">
        <f>IF($AL$62="","",IF(INDEX('Final Calculation Sheet'!$AD$4:$AD$40,$AL$62)&lt;=5,"SETTLED","OUTSTANDING"))</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1" t="str">
        <f>IF($AL$63="","",IF(INDEX('Final Calculation Sheet'!$AE$4:$AE$40,$AL$63)="","",INDEX('Final Calculation Sheet'!$AE$4:$AE$40,$AL$63)))</f>
        <v/>
      </c>
      <c r="AG63" s="135" t="str">
        <f>IF($AL$63="","",IF(INDEX('Final Calculation Sheet'!$AF$4:$AF$40,$AL$63)="","",INDEX('Final Calculation Sheet'!$AF$4:$AF$40,$AL$63)))</f>
        <v/>
      </c>
      <c r="AH63" s="131" t="str">
        <f>IF($AL$63="","",IF(INDEX('Final Calculation Sheet'!$AG$4:$AG$40,$AL$63)="","",INDEX('Final Calculation Sheet'!$AG$4:$AG$40,$AL$63)))</f>
        <v/>
      </c>
      <c r="AI63" s="136" t="str">
        <f>IF($AL$63="","",IF(INDEX('Final Calculation Sheet'!$AD$4:$AD$40,$AL$63)&lt;=5,"SETTLED","OUTSTANDING"))</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2" t="str">
        <f>IF($AL$64="","",IF(INDEX('Final Calculation Sheet'!$AE$4:$AE$40,$AL$64)="","",INDEX('Final Calculation Sheet'!$AE$4:$AE$40,$AL$64)))</f>
        <v/>
      </c>
      <c r="AG64" s="126" t="str">
        <f>IF($AL$64="","",IF(INDEX('Final Calculation Sheet'!$AF$4:$AF$40,$AL$64)="","",INDEX('Final Calculation Sheet'!$AF$4:$AF$40,$AL$64)))</f>
        <v/>
      </c>
      <c r="AH64" s="122" t="str">
        <f>IF($AL$64="","",IF(INDEX('Final Calculation Sheet'!$AG$4:$AG$40,$AL$64)="","",INDEX('Final Calculation Sheet'!$AG$4:$AG$40,$AL$64)))</f>
        <v/>
      </c>
      <c r="AI64" s="127" t="str">
        <f>IF($AL$64="","",IF(INDEX('Final Calculation Sheet'!$AD$4:$AD$40,$AL$64)&lt;=5,"SETTLED","OUTSTANDING"))</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1" t="str">
        <f>IF($AL$65="","",IF(INDEX('Final Calculation Sheet'!$AE$4:$AE$40,$AL$65)="","",INDEX('Final Calculation Sheet'!$AE$4:$AE$40,$AL$65)))</f>
        <v/>
      </c>
      <c r="AG65" s="135" t="str">
        <f>IF($AL$65="","",IF(INDEX('Final Calculation Sheet'!$AF$4:$AF$40,$AL$65)="","",INDEX('Final Calculation Sheet'!$AF$4:$AF$40,$AL$65)))</f>
        <v/>
      </c>
      <c r="AH65" s="131" t="str">
        <f>IF($AL$65="","",IF(INDEX('Final Calculation Sheet'!$AG$4:$AG$40,$AL$65)="","",INDEX('Final Calculation Sheet'!$AG$4:$AG$40,$AL$65)))</f>
        <v/>
      </c>
      <c r="AI65" s="136" t="str">
        <f>IF($AL$65="","",IF(INDEX('Final Calculation Sheet'!$AD$4:$AD$40,$AL$65)&lt;=5,"SETTLED","OUTSTANDING"))</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2" t="str">
        <f>IF($AL$66="","",IF(INDEX('Final Calculation Sheet'!$AE$4:$AE$40,$AL$66)="","",INDEX('Final Calculation Sheet'!$AE$4:$AE$40,$AL$66)))</f>
        <v/>
      </c>
      <c r="AG66" s="126" t="str">
        <f>IF($AL$66="","",IF(INDEX('Final Calculation Sheet'!$AF$4:$AF$40,$AL$66)="","",INDEX('Final Calculation Sheet'!$AF$4:$AF$40,$AL$66)))</f>
        <v/>
      </c>
      <c r="AH66" s="122" t="str">
        <f>IF($AL$66="","",IF(INDEX('Final Calculation Sheet'!$AG$4:$AG$40,$AL$66)="","",INDEX('Final Calculation Sheet'!$AG$4:$AG$40,$AL$66)))</f>
        <v/>
      </c>
      <c r="AI66" s="127" t="str">
        <f>IF($AL$66="","",IF(INDEX('Final Calculation Sheet'!$AD$4:$AD$40,$AL$66)&lt;=5,"SETTLED","OUTSTANDING"))</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1" t="str">
        <f>IF($AL$67="","",IF(INDEX('Final Calculation Sheet'!$AE$4:$AE$40,$AL$67)="","",INDEX('Final Calculation Sheet'!$AE$4:$AE$40,$AL$67)))</f>
        <v/>
      </c>
      <c r="AG67" s="135" t="str">
        <f>IF($AL$67="","",IF(INDEX('Final Calculation Sheet'!$AF$4:$AF$40,$AL$67)="","",INDEX('Final Calculation Sheet'!$AF$4:$AF$40,$AL$67)))</f>
        <v/>
      </c>
      <c r="AH67" s="131" t="str">
        <f>IF($AL$67="","",IF(INDEX('Final Calculation Sheet'!$AG$4:$AG$40,$AL$67)="","",INDEX('Final Calculation Sheet'!$AG$4:$AG$40,$AL$67)))</f>
        <v/>
      </c>
      <c r="AI67" s="136" t="str">
        <f>IF($AL$67="","",IF(INDEX('Final Calculation Sheet'!$AD$4:$AD$40,$AL$67)&lt;=5,"SETTLED","OUTSTANDING"))</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2" t="str">
        <f>IF($AL$68="","",IF(INDEX('Final Calculation Sheet'!$AE$4:$AE$40,$AL$68)="","",INDEX('Final Calculation Sheet'!$AE$4:$AE$40,$AL$68)))</f>
        <v/>
      </c>
      <c r="AG68" s="126" t="str">
        <f>IF($AL$68="","",IF(INDEX('Final Calculation Sheet'!$AF$4:$AF$40,$AL$68)="","",INDEX('Final Calculation Sheet'!$AF$4:$AF$40,$AL$68)))</f>
        <v/>
      </c>
      <c r="AH68" s="122" t="str">
        <f>IF($AL$68="","",IF(INDEX('Final Calculation Sheet'!$AG$4:$AG$40,$AL$68)="","",INDEX('Final Calculation Sheet'!$AG$4:$AG$40,$AL$68)))</f>
        <v/>
      </c>
      <c r="AI68" s="127" t="str">
        <f>IF($AL$68="","",IF(INDEX('Final Calculation Sheet'!$AD$4:$AD$40,$AL$68)&lt;=5,"SETTLED","OUTSTANDING"))</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1" t="str">
        <f>IF($AL$69="","",IF(INDEX('Final Calculation Sheet'!$AE$4:$AE$40,$AL$69)="","",INDEX('Final Calculation Sheet'!$AE$4:$AE$40,$AL$69)))</f>
        <v/>
      </c>
      <c r="AG69" s="135" t="str">
        <f>IF($AL$69="","",IF(INDEX('Final Calculation Sheet'!$AF$4:$AF$40,$AL$69)="","",INDEX('Final Calculation Sheet'!$AF$4:$AF$40,$AL$69)))</f>
        <v/>
      </c>
      <c r="AH69" s="131" t="str">
        <f>IF($AL$69="","",IF(INDEX('Final Calculation Sheet'!$AG$4:$AG$40,$AL$69)="","",INDEX('Final Calculation Sheet'!$AG$4:$AG$40,$AL$69)))</f>
        <v/>
      </c>
      <c r="AI69" s="136" t="str">
        <f>IF($AL$69="","",IF(INDEX('Final Calculation Sheet'!$AD$4:$AD$40,$AL$69)&lt;=5,"SETTLED","OUTSTANDING"))</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2" t="str">
        <f>IF($AL$70="","",IF(INDEX('Final Calculation Sheet'!$AE$4:$AE$40,$AL$70)="","",INDEX('Final Calculation Sheet'!$AE$4:$AE$40,$AL$70)))</f>
        <v/>
      </c>
      <c r="AG70" s="126" t="str">
        <f>IF($AL$70="","",IF(INDEX('Final Calculation Sheet'!$AF$4:$AF$40,$AL$70)="","",INDEX('Final Calculation Sheet'!$AF$4:$AF$40,$AL$70)))</f>
        <v/>
      </c>
      <c r="AH70" s="122" t="str">
        <f>IF($AL$70="","",IF(INDEX('Final Calculation Sheet'!$AG$4:$AG$40,$AL$70)="","",INDEX('Final Calculation Sheet'!$AG$4:$AG$40,$AL$70)))</f>
        <v/>
      </c>
      <c r="AI70" s="127" t="str">
        <f>IF($AL$70="","",IF(INDEX('Final Calculation Sheet'!$AD$4:$AD$40,$AL$70)&lt;=5,"SETTLED","OUTSTANDING"))</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1" t="str">
        <f>IF($AL$71="","",IF(INDEX('Final Calculation Sheet'!$AE$4:$AE$40,$AL$71)="","",INDEX('Final Calculation Sheet'!$AE$4:$AE$40,$AL$71)))</f>
        <v/>
      </c>
      <c r="AG71" s="135" t="str">
        <f>IF($AL$71="","",IF(INDEX('Final Calculation Sheet'!$AF$4:$AF$40,$AL$71)="","",INDEX('Final Calculation Sheet'!$AF$4:$AF$40,$AL$71)))</f>
        <v/>
      </c>
      <c r="AH71" s="131" t="str">
        <f>IF($AL$71="","",IF(INDEX('Final Calculation Sheet'!$AG$4:$AG$40,$AL$71)="","",INDEX('Final Calculation Sheet'!$AG$4:$AG$40,$AL$71)))</f>
        <v/>
      </c>
      <c r="AI71" s="136" t="str">
        <f>IF($AL$71="","",IF(INDEX('Final Calculation Sheet'!$AD$4:$AD$40,$AL$71)&lt;=5,"SETTLED","OUTSTANDING"))</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2" t="str">
        <f>IF($AL$72="","",IF(INDEX('Final Calculation Sheet'!$AE$4:$AE$40,$AL$72)="","",INDEX('Final Calculation Sheet'!$AE$4:$AE$40,$AL$72)))</f>
        <v/>
      </c>
      <c r="AG72" s="126" t="str">
        <f>IF($AL$72="","",IF(INDEX('Final Calculation Sheet'!$AF$4:$AF$40,$AL$72)="","",INDEX('Final Calculation Sheet'!$AF$4:$AF$40,$AL$72)))</f>
        <v/>
      </c>
      <c r="AH72" s="122" t="str">
        <f>IF($AL$72="","",IF(INDEX('Final Calculation Sheet'!$AG$4:$AG$40,$AL$72)="","",INDEX('Final Calculation Sheet'!$AG$4:$AG$40,$AL$72)))</f>
        <v/>
      </c>
      <c r="AI72" s="127" t="str">
        <f>IF($AL$72="","",IF(INDEX('Final Calculation Sheet'!$AD$4:$AD$40,$AL$72)&lt;=5,"SETTLED","OUTSTANDING"))</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1" t="str">
        <f>IF($AL$73="","",IF(INDEX('Final Calculation Sheet'!$AE$4:$AE$40,$AL$73)="","",INDEX('Final Calculation Sheet'!$AE$4:$AE$40,$AL$73)))</f>
        <v/>
      </c>
      <c r="AG73" s="135" t="str">
        <f>IF($AL$73="","",IF(INDEX('Final Calculation Sheet'!$AF$4:$AF$40,$AL$73)="","",INDEX('Final Calculation Sheet'!$AF$4:$AF$40,$AL$73)))</f>
        <v/>
      </c>
      <c r="AH73" s="131" t="str">
        <f>IF($AL$73="","",IF(INDEX('Final Calculation Sheet'!$AG$4:$AG$40,$AL$73)="","",INDEX('Final Calculation Sheet'!$AG$4:$AG$40,$AL$73)))</f>
        <v/>
      </c>
      <c r="AI73" s="136" t="str">
        <f>IF($AL$73="","",IF(INDEX('Final Calculation Sheet'!$AD$4:$AD$40,$AL$73)&lt;=5,"SETTLED","OUTSTANDING"))</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2" t="str">
        <f>IF($AL$74="","",IF(INDEX('Final Calculation Sheet'!$AE$4:$AE$40,$AL$74)="","",INDEX('Final Calculation Sheet'!$AE$4:$AE$40,$AL$74)))</f>
        <v/>
      </c>
      <c r="AG74" s="126" t="str">
        <f>IF($AL$74="","",IF(INDEX('Final Calculation Sheet'!$AF$4:$AF$40,$AL$74)="","",INDEX('Final Calculation Sheet'!$AF$4:$AF$40,$AL$74)))</f>
        <v/>
      </c>
      <c r="AH74" s="122" t="str">
        <f>IF($AL$74="","",IF(INDEX('Final Calculation Sheet'!$AG$4:$AG$40,$AL$74)="","",INDEX('Final Calculation Sheet'!$AG$4:$AG$40,$AL$74)))</f>
        <v/>
      </c>
      <c r="AI74" s="127" t="str">
        <f>IF($AL$74="","",IF(INDEX('Final Calculation Sheet'!$AD$4:$AD$40,$AL$74)&lt;=5,"SETTLED","OUTSTANDING"))</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1" t="str">
        <f>IF($AL$75="","",IF(INDEX('Final Calculation Sheet'!$AE$4:$AE$40,$AL$75)="","",INDEX('Final Calculation Sheet'!$AE$4:$AE$40,$AL$75)))</f>
        <v/>
      </c>
      <c r="AG75" s="135" t="str">
        <f>IF($AL$75="","",IF(INDEX('Final Calculation Sheet'!$AF$4:$AF$40,$AL$75)="","",INDEX('Final Calculation Sheet'!$AF$4:$AF$40,$AL$75)))</f>
        <v/>
      </c>
      <c r="AH75" s="131" t="str">
        <f>IF($AL$75="","",IF(INDEX('Final Calculation Sheet'!$AG$4:$AG$40,$AL$75)="","",INDEX('Final Calculation Sheet'!$AG$4:$AG$40,$AL$75)))</f>
        <v/>
      </c>
      <c r="AI75" s="136" t="str">
        <f>IF($AL$75="","",IF(INDEX('Final Calculation Sheet'!$AD$4:$AD$40,$AL$75)&lt;=5,"SETTLED","OUTSTANDING"))</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2" t="str">
        <f>IF($AL$76="","",IF(INDEX('Final Calculation Sheet'!$AE$4:$AE$40,$AL$76)="","",INDEX('Final Calculation Sheet'!$AE$4:$AE$40,$AL$76)))</f>
        <v/>
      </c>
      <c r="AG76" s="126" t="str">
        <f>IF($AL$76="","",IF(INDEX('Final Calculation Sheet'!$AF$4:$AF$40,$AL$76)="","",INDEX('Final Calculation Sheet'!$AF$4:$AF$40,$AL$76)))</f>
        <v/>
      </c>
      <c r="AH76" s="122" t="str">
        <f>IF($AL$76="","",IF(INDEX('Final Calculation Sheet'!$AG$4:$AG$40,$AL$76)="","",INDEX('Final Calculation Sheet'!$AG$4:$AG$40,$AL$76)))</f>
        <v/>
      </c>
      <c r="AI76" s="127" t="str">
        <f>IF($AL$76="","",IF(INDEX('Final Calculation Sheet'!$AD$4:$AD$40,$AL$76)&lt;=5,"SETTLED","OUTSTANDING"))</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1" t="str">
        <f>IF($AL$77="","",IF(INDEX('Final Calculation Sheet'!$AE$4:$AE$40,$AL$77)="","",INDEX('Final Calculation Sheet'!$AE$4:$AE$40,$AL$77)))</f>
        <v/>
      </c>
      <c r="AG77" s="135" t="str">
        <f>IF($AL$77="","",IF(INDEX('Final Calculation Sheet'!$AF$4:$AF$40,$AL$77)="","",INDEX('Final Calculation Sheet'!$AF$4:$AF$40,$AL$77)))</f>
        <v/>
      </c>
      <c r="AH77" s="131" t="str">
        <f>IF($AL$77="","",IF(INDEX('Final Calculation Sheet'!$AG$4:$AG$40,$AL$77)="","",INDEX('Final Calculation Sheet'!$AG$4:$AG$40,$AL$77)))</f>
        <v/>
      </c>
      <c r="AI77" s="136" t="str">
        <f>IF($AL$77="","",IF(INDEX('Final Calculation Sheet'!$AD$4:$AD$40,$AL$77)&lt;=5,"SETTLED","OUTSTANDING"))</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2" t="str">
        <f>IF($AL$78="","",IF(INDEX('Final Calculation Sheet'!$AE$4:$AE$40,$AL$78)="","",INDEX('Final Calculation Sheet'!$AE$4:$AE$40,$AL$78)))</f>
        <v/>
      </c>
      <c r="AG78" s="126" t="str">
        <f>IF($AL$78="","",IF(INDEX('Final Calculation Sheet'!$AF$4:$AF$40,$AL$78)="","",INDEX('Final Calculation Sheet'!$AF$4:$AF$40,$AL$78)))</f>
        <v/>
      </c>
      <c r="AH78" s="122" t="str">
        <f>IF($AL$78="","",IF(INDEX('Final Calculation Sheet'!$AG$4:$AG$40,$AL$78)="","",INDEX('Final Calculation Sheet'!$AG$4:$AG$40,$AL$78)))</f>
        <v/>
      </c>
      <c r="AI78" s="127" t="str">
        <f>IF($AL$78="","",IF(INDEX('Final Calculation Sheet'!$AD$4:$AD$40,$AL$78)&lt;=5,"SETTLED","OUTSTANDING"))</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1" t="str">
        <f>IF($AL$79="","",IF(INDEX('Final Calculation Sheet'!$AE$4:$AE$40,$AL$79)="","",INDEX('Final Calculation Sheet'!$AE$4:$AE$40,$AL$79)))</f>
        <v/>
      </c>
      <c r="AG79" s="135" t="str">
        <f>IF($AL$79="","",IF(INDEX('Final Calculation Sheet'!$AF$4:$AF$40,$AL$79)="","",INDEX('Final Calculation Sheet'!$AF$4:$AF$40,$AL$79)))</f>
        <v/>
      </c>
      <c r="AH79" s="131" t="str">
        <f>IF($AL$79="","",IF(INDEX('Final Calculation Sheet'!$AG$4:$AG$40,$AL$79)="","",INDEX('Final Calculation Sheet'!$AG$4:$AG$40,$AL$79)))</f>
        <v/>
      </c>
      <c r="AI79" s="136" t="str">
        <f>IF($AL$79="","",IF(INDEX('Final Calculation Sheet'!$AD$4:$AD$40,$AL$79)&lt;=5,"SETTLED","OUTSTANDING"))</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2" t="str">
        <f>IF($AL$80="","",IF(INDEX('Final Calculation Sheet'!$AE$4:$AE$40,$AL$80)="","",INDEX('Final Calculation Sheet'!$AE$4:$AE$40,$AL$80)))</f>
        <v/>
      </c>
      <c r="AG80" s="126" t="str">
        <f>IF($AL$80="","",IF(INDEX('Final Calculation Sheet'!$AF$4:$AF$40,$AL$80)="","",INDEX('Final Calculation Sheet'!$AF$4:$AF$40,$AL$80)))</f>
        <v/>
      </c>
      <c r="AH80" s="122" t="str">
        <f>IF($AL$80="","",IF(INDEX('Final Calculation Sheet'!$AG$4:$AG$40,$AL$80)="","",INDEX('Final Calculation Sheet'!$AG$4:$AG$40,$AL$80)))</f>
        <v/>
      </c>
      <c r="AI80" s="127" t="str">
        <f>IF($AL$80="","",IF(INDEX('Final Calculation Sheet'!$AD$4:$AD$40,$AL$80)&lt;=5,"SETTLED","OUTSTANDING"))</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1" t="str">
        <f>IF($AL$81="","",IF(INDEX('Final Calculation Sheet'!$AE$4:$AE$40,$AL$81)="","",INDEX('Final Calculation Sheet'!$AE$4:$AE$40,$AL$81)))</f>
        <v/>
      </c>
      <c r="AG81" s="135" t="str">
        <f>IF($AL$81="","",IF(INDEX('Final Calculation Sheet'!$AF$4:$AF$40,$AL$81)="","",INDEX('Final Calculation Sheet'!$AF$4:$AF$40,$AL$81)))</f>
        <v/>
      </c>
      <c r="AH81" s="131" t="str">
        <f>IF($AL$81="","",IF(INDEX('Final Calculation Sheet'!$AG$4:$AG$40,$AL$81)="","",INDEX('Final Calculation Sheet'!$AG$4:$AG$40,$AL$81)))</f>
        <v/>
      </c>
      <c r="AI81" s="136" t="str">
        <f>IF($AL$81="","",IF(INDEX('Final Calculation Sheet'!$AD$4:$AD$40,$AL$81)&lt;=5,"SETTLED","OUTSTANDING"))</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2" t="str">
        <f>IF($AL$82="","",IF(INDEX('Final Calculation Sheet'!$AE$4:$AE$40,$AL$82)="","",INDEX('Final Calculation Sheet'!$AE$4:$AE$40,$AL$82)))</f>
        <v/>
      </c>
      <c r="AG82" s="126" t="str">
        <f>IF($AL$82="","",IF(INDEX('Final Calculation Sheet'!$AF$4:$AF$40,$AL$82)="","",INDEX('Final Calculation Sheet'!$AF$4:$AF$40,$AL$82)))</f>
        <v/>
      </c>
      <c r="AH82" s="122" t="str">
        <f>IF($AL$82="","",IF(INDEX('Final Calculation Sheet'!$AG$4:$AG$40,$AL$82)="","",INDEX('Final Calculation Sheet'!$AG$4:$AG$40,$AL$82)))</f>
        <v/>
      </c>
      <c r="AI82" s="127" t="str">
        <f>IF($AL$82="","",IF(INDEX('Final Calculation Sheet'!$AD$4:$AD$40,$AL$82)&lt;=5,"SETTLED","OUTSTANDING"))</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1" t="str">
        <f>IF($AL$83="","",IF(INDEX('Final Calculation Sheet'!$AE$4:$AE$40,$AL$83)="","",INDEX('Final Calculation Sheet'!$AE$4:$AE$40,$AL$83)))</f>
        <v/>
      </c>
      <c r="AG83" s="135" t="str">
        <f>IF($AL$83="","",IF(INDEX('Final Calculation Sheet'!$AF$4:$AF$40,$AL$83)="","",INDEX('Final Calculation Sheet'!$AF$4:$AF$40,$AL$83)))</f>
        <v/>
      </c>
      <c r="AH83" s="131" t="str">
        <f>IF($AL$83="","",IF(INDEX('Final Calculation Sheet'!$AG$4:$AG$40,$AL$83)="","",INDEX('Final Calculation Sheet'!$AG$4:$AG$40,$AL$83)))</f>
        <v/>
      </c>
      <c r="AI83" s="136" t="str">
        <f>IF($AL$83="","",IF(INDEX('Final Calculation Sheet'!$AD$4:$AD$40,$AL$83)&lt;=5,"SETTLED","OUTSTANDING"))</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2" t="str">
        <f>IF($AL$84="","",IF(INDEX('Final Calculation Sheet'!$AE$4:$AE$40,$AL$84)="","",INDEX('Final Calculation Sheet'!$AE$4:$AE$40,$AL$84)))</f>
        <v/>
      </c>
      <c r="AG84" s="126" t="str">
        <f>IF($AL$84="","",IF(INDEX('Final Calculation Sheet'!$AF$4:$AF$40,$AL$84)="","",INDEX('Final Calculation Sheet'!$AF$4:$AF$40,$AL$84)))</f>
        <v/>
      </c>
      <c r="AH84" s="122" t="str">
        <f>IF($AL$84="","",IF(INDEX('Final Calculation Sheet'!$AG$4:$AG$40,$AL$84)="","",INDEX('Final Calculation Sheet'!$AG$4:$AG$40,$AL$84)))</f>
        <v/>
      </c>
      <c r="AI84" s="127" t="str">
        <f>IF($AL$84="","",IF(INDEX('Final Calculation Sheet'!$AD$4:$AD$40,$AL$84)&lt;=5,"SETTLED","OUTSTANDING"))</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1" t="str">
        <f>IF($AL$85="","",IF(INDEX('Final Calculation Sheet'!$AE$4:$AE$40,$AL$85)="","",INDEX('Final Calculation Sheet'!$AE$4:$AE$40,$AL$85)))</f>
        <v/>
      </c>
      <c r="AG85" s="135" t="str">
        <f>IF($AL$85="","",IF(INDEX('Final Calculation Sheet'!$AF$4:$AF$40,$AL$85)="","",INDEX('Final Calculation Sheet'!$AF$4:$AF$40,$AL$85)))</f>
        <v/>
      </c>
      <c r="AH85" s="131" t="str">
        <f>IF($AL$85="","",IF(INDEX('Final Calculation Sheet'!$AG$4:$AG$40,$AL$85)="","",INDEX('Final Calculation Sheet'!$AG$4:$AG$40,$AL$85)))</f>
        <v/>
      </c>
      <c r="AI85" s="136" t="str">
        <f>IF($AL$85="","",IF(INDEX('Final Calculation Sheet'!$AD$4:$AD$40,$AL$85)&lt;=5,"SETTLED","OUTSTANDING"))</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2" t="str">
        <f>IF($AL$86="","",IF(INDEX('Final Calculation Sheet'!$AE$4:$AE$40,$AL$86)="","",INDEX('Final Calculation Sheet'!$AE$4:$AE$40,$AL$86)))</f>
        <v/>
      </c>
      <c r="AG86" s="126" t="str">
        <f>IF($AL$86="","",IF(INDEX('Final Calculation Sheet'!$AF$4:$AF$40,$AL$86)="","",INDEX('Final Calculation Sheet'!$AF$4:$AF$40,$AL$86)))</f>
        <v/>
      </c>
      <c r="AH86" s="122" t="str">
        <f>IF($AL$86="","",IF(INDEX('Final Calculation Sheet'!$AG$4:$AG$40,$AL$86)="","",INDEX('Final Calculation Sheet'!$AG$4:$AG$40,$AL$86)))</f>
        <v/>
      </c>
      <c r="AI86" s="127" t="str">
        <f>IF($AL$86="","",IF(INDEX('Final Calculation Sheet'!$AD$4:$AD$40,$AL$86)&lt;=5,"SETTLED","OUTSTANDING"))</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1" t="str">
        <f>IF($AL$87="","",IF(INDEX('Final Calculation Sheet'!$AE$4:$AE$40,$AL$87)="","",INDEX('Final Calculation Sheet'!$AE$4:$AE$40,$AL$87)))</f>
        <v/>
      </c>
      <c r="AG87" s="135" t="str">
        <f>IF($AL$87="","",IF(INDEX('Final Calculation Sheet'!$AF$4:$AF$40,$AL$87)="","",INDEX('Final Calculation Sheet'!$AF$4:$AF$40,$AL$87)))</f>
        <v/>
      </c>
      <c r="AH87" s="131" t="str">
        <f>IF($AL$87="","",IF(INDEX('Final Calculation Sheet'!$AG$4:$AG$40,$AL$87)="","",INDEX('Final Calculation Sheet'!$AG$4:$AG$40,$AL$87)))</f>
        <v/>
      </c>
      <c r="AI87" s="136" t="str">
        <f>IF($AL$87="","",IF(INDEX('Final Calculation Sheet'!$AD$4:$AD$40,$AL$87)&lt;=5,"SETTLED","OUTSTANDING"))</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2" t="str">
        <f>IF($AL$88="","",IF(INDEX('Final Calculation Sheet'!$AE$4:$AE$40,$AL$88)="","",INDEX('Final Calculation Sheet'!$AE$4:$AE$40,$AL$88)))</f>
        <v/>
      </c>
      <c r="AG88" s="126" t="str">
        <f>IF($AL$88="","",IF(INDEX('Final Calculation Sheet'!$AF$4:$AF$40,$AL$88)="","",INDEX('Final Calculation Sheet'!$AF$4:$AF$40,$AL$88)))</f>
        <v/>
      </c>
      <c r="AH88" s="122" t="str">
        <f>IF($AL$88="","",IF(INDEX('Final Calculation Sheet'!$AG$4:$AG$40,$AL$88)="","",INDEX('Final Calculation Sheet'!$AG$4:$AG$40,$AL$88)))</f>
        <v/>
      </c>
      <c r="AI88" s="127" t="str">
        <f>IF($AL$88="","",IF(INDEX('Final Calculation Sheet'!$AD$4:$AD$40,$AL$88)&lt;=5,"SETTLED","OUTSTANDING"))</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1" t="str">
        <f>IF($AL$89="","",IF(INDEX('Final Calculation Sheet'!$AE$4:$AE$40,$AL$89)="","",INDEX('Final Calculation Sheet'!$AE$4:$AE$40,$AL$89)))</f>
        <v/>
      </c>
      <c r="AG89" s="135" t="str">
        <f>IF($AL$89="","",IF(INDEX('Final Calculation Sheet'!$AF$4:$AF$40,$AL$89)="","",INDEX('Final Calculation Sheet'!$AF$4:$AF$40,$AL$89)))</f>
        <v/>
      </c>
      <c r="AH89" s="131" t="str">
        <f>IF($AL$89="","",IF(INDEX('Final Calculation Sheet'!$AG$4:$AG$40,$AL$89)="","",INDEX('Final Calculation Sheet'!$AG$4:$AG$40,$AL$89)))</f>
        <v/>
      </c>
      <c r="AI89" s="136" t="str">
        <f>IF($AL$89="","",IF(INDEX('Final Calculation Sheet'!$AD$4:$AD$40,$AL$89)&lt;=5,"SETTLED","OUTSTANDING"))</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2" t="str">
        <f>IF($AL$90="","",IF(INDEX('Final Calculation Sheet'!$AE$4:$AE$40,$AL$90)="","",INDEX('Final Calculation Sheet'!$AE$4:$AE$40,$AL$90)))</f>
        <v/>
      </c>
      <c r="AG90" s="126" t="str">
        <f>IF($AL$90="","",IF(INDEX('Final Calculation Sheet'!$AF$4:$AF$40,$AL$90)="","",INDEX('Final Calculation Sheet'!$AF$4:$AF$40,$AL$90)))</f>
        <v/>
      </c>
      <c r="AH90" s="122" t="str">
        <f>IF($AL$90="","",IF(INDEX('Final Calculation Sheet'!$AG$4:$AG$40,$AL$90)="","",INDEX('Final Calculation Sheet'!$AG$4:$AG$40,$AL$90)))</f>
        <v/>
      </c>
      <c r="AI90" s="127" t="str">
        <f>IF($AL$90="","",IF(INDEX('Final Calculation Sheet'!$AD$4:$AD$40,$AL$90)&lt;=5,"SETTLED","OUTSTANDING"))</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1" t="str">
        <f>IF($AL$91="","",IF(INDEX('Final Calculation Sheet'!$AE$4:$AE$40,$AL$91)="","",INDEX('Final Calculation Sheet'!$AE$4:$AE$40,$AL$91)))</f>
        <v/>
      </c>
      <c r="AG91" s="135" t="str">
        <f>IF($AL$91="","",IF(INDEX('Final Calculation Sheet'!$AF$4:$AF$40,$AL$91)="","",INDEX('Final Calculation Sheet'!$AF$4:$AF$40,$AL$91)))</f>
        <v/>
      </c>
      <c r="AH91" s="131" t="str">
        <f>IF($AL$91="","",IF(INDEX('Final Calculation Sheet'!$AG$4:$AG$40,$AL$91)="","",INDEX('Final Calculation Sheet'!$AG$4:$AG$40,$AL$91)))</f>
        <v/>
      </c>
      <c r="AI91" s="136" t="str">
        <f>IF($AL$91="","",IF(INDEX('Final Calculation Sheet'!$AD$4:$AD$40,$AL$91)&lt;=5,"SETTLED","OUTSTANDING"))</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2" t="str">
        <f>IF($AL$92="","",IF(INDEX('Final Calculation Sheet'!$AE$4:$AE$40,$AL$92)="","",INDEX('Final Calculation Sheet'!$AE$4:$AE$40,$AL$92)))</f>
        <v/>
      </c>
      <c r="AG92" s="126" t="str">
        <f>IF($AL$92="","",IF(INDEX('Final Calculation Sheet'!$AF$4:$AF$40,$AL$92)="","",INDEX('Final Calculation Sheet'!$AF$4:$AF$40,$AL$92)))</f>
        <v/>
      </c>
      <c r="AH92" s="122" t="str">
        <f>IF($AL$92="","",IF(INDEX('Final Calculation Sheet'!$AG$4:$AG$40,$AL$92)="","",INDEX('Final Calculation Sheet'!$AG$4:$AG$40,$AL$92)))</f>
        <v/>
      </c>
      <c r="AI92" s="127" t="str">
        <f>IF($AL$92="","",IF(INDEX('Final Calculation Sheet'!$AD$4:$AD$40,$AL$92)&lt;=5,"SETTLED","OUTSTANDING"))</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1" t="str">
        <f>IF($AL$93="","",IF(INDEX('Final Calculation Sheet'!$AE$4:$AE$40,$AL$93)="","",INDEX('Final Calculation Sheet'!$AE$4:$AE$40,$AL$93)))</f>
        <v/>
      </c>
      <c r="AG93" s="135" t="str">
        <f>IF($AL$93="","",IF(INDEX('Final Calculation Sheet'!$AF$4:$AF$40,$AL$93)="","",INDEX('Final Calculation Sheet'!$AF$4:$AF$40,$AL$93)))</f>
        <v/>
      </c>
      <c r="AH93" s="131" t="str">
        <f>IF($AL$93="","",IF(INDEX('Final Calculation Sheet'!$AG$4:$AG$40,$AL$93)="","",INDEX('Final Calculation Sheet'!$AG$4:$AG$40,$AL$93)))</f>
        <v/>
      </c>
      <c r="AI93" s="136" t="str">
        <f>IF($AL$93="","",IF(INDEX('Final Calculation Sheet'!$AD$4:$AD$40,$AL$93)&lt;=5,"SETTLED","OUTSTANDING"))</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2" t="str">
        <f>IF($AL$94="","",IF(INDEX('Final Calculation Sheet'!$AE$4:$AE$40,$AL$94)="","",INDEX('Final Calculation Sheet'!$AE$4:$AE$40,$AL$94)))</f>
        <v/>
      </c>
      <c r="AG94" s="126" t="str">
        <f>IF($AL$94="","",IF(INDEX('Final Calculation Sheet'!$AF$4:$AF$40,$AL$94)="","",INDEX('Final Calculation Sheet'!$AF$4:$AF$40,$AL$94)))</f>
        <v/>
      </c>
      <c r="AH94" s="122" t="str">
        <f>IF($AL$94="","",IF(INDEX('Final Calculation Sheet'!$AG$4:$AG$40,$AL$94)="","",INDEX('Final Calculation Sheet'!$AG$4:$AG$40,$AL$94)))</f>
        <v/>
      </c>
      <c r="AI94" s="127" t="str">
        <f>IF($AL$94="","",IF(INDEX('Final Calculation Sheet'!$AD$4:$AD$40,$AL$94)&lt;=5,"SETTLED","OUTSTANDING"))</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1" t="str">
        <f>IF($AL$95="","",IF(INDEX('Final Calculation Sheet'!$AE$4:$AE$40,$AL$95)="","",INDEX('Final Calculation Sheet'!$AE$4:$AE$40,$AL$95)))</f>
        <v/>
      </c>
      <c r="AG95" s="135" t="str">
        <f>IF($AL$95="","",IF(INDEX('Final Calculation Sheet'!$AF$4:$AF$40,$AL$95)="","",INDEX('Final Calculation Sheet'!$AF$4:$AF$40,$AL$95)))</f>
        <v/>
      </c>
      <c r="AH95" s="131" t="str">
        <f>IF($AL$95="","",IF(INDEX('Final Calculation Sheet'!$AG$4:$AG$40,$AL$95)="","",INDEX('Final Calculation Sheet'!$AG$4:$AG$40,$AL$95)))</f>
        <v/>
      </c>
      <c r="AI95" s="136" t="str">
        <f>IF($AL$95="","",IF(INDEX('Final Calculation Sheet'!$AD$4:$AD$40,$AL$95)&lt;=5,"SETTLED","OUTSTANDING"))</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2" t="str">
        <f>IF($AL$96="","",IF(INDEX('Final Calculation Sheet'!$AE$4:$AE$40,$AL$96)="","",INDEX('Final Calculation Sheet'!$AE$4:$AE$40,$AL$96)))</f>
        <v/>
      </c>
      <c r="AG96" s="126" t="str">
        <f>IF($AL$96="","",IF(INDEX('Final Calculation Sheet'!$AF$4:$AF$40,$AL$96)="","",INDEX('Final Calculation Sheet'!$AF$4:$AF$40,$AL$96)))</f>
        <v/>
      </c>
      <c r="AH96" s="122" t="str">
        <f>IF($AL$96="","",IF(INDEX('Final Calculation Sheet'!$AG$4:$AG$40,$AL$96)="","",INDEX('Final Calculation Sheet'!$AG$4:$AG$40,$AL$96)))</f>
        <v/>
      </c>
      <c r="AI96" s="127" t="str">
        <f>IF($AL$96="","",IF(INDEX('Final Calculation Sheet'!$AD$4:$AD$40,$AL$96)&lt;=5,"SETTLED","OUTSTANDING"))</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I6:AI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F6:AF55">
    <cfRule type="expression" priority="35" dxfId="3">
      <formula>AND(ISNUMBER($A6),$AF$4&lt;&gt;"",IF($AF$4="(blank)",AF6="",IF($AF$4="(nonblank)",AF6&lt;&gt;"",ISNUMBER(SEARCH($AF$4,AF6)))))</formula>
    </cfRule>
  </conditionalFormatting>
  <conditionalFormatting sqref="AG6:AG55">
    <cfRule type="expression" priority="36" dxfId="3">
      <formula>AND(ISNUMBER($A6),$AG$4&lt;&gt;"",IF($AG$4="(blank)",AG6="",IF($AG$4="(nonblank)",AG6&lt;&gt;"",ISNUMBER(SEARCH($AG$4,AG6)))))</formula>
    </cfRule>
  </conditionalFormatting>
  <conditionalFormatting sqref="AH6:AH55">
    <cfRule type="expression" priority="37" dxfId="3">
      <formula>AND(ISNUMBER($A6),$AH$4&lt;&gt;"",IF($AH$4="(blank)",AH6="",IF($AH$4="(nonblank)",AH6&lt;&gt;"",ISNUMBER(SEARCH($AH$4,AH6)))))</formula>
    </cfRule>
  </conditionalFormatting>
  <conditionalFormatting sqref="AI6:AI55">
    <cfRule type="expression" priority="38" dxfId="3">
      <formula>AND(ISNUMBER($A6),$AI$4&lt;&gt;"",IF($AI$4="(blank)",AI6="",IF($AI$4="(nonblank)",AI6&lt;&gt;"",ISNUMBER(SEARCH($AI$4,AI6)))))</formula>
    </cfRule>
  </conditionalFormatting>
  <conditionalFormatting sqref="AI60:AI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F4" showDropDown="0" showInputMessage="0" showErrorMessage="0" allowBlank="0" type="list">
      <formula1>SUGN_AF</formula1>
      <formula2>0</formula2>
    </dataValidation>
    <dataValidation sqref="AG4" showDropDown="0" showInputMessage="0" showErrorMessage="0" allowBlank="0" type="list">
      <formula1>SUGN_AG</formula1>
      <formula2>0</formula2>
    </dataValidation>
    <dataValidation sqref="AH4" showDropDown="0" showInputMessage="0" showErrorMessage="0" allowBlank="0" type="list">
      <formula1>SUGN_AH</formula1>
      <formula2>0</formula2>
    </dataValidation>
    <dataValidation sqref="AI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Sheet'!$AE$4="","",'Final Calculation Sheet'!$AE$4)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Sheet'!$AF$4="","",'Final Calculation Sheet'!$AF$4)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Sheet'!$AG$4="","",'Final Calculation Sheet'!$AG$4)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Sheet'!$AE$5="","",'Final Calculation Sheet'!$AE$5)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Sheet'!$AF$5="","",'Final Calculation Sheet'!$AF$5)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Sheet'!$AG$5="","",'Final Calculation Sheet'!$AG$5)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Sheet'!$AE$6="","",'Final Calculation Sheet'!$AE$6)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Sheet'!$AF$6="","",'Final Calculation Sheet'!$AF$6)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Sheet'!$AG$6="","",'Final Calculation Sheet'!$AG$6)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Sheet'!$AE$7="","",'Final Calculation Sheet'!$AE$7)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Sheet'!$AF$7="","",'Final Calculation Sheet'!$AF$7)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Sheet'!$AG$7="","",'Final Calculation Sheet'!$AG$7)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Sheet'!$AE$8="","",'Final Calculation Sheet'!$AE$8)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Sheet'!$AF$8="","",'Final Calculation Sheet'!$AF$8)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Sheet'!$AG$8="","",'Final Calculation Sheet'!$AG$8)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Sheet'!$AE$9="","",'Final Calculation Sheet'!$AE$9)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Sheet'!$AF$9="","",'Final Calculation Sheet'!$AF$9)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Sheet'!$AG$9="","",'Final Calculation Sheet'!$AG$9)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Sheet'!$AE$10="","",'Final Calculation Sheet'!$AE$10)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Sheet'!$AF$10="","",'Final Calculation Sheet'!$AF$10)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Sheet'!$AG$10="","",'Final Calculation Sheet'!$AG$10)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Sheet'!$AE$11="","",'Final Calculation Sheet'!$AE$11)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Sheet'!$AF$11="","",'Final Calculation Sheet'!$AF$11)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Sheet'!$AG$11="","",'Final Calculation Sheet'!$AG$11)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Sheet'!$AE$12="","",'Final Calculation Sheet'!$AE$12)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Sheet'!$AF$12="","",'Final Calculation Sheet'!$AF$12)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Sheet'!$AG$12="","",'Final Calculation Sheet'!$AG$12)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Sheet'!$AE$13="","",'Final Calculation Sheet'!$AE$13)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Sheet'!$AF$13="","",'Final Calculation Sheet'!$AF$13)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Sheet'!$AG$13="","",'Final Calculation Sheet'!$AG$13)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Sheet'!$AE$14="","",'Final Calculation Sheet'!$AE$14)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Sheet'!$AF$14="","",'Final Calculation Sheet'!$AF$14)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Sheet'!$AG$14="","",'Final Calculation Sheet'!$AG$14)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Sheet'!$AE$15="","",'Final Calculation Sheet'!$AE$15)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Sheet'!$AF$15="","",'Final Calculation Sheet'!$AF$15)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Sheet'!$AG$15="","",'Final Calculation Sheet'!$AG$15)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Sheet'!$AE$16="","",'Final Calculation Sheet'!$AE$16)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Sheet'!$AF$16="","",'Final Calculation Sheet'!$AF$16)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Sheet'!$AG$16="","",'Final Calculation Sheet'!$AG$16)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Sheet'!$AE$17="","",'Final Calculation Sheet'!$AE$17)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Sheet'!$AF$17="","",'Final Calculation Sheet'!$AF$17)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Sheet'!$AG$17="","",'Final Calculation Sheet'!$AG$17)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Sheet'!$AE$18="","",'Final Calculation Sheet'!$AE$18)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Sheet'!$AF$18="","",'Final Calculation Sheet'!$AF$18)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Sheet'!$AG$18="","",'Final Calculation Sheet'!$AG$18)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Sheet'!$AE$19="","",'Final Calculation Sheet'!$AE$19)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Sheet'!$AF$19="","",'Final Calculation Sheet'!$AF$19)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Sheet'!$AG$19="","",'Final Calculation Sheet'!$AG$19)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Sheet'!$AE$20="","",'Final Calculation Sheet'!$AE$20)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Sheet'!$AF$20="","",'Final Calculation Sheet'!$AF$20)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Sheet'!$AG$20="","",'Final Calculation Sheet'!$AG$20)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Sheet'!$AE$21="","",'Final Calculation Sheet'!$AE$21)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Sheet'!$AF$21="","",'Final Calculation Sheet'!$AF$21)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Sheet'!$AG$21="","",'Final Calculation Sheet'!$AG$21)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Sheet'!$AE$22="","",'Final Calculation Sheet'!$AE$22)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Sheet'!$AF$22="","",'Final Calculation Sheet'!$AF$22)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Sheet'!$AG$22="","",'Final Calculation Sheet'!$AG$22)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Sheet'!$AE$23="","",'Final Calculation Sheet'!$AE$23)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Sheet'!$AF$23="","",'Final Calculation Sheet'!$AF$23)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Sheet'!$AG$23="","",'Final Calculation Sheet'!$AG$23)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Sheet'!$AE$24="","",'Final Calculation Sheet'!$AE$24)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Sheet'!$AF$24="","",'Final Calculation Sheet'!$AF$24)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Sheet'!$AG$24="","",'Final Calculation Sheet'!$AG$24)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Sheet'!$AE$25="","",'Final Calculation Sheet'!$AE$25)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Sheet'!$AF$25="","",'Final Calculation Sheet'!$AF$25)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Sheet'!$AG$25="","",'Final Calculation Sheet'!$AG$25)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Sheet'!$AE$26="","",'Final Calculation Sheet'!$AE$26)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Sheet'!$AF$26="","",'Final Calculation Sheet'!$AF$26)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Sheet'!$AG$26="","",'Final Calculation Sheet'!$AG$26)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Sheet'!$AE$27="","",'Final Calculation Sheet'!$AE$27)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Sheet'!$AF$27="","",'Final Calculation Sheet'!$AF$27)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Sheet'!$AG$27="","",'Final Calculation Sheet'!$AG$27)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Sheet'!$AE$28="","",'Final Calculation Sheet'!$AE$28)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Sheet'!$AF$28="","",'Final Calculation Sheet'!$AF$28)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Sheet'!$AG$28="","",'Final Calculation Sheet'!$AG$28)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Sheet'!$AE$29="","",'Final Calculation Sheet'!$AE$29)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Sheet'!$AF$29="","",'Final Calculation Sheet'!$AF$29)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Sheet'!$AG$29="","",'Final Calculation Sheet'!$AG$29)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Sheet'!$AE$30="","",'Final Calculation Sheet'!$AE$30)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Sheet'!$AF$30="","",'Final Calculation Sheet'!$AF$30)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Sheet'!$AG$30="","",'Final Calculation Sheet'!$AG$30)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Sheet'!$AE$31="","",'Final Calculation Sheet'!$AE$31)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Sheet'!$AF$31="","",'Final Calculation Sheet'!$AF$31)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Sheet'!$AG$31="","",'Final Calculation Sheet'!$AG$31)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Sheet'!$AE$32="","",'Final Calculation Sheet'!$AE$32)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Sheet'!$AF$32="","",'Final Calculation Sheet'!$AF$32)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Sheet'!$AG$32="","",'Final Calculation Sheet'!$AG$32)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Sheet'!$AE$33="","",'Final Calculation Sheet'!$AE$33)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Sheet'!$AF$33="","",'Final Calculation Sheet'!$AF$33)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Sheet'!$AG$33="","",'Final Calculation Sheet'!$AG$33)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Sheet'!$AE$34="","",'Final Calculation Sheet'!$AE$34)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Sheet'!$AF$34="","",'Final Calculation Sheet'!$AF$34)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Sheet'!$AG$34="","",'Final Calculation Sheet'!$AG$34)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Sheet'!$AE$35="","",'Final Calculation Sheet'!$AE$35)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Sheet'!$AF$35="","",'Final Calculation Sheet'!$AF$35)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Sheet'!$AG$35="","",'Final Calculation Sheet'!$AG$35)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Sheet'!$AE$36="","",'Final Calculation Sheet'!$AE$36)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Sheet'!$AF$36="","",'Final Calculation Sheet'!$AF$36)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Sheet'!$AG$36="","",'Final Calculation Sheet'!$AG$36)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Sheet'!$AE$37="","",'Final Calculation Sheet'!$AE$37)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Sheet'!$AF$37="","",'Final Calculation Sheet'!$AF$37)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Sheet'!$AG$37="","",'Final Calculation Sheet'!$AG$37)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Sheet'!$AE$38="","",'Final Calculation Sheet'!$AE$38)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Sheet'!$AF$38="","",'Final Calculation Sheet'!$AF$38)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Sheet'!$AG$38="","",'Final Calculation Sheet'!$AG$38)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Sheet'!$AE$39="","",'Final Calculation Sheet'!$AE$39)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Sheet'!$AF$39="","",'Final Calculation Sheet'!$AF$39)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Sheet'!$AG$39="","",'Final Calculation Sheet'!$AG$39)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Sheet'!$AE$40="","",'Final Calculation Sheet'!$AE$40)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Sheet'!$AF$40="","",'Final Calculation Sheet'!$AF$40)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Sheet'!$AG$40="","",'Final Calculation Sheet'!$AG$40)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Sheet'!$AE$4:$AE$40,$BJ5-3)="","",INDEX('Final Calculation Sheet'!$AE$4:$AE$40,$BJ5-3)),IF(OR($BI5=1,$BL5=1,$BH5&gt;0),"–",""))</f>
        <v/>
      </c>
      <c r="AG2" t="str">
        <f>IF($BJ5&gt;0,IF(INDEX('Final Calculation Sheet'!$AF$4:$AF$40,$BJ5-3)="","",INDEX('Final Calculation Sheet'!$AF$4:$AF$40,$BJ5-3)),IF(OR($BI5=1,$BL5=1,$BH5&gt;0),"–",""))</f>
        <v/>
      </c>
      <c r="AH2" t="str">
        <f>IF($BJ5&gt;0,IF(INDEX('Final Calculation Sheet'!$AG$4:$AG$40,$BJ5-3)="","",INDEX('Final Calculation Sheet'!$AG$4:$AG$40,$BJ5-3)),IF(OR($BI5=1,$BL5=1,$BH5&gt;0),"–",""))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Sheet'!$AE$4:$AE$40,$BJ6-3)="","",INDEX('Final Calculation Sheet'!$AE$4:$AE$40,$BJ6-3)),IF(OR($BI6=1,$BL6=1,$BH6&gt;0),"–",""))</f>
        <v/>
      </c>
      <c r="AG3" t="str">
        <f>IF($BJ6&gt;0,IF(INDEX('Final Calculation Sheet'!$AF$4:$AF$40,$BJ6-3)="","",INDEX('Final Calculation Sheet'!$AF$4:$AF$40,$BJ6-3)),IF(OR($BI6=1,$BL6=1,$BH6&gt;0),"–",""))</f>
        <v/>
      </c>
      <c r="AH3" t="str">
        <f>IF($BJ6&gt;0,IF(INDEX('Final Calculation Sheet'!$AG$4:$AG$40,$BJ6-3)="","",INDEX('Final Calculation Sheet'!$AG$4:$AG$40,$BJ6-3)),IF(OR($BI6=1,$BL6=1,$BH6&gt;0),"–",""))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Sheet'!$AE$4:$AE$40,$BJ7-3)="","",INDEX('Final Calculation Sheet'!$AE$4:$AE$40,$BJ7-3)),IF(OR($BI7=1,$BL7=1,$BH7&gt;0),"–",""))</f>
        <v/>
      </c>
      <c r="AG4" t="str">
        <f>IF($BJ7&gt;0,IF(INDEX('Final Calculation Sheet'!$AF$4:$AF$40,$BJ7-3)="","",INDEX('Final Calculation Sheet'!$AF$4:$AF$40,$BJ7-3)),IF(OR($BI7=1,$BL7=1,$BH7&gt;0),"–",""))</f>
        <v/>
      </c>
      <c r="AH4" t="str">
        <f>IF($BJ7&gt;0,IF(INDEX('Final Calculation Sheet'!$AG$4:$AG$40,$BJ7-3)="","",INDEX('Final Calculation Sheet'!$AG$4:$AG$40,$BJ7-3)),IF(OR($BI7=1,$BL7=1,$BH7&gt;0),"–",""))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Sheet'!$AE$4:$AE$40,$BJ8-3)="","",INDEX('Final Calculation Sheet'!$AE$4:$AE$40,$BJ8-3)),IF(OR($BI8=1,$BL8=1,$BH8&gt;0),"–",""))</f>
        <v/>
      </c>
      <c r="AG5" t="str">
        <f>IF($BJ8&gt;0,IF(INDEX('Final Calculation Sheet'!$AF$4:$AF$40,$BJ8-3)="","",INDEX('Final Calculation Sheet'!$AF$4:$AF$40,$BJ8-3)),IF(OR($BI8=1,$BL8=1,$BH8&gt;0),"–",""))</f>
        <v/>
      </c>
      <c r="AH5" t="str">
        <f>IF($BJ8&gt;0,IF(INDEX('Final Calculation Sheet'!$AG$4:$AG$40,$BJ8-3)="","",INDEX('Final Calculation Sheet'!$AG$4:$AG$40,$BJ8-3)),IF(OR($BI8=1,$BL8=1,$BH8&gt;0),"–",""))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Sheet'!$AE$4:$AE$40,$BJ9-3)="","",INDEX('Final Calculation Sheet'!$AE$4:$AE$40,$BJ9-3)),IF(OR($BI9=1,$BL9=1,$BH9&gt;0),"–",""))</f>
        <v/>
      </c>
      <c r="AG6" t="str">
        <f>IF($BJ9&gt;0,IF(INDEX('Final Calculation Sheet'!$AF$4:$AF$40,$BJ9-3)="","",INDEX('Final Calculation Sheet'!$AF$4:$AF$40,$BJ9-3)),IF(OR($BI9=1,$BL9=1,$BH9&gt;0),"–",""))</f>
        <v/>
      </c>
      <c r="AH6" t="str">
        <f>IF($BJ9&gt;0,IF(INDEX('Final Calculation Sheet'!$AG$4:$AG$40,$BJ9-3)="","",INDEX('Final Calculation Sheet'!$AG$4:$AG$40,$BJ9-3)),IF(OR($BI9=1,$BL9=1,$BH9&gt;0),"–",""))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Sheet'!$AE$4:$AE$40,$BJ10-3)="","",INDEX('Final Calculation Sheet'!$AE$4:$AE$40,$BJ10-3)),IF(OR($BI10=1,$BL10=1,$BH10&gt;0),"–",""))</f>
        <v/>
      </c>
      <c r="AG7" t="str">
        <f>IF($BJ10&gt;0,IF(INDEX('Final Calculation Sheet'!$AF$4:$AF$40,$BJ10-3)="","",INDEX('Final Calculation Sheet'!$AF$4:$AF$40,$BJ10-3)),IF(OR($BI10=1,$BL10=1,$BH10&gt;0),"–",""))</f>
        <v/>
      </c>
      <c r="AH7" t="str">
        <f>IF($BJ10&gt;0,IF(INDEX('Final Calculation Sheet'!$AG$4:$AG$40,$BJ10-3)="","",INDEX('Final Calculation Sheet'!$AG$4:$AG$40,$BJ10-3)),IF(OR($BI10=1,$BL10=1,$BH10&gt;0),"–",""))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Sheet'!$AE$4:$AE$40,$BJ11-3)="","",INDEX('Final Calculation Sheet'!$AE$4:$AE$40,$BJ11-3)),IF(OR($BI11=1,$BL11=1,$BH11&gt;0),"–",""))</f>
        <v/>
      </c>
      <c r="AG8" t="str">
        <f>IF($BJ11&gt;0,IF(INDEX('Final Calculation Sheet'!$AF$4:$AF$40,$BJ11-3)="","",INDEX('Final Calculation Sheet'!$AF$4:$AF$40,$BJ11-3)),IF(OR($BI11=1,$BL11=1,$BH11&gt;0),"–",""))</f>
        <v/>
      </c>
      <c r="AH8" t="str">
        <f>IF($BJ11&gt;0,IF(INDEX('Final Calculation Sheet'!$AG$4:$AG$40,$BJ11-3)="","",INDEX('Final Calculation Sheet'!$AG$4:$AG$40,$BJ11-3)),IF(OR($BI11=1,$BL11=1,$BH11&gt;0),"–",""))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Sheet'!$AE$4:$AE$40,$BJ12-3)="","",INDEX('Final Calculation Sheet'!$AE$4:$AE$40,$BJ12-3)),IF(OR($BI12=1,$BL12=1,$BH12&gt;0),"–",""))</f>
        <v/>
      </c>
      <c r="AG9" t="str">
        <f>IF($BJ12&gt;0,IF(INDEX('Final Calculation Sheet'!$AF$4:$AF$40,$BJ12-3)="","",INDEX('Final Calculation Sheet'!$AF$4:$AF$40,$BJ12-3)),IF(OR($BI12=1,$BL12=1,$BH12&gt;0),"–",""))</f>
        <v/>
      </c>
      <c r="AH9" t="str">
        <f>IF($BJ12&gt;0,IF(INDEX('Final Calculation Sheet'!$AG$4:$AG$40,$BJ12-3)="","",INDEX('Final Calculation Sheet'!$AG$4:$AG$40,$BJ12-3)),IF(OR($BI12=1,$BL12=1,$BH12&gt;0),"–",""))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Sheet'!$AE$4:$AE$40,$BJ13-3)="","",INDEX('Final Calculation Sheet'!$AE$4:$AE$40,$BJ13-3)),IF(OR($BI13=1,$BL13=1,$BH13&gt;0),"–",""))</f>
        <v/>
      </c>
      <c r="AG10" t="str">
        <f>IF($BJ13&gt;0,IF(INDEX('Final Calculation Sheet'!$AF$4:$AF$40,$BJ13-3)="","",INDEX('Final Calculation Sheet'!$AF$4:$AF$40,$BJ13-3)),IF(OR($BI13=1,$BL13=1,$BH13&gt;0),"–",""))</f>
        <v/>
      </c>
      <c r="AH10" t="str">
        <f>IF($BJ13&gt;0,IF(INDEX('Final Calculation Sheet'!$AG$4:$AG$40,$BJ13-3)="","",INDEX('Final Calculation Sheet'!$AG$4:$AG$40,$BJ13-3)),IF(OR($BI13=1,$BL13=1,$BH13&gt;0),"–",""))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Sheet'!$AE$4:$AE$40,$BJ14-3)="","",INDEX('Final Calculation Sheet'!$AE$4:$AE$40,$BJ14-3)),IF(OR($BI14=1,$BL14=1,$BH14&gt;0),"–",""))</f>
        <v/>
      </c>
      <c r="AG11" t="str">
        <f>IF($BJ14&gt;0,IF(INDEX('Final Calculation Sheet'!$AF$4:$AF$40,$BJ14-3)="","",INDEX('Final Calculation Sheet'!$AF$4:$AF$40,$BJ14-3)),IF(OR($BI14=1,$BL14=1,$BH14&gt;0),"–",""))</f>
        <v/>
      </c>
      <c r="AH11" t="str">
        <f>IF($BJ14&gt;0,IF(INDEX('Final Calculation Sheet'!$AG$4:$AG$40,$BJ14-3)="","",INDEX('Final Calculation Sheet'!$AG$4:$AG$40,$BJ14-3)),IF(OR($BI14=1,$BL14=1,$BH14&gt;0),"–",""))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Sheet'!$AE$4:$AE$40,$BJ15-3)="","",INDEX('Final Calculation Sheet'!$AE$4:$AE$40,$BJ15-3)),IF(OR($BI15=1,$BL15=1,$BH15&gt;0),"–",""))</f>
        <v/>
      </c>
      <c r="AG12" t="str">
        <f>IF($BJ15&gt;0,IF(INDEX('Final Calculation Sheet'!$AF$4:$AF$40,$BJ15-3)="","",INDEX('Final Calculation Sheet'!$AF$4:$AF$40,$BJ15-3)),IF(OR($BI15=1,$BL15=1,$BH15&gt;0),"–",""))</f>
        <v/>
      </c>
      <c r="AH12" t="str">
        <f>IF($BJ15&gt;0,IF(INDEX('Final Calculation Sheet'!$AG$4:$AG$40,$BJ15-3)="","",INDEX('Final Calculation Sheet'!$AG$4:$AG$40,$BJ15-3)),IF(OR($BI15=1,$BL15=1,$BH15&gt;0),"–",""))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Sheet'!$AE$4:$AE$40,$BJ16-3)="","",INDEX('Final Calculation Sheet'!$AE$4:$AE$40,$BJ16-3)),IF(OR($BI16=1,$BL16=1,$BH16&gt;0),"–",""))</f>
        <v/>
      </c>
      <c r="AG13" t="str">
        <f>IF($BJ16&gt;0,IF(INDEX('Final Calculation Sheet'!$AF$4:$AF$40,$BJ16-3)="","",INDEX('Final Calculation Sheet'!$AF$4:$AF$40,$BJ16-3)),IF(OR($BI16=1,$BL16=1,$BH16&gt;0),"–",""))</f>
        <v/>
      </c>
      <c r="AH13" t="str">
        <f>IF($BJ16&gt;0,IF(INDEX('Final Calculation Sheet'!$AG$4:$AG$40,$BJ16-3)="","",INDEX('Final Calculation Sheet'!$AG$4:$AG$40,$BJ16-3)),IF(OR($BI16=1,$BL16=1,$BH16&gt;0),"–",""))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Sheet'!$AE$4:$AE$40,$BJ17-3)="","",INDEX('Final Calculation Sheet'!$AE$4:$AE$40,$BJ17-3)),IF(OR($BI17=1,$BL17=1,$BH17&gt;0),"–",""))</f>
        <v/>
      </c>
      <c r="AG14" t="str">
        <f>IF($BJ17&gt;0,IF(INDEX('Final Calculation Sheet'!$AF$4:$AF$40,$BJ17-3)="","",INDEX('Final Calculation Sheet'!$AF$4:$AF$40,$BJ17-3)),IF(OR($BI17=1,$BL17=1,$BH17&gt;0),"–",""))</f>
        <v/>
      </c>
      <c r="AH14" t="str">
        <f>IF($BJ17&gt;0,IF(INDEX('Final Calculation Sheet'!$AG$4:$AG$40,$BJ17-3)="","",INDEX('Final Calculation Sheet'!$AG$4:$AG$40,$BJ17-3)),IF(OR($BI17=1,$BL17=1,$BH17&gt;0),"–",""))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Sheet'!$AE$4:$AE$40,$BJ18-3)="","",INDEX('Final Calculation Sheet'!$AE$4:$AE$40,$BJ18-3)),IF(OR($BI18=1,$BL18=1,$BH18&gt;0),"–",""))</f>
        <v/>
      </c>
      <c r="AG15" t="str">
        <f>IF($BJ18&gt;0,IF(INDEX('Final Calculation Sheet'!$AF$4:$AF$40,$BJ18-3)="","",INDEX('Final Calculation Sheet'!$AF$4:$AF$40,$BJ18-3)),IF(OR($BI18=1,$BL18=1,$BH18&gt;0),"–",""))</f>
        <v/>
      </c>
      <c r="AH15" t="str">
        <f>IF($BJ18&gt;0,IF(INDEX('Final Calculation Sheet'!$AG$4:$AG$40,$BJ18-3)="","",INDEX('Final Calculation Sheet'!$AG$4:$AG$40,$BJ18-3)),IF(OR($BI18=1,$BL18=1,$BH18&gt;0),"–",""))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Sheet'!$AE$4:$AE$40,$BJ19-3)="","",INDEX('Final Calculation Sheet'!$AE$4:$AE$40,$BJ19-3)),IF(OR($BI19=1,$BL19=1,$BH19&gt;0),"–",""))</f>
        <v/>
      </c>
      <c r="AG16" t="str">
        <f>IF($BJ19&gt;0,IF(INDEX('Final Calculation Sheet'!$AF$4:$AF$40,$BJ19-3)="","",INDEX('Final Calculation Sheet'!$AF$4:$AF$40,$BJ19-3)),IF(OR($BI19=1,$BL19=1,$BH19&gt;0),"–",""))</f>
        <v/>
      </c>
      <c r="AH16" t="str">
        <f>IF($BJ19&gt;0,IF(INDEX('Final Calculation Sheet'!$AG$4:$AG$40,$BJ19-3)="","",INDEX('Final Calculation Sheet'!$AG$4:$AG$40,$BJ19-3)),IF(OR($BI19=1,$BL19=1,$BH19&gt;0),"–",""))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Sheet'!$AE$4:$AE$40,$BJ20-3)="","",INDEX('Final Calculation Sheet'!$AE$4:$AE$40,$BJ20-3)),IF(OR($BI20=1,$BL20=1,$BH20&gt;0),"–",""))</f>
        <v/>
      </c>
      <c r="AG17" t="str">
        <f>IF($BJ20&gt;0,IF(INDEX('Final Calculation Sheet'!$AF$4:$AF$40,$BJ20-3)="","",INDEX('Final Calculation Sheet'!$AF$4:$AF$40,$BJ20-3)),IF(OR($BI20=1,$BL20=1,$BH20&gt;0),"–",""))</f>
        <v/>
      </c>
      <c r="AH17" t="str">
        <f>IF($BJ20&gt;0,IF(INDEX('Final Calculation Sheet'!$AG$4:$AG$40,$BJ20-3)="","",INDEX('Final Calculation Sheet'!$AG$4:$AG$40,$BJ20-3)),IF(OR($BI20=1,$BL20=1,$BH20&gt;0),"–",""))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Sheet'!$AE$4:$AE$40,$BJ21-3)="","",INDEX('Final Calculation Sheet'!$AE$4:$AE$40,$BJ21-3)),IF(OR($BI21=1,$BL21=1,$BH21&gt;0),"–",""))</f>
        <v/>
      </c>
      <c r="AG18" t="str">
        <f>IF($BJ21&gt;0,IF(INDEX('Final Calculation Sheet'!$AF$4:$AF$40,$BJ21-3)="","",INDEX('Final Calculation Sheet'!$AF$4:$AF$40,$BJ21-3)),IF(OR($BI21=1,$BL21=1,$BH21&gt;0),"–",""))</f>
        <v/>
      </c>
      <c r="AH18" t="str">
        <f>IF($BJ21&gt;0,IF(INDEX('Final Calculation Sheet'!$AG$4:$AG$40,$BJ21-3)="","",INDEX('Final Calculation Sheet'!$AG$4:$AG$40,$BJ21-3)),IF(OR($BI21=1,$BL21=1,$BH21&gt;0),"–",""))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Sheet'!$AE$4:$AE$40,$BJ22-3)="","",INDEX('Final Calculation Sheet'!$AE$4:$AE$40,$BJ22-3)),IF(OR($BI22=1,$BL22=1,$BH22&gt;0),"–",""))</f>
        <v/>
      </c>
      <c r="AG19" t="str">
        <f>IF($BJ22&gt;0,IF(INDEX('Final Calculation Sheet'!$AF$4:$AF$40,$BJ22-3)="","",INDEX('Final Calculation Sheet'!$AF$4:$AF$40,$BJ22-3)),IF(OR($BI22=1,$BL22=1,$BH22&gt;0),"–",""))</f>
        <v/>
      </c>
      <c r="AH19" t="str">
        <f>IF($BJ22&gt;0,IF(INDEX('Final Calculation Sheet'!$AG$4:$AG$40,$BJ22-3)="","",INDEX('Final Calculation Sheet'!$AG$4:$AG$40,$BJ22-3)),IF(OR($BI22=1,$BL22=1,$BH22&gt;0),"–",""))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Sheet'!$AE$4:$AE$40,$BJ23-3)="","",INDEX('Final Calculation Sheet'!$AE$4:$AE$40,$BJ23-3)),IF(OR($BI23=1,$BL23=1,$BH23&gt;0),"–",""))</f>
        <v/>
      </c>
      <c r="AG20" t="str">
        <f>IF($BJ23&gt;0,IF(INDEX('Final Calculation Sheet'!$AF$4:$AF$40,$BJ23-3)="","",INDEX('Final Calculation Sheet'!$AF$4:$AF$40,$BJ23-3)),IF(OR($BI23=1,$BL23=1,$BH23&gt;0),"–",""))</f>
        <v/>
      </c>
      <c r="AH20" t="str">
        <f>IF($BJ23&gt;0,IF(INDEX('Final Calculation Sheet'!$AG$4:$AG$40,$BJ23-3)="","",INDEX('Final Calculation Sheet'!$AG$4:$AG$40,$BJ23-3)),IF(OR($BI23=1,$BL23=1,$BH23&gt;0),"–",""))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Sheet'!$AE$4:$AE$40,$BJ24-3)="","",INDEX('Final Calculation Sheet'!$AE$4:$AE$40,$BJ24-3)),IF(OR($BI24=1,$BL24=1,$BH24&gt;0),"–",""))</f>
        <v/>
      </c>
      <c r="AG21" t="str">
        <f>IF($BJ24&gt;0,IF(INDEX('Final Calculation Sheet'!$AF$4:$AF$40,$BJ24-3)="","",INDEX('Final Calculation Sheet'!$AF$4:$AF$40,$BJ24-3)),IF(OR($BI24=1,$BL24=1,$BH24&gt;0),"–",""))</f>
        <v/>
      </c>
      <c r="AH21" t="str">
        <f>IF($BJ24&gt;0,IF(INDEX('Final Calculation Sheet'!$AG$4:$AG$40,$BJ24-3)="","",INDEX('Final Calculation Sheet'!$AG$4:$AG$40,$BJ24-3)),IF(OR($BI24=1,$BL24=1,$BH24&gt;0),"–",""))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Sheet'!$AE$4:$AE$40,$BJ25-3)="","",INDEX('Final Calculation Sheet'!$AE$4:$AE$40,$BJ25-3)),IF(OR($BI25=1,$BL25=1,$BH25&gt;0),"–",""))</f>
        <v/>
      </c>
      <c r="AG22" t="str">
        <f>IF($BJ25&gt;0,IF(INDEX('Final Calculation Sheet'!$AF$4:$AF$40,$BJ25-3)="","",INDEX('Final Calculation Sheet'!$AF$4:$AF$40,$BJ25-3)),IF(OR($BI25=1,$BL25=1,$BH25&gt;0),"–",""))</f>
        <v/>
      </c>
      <c r="AH22" t="str">
        <f>IF($BJ25&gt;0,IF(INDEX('Final Calculation Sheet'!$AG$4:$AG$40,$BJ25-3)="","",INDEX('Final Calculation Sheet'!$AG$4:$AG$40,$BJ25-3)),IF(OR($BI25=1,$BL25=1,$BH25&gt;0),"–",""))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Sheet'!$AE$4:$AE$40,$BJ26-3)="","",INDEX('Final Calculation Sheet'!$AE$4:$AE$40,$BJ26-3)),IF(OR($BI26=1,$BL26=1,$BH26&gt;0),"–",""))</f>
        <v/>
      </c>
      <c r="AG23" t="str">
        <f>IF($BJ26&gt;0,IF(INDEX('Final Calculation Sheet'!$AF$4:$AF$40,$BJ26-3)="","",INDEX('Final Calculation Sheet'!$AF$4:$AF$40,$BJ26-3)),IF(OR($BI26=1,$BL26=1,$BH26&gt;0),"–",""))</f>
        <v/>
      </c>
      <c r="AH23" t="str">
        <f>IF($BJ26&gt;0,IF(INDEX('Final Calculation Sheet'!$AG$4:$AG$40,$BJ26-3)="","",INDEX('Final Calculation Sheet'!$AG$4:$AG$40,$BJ26-3)),IF(OR($BI26=1,$BL26=1,$BH26&gt;0),"–",""))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Sheet'!$AE$4:$AE$40,$BJ27-3)="","",INDEX('Final Calculation Sheet'!$AE$4:$AE$40,$BJ27-3)),IF(OR($BI27=1,$BL27=1,$BH27&gt;0),"–",""))</f>
        <v/>
      </c>
      <c r="AG24" t="str">
        <f>IF($BJ27&gt;0,IF(INDEX('Final Calculation Sheet'!$AF$4:$AF$40,$BJ27-3)="","",INDEX('Final Calculation Sheet'!$AF$4:$AF$40,$BJ27-3)),IF(OR($BI27=1,$BL27=1,$BH27&gt;0),"–",""))</f>
        <v/>
      </c>
      <c r="AH24" t="str">
        <f>IF($BJ27&gt;0,IF(INDEX('Final Calculation Sheet'!$AG$4:$AG$40,$BJ27-3)="","",INDEX('Final Calculation Sheet'!$AG$4:$AG$40,$BJ27-3)),IF(OR($BI27=1,$BL27=1,$BH27&gt;0),"–",""))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Sheet'!$AE$4:$AE$40,$BJ28-3)="","",INDEX('Final Calculation Sheet'!$AE$4:$AE$40,$BJ28-3)),IF(OR($BI28=1,$BL28=1,$BH28&gt;0),"–",""))</f>
        <v/>
      </c>
      <c r="AG25" t="str">
        <f>IF($BJ28&gt;0,IF(INDEX('Final Calculation Sheet'!$AF$4:$AF$40,$BJ28-3)="","",INDEX('Final Calculation Sheet'!$AF$4:$AF$40,$BJ28-3)),IF(OR($BI28=1,$BL28=1,$BH28&gt;0),"–",""))</f>
        <v/>
      </c>
      <c r="AH25" t="str">
        <f>IF($BJ28&gt;0,IF(INDEX('Final Calculation Sheet'!$AG$4:$AG$40,$BJ28-3)="","",INDEX('Final Calculation Sheet'!$AG$4:$AG$40,$BJ28-3)),IF(OR($BI28=1,$BL28=1,$BH28&gt;0),"–",""))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Sheet'!$AE$4:$AE$40,$BJ29-3)="","",INDEX('Final Calculation Sheet'!$AE$4:$AE$40,$BJ29-3)),IF(OR($BI29=1,$BL29=1,$BH29&gt;0),"–",""))</f>
        <v/>
      </c>
      <c r="AG26" t="str">
        <f>IF($BJ29&gt;0,IF(INDEX('Final Calculation Sheet'!$AF$4:$AF$40,$BJ29-3)="","",INDEX('Final Calculation Sheet'!$AF$4:$AF$40,$BJ29-3)),IF(OR($BI29=1,$BL29=1,$BH29&gt;0),"–",""))</f>
        <v/>
      </c>
      <c r="AH26" t="str">
        <f>IF($BJ29&gt;0,IF(INDEX('Final Calculation Sheet'!$AG$4:$AG$40,$BJ29-3)="","",INDEX('Final Calculation Sheet'!$AG$4:$AG$40,$BJ29-3)),IF(OR($BI29=1,$BL29=1,$BH29&gt;0),"–",""))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Sheet'!$AE$4:$AE$40,$BJ30-3)="","",INDEX('Final Calculation Sheet'!$AE$4:$AE$40,$BJ30-3)),IF(OR($BI30=1,$BL30=1,$BH30&gt;0),"–",""))</f>
        <v/>
      </c>
      <c r="AG27" t="str">
        <f>IF($BJ30&gt;0,IF(INDEX('Final Calculation Sheet'!$AF$4:$AF$40,$BJ30-3)="","",INDEX('Final Calculation Sheet'!$AF$4:$AF$40,$BJ30-3)),IF(OR($BI30=1,$BL30=1,$BH30&gt;0),"–",""))</f>
        <v/>
      </c>
      <c r="AH27" t="str">
        <f>IF($BJ30&gt;0,IF(INDEX('Final Calculation Sheet'!$AG$4:$AG$40,$BJ30-3)="","",INDEX('Final Calculation Sheet'!$AG$4:$AG$40,$BJ30-3)),IF(OR($BI30=1,$BL30=1,$BH30&gt;0),"–",""))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Sheet'!$AE$4:$AE$40,$BJ31-3)="","",INDEX('Final Calculation Sheet'!$AE$4:$AE$40,$BJ31-3)),IF(OR($BI31=1,$BL31=1,$BH31&gt;0),"–",""))</f>
        <v/>
      </c>
      <c r="AG28" t="str">
        <f>IF($BJ31&gt;0,IF(INDEX('Final Calculation Sheet'!$AF$4:$AF$40,$BJ31-3)="","",INDEX('Final Calculation Sheet'!$AF$4:$AF$40,$BJ31-3)),IF(OR($BI31=1,$BL31=1,$BH31&gt;0),"–",""))</f>
        <v/>
      </c>
      <c r="AH28" t="str">
        <f>IF($BJ31&gt;0,IF(INDEX('Final Calculation Sheet'!$AG$4:$AG$40,$BJ31-3)="","",INDEX('Final Calculation Sheet'!$AG$4:$AG$40,$BJ31-3)),IF(OR($BI31=1,$BL31=1,$BH31&gt;0),"–",""))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Sheet'!$AE$4:$AE$40,$BJ32-3)="","",INDEX('Final Calculation Sheet'!$AE$4:$AE$40,$BJ32-3)),IF(OR($BI32=1,$BL32=1,$BH32&gt;0),"–",""))</f>
        <v/>
      </c>
      <c r="AG29" t="str">
        <f>IF($BJ32&gt;0,IF(INDEX('Final Calculation Sheet'!$AF$4:$AF$40,$BJ32-3)="","",INDEX('Final Calculation Sheet'!$AF$4:$AF$40,$BJ32-3)),IF(OR($BI32=1,$BL32=1,$BH32&gt;0),"–",""))</f>
        <v/>
      </c>
      <c r="AH29" t="str">
        <f>IF($BJ32&gt;0,IF(INDEX('Final Calculation Sheet'!$AG$4:$AG$40,$BJ32-3)="","",INDEX('Final Calculation Sheet'!$AG$4:$AG$40,$BJ32-3)),IF(OR($BI32=1,$BL32=1,$BH32&gt;0),"–",""))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Sheet'!$AE$4:$AE$40,$BJ33-3)="","",INDEX('Final Calculation Sheet'!$AE$4:$AE$40,$BJ33-3)),IF(OR($BI33=1,$BL33=1,$BH33&gt;0),"–",""))</f>
        <v/>
      </c>
      <c r="AG30" t="str">
        <f>IF($BJ33&gt;0,IF(INDEX('Final Calculation Sheet'!$AF$4:$AF$40,$BJ33-3)="","",INDEX('Final Calculation Sheet'!$AF$4:$AF$40,$BJ33-3)),IF(OR($BI33=1,$BL33=1,$BH33&gt;0),"–",""))</f>
        <v/>
      </c>
      <c r="AH30" t="str">
        <f>IF($BJ33&gt;0,IF(INDEX('Final Calculation Sheet'!$AG$4:$AG$40,$BJ33-3)="","",INDEX('Final Calculation Sheet'!$AG$4:$AG$40,$BJ33-3)),IF(OR($BI33=1,$BL33=1,$BH33&gt;0),"–",""))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Sheet'!$AE$4:$AE$40,$BJ34-3)="","",INDEX('Final Calculation Sheet'!$AE$4:$AE$40,$BJ34-3)),IF(OR($BI34=1,$BL34=1,$BH34&gt;0),"–",""))</f>
        <v/>
      </c>
      <c r="AG31" t="str">
        <f>IF($BJ34&gt;0,IF(INDEX('Final Calculation Sheet'!$AF$4:$AF$40,$BJ34-3)="","",INDEX('Final Calculation Sheet'!$AF$4:$AF$40,$BJ34-3)),IF(OR($BI34=1,$BL34=1,$BH34&gt;0),"–",""))</f>
        <v/>
      </c>
      <c r="AH31" t="str">
        <f>IF($BJ34&gt;0,IF(INDEX('Final Calculation Sheet'!$AG$4:$AG$40,$BJ34-3)="","",INDEX('Final Calculation Sheet'!$AG$4:$AG$40,$BJ34-3)),IF(OR($BI34=1,$BL34=1,$BH34&gt;0),"–",""))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Sheet'!$AE$4:$AE$40,$BJ35-3)="","",INDEX('Final Calculation Sheet'!$AE$4:$AE$40,$BJ35-3)),IF(OR($BI35=1,$BL35=1,$BH35&gt;0),"–",""))</f>
        <v/>
      </c>
      <c r="AG32" t="str">
        <f>IF($BJ35&gt;0,IF(INDEX('Final Calculation Sheet'!$AF$4:$AF$40,$BJ35-3)="","",INDEX('Final Calculation Sheet'!$AF$4:$AF$40,$BJ35-3)),IF(OR($BI35=1,$BL35=1,$BH35&gt;0),"–",""))</f>
        <v/>
      </c>
      <c r="AH32" t="str">
        <f>IF($BJ35&gt;0,IF(INDEX('Final Calculation Sheet'!$AG$4:$AG$40,$BJ35-3)="","",INDEX('Final Calculation Sheet'!$AG$4:$AG$40,$BJ35-3)),IF(OR($BI35=1,$BL35=1,$BH35&gt;0),"–",""))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Sheet'!$AE$4:$AE$40,$BJ36-3)="","",INDEX('Final Calculation Sheet'!$AE$4:$AE$40,$BJ36-3)),IF(OR($BI36=1,$BL36=1,$BH36&gt;0),"–",""))</f>
        <v/>
      </c>
      <c r="AG33" t="str">
        <f>IF($BJ36&gt;0,IF(INDEX('Final Calculation Sheet'!$AF$4:$AF$40,$BJ36-3)="","",INDEX('Final Calculation Sheet'!$AF$4:$AF$40,$BJ36-3)),IF(OR($BI36=1,$BL36=1,$BH36&gt;0),"–",""))</f>
        <v/>
      </c>
      <c r="AH33" t="str">
        <f>IF($BJ36&gt;0,IF(INDEX('Final Calculation Sheet'!$AG$4:$AG$40,$BJ36-3)="","",INDEX('Final Calculation Sheet'!$AG$4:$AG$40,$BJ36-3)),IF(OR($BI36=1,$BL36=1,$BH36&gt;0),"–",""))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Sheet'!$AE$4:$AE$40,$BJ37-3)="","",INDEX('Final Calculation Sheet'!$AE$4:$AE$40,$BJ37-3)),IF(OR($BI37=1,$BL37=1,$BH37&gt;0),"–",""))</f>
        <v/>
      </c>
      <c r="AG34" t="str">
        <f>IF($BJ37&gt;0,IF(INDEX('Final Calculation Sheet'!$AF$4:$AF$40,$BJ37-3)="","",INDEX('Final Calculation Sheet'!$AF$4:$AF$40,$BJ37-3)),IF(OR($BI37=1,$BL37=1,$BH37&gt;0),"–",""))</f>
        <v/>
      </c>
      <c r="AH34" t="str">
        <f>IF($BJ37&gt;0,IF(INDEX('Final Calculation Sheet'!$AG$4:$AG$40,$BJ37-3)="","",INDEX('Final Calculation Sheet'!$AG$4:$AG$40,$BJ37-3)),IF(OR($BI37=1,$BL37=1,$BH37&gt;0),"–",""))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Sheet'!$AE$4:$AE$40,$BJ38-3)="","",INDEX('Final Calculation Sheet'!$AE$4:$AE$40,$BJ38-3)),IF(OR($BI38=1,$BL38=1,$BH38&gt;0),"–",""))</f>
        <v/>
      </c>
      <c r="AG35" t="str">
        <f>IF($BJ38&gt;0,IF(INDEX('Final Calculation Sheet'!$AF$4:$AF$40,$BJ38-3)="","",INDEX('Final Calculation Sheet'!$AF$4:$AF$40,$BJ38-3)),IF(OR($BI38=1,$BL38=1,$BH38&gt;0),"–",""))</f>
        <v/>
      </c>
      <c r="AH35" t="str">
        <f>IF($BJ38&gt;0,IF(INDEX('Final Calculation Sheet'!$AG$4:$AG$40,$BJ38-3)="","",INDEX('Final Calculation Sheet'!$AG$4:$AG$40,$BJ38-3)),IF(OR($BI38=1,$BL38=1,$BH38&gt;0),"–",""))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Sheet'!$AE$4:$AE$40,$BJ39-3)="","",INDEX('Final Calculation Sheet'!$AE$4:$AE$40,$BJ39-3)),IF(OR($BI39=1,$BL39=1,$BH39&gt;0),"–",""))</f>
        <v/>
      </c>
      <c r="AG36" t="str">
        <f>IF($BJ39&gt;0,IF(INDEX('Final Calculation Sheet'!$AF$4:$AF$40,$BJ39-3)="","",INDEX('Final Calculation Sheet'!$AF$4:$AF$40,$BJ39-3)),IF(OR($BI39=1,$BL39=1,$BH39&gt;0),"–",""))</f>
        <v/>
      </c>
      <c r="AH36" t="str">
        <f>IF($BJ39&gt;0,IF(INDEX('Final Calculation Sheet'!$AG$4:$AG$40,$BJ39-3)="","",INDEX('Final Calculation Sheet'!$AG$4:$AG$40,$BJ39-3)),IF(OR($BI39=1,$BL39=1,$BH39&gt;0),"–",""))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Sheet'!$AE$4:$AE$40,$BJ40-3)="","",INDEX('Final Calculation Sheet'!$AE$4:$AE$40,$BJ40-3)),IF(OR($BI40=1,$BL40=1,$BH40&gt;0),"–",""))</f>
        <v/>
      </c>
      <c r="AG37" t="str">
        <f>IF($BJ40&gt;0,IF(INDEX('Final Calculation Sheet'!$AF$4:$AF$40,$BJ40-3)="","",INDEX('Final Calculation Sheet'!$AF$4:$AF$40,$BJ40-3)),IF(OR($BI40=1,$BL40=1,$BH40&gt;0),"–",""))</f>
        <v/>
      </c>
      <c r="AH37" t="str">
        <f>IF($BJ40&gt;0,IF(INDEX('Final Calculation Sheet'!$AG$4:$AG$40,$BJ40-3)="","",INDEX('Final Calculation Sheet'!$AG$4:$AG$40,$BJ40-3)),IF(OR($BI40=1,$BL40=1,$BH40&gt;0),"–",""))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Sheet'!$AE$4:$AE$40,$BJ41-3)="","",INDEX('Final Calculation Sheet'!$AE$4:$AE$40,$BJ41-3)),IF(OR($BI41=1,$BL41=1,$BH41&gt;0),"–",""))</f>
        <v/>
      </c>
      <c r="AG38" t="str">
        <f>IF($BJ41&gt;0,IF(INDEX('Final Calculation Sheet'!$AF$4:$AF$40,$BJ41-3)="","",INDEX('Final Calculation Sheet'!$AF$4:$AF$40,$BJ41-3)),IF(OR($BI41=1,$BL41=1,$BH41&gt;0),"–",""))</f>
        <v/>
      </c>
      <c r="AH38" t="str">
        <f>IF($BJ41&gt;0,IF(INDEX('Final Calculation Sheet'!$AG$4:$AG$40,$BJ41-3)="","",INDEX('Final Calculation Sheet'!$AG$4:$AG$40,$BJ41-3)),IF(OR($BI41=1,$BL41=1,$BH41&gt;0),"–",""))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2026-09-10T13:11:24Z</dcterms:modified>
  <cp:lastModifiedBy>S.M.C</cp:lastModifiedBy>
  <cp:revision>0</cp:revision>
</cp:coreProperties>
</file>