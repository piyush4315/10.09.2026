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Data" sheetId="2" state="visible" r:id="rId2"/>
  </sheets>
  <definedNames>
    <definedName name="TestBuyers">Data!$K$2:$K$14</definedName>
    <definedName name="TestLotNo">Data!$G$2:INDEX(Data!$G$2:$G$40,MAX(Data!$F$2:$F$38)+2)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2" customWidth="1" min="1" max="1"/>
    <col width="30" customWidth="1" min="2" max="2"/>
    <col width="24" customWidth="1" min="4" max="4"/>
  </cols>
  <sheetData>
    <row r="1">
      <c r="A1" t="inlineStr">
        <is>
          <t>1) BUYER (pick OMKAR STEELS):</t>
        </is>
      </c>
      <c r="B1" t="inlineStr"/>
    </row>
    <row r="3">
      <c r="A3" t="inlineStr">
        <is>
          <t>2) LOT NO (open dropdown):</t>
        </is>
      </c>
      <c r="B3" t="inlineStr"/>
    </row>
    <row r="5">
      <c r="A5" t="inlineStr">
        <is>
          <t>3) DEBUG - matches found (expect 2 for OMKAR):</t>
        </is>
      </c>
      <c r="D5">
        <f>MAX(Data!F2:F38)</f>
        <v/>
      </c>
    </row>
    <row r="6">
      <c r="A6" t="inlineStr">
        <is>
          <t>4) DEBUG - buyer seen by filter:</t>
        </is>
      </c>
      <c r="D6">
        <f>Data!I1</f>
        <v/>
      </c>
    </row>
    <row r="8">
      <c r="A8" t="inlineStr">
        <is>
          <t>HOW TO TEST:</t>
        </is>
      </c>
    </row>
    <row r="9">
      <c r="A9" t="inlineStr">
        <is>
          <t>a) In B1 pick OMKAR STEELS from the dropdown.</t>
        </is>
      </c>
    </row>
    <row r="10">
      <c r="A10" t="inlineStr">
        <is>
          <t>b) Open the B3 dropdown - you should see 1923 and 2020.</t>
        </is>
      </c>
    </row>
    <row r="11">
      <c r="A11" t="inlineStr">
        <is>
          <t>c) Tell me what B3 shows + the values in D5 and D6.</t>
        </is>
      </c>
    </row>
    <row r="12">
      <c r="A12" t="inlineStr">
        <is>
          <t>If B3 works here but not in the real file, the issue is file-specific; if empty here too, it is Excel-side.</t>
        </is>
      </c>
    </row>
  </sheetData>
  <dataValidations count="2">
    <dataValidation sqref="B1" showDropDown="0" showInputMessage="0" showErrorMessage="0" allowBlank="1" type="list">
      <formula1>=TestBuyers</formula1>
    </dataValidation>
    <dataValidation sqref="B3" showDropDown="0" showInputMessage="0" showErrorMessage="0" allowBlank="1" type="list">
      <formula1>=TestLotNo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LotNo(F)</t>
        </is>
      </c>
      <c r="B1" t="inlineStr">
        <is>
          <t>Buyer(G)</t>
        </is>
      </c>
      <c r="C1" t="inlineStr">
        <is>
          <t>GC:filter</t>
        </is>
      </c>
      <c r="D1" t="inlineStr">
        <is>
          <t>GD:rank</t>
        </is>
      </c>
      <c r="E1" t="inlineStr">
        <is>
          <t>GE:sorted</t>
        </is>
      </c>
      <c r="F1" t="inlineStr">
        <is>
          <t>GF:ucount</t>
        </is>
      </c>
      <c r="G1" t="inlineStr">
        <is>
          <t>GG:list</t>
        </is>
      </c>
      <c r="H1" t="inlineStr">
        <is>
          <t>EFF:</t>
        </is>
      </c>
      <c r="I1">
        <f>Test!$B$1</f>
        <v/>
      </c>
      <c r="K1" t="inlineStr">
        <is>
          <t>Buyers</t>
        </is>
      </c>
    </row>
    <row r="2">
      <c r="A2" t="n">
        <v>1763</v>
      </c>
      <c r="B2" t="inlineStr">
        <is>
          <t>AL HAMD TRADE CORPORATION</t>
        </is>
      </c>
      <c r="C2">
        <f>IF($A$2="","",IF(TRIM($I$1)="",TEXT($A$2,"0"),IF(ISNUMBER(SEARCH(TRIM($I$1),$B$2)),TEXT($A$2,"0"),"")))</f>
        <v/>
      </c>
      <c r="D2">
        <f>IF(C2="","",COUNTIFS(C$2:C$38,"&lt;"&amp;C2,C$2:C$38,"&lt;&gt;"&amp;"")+COUNTIF(C$2:C2,C2))</f>
        <v/>
      </c>
      <c r="E2">
        <f>IF(ROW()-1&gt;COUNTIF(C$2:C$38,"&lt;&gt;"&amp;""),"",INDEX(C$2:C$38,MATCH(ROW()-1,D$2:D$38,0)))</f>
        <v/>
      </c>
      <c r="F2">
        <f>IF(AND(E2&lt;&gt;"",COUNTIF(E$2:E2,E2)=1),1,0)</f>
        <v/>
      </c>
      <c r="G2">
        <f>IF(ROW()-1&gt;MAX(F$2:F$38),"",INDEX(E$2:E$38,MATCH(ROW()-1,F$2:F$38,0)))</f>
        <v/>
      </c>
      <c r="K2" t="inlineStr">
        <is>
          <t>AL HAMD TRADE CORPORATION</t>
        </is>
      </c>
    </row>
    <row r="3">
      <c r="A3" t="n">
        <v>1874</v>
      </c>
      <c r="B3" t="inlineStr">
        <is>
          <t>NATIONAL ENTERPRISES</t>
        </is>
      </c>
      <c r="C3">
        <f>IF($A$3="","",IF(TRIM($I$1)="",TEXT($A$3,"0"),IF(ISNUMBER(SEARCH(TRIM($I$1),$B$3)),TEXT($A$3,"0"),"")))</f>
        <v/>
      </c>
      <c r="D3">
        <f>IF(C3="","",COUNTIFS(C$2:C$38,"&lt;"&amp;C3,C$2:C$38,"&lt;&gt;"&amp;"")+COUNTIF(C$2:C3,C3))</f>
        <v/>
      </c>
      <c r="E3">
        <f>IF(ROW()-1&gt;COUNTIF(C$2:C$38,"&lt;&gt;"&amp;""),"",INDEX(C$2:C$38,MATCH(ROW()-1,D$2:D$38,0)))</f>
        <v/>
      </c>
      <c r="F3">
        <f>F2+IF(AND(E3&lt;&gt;"",COUNTIF(E$2:E3,E3)=1),1,0)</f>
        <v/>
      </c>
      <c r="G3">
        <f>IF(ROW()-1&gt;MAX(F$2:F$38),"",INDEX(E$2:E$38,MATCH(ROW()-1,F$2:F$38,0)))</f>
        <v/>
      </c>
      <c r="K3" t="inlineStr">
        <is>
          <t>NATIONAL ENTERPRISES</t>
        </is>
      </c>
    </row>
    <row r="4">
      <c r="A4" t="n">
        <v>1875</v>
      </c>
      <c r="B4" t="inlineStr">
        <is>
          <t>F R KHANS ENTERPRISES</t>
        </is>
      </c>
      <c r="C4">
        <f>IF($A$4="","",IF(TRIM($I$1)="",TEXT($A$4,"0"),IF(ISNUMBER(SEARCH(TRIM($I$1),$B$4)),TEXT($A$4,"0"),"")))</f>
        <v/>
      </c>
      <c r="D4">
        <f>IF(C4="","",COUNTIFS(C$2:C$38,"&lt;"&amp;C4,C$2:C$38,"&lt;&gt;"&amp;"")+COUNTIF(C$2:C4,C4))</f>
        <v/>
      </c>
      <c r="E4">
        <f>IF(ROW()-1&gt;COUNTIF(C$2:C$38,"&lt;&gt;"&amp;""),"",INDEX(C$2:C$38,MATCH(ROW()-1,D$2:D$38,0)))</f>
        <v/>
      </c>
      <c r="F4">
        <f>F3+IF(AND(E4&lt;&gt;"",COUNTIF(E$2:E4,E4)=1),1,0)</f>
        <v/>
      </c>
      <c r="G4">
        <f>IF(ROW()-1&gt;MAX(F$2:F$38),"",INDEX(E$2:E$38,MATCH(ROW()-1,F$2:F$38,0)))</f>
        <v/>
      </c>
      <c r="K4" t="inlineStr">
        <is>
          <t>F R KHANS ENTERPRISES</t>
        </is>
      </c>
    </row>
    <row r="5">
      <c r="A5" t="n">
        <v>1876</v>
      </c>
      <c r="B5" t="inlineStr">
        <is>
          <t>F R KHANS ENTERPRISES</t>
        </is>
      </c>
      <c r="C5">
        <f>IF($A$5="","",IF(TRIM($I$1)="",TEXT($A$5,"0"),IF(ISNUMBER(SEARCH(TRIM($I$1),$B$5)),TEXT($A$5,"0"),"")))</f>
        <v/>
      </c>
      <c r="D5">
        <f>IF(C5="","",COUNTIFS(C$2:C$38,"&lt;"&amp;C5,C$2:C$38,"&lt;&gt;"&amp;"")+COUNTIF(C$2:C5,C5))</f>
        <v/>
      </c>
      <c r="E5">
        <f>IF(ROW()-1&gt;COUNTIF(C$2:C$38,"&lt;&gt;"&amp;""),"",INDEX(C$2:C$38,MATCH(ROW()-1,D$2:D$38,0)))</f>
        <v/>
      </c>
      <c r="F5">
        <f>F4+IF(AND(E5&lt;&gt;"",COUNTIF(E$2:E5,E5)=1),1,0)</f>
        <v/>
      </c>
      <c r="G5">
        <f>IF(ROW()-1&gt;MAX(F$2:F$38),"",INDEX(E$2:E$38,MATCH(ROW()-1,F$2:F$38,0)))</f>
        <v/>
      </c>
      <c r="K5" t="inlineStr">
        <is>
          <t>OMKAR STEELS</t>
        </is>
      </c>
    </row>
    <row r="6">
      <c r="A6" t="n">
        <v>1923</v>
      </c>
      <c r="B6" t="inlineStr">
        <is>
          <t>OMKAR STEELS</t>
        </is>
      </c>
      <c r="C6">
        <f>IF($A$6="","",IF(TRIM($I$1)="",TEXT($A$6,"0"),IF(ISNUMBER(SEARCH(TRIM($I$1),$B$6)),TEXT($A$6,"0"),"")))</f>
        <v/>
      </c>
      <c r="D6">
        <f>IF(C6="","",COUNTIFS(C$2:C$38,"&lt;"&amp;C6,C$2:C$38,"&lt;&gt;"&amp;"")+COUNTIF(C$2:C6,C6))</f>
        <v/>
      </c>
      <c r="E6">
        <f>IF(ROW()-1&gt;COUNTIF(C$2:C$38,"&lt;&gt;"&amp;""),"",INDEX(C$2:C$38,MATCH(ROW()-1,D$2:D$38,0)))</f>
        <v/>
      </c>
      <c r="F6">
        <f>F5+IF(AND(E6&lt;&gt;"",COUNTIF(E$2:E6,E6)=1),1,0)</f>
        <v/>
      </c>
      <c r="G6">
        <f>IF(ROW()-1&gt;MAX(F$2:F$38),"",INDEX(E$2:E$38,MATCH(ROW()-1,F$2:F$38,0)))</f>
        <v/>
      </c>
      <c r="K6" t="inlineStr">
        <is>
          <t>SHAR JAHAN TRADERS</t>
        </is>
      </c>
    </row>
    <row r="7">
      <c r="A7" t="n">
        <v>1976</v>
      </c>
      <c r="B7" t="inlineStr">
        <is>
          <t>SHAR JAHAN TRADERS</t>
        </is>
      </c>
      <c r="C7">
        <f>IF($A$7="","",IF(TRIM($I$1)="",TEXT($A$7,"0"),IF(ISNUMBER(SEARCH(TRIM($I$1),$B$7)),TEXT($A$7,"0"),"")))</f>
        <v/>
      </c>
      <c r="D7">
        <f>IF(C7="","",COUNTIFS(C$2:C$38,"&lt;"&amp;C7,C$2:C$38,"&lt;&gt;"&amp;"")+COUNTIF(C$2:C7,C7))</f>
        <v/>
      </c>
      <c r="E7">
        <f>IF(ROW()-1&gt;COUNTIF(C$2:C$38,"&lt;&gt;"&amp;""),"",INDEX(C$2:C$38,MATCH(ROW()-1,D$2:D$38,0)))</f>
        <v/>
      </c>
      <c r="F7">
        <f>F6+IF(AND(E7&lt;&gt;"",COUNTIF(E$2:E7,E7)=1),1,0)</f>
        <v/>
      </c>
      <c r="G7">
        <f>IF(ROW()-1&gt;MAX(F$2:F$38),"",INDEX(E$2:E$38,MATCH(ROW()-1,F$2:F$38,0)))</f>
        <v/>
      </c>
      <c r="K7" t="inlineStr">
        <is>
          <t>STERLING ENTERPRISES</t>
        </is>
      </c>
    </row>
    <row r="8">
      <c r="A8" t="n">
        <v>2002</v>
      </c>
      <c r="B8" t="inlineStr">
        <is>
          <t>NATIONAL ENTERPRISES</t>
        </is>
      </c>
      <c r="C8">
        <f>IF($A$8="","",IF(TRIM($I$1)="",TEXT($A$8,"0"),IF(ISNUMBER(SEARCH(TRIM($I$1),$B$8)),TEXT($A$8,"0"),"")))</f>
        <v/>
      </c>
      <c r="D8">
        <f>IF(C8="","",COUNTIFS(C$2:C$38,"&lt;"&amp;C8,C$2:C$38,"&lt;&gt;"&amp;"")+COUNTIF(C$2:C8,C8))</f>
        <v/>
      </c>
      <c r="E8">
        <f>IF(ROW()-1&gt;COUNTIF(C$2:C$38,"&lt;&gt;"&amp;""),"",INDEX(C$2:C$38,MATCH(ROW()-1,D$2:D$38,0)))</f>
        <v/>
      </c>
      <c r="F8">
        <f>F7+IF(AND(E8&lt;&gt;"",COUNTIF(E$2:E8,E8)=1),1,0)</f>
        <v/>
      </c>
      <c r="G8">
        <f>IF(ROW()-1&gt;MAX(F$2:F$38),"",INDEX(E$2:E$38,MATCH(ROW()-1,F$2:F$38,0)))</f>
        <v/>
      </c>
      <c r="K8" t="inlineStr">
        <is>
          <t>HIND TRADERS</t>
        </is>
      </c>
    </row>
    <row r="9">
      <c r="A9" t="n">
        <v>2003</v>
      </c>
      <c r="B9" t="inlineStr">
        <is>
          <t>NATIONAL ENTERPRISES</t>
        </is>
      </c>
      <c r="C9">
        <f>IF($A$9="","",IF(TRIM($I$1)="",TEXT($A$9,"0"),IF(ISNUMBER(SEARCH(TRIM($I$1),$B$9)),TEXT($A$9,"0"),"")))</f>
        <v/>
      </c>
      <c r="D9">
        <f>IF(C9="","",COUNTIFS(C$2:C$38,"&lt;"&amp;C9,C$2:C$38,"&lt;&gt;"&amp;"")+COUNTIF(C$2:C9,C9))</f>
        <v/>
      </c>
      <c r="E9">
        <f>IF(ROW()-1&gt;COUNTIF(C$2:C$38,"&lt;&gt;"&amp;""),"",INDEX(C$2:C$38,MATCH(ROW()-1,D$2:D$38,0)))</f>
        <v/>
      </c>
      <c r="F9">
        <f>F8+IF(AND(E9&lt;&gt;"",COUNTIF(E$2:E9,E9)=1),1,0)</f>
        <v/>
      </c>
      <c r="G9">
        <f>IF(ROW()-1&gt;MAX(F$2:F$38),"",INDEX(E$2:E$38,MATCH(ROW()-1,F$2:F$38,0)))</f>
        <v/>
      </c>
      <c r="K9" t="inlineStr">
        <is>
          <t>NATIONAL SCRAP AND BUILDING MATERIAL SUPPLIER</t>
        </is>
      </c>
    </row>
    <row r="10">
      <c r="A10" t="n">
        <v>2005</v>
      </c>
      <c r="B10" t="inlineStr">
        <is>
          <t>NATIONAL ENTERPRISES</t>
        </is>
      </c>
      <c r="C10">
        <f>IF($A$10="","",IF(TRIM($I$1)="",TEXT($A$10,"0"),IF(ISNUMBER(SEARCH(TRIM($I$1),$B$10)),TEXT($A$10,"0"),"")))</f>
        <v/>
      </c>
      <c r="D10">
        <f>IF(C10="","",COUNTIFS(C$2:C$38,"&lt;"&amp;C10,C$2:C$38,"&lt;&gt;"&amp;"")+COUNTIF(C$2:C10,C10))</f>
        <v/>
      </c>
      <c r="E10">
        <f>IF(ROW()-1&gt;COUNTIF(C$2:C$38,"&lt;&gt;"&amp;""),"",INDEX(C$2:C$38,MATCH(ROW()-1,D$2:D$38,0)))</f>
        <v/>
      </c>
      <c r="F10">
        <f>F9+IF(AND(E10&lt;&gt;"",COUNTIF(E$2:E10,E10)=1),1,0)</f>
        <v/>
      </c>
      <c r="G10">
        <f>IF(ROW()-1&gt;MAX(F$2:F$38),"",INDEX(E$2:E$38,MATCH(ROW()-1,F$2:F$38,0)))</f>
        <v/>
      </c>
      <c r="K10" t="inlineStr">
        <is>
          <t>WATAN SCRAP TRADERS</t>
        </is>
      </c>
    </row>
    <row r="11">
      <c r="A11" t="n">
        <v>2006</v>
      </c>
      <c r="B11" t="inlineStr">
        <is>
          <t>STERLING ENTERPRISES</t>
        </is>
      </c>
      <c r="C11">
        <f>IF($A$11="","",IF(TRIM($I$1)="",TEXT($A$11,"0"),IF(ISNUMBER(SEARCH(TRIM($I$1),$B$11)),TEXT($A$11,"0"),"")))</f>
        <v/>
      </c>
      <c r="D11">
        <f>IF(C11="","",COUNTIFS(C$2:C$38,"&lt;"&amp;C11,C$2:C$38,"&lt;&gt;"&amp;"")+COUNTIF(C$2:C11,C11))</f>
        <v/>
      </c>
      <c r="E11">
        <f>IF(ROW()-1&gt;COUNTIF(C$2:C$38,"&lt;&gt;"&amp;""),"",INDEX(C$2:C$38,MATCH(ROW()-1,D$2:D$38,0)))</f>
        <v/>
      </c>
      <c r="F11">
        <f>F10+IF(AND(E11&lt;&gt;"",COUNTIF(E$2:E11,E11)=1),1,0)</f>
        <v/>
      </c>
      <c r="G11">
        <f>IF(ROW()-1&gt;MAX(F$2:F$38),"",INDEX(E$2:E$38,MATCH(ROW()-1,F$2:F$38,0)))</f>
        <v/>
      </c>
      <c r="K11" t="inlineStr">
        <is>
          <t>M I SCRAP TRADERS</t>
        </is>
      </c>
    </row>
    <row r="12">
      <c r="A12" t="n">
        <v>2007</v>
      </c>
      <c r="B12" t="inlineStr">
        <is>
          <t>SHAR JAHAN TRADERS</t>
        </is>
      </c>
      <c r="C12">
        <f>IF($A$12="","",IF(TRIM($I$1)="",TEXT($A$12,"0"),IF(ISNUMBER(SEARCH(TRIM($I$1),$B$12)),TEXT($A$12,"0"),"")))</f>
        <v/>
      </c>
      <c r="D12">
        <f>IF(C12="","",COUNTIFS(C$2:C$38,"&lt;"&amp;C12,C$2:C$38,"&lt;&gt;"&amp;"")+COUNTIF(C$2:C12,C12))</f>
        <v/>
      </c>
      <c r="E12">
        <f>IF(ROW()-1&gt;COUNTIF(C$2:C$38,"&lt;&gt;"&amp;""),"",INDEX(C$2:C$38,MATCH(ROW()-1,D$2:D$38,0)))</f>
        <v/>
      </c>
      <c r="F12">
        <f>F11+IF(AND(E12&lt;&gt;"",COUNTIF(E$2:E12,E12)=1),1,0)</f>
        <v/>
      </c>
      <c r="G12">
        <f>IF(ROW()-1&gt;MAX(F$2:F$38),"",INDEX(E$2:E$38,MATCH(ROW()-1,F$2:F$38,0)))</f>
        <v/>
      </c>
      <c r="K12" t="inlineStr">
        <is>
          <t>SAHARA ENTERPRISES</t>
        </is>
      </c>
    </row>
    <row r="13">
      <c r="A13" t="n">
        <v>2008</v>
      </c>
      <c r="B13" t="inlineStr">
        <is>
          <t>HIND TRADERS</t>
        </is>
      </c>
      <c r="C13">
        <f>IF($A$13="","",IF(TRIM($I$1)="",TEXT($A$13,"0"),IF(ISNUMBER(SEARCH(TRIM($I$1),$B$13)),TEXT($A$13,"0"),"")))</f>
        <v/>
      </c>
      <c r="D13">
        <f>IF(C13="","",COUNTIFS(C$2:C$38,"&lt;"&amp;C13,C$2:C$38,"&lt;&gt;"&amp;"")+COUNTIF(C$2:C13,C13))</f>
        <v/>
      </c>
      <c r="E13">
        <f>IF(ROW()-1&gt;COUNTIF(C$2:C$38,"&lt;&gt;"&amp;""),"",INDEX(C$2:C$38,MATCH(ROW()-1,D$2:D$38,0)))</f>
        <v/>
      </c>
      <c r="F13">
        <f>F12+IF(AND(E13&lt;&gt;"",COUNTIF(E$2:E13,E13)=1),1,0)</f>
        <v/>
      </c>
      <c r="G13">
        <f>IF(ROW()-1&gt;MAX(F$2:F$38),"",INDEX(E$2:E$38,MATCH(ROW()-1,F$2:F$38,0)))</f>
        <v/>
      </c>
      <c r="K13" t="inlineStr">
        <is>
          <t>KASHYAP TRADING CO</t>
        </is>
      </c>
    </row>
    <row r="14">
      <c r="A14" t="n">
        <v>2011</v>
      </c>
      <c r="B14" t="inlineStr">
        <is>
          <t>STERLING ENTERPRISES</t>
        </is>
      </c>
      <c r="C14">
        <f>IF($A$14="","",IF(TRIM($I$1)="",TEXT($A$14,"0"),IF(ISNUMBER(SEARCH(TRIM($I$1),$B$14)),TEXT($A$14,"0"),"")))</f>
        <v/>
      </c>
      <c r="D14">
        <f>IF(C14="","",COUNTIFS(C$2:C$38,"&lt;"&amp;C14,C$2:C$38,"&lt;&gt;"&amp;"")+COUNTIF(C$2:C14,C14))</f>
        <v/>
      </c>
      <c r="E14">
        <f>IF(ROW()-1&gt;COUNTIF(C$2:C$38,"&lt;&gt;"&amp;""),"",INDEX(C$2:C$38,MATCH(ROW()-1,D$2:D$38,0)))</f>
        <v/>
      </c>
      <c r="F14">
        <f>F13+IF(AND(E14&lt;&gt;"",COUNTIF(E$2:E14,E14)=1),1,0)</f>
        <v/>
      </c>
      <c r="G14">
        <f>IF(ROW()-1&gt;MAX(F$2:F$38),"",INDEX(E$2:E$38,MATCH(ROW()-1,F$2:F$38,0)))</f>
        <v/>
      </c>
      <c r="K14" t="inlineStr">
        <is>
          <t>S M ENTERPRISES</t>
        </is>
      </c>
    </row>
    <row r="15">
      <c r="A15" t="n">
        <v>2015</v>
      </c>
      <c r="B15" t="inlineStr">
        <is>
          <t>STERLING ENTERPRISES</t>
        </is>
      </c>
      <c r="C15">
        <f>IF($A$15="","",IF(TRIM($I$1)="",TEXT($A$15,"0"),IF(ISNUMBER(SEARCH(TRIM($I$1),$B$15)),TEXT($A$15,"0"),"")))</f>
        <v/>
      </c>
      <c r="D15">
        <f>IF(C15="","",COUNTIFS(C$2:C$38,"&lt;"&amp;C15,C$2:C$38,"&lt;&gt;"&amp;"")+COUNTIF(C$2:C15,C15))</f>
        <v/>
      </c>
      <c r="E15">
        <f>IF(ROW()-1&gt;COUNTIF(C$2:C$38,"&lt;&gt;"&amp;""),"",INDEX(C$2:C$38,MATCH(ROW()-1,D$2:D$38,0)))</f>
        <v/>
      </c>
      <c r="F15">
        <f>F14+IF(AND(E15&lt;&gt;"",COUNTIF(E$2:E15,E15)=1),1,0)</f>
        <v/>
      </c>
      <c r="G15">
        <f>IF(ROW()-1&gt;MAX(F$2:F$38),"",INDEX(E$2:E$38,MATCH(ROW()-1,F$2:F$38,0)))</f>
        <v/>
      </c>
    </row>
    <row r="16">
      <c r="A16" t="n">
        <v>2018</v>
      </c>
      <c r="B16" t="inlineStr">
        <is>
          <t>NATIONAL ENTERPRISES</t>
        </is>
      </c>
      <c r="C16">
        <f>IF($A$16="","",IF(TRIM($I$1)="",TEXT($A$16,"0"),IF(ISNUMBER(SEARCH(TRIM($I$1),$B$16)),TEXT($A$16,"0"),"")))</f>
        <v/>
      </c>
      <c r="D16">
        <f>IF(C16="","",COUNTIFS(C$2:C$38,"&lt;"&amp;C16,C$2:C$38,"&lt;&gt;"&amp;"")+COUNTIF(C$2:C16,C16))</f>
        <v/>
      </c>
      <c r="E16">
        <f>IF(ROW()-1&gt;COUNTIF(C$2:C$38,"&lt;&gt;"&amp;""),"",INDEX(C$2:C$38,MATCH(ROW()-1,D$2:D$38,0)))</f>
        <v/>
      </c>
      <c r="F16">
        <f>F15+IF(AND(E16&lt;&gt;"",COUNTIF(E$2:E16,E16)=1),1,0)</f>
        <v/>
      </c>
      <c r="G16">
        <f>IF(ROW()-1&gt;MAX(F$2:F$38),"",INDEX(E$2:E$38,MATCH(ROW()-1,F$2:F$38,0)))</f>
        <v/>
      </c>
    </row>
    <row r="17">
      <c r="A17" t="n">
        <v>2019</v>
      </c>
      <c r="B17" t="inlineStr">
        <is>
          <t>NATIONAL ENTERPRISES</t>
        </is>
      </c>
      <c r="C17">
        <f>IF($A$17="","",IF(TRIM($I$1)="",TEXT($A$17,"0"),IF(ISNUMBER(SEARCH(TRIM($I$1),$B$17)),TEXT($A$17,"0"),"")))</f>
        <v/>
      </c>
      <c r="D17">
        <f>IF(C17="","",COUNTIFS(C$2:C$38,"&lt;"&amp;C17,C$2:C$38,"&lt;&gt;"&amp;"")+COUNTIF(C$2:C17,C17))</f>
        <v/>
      </c>
      <c r="E17">
        <f>IF(ROW()-1&gt;COUNTIF(C$2:C$38,"&lt;&gt;"&amp;""),"",INDEX(C$2:C$38,MATCH(ROW()-1,D$2:D$38,0)))</f>
        <v/>
      </c>
      <c r="F17">
        <f>F16+IF(AND(E17&lt;&gt;"",COUNTIF(E$2:E17,E17)=1),1,0)</f>
        <v/>
      </c>
      <c r="G17">
        <f>IF(ROW()-1&gt;MAX(F$2:F$38),"",INDEX(E$2:E$38,MATCH(ROW()-1,F$2:F$38,0)))</f>
        <v/>
      </c>
    </row>
    <row r="18">
      <c r="A18" t="n">
        <v>2020</v>
      </c>
      <c r="B18" t="inlineStr">
        <is>
          <t>OMKAR STEELS</t>
        </is>
      </c>
      <c r="C18">
        <f>IF($A$18="","",IF(TRIM($I$1)="",TEXT($A$18,"0"),IF(ISNUMBER(SEARCH(TRIM($I$1),$B$18)),TEXT($A$18,"0"),"")))</f>
        <v/>
      </c>
      <c r="D18">
        <f>IF(C18="","",COUNTIFS(C$2:C$38,"&lt;"&amp;C18,C$2:C$38,"&lt;&gt;"&amp;"")+COUNTIF(C$2:C18,C18))</f>
        <v/>
      </c>
      <c r="E18">
        <f>IF(ROW()-1&gt;COUNTIF(C$2:C$38,"&lt;&gt;"&amp;""),"",INDEX(C$2:C$38,MATCH(ROW()-1,D$2:D$38,0)))</f>
        <v/>
      </c>
      <c r="F18">
        <f>F17+IF(AND(E18&lt;&gt;"",COUNTIF(E$2:E18,E18)=1),1,0)</f>
        <v/>
      </c>
      <c r="G18">
        <f>IF(ROW()-1&gt;MAX(F$2:F$38),"",INDEX(E$2:E$38,MATCH(ROW()-1,F$2:F$38,0)))</f>
        <v/>
      </c>
    </row>
    <row r="19">
      <c r="A19" t="n">
        <v>2022</v>
      </c>
      <c r="B19" t="inlineStr">
        <is>
          <t>NATIONAL SCRAP AND BUILDING MATERIAL SUPPLIER</t>
        </is>
      </c>
      <c r="C19">
        <f>IF($A$19="","",IF(TRIM($I$1)="",TEXT($A$19,"0"),IF(ISNUMBER(SEARCH(TRIM($I$1),$B$19)),TEXT($A$19,"0"),"")))</f>
        <v/>
      </c>
      <c r="D19">
        <f>IF(C19="","",COUNTIFS(C$2:C$38,"&lt;"&amp;C19,C$2:C$38,"&lt;&gt;"&amp;"")+COUNTIF(C$2:C19,C19))</f>
        <v/>
      </c>
      <c r="E19">
        <f>IF(ROW()-1&gt;COUNTIF(C$2:C$38,"&lt;&gt;"&amp;""),"",INDEX(C$2:C$38,MATCH(ROW()-1,D$2:D$38,0)))</f>
        <v/>
      </c>
      <c r="F19">
        <f>F18+IF(AND(E19&lt;&gt;"",COUNTIF(E$2:E19,E19)=1),1,0)</f>
        <v/>
      </c>
      <c r="G19">
        <f>IF(ROW()-1&gt;MAX(F$2:F$38),"",INDEX(E$2:E$38,MATCH(ROW()-1,F$2:F$38,0)))</f>
        <v/>
      </c>
    </row>
    <row r="20">
      <c r="A20" t="n">
        <v>2023</v>
      </c>
      <c r="B20" t="inlineStr">
        <is>
          <t>NATIONAL ENTERPRISES</t>
        </is>
      </c>
      <c r="C20">
        <f>IF($A$20="","",IF(TRIM($I$1)="",TEXT($A$20,"0"),IF(ISNUMBER(SEARCH(TRIM($I$1),$B$20)),TEXT($A$20,"0"),"")))</f>
        <v/>
      </c>
      <c r="D20">
        <f>IF(C20="","",COUNTIFS(C$2:C$38,"&lt;"&amp;C20,C$2:C$38,"&lt;&gt;"&amp;"")+COUNTIF(C$2:C20,C20))</f>
        <v/>
      </c>
      <c r="E20">
        <f>IF(ROW()-1&gt;COUNTIF(C$2:C$38,"&lt;&gt;"&amp;""),"",INDEX(C$2:C$38,MATCH(ROW()-1,D$2:D$38,0)))</f>
        <v/>
      </c>
      <c r="F20">
        <f>F19+IF(AND(E20&lt;&gt;"",COUNTIF(E$2:E20,E20)=1),1,0)</f>
        <v/>
      </c>
      <c r="G20">
        <f>IF(ROW()-1&gt;MAX(F$2:F$38),"",INDEX(E$2:E$38,MATCH(ROW()-1,F$2:F$38,0)))</f>
        <v/>
      </c>
    </row>
    <row r="21">
      <c r="A21" t="n">
        <v>2025</v>
      </c>
      <c r="B21" t="inlineStr">
        <is>
          <t>STERLING ENTERPRISES</t>
        </is>
      </c>
      <c r="C21">
        <f>IF($A$21="","",IF(TRIM($I$1)="",TEXT($A$21,"0"),IF(ISNUMBER(SEARCH(TRIM($I$1),$B$21)),TEXT($A$21,"0"),"")))</f>
        <v/>
      </c>
      <c r="D21">
        <f>IF(C21="","",COUNTIFS(C$2:C$38,"&lt;"&amp;C21,C$2:C$38,"&lt;&gt;"&amp;"")+COUNTIF(C$2:C21,C21))</f>
        <v/>
      </c>
      <c r="E21">
        <f>IF(ROW()-1&gt;COUNTIF(C$2:C$38,"&lt;&gt;"&amp;""),"",INDEX(C$2:C$38,MATCH(ROW()-1,D$2:D$38,0)))</f>
        <v/>
      </c>
      <c r="F21">
        <f>F20+IF(AND(E21&lt;&gt;"",COUNTIF(E$2:E21,E21)=1),1,0)</f>
        <v/>
      </c>
      <c r="G21">
        <f>IF(ROW()-1&gt;MAX(F$2:F$38),"",INDEX(E$2:E$38,MATCH(ROW()-1,F$2:F$38,0)))</f>
        <v/>
      </c>
    </row>
    <row r="22">
      <c r="A22" t="n">
        <v>2027</v>
      </c>
      <c r="B22" t="inlineStr">
        <is>
          <t>NATIONAL ENTERPRISES</t>
        </is>
      </c>
      <c r="C22">
        <f>IF($A$22="","",IF(TRIM($I$1)="",TEXT($A$22,"0"),IF(ISNUMBER(SEARCH(TRIM($I$1),$B$22)),TEXT($A$22,"0"),"")))</f>
        <v/>
      </c>
      <c r="D22">
        <f>IF(C22="","",COUNTIFS(C$2:C$38,"&lt;"&amp;C22,C$2:C$38,"&lt;&gt;"&amp;"")+COUNTIF(C$2:C22,C22))</f>
        <v/>
      </c>
      <c r="E22">
        <f>IF(ROW()-1&gt;COUNTIF(C$2:C$38,"&lt;&gt;"&amp;""),"",INDEX(C$2:C$38,MATCH(ROW()-1,D$2:D$38,0)))</f>
        <v/>
      </c>
      <c r="F22">
        <f>F21+IF(AND(E22&lt;&gt;"",COUNTIF(E$2:E22,E22)=1),1,0)</f>
        <v/>
      </c>
      <c r="G22">
        <f>IF(ROW()-1&gt;MAX(F$2:F$38),"",INDEX(E$2:E$38,MATCH(ROW()-1,F$2:F$38,0)))</f>
        <v/>
      </c>
    </row>
    <row r="23">
      <c r="A23" t="n">
        <v>2033</v>
      </c>
      <c r="B23" t="inlineStr">
        <is>
          <t>WATAN SCRAP TRADERS</t>
        </is>
      </c>
      <c r="C23">
        <f>IF($A$23="","",IF(TRIM($I$1)="",TEXT($A$23,"0"),IF(ISNUMBER(SEARCH(TRIM($I$1),$B$23)),TEXT($A$23,"0"),"")))</f>
        <v/>
      </c>
      <c r="D23">
        <f>IF(C23="","",COUNTIFS(C$2:C$38,"&lt;"&amp;C23,C$2:C$38,"&lt;&gt;"&amp;"")+COUNTIF(C$2:C23,C23))</f>
        <v/>
      </c>
      <c r="E23">
        <f>IF(ROW()-1&gt;COUNTIF(C$2:C$38,"&lt;&gt;"&amp;""),"",INDEX(C$2:C$38,MATCH(ROW()-1,D$2:D$38,0)))</f>
        <v/>
      </c>
      <c r="F23">
        <f>F22+IF(AND(E23&lt;&gt;"",COUNTIF(E$2:E23,E23)=1),1,0)</f>
        <v/>
      </c>
      <c r="G23">
        <f>IF(ROW()-1&gt;MAX(F$2:F$38),"",INDEX(E$2:E$38,MATCH(ROW()-1,F$2:F$38,0)))</f>
        <v/>
      </c>
    </row>
    <row r="24">
      <c r="A24" t="n">
        <v>2035</v>
      </c>
      <c r="B24" t="inlineStr">
        <is>
          <t>NATIONAL ENTERPRISES</t>
        </is>
      </c>
      <c r="C24">
        <f>IF($A$24="","",IF(TRIM($I$1)="",TEXT($A$24,"0"),IF(ISNUMBER(SEARCH(TRIM($I$1),$B$24)),TEXT($A$24,"0"),"")))</f>
        <v/>
      </c>
      <c r="D24">
        <f>IF(C24="","",COUNTIFS(C$2:C$38,"&lt;"&amp;C24,C$2:C$38,"&lt;&gt;"&amp;"")+COUNTIF(C$2:C24,C24))</f>
        <v/>
      </c>
      <c r="E24">
        <f>IF(ROW()-1&gt;COUNTIF(C$2:C$38,"&lt;&gt;"&amp;""),"",INDEX(C$2:C$38,MATCH(ROW()-1,D$2:D$38,0)))</f>
        <v/>
      </c>
      <c r="F24">
        <f>F23+IF(AND(E24&lt;&gt;"",COUNTIF(E$2:E24,E24)=1),1,0)</f>
        <v/>
      </c>
      <c r="G24">
        <f>IF(ROW()-1&gt;MAX(F$2:F$38),"",INDEX(E$2:E$38,MATCH(ROW()-1,F$2:F$38,0)))</f>
        <v/>
      </c>
    </row>
    <row r="25">
      <c r="A25" t="n">
        <v>2036</v>
      </c>
      <c r="B25" t="inlineStr">
        <is>
          <t>M I SCRAP TRADERS</t>
        </is>
      </c>
      <c r="C25">
        <f>IF($A$25="","",IF(TRIM($I$1)="",TEXT($A$25,"0"),IF(ISNUMBER(SEARCH(TRIM($I$1),$B$25)),TEXT($A$25,"0"),"")))</f>
        <v/>
      </c>
      <c r="D25">
        <f>IF(C25="","",COUNTIFS(C$2:C$38,"&lt;"&amp;C25,C$2:C$38,"&lt;&gt;"&amp;"")+COUNTIF(C$2:C25,C25))</f>
        <v/>
      </c>
      <c r="E25">
        <f>IF(ROW()-1&gt;COUNTIF(C$2:C$38,"&lt;&gt;"&amp;""),"",INDEX(C$2:C$38,MATCH(ROW()-1,D$2:D$38,0)))</f>
        <v/>
      </c>
      <c r="F25">
        <f>F24+IF(AND(E25&lt;&gt;"",COUNTIF(E$2:E25,E25)=1),1,0)</f>
        <v/>
      </c>
      <c r="G25">
        <f>IF(ROW()-1&gt;MAX(F$2:F$38),"",INDEX(E$2:E$38,MATCH(ROW()-1,F$2:F$38,0)))</f>
        <v/>
      </c>
    </row>
    <row r="26">
      <c r="A26" t="n">
        <v>2037</v>
      </c>
      <c r="B26" t="inlineStr">
        <is>
          <t>WATAN SCRAP TRADERS</t>
        </is>
      </c>
      <c r="C26">
        <f>IF($A$26="","",IF(TRIM($I$1)="",TEXT($A$26,"0"),IF(ISNUMBER(SEARCH(TRIM($I$1),$B$26)),TEXT($A$26,"0"),"")))</f>
        <v/>
      </c>
      <c r="D26">
        <f>IF(C26="","",COUNTIFS(C$2:C$38,"&lt;"&amp;C26,C$2:C$38,"&lt;&gt;"&amp;"")+COUNTIF(C$2:C26,C26))</f>
        <v/>
      </c>
      <c r="E26">
        <f>IF(ROW()-1&gt;COUNTIF(C$2:C$38,"&lt;&gt;"&amp;""),"",INDEX(C$2:C$38,MATCH(ROW()-1,D$2:D$38,0)))</f>
        <v/>
      </c>
      <c r="F26">
        <f>F25+IF(AND(E26&lt;&gt;"",COUNTIF(E$2:E26,E26)=1),1,0)</f>
        <v/>
      </c>
      <c r="G26">
        <f>IF(ROW()-1&gt;MAX(F$2:F$38),"",INDEX(E$2:E$38,MATCH(ROW()-1,F$2:F$38,0)))</f>
        <v/>
      </c>
    </row>
    <row r="27">
      <c r="A27" t="n">
        <v>2040</v>
      </c>
      <c r="B27" t="inlineStr">
        <is>
          <t>STERLING ENTERPRISES</t>
        </is>
      </c>
      <c r="C27">
        <f>IF($A$27="","",IF(TRIM($I$1)="",TEXT($A$27,"0"),IF(ISNUMBER(SEARCH(TRIM($I$1),$B$27)),TEXT($A$27,"0"),"")))</f>
        <v/>
      </c>
      <c r="D27">
        <f>IF(C27="","",COUNTIFS(C$2:C$38,"&lt;"&amp;C27,C$2:C$38,"&lt;&gt;"&amp;"")+COUNTIF(C$2:C27,C27))</f>
        <v/>
      </c>
      <c r="E27">
        <f>IF(ROW()-1&gt;COUNTIF(C$2:C$38,"&lt;&gt;"&amp;""),"",INDEX(C$2:C$38,MATCH(ROW()-1,D$2:D$38,0)))</f>
        <v/>
      </c>
      <c r="F27">
        <f>F26+IF(AND(E27&lt;&gt;"",COUNTIF(E$2:E27,E27)=1),1,0)</f>
        <v/>
      </c>
      <c r="G27">
        <f>IF(ROW()-1&gt;MAX(F$2:F$38),"",INDEX(E$2:E$38,MATCH(ROW()-1,F$2:F$38,0)))</f>
        <v/>
      </c>
    </row>
    <row r="28">
      <c r="A28" t="n">
        <v>2043</v>
      </c>
      <c r="B28" t="inlineStr">
        <is>
          <t>NATIONAL ENTERPRISES</t>
        </is>
      </c>
      <c r="C28">
        <f>IF($A$28="","",IF(TRIM($I$1)="",TEXT($A$28,"0"),IF(ISNUMBER(SEARCH(TRIM($I$1),$B$28)),TEXT($A$28,"0"),"")))</f>
        <v/>
      </c>
      <c r="D28">
        <f>IF(C28="","",COUNTIFS(C$2:C$38,"&lt;"&amp;C28,C$2:C$38,"&lt;&gt;"&amp;"")+COUNTIF(C$2:C28,C28))</f>
        <v/>
      </c>
      <c r="E28">
        <f>IF(ROW()-1&gt;COUNTIF(C$2:C$38,"&lt;&gt;"&amp;""),"",INDEX(C$2:C$38,MATCH(ROW()-1,D$2:D$38,0)))</f>
        <v/>
      </c>
      <c r="F28">
        <f>F27+IF(AND(E28&lt;&gt;"",COUNTIF(E$2:E28,E28)=1),1,0)</f>
        <v/>
      </c>
      <c r="G28">
        <f>IF(ROW()-1&gt;MAX(F$2:F$38),"",INDEX(E$2:E$38,MATCH(ROW()-1,F$2:F$38,0)))</f>
        <v/>
      </c>
    </row>
    <row r="29">
      <c r="A29" t="n">
        <v>2046</v>
      </c>
      <c r="B29" t="inlineStr">
        <is>
          <t>SAHARA ENTERPRISES</t>
        </is>
      </c>
      <c r="C29">
        <f>IF($A$29="","",IF(TRIM($I$1)="",TEXT($A$29,"0"),IF(ISNUMBER(SEARCH(TRIM($I$1),$B$29)),TEXT($A$29,"0"),"")))</f>
        <v/>
      </c>
      <c r="D29">
        <f>IF(C29="","",COUNTIFS(C$2:C$38,"&lt;"&amp;C29,C$2:C$38,"&lt;&gt;"&amp;"")+COUNTIF(C$2:C29,C29))</f>
        <v/>
      </c>
      <c r="E29">
        <f>IF(ROW()-1&gt;COUNTIF(C$2:C$38,"&lt;&gt;"&amp;""),"",INDEX(C$2:C$38,MATCH(ROW()-1,D$2:D$38,0)))</f>
        <v/>
      </c>
      <c r="F29">
        <f>F28+IF(AND(E29&lt;&gt;"",COUNTIF(E$2:E29,E29)=1),1,0)</f>
        <v/>
      </c>
      <c r="G29">
        <f>IF(ROW()-1&gt;MAX(F$2:F$38),"",INDEX(E$2:E$38,MATCH(ROW()-1,F$2:F$38,0)))</f>
        <v/>
      </c>
    </row>
    <row r="30">
      <c r="A30" t="n">
        <v>2055</v>
      </c>
      <c r="B30" t="inlineStr">
        <is>
          <t>NATIONAL ENTERPRISES</t>
        </is>
      </c>
      <c r="C30">
        <f>IF($A$30="","",IF(TRIM($I$1)="",TEXT($A$30,"0"),IF(ISNUMBER(SEARCH(TRIM($I$1),$B$30)),TEXT($A$30,"0"),"")))</f>
        <v/>
      </c>
      <c r="D30">
        <f>IF(C30="","",COUNTIFS(C$2:C$38,"&lt;"&amp;C30,C$2:C$38,"&lt;&gt;"&amp;"")+COUNTIF(C$2:C30,C30))</f>
        <v/>
      </c>
      <c r="E30">
        <f>IF(ROW()-1&gt;COUNTIF(C$2:C$38,"&lt;&gt;"&amp;""),"",INDEX(C$2:C$38,MATCH(ROW()-1,D$2:D$38,0)))</f>
        <v/>
      </c>
      <c r="F30">
        <f>F29+IF(AND(E30&lt;&gt;"",COUNTIF(E$2:E30,E30)=1),1,0)</f>
        <v/>
      </c>
      <c r="G30">
        <f>IF(ROW()-1&gt;MAX(F$2:F$38),"",INDEX(E$2:E$38,MATCH(ROW()-1,F$2:F$38,0)))</f>
        <v/>
      </c>
    </row>
    <row r="31">
      <c r="A31" t="n">
        <v>2059</v>
      </c>
      <c r="B31" t="inlineStr">
        <is>
          <t>NATIONAL ENTERPRISES</t>
        </is>
      </c>
      <c r="C31">
        <f>IF($A$31="","",IF(TRIM($I$1)="",TEXT($A$31,"0"),IF(ISNUMBER(SEARCH(TRIM($I$1),$B$31)),TEXT($A$31,"0"),"")))</f>
        <v/>
      </c>
      <c r="D31">
        <f>IF(C31="","",COUNTIFS(C$2:C$38,"&lt;"&amp;C31,C$2:C$38,"&lt;&gt;"&amp;"")+COUNTIF(C$2:C31,C31))</f>
        <v/>
      </c>
      <c r="E31">
        <f>IF(ROW()-1&gt;COUNTIF(C$2:C$38,"&lt;&gt;"&amp;""),"",INDEX(C$2:C$38,MATCH(ROW()-1,D$2:D$38,0)))</f>
        <v/>
      </c>
      <c r="F31">
        <f>F30+IF(AND(E31&lt;&gt;"",COUNTIF(E$2:E31,E31)=1),1,0)</f>
        <v/>
      </c>
      <c r="G31">
        <f>IF(ROW()-1&gt;MAX(F$2:F$38),"",INDEX(E$2:E$38,MATCH(ROW()-1,F$2:F$38,0)))</f>
        <v/>
      </c>
    </row>
    <row r="32">
      <c r="A32" t="n">
        <v>2062</v>
      </c>
      <c r="B32" t="inlineStr">
        <is>
          <t>STERLING ENTERPRISES</t>
        </is>
      </c>
      <c r="C32">
        <f>IF($A$32="","",IF(TRIM($I$1)="",TEXT($A$32,"0"),IF(ISNUMBER(SEARCH(TRIM($I$1),$B$32)),TEXT($A$32,"0"),"")))</f>
        <v/>
      </c>
      <c r="D32">
        <f>IF(C32="","",COUNTIFS(C$2:C$38,"&lt;"&amp;C32,C$2:C$38,"&lt;&gt;"&amp;"")+COUNTIF(C$2:C32,C32))</f>
        <v/>
      </c>
      <c r="E32">
        <f>IF(ROW()-1&gt;COUNTIF(C$2:C$38,"&lt;&gt;"&amp;""),"",INDEX(C$2:C$38,MATCH(ROW()-1,D$2:D$38,0)))</f>
        <v/>
      </c>
      <c r="F32">
        <f>F31+IF(AND(E32&lt;&gt;"",COUNTIF(E$2:E32,E32)=1),1,0)</f>
        <v/>
      </c>
      <c r="G32">
        <f>IF(ROW()-1&gt;MAX(F$2:F$38),"",INDEX(E$2:E$38,MATCH(ROW()-1,F$2:F$38,0)))</f>
        <v/>
      </c>
    </row>
    <row r="33">
      <c r="A33" t="n">
        <v>2067</v>
      </c>
      <c r="B33" t="inlineStr">
        <is>
          <t>WATAN SCRAP TRADERS</t>
        </is>
      </c>
      <c r="C33">
        <f>IF($A$33="","",IF(TRIM($I$1)="",TEXT($A$33,"0"),IF(ISNUMBER(SEARCH(TRIM($I$1),$B$33)),TEXT($A$33,"0"),"")))</f>
        <v/>
      </c>
      <c r="D33">
        <f>IF(C33="","",COUNTIFS(C$2:C$38,"&lt;"&amp;C33,C$2:C$38,"&lt;&gt;"&amp;"")+COUNTIF(C$2:C33,C33))</f>
        <v/>
      </c>
      <c r="E33">
        <f>IF(ROW()-1&gt;COUNTIF(C$2:C$38,"&lt;&gt;"&amp;""),"",INDEX(C$2:C$38,MATCH(ROW()-1,D$2:D$38,0)))</f>
        <v/>
      </c>
      <c r="F33">
        <f>F32+IF(AND(E33&lt;&gt;"",COUNTIF(E$2:E33,E33)=1),1,0)</f>
        <v/>
      </c>
      <c r="G33">
        <f>IF(ROW()-1&gt;MAX(F$2:F$38),"",INDEX(E$2:E$38,MATCH(ROW()-1,F$2:F$38,0)))</f>
        <v/>
      </c>
    </row>
    <row r="34">
      <c r="A34" t="n">
        <v>2069</v>
      </c>
      <c r="B34" t="inlineStr">
        <is>
          <t>STERLING ENTERPRISES</t>
        </is>
      </c>
      <c r="C34">
        <f>IF($A$34="","",IF(TRIM($I$1)="",TEXT($A$34,"0"),IF(ISNUMBER(SEARCH(TRIM($I$1),$B$34)),TEXT($A$34,"0"),"")))</f>
        <v/>
      </c>
      <c r="D34">
        <f>IF(C34="","",COUNTIFS(C$2:C$38,"&lt;"&amp;C34,C$2:C$38,"&lt;&gt;"&amp;"")+COUNTIF(C$2:C34,C34))</f>
        <v/>
      </c>
      <c r="E34">
        <f>IF(ROW()-1&gt;COUNTIF(C$2:C$38,"&lt;&gt;"&amp;""),"",INDEX(C$2:C$38,MATCH(ROW()-1,D$2:D$38,0)))</f>
        <v/>
      </c>
      <c r="F34">
        <f>F33+IF(AND(E34&lt;&gt;"",COUNTIF(E$2:E34,E34)=1),1,0)</f>
        <v/>
      </c>
      <c r="G34">
        <f>IF(ROW()-1&gt;MAX(F$2:F$38),"",INDEX(E$2:E$38,MATCH(ROW()-1,F$2:F$38,0)))</f>
        <v/>
      </c>
    </row>
    <row r="35">
      <c r="A35" t="n">
        <v>2071</v>
      </c>
      <c r="B35" t="inlineStr">
        <is>
          <t>NATIONAL ENTERPRISES</t>
        </is>
      </c>
      <c r="C35">
        <f>IF($A$35="","",IF(TRIM($I$1)="",TEXT($A$35,"0"),IF(ISNUMBER(SEARCH(TRIM($I$1),$B$35)),TEXT($A$35,"0"),"")))</f>
        <v/>
      </c>
      <c r="D35">
        <f>IF(C35="","",COUNTIFS(C$2:C$38,"&lt;"&amp;C35,C$2:C$38,"&lt;&gt;"&amp;"")+COUNTIF(C$2:C35,C35))</f>
        <v/>
      </c>
      <c r="E35">
        <f>IF(ROW()-1&gt;COUNTIF(C$2:C$38,"&lt;&gt;"&amp;""),"",INDEX(C$2:C$38,MATCH(ROW()-1,D$2:D$38,0)))</f>
        <v/>
      </c>
      <c r="F35">
        <f>F34+IF(AND(E35&lt;&gt;"",COUNTIF(E$2:E35,E35)=1),1,0)</f>
        <v/>
      </c>
      <c r="G35">
        <f>IF(ROW()-1&gt;MAX(F$2:F$38),"",INDEX(E$2:E$38,MATCH(ROW()-1,F$2:F$38,0)))</f>
        <v/>
      </c>
    </row>
    <row r="36">
      <c r="A36" t="n">
        <v>2086</v>
      </c>
      <c r="B36" t="inlineStr">
        <is>
          <t>KASHYAP TRADING CO</t>
        </is>
      </c>
      <c r="C36">
        <f>IF($A$36="","",IF(TRIM($I$1)="",TEXT($A$36,"0"),IF(ISNUMBER(SEARCH(TRIM($I$1),$B$36)),TEXT($A$36,"0"),"")))</f>
        <v/>
      </c>
      <c r="D36">
        <f>IF(C36="","",COUNTIFS(C$2:C$38,"&lt;"&amp;C36,C$2:C$38,"&lt;&gt;"&amp;"")+COUNTIF(C$2:C36,C36))</f>
        <v/>
      </c>
      <c r="E36">
        <f>IF(ROW()-1&gt;COUNTIF(C$2:C$38,"&lt;&gt;"&amp;""),"",INDEX(C$2:C$38,MATCH(ROW()-1,D$2:D$38,0)))</f>
        <v/>
      </c>
      <c r="F36">
        <f>F35+IF(AND(E36&lt;&gt;"",COUNTIF(E$2:E36,E36)=1),1,0)</f>
        <v/>
      </c>
      <c r="G36">
        <f>IF(ROW()-1&gt;MAX(F$2:F$38),"",INDEX(E$2:E$38,MATCH(ROW()-1,F$2:F$38,0)))</f>
        <v/>
      </c>
    </row>
    <row r="37">
      <c r="A37" t="n">
        <v>2089</v>
      </c>
      <c r="B37" t="inlineStr">
        <is>
          <t>S M ENTERPRISES</t>
        </is>
      </c>
      <c r="C37">
        <f>IF($A$37="","",IF(TRIM($I$1)="",TEXT($A$37,"0"),IF(ISNUMBER(SEARCH(TRIM($I$1),$B$37)),TEXT($A$37,"0"),"")))</f>
        <v/>
      </c>
      <c r="D37">
        <f>IF(C37="","",COUNTIFS(C$2:C$38,"&lt;"&amp;C37,C$2:C$38,"&lt;&gt;"&amp;"")+COUNTIF(C$2:C37,C37))</f>
        <v/>
      </c>
      <c r="E37">
        <f>IF(ROW()-1&gt;COUNTIF(C$2:C$38,"&lt;&gt;"&amp;""),"",INDEX(C$2:C$38,MATCH(ROW()-1,D$2:D$38,0)))</f>
        <v/>
      </c>
      <c r="F37">
        <f>F36+IF(AND(E37&lt;&gt;"",COUNTIF(E$2:E37,E37)=1),1,0)</f>
        <v/>
      </c>
      <c r="G37">
        <f>IF(ROW()-1&gt;MAX(F$2:F$38),"",INDEX(E$2:E$38,MATCH(ROW()-1,F$2:F$38,0)))</f>
        <v/>
      </c>
    </row>
    <row r="38">
      <c r="A38" t="n">
        <v>2091</v>
      </c>
      <c r="B38" t="inlineStr">
        <is>
          <t>S M ENTERPRISES</t>
        </is>
      </c>
      <c r="C38">
        <f>IF($A$38="","",IF(TRIM($I$1)="",TEXT($A$38,"0"),IF(ISNUMBER(SEARCH(TRIM($I$1),$B$38)),TEXT($A$38,"0"),"")))</f>
        <v/>
      </c>
      <c r="D38">
        <f>IF(C38="","",COUNTIFS(C$2:C$38,"&lt;"&amp;C38,C$2:C$38,"&lt;&gt;"&amp;"")+COUNTIF(C$2:C38,C38))</f>
        <v/>
      </c>
      <c r="E38">
        <f>IF(ROW()-1&gt;COUNTIF(C$2:C$38,"&lt;&gt;"&amp;""),"",INDEX(C$2:C$38,MATCH(ROW()-1,D$2:D$38,0)))</f>
        <v/>
      </c>
      <c r="F38">
        <f>F37+IF(AND(E38&lt;&gt;"",COUNTIF(E$2:E38,E38)=1),1,0)</f>
        <v/>
      </c>
      <c r="G38">
        <f>IF(ROW()-1&gt;MAX(F$2:F$38),"",INDEX(E$2:E$38,MATCH(ROW()-1,F$2:F$38,0)))</f>
        <v/>
      </c>
    </row>
    <row r="39">
      <c r="G39" t="inlineStr">
        <is>
          <t>(blank)</t>
        </is>
      </c>
    </row>
    <row r="40">
      <c r="G40" t="inlineStr">
        <is>
          <t>(nonblank)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2026-09-11T04:44:22Z</dcterms:created>
  <dcterms:modified xsi:type="dcterms:W3CDTF">2026-09-11T04:44:22Z</dcterms:modified>
</cp:coreProperties>
</file>